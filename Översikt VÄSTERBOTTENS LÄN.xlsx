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45357</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45357</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45357</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45357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45357</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45357</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45357</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45357</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45357</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45357</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45357</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45357</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45357</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45357</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45357</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45357</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45357</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45357</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45357</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45357</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45357</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45357</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45357</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45357</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45357</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45357</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45357</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45357</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45357</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45357</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45357</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45357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45357</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45357</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45357</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45357</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45357</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45357</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45357</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45357</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45357</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45357</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45357</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45357</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45357</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45357</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45357</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45357</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45357</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45357</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45357</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45357</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45357</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45357</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45357</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45357</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45357</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45357</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45357</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45357</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45357</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45357</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45357</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45357</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45357</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45357</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45357</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45357</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45357</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45357</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48248-2023</t>
        </is>
      </c>
      <c r="B75" s="1" t="n">
        <v>45201</v>
      </c>
      <c r="C75" s="1" t="n">
        <v>45357</v>
      </c>
      <c r="D75" t="inlineStr">
        <is>
          <t>VÄSTERBOTTENS LÄN</t>
        </is>
      </c>
      <c r="E75" t="inlineStr">
        <is>
          <t>VILHELMINA</t>
        </is>
      </c>
      <c r="F75" t="inlineStr">
        <is>
          <t>Allmännings- och besparingsskogar</t>
        </is>
      </c>
      <c r="G75" t="n">
        <v>34.2</v>
      </c>
      <c r="H75" t="n">
        <v>4</v>
      </c>
      <c r="I75" t="n">
        <v>3</v>
      </c>
      <c r="J75" t="n">
        <v>11</v>
      </c>
      <c r="K75" t="n">
        <v>0</v>
      </c>
      <c r="L75" t="n">
        <v>0</v>
      </c>
      <c r="M75" t="n">
        <v>0</v>
      </c>
      <c r="N75" t="n">
        <v>0</v>
      </c>
      <c r="O75" t="n">
        <v>11</v>
      </c>
      <c r="P75" t="n">
        <v>0</v>
      </c>
      <c r="Q75" t="n">
        <v>15</v>
      </c>
      <c r="R75" s="2" t="inlineStr">
        <is>
          <t>Garnlav
Granticka
Järpe
Liten svartspik
Lunglav
Rödbrun blekspik
Skrovellav
Talltita
Tretåig hackspett
Vitgrynig nållav
Vitskaftad svartspik
Bårdlav
Gulnål
Stuplav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30597-2019</t>
        </is>
      </c>
      <c r="B76" s="1" t="n">
        <v>43635</v>
      </c>
      <c r="C76" s="1" t="n">
        <v>45357</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45357</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45357</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45357</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45357</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45357</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45357</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45357</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45357</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45357</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45357</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45357</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45357</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45357</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45357</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45357</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45357</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45357</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45357</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45357</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45357</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45357</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45357</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45357</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45357</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45357</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45357</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45357</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45357</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45357</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45357</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45357</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45357</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45357</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45357</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45357</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45357</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45357</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45357</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45357</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45357</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45357</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45357</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45357</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45357</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45357</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45357</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45357</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45357</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45357</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45357</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45357</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45357</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45357</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45357</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45357</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45357</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45357</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45357</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45357</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45357</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45357</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45357</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45357</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45357</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45357</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45357</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45357</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45357</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45357</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45357</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45357</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45357</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45357</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45357</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45357</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45357</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45357</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45357</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45357</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45357</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45357</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45357</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45357</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45357</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45357</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45357</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45357</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45357</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45357</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45357</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45357</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45357</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45357</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45357</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45357</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45357</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45357</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45357</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45357</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45357</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45357</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45357</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45357</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45357</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45357</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45357</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45357</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45357</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45357</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45357</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45357</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45357</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45357</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45357</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45357</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45357</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45357</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45357</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45357</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45357</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45357</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45357</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45357</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45357</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45357</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45357</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45357</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45357</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45357</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45357</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45357</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45357</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45357</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45357</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45357</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row>
    <row r="212" ht="15" customHeight="1">
      <c r="A212" t="inlineStr">
        <is>
          <t>A 3019-2020</t>
        </is>
      </c>
      <c r="B212" s="1" t="n">
        <v>43851</v>
      </c>
      <c r="C212" s="1" t="n">
        <v>45357</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row>
    <row r="213" ht="15" customHeight="1">
      <c r="A213" t="inlineStr">
        <is>
          <t>A 12237-2020</t>
        </is>
      </c>
      <c r="B213" s="1" t="n">
        <v>43895</v>
      </c>
      <c r="C213" s="1" t="n">
        <v>45357</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45357</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45357</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45357</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45357</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45357</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45357</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45357</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45357</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45357</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45357</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45357</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45357</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45357</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45357</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45357</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45357</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45357</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45357</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45357</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45357</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45357</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45357</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45357</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45357</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45357</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45357</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45357</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45357</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45357</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45357</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45357</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45357</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45357</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45357</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45357</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45357</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45357</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45357</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45357</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45357</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45357</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45357</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45357</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45357</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45357</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45357</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45357</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45357</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45357</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45357</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45357</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45357</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45357</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45357</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45357</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45357</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45357</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45357</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45357</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45357</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45357</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45357</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45357</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45357</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45357</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45357</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45357</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45357</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45357</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45357</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45357</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45357</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45357</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45357</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45357</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45357</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45357</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45357</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45357</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45357</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45357</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45357</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45357</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45357</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45357</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45357</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45357</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45357</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45357</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45357</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45357</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45357</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45357</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45357</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45357</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45357</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45357</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45357</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45357</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45357</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45357</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45357</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45357</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45357</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45357</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45357</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45357</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45357</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45357</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row>
    <row r="323" ht="15" customHeight="1">
      <c r="A323" t="inlineStr">
        <is>
          <t>A 2274-2024</t>
        </is>
      </c>
      <c r="B323" s="1" t="n">
        <v>45310</v>
      </c>
      <c r="C323" s="1" t="n">
        <v>45357</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8655-2024</t>
        </is>
      </c>
      <c r="B324" s="1" t="n">
        <v>45356</v>
      </c>
      <c r="C324" s="1" t="n">
        <v>45357</v>
      </c>
      <c r="D324" t="inlineStr">
        <is>
          <t>VÄSTERBOTTENS LÄN</t>
        </is>
      </c>
      <c r="E324" t="inlineStr">
        <is>
          <t>ÅSELE</t>
        </is>
      </c>
      <c r="F324" t="inlineStr">
        <is>
          <t>SCA</t>
        </is>
      </c>
      <c r="G324" t="n">
        <v>12.3</v>
      </c>
      <c r="H324" t="n">
        <v>0</v>
      </c>
      <c r="I324" t="n">
        <v>2</v>
      </c>
      <c r="J324" t="n">
        <v>3</v>
      </c>
      <c r="K324" t="n">
        <v>0</v>
      </c>
      <c r="L324" t="n">
        <v>0</v>
      </c>
      <c r="M324" t="n">
        <v>0</v>
      </c>
      <c r="N324" t="n">
        <v>0</v>
      </c>
      <c r="O324" t="n">
        <v>3</v>
      </c>
      <c r="P324" t="n">
        <v>0</v>
      </c>
      <c r="Q324" t="n">
        <v>5</v>
      </c>
      <c r="R324" s="2" t="inlineStr">
        <is>
          <t>Garnlav
Lunglav
Skrovellav
Bårdlav
Stuplav</t>
        </is>
      </c>
      <c r="S324">
        <f>HYPERLINK("https://klasma.github.io/Logging_2463/artfynd/A 8655-2024 artfynd.xlsx", "A 8655-2024")</f>
        <v/>
      </c>
      <c r="T324">
        <f>HYPERLINK("https://klasma.github.io/Logging_2463/kartor/A 8655-2024 karta.png", "A 8655-2024")</f>
        <v/>
      </c>
      <c r="V324">
        <f>HYPERLINK("https://klasma.github.io/Logging_2463/klagomål/A 8655-2024 FSC-klagomål.docx", "A 8655-2024")</f>
        <v/>
      </c>
      <c r="W324">
        <f>HYPERLINK("https://klasma.github.io/Logging_2463/klagomålsmail/A 8655-2024 FSC-klagomål mail.docx", "A 8655-2024")</f>
        <v/>
      </c>
      <c r="X324">
        <f>HYPERLINK("https://klasma.github.io/Logging_2463/tillsyn/A 8655-2024 tillsynsbegäran.docx", "A 8655-2024")</f>
        <v/>
      </c>
      <c r="Y324">
        <f>HYPERLINK("https://klasma.github.io/Logging_2463/tillsynsmail/A 8655-2024 tillsynsbegäran mail.docx", "A 8655-2024")</f>
        <v/>
      </c>
    </row>
    <row r="325" ht="15" customHeight="1">
      <c r="A325" t="inlineStr">
        <is>
          <t>A 46729-2018</t>
        </is>
      </c>
      <c r="B325" s="1" t="n">
        <v>43368</v>
      </c>
      <c r="C325" s="1" t="n">
        <v>45357</v>
      </c>
      <c r="D325" t="inlineStr">
        <is>
          <t>VÄSTERBOTTENS LÄN</t>
        </is>
      </c>
      <c r="E325" t="inlineStr">
        <is>
          <t>STORUMAN</t>
        </is>
      </c>
      <c r="G325" t="n">
        <v>11.3</v>
      </c>
      <c r="H325" t="n">
        <v>0</v>
      </c>
      <c r="I325" t="n">
        <v>0</v>
      </c>
      <c r="J325" t="n">
        <v>1</v>
      </c>
      <c r="K325" t="n">
        <v>3</v>
      </c>
      <c r="L325" t="n">
        <v>0</v>
      </c>
      <c r="M325" t="n">
        <v>0</v>
      </c>
      <c r="N325" t="n">
        <v>0</v>
      </c>
      <c r="O325" t="n">
        <v>4</v>
      </c>
      <c r="P325" t="n">
        <v>3</v>
      </c>
      <c r="Q325" t="n">
        <v>4</v>
      </c>
      <c r="R325" s="2" t="inlineStr">
        <is>
          <t>Liten sotlav
Ostticka
Rynkskinn
Rosenticka</t>
        </is>
      </c>
      <c r="S325">
        <f>HYPERLINK("https://klasma.github.io/Logging_2421/artfynd/A 46729-2018 artfynd.xlsx", "A 46729-2018")</f>
        <v/>
      </c>
      <c r="T325">
        <f>HYPERLINK("https://klasma.github.io/Logging_2421/kartor/A 46729-2018 karta.png", "A 46729-2018")</f>
        <v/>
      </c>
      <c r="V325">
        <f>HYPERLINK("https://klasma.github.io/Logging_2421/klagomål/A 46729-2018 FSC-klagomål.docx", "A 46729-2018")</f>
        <v/>
      </c>
      <c r="W325">
        <f>HYPERLINK("https://klasma.github.io/Logging_2421/klagomålsmail/A 46729-2018 FSC-klagomål mail.docx", "A 46729-2018")</f>
        <v/>
      </c>
      <c r="X325">
        <f>HYPERLINK("https://klasma.github.io/Logging_2421/tillsyn/A 46729-2018 tillsynsbegäran.docx", "A 46729-2018")</f>
        <v/>
      </c>
      <c r="Y325">
        <f>HYPERLINK("https://klasma.github.io/Logging_2421/tillsynsmail/A 46729-2018 tillsynsbegäran mail.docx", "A 46729-2018")</f>
        <v/>
      </c>
    </row>
    <row r="326" ht="15" customHeight="1">
      <c r="A326" t="inlineStr">
        <is>
          <t>A 69071-2018</t>
        </is>
      </c>
      <c r="B326" s="1" t="n">
        <v>43445</v>
      </c>
      <c r="C326" s="1" t="n">
        <v>45357</v>
      </c>
      <c r="D326" t="inlineStr">
        <is>
          <t>VÄSTERBOTTENS LÄN</t>
        </is>
      </c>
      <c r="E326" t="inlineStr">
        <is>
          <t>BJURHOLM</t>
        </is>
      </c>
      <c r="G326" t="n">
        <v>1.2</v>
      </c>
      <c r="H326" t="n">
        <v>0</v>
      </c>
      <c r="I326" t="n">
        <v>1</v>
      </c>
      <c r="J326" t="n">
        <v>3</v>
      </c>
      <c r="K326" t="n">
        <v>0</v>
      </c>
      <c r="L326" t="n">
        <v>0</v>
      </c>
      <c r="M326" t="n">
        <v>0</v>
      </c>
      <c r="N326" t="n">
        <v>0</v>
      </c>
      <c r="O326" t="n">
        <v>3</v>
      </c>
      <c r="P326" t="n">
        <v>0</v>
      </c>
      <c r="Q326" t="n">
        <v>4</v>
      </c>
      <c r="R326" s="2" t="inlineStr">
        <is>
          <t>Granticka
Lunglav
Violettgrå tagellav
Luddlav</t>
        </is>
      </c>
      <c r="S326">
        <f>HYPERLINK("https://klasma.github.io/Logging_2403/artfynd/A 69071-2018 artfynd.xlsx", "A 69071-2018")</f>
        <v/>
      </c>
      <c r="T326">
        <f>HYPERLINK("https://klasma.github.io/Logging_2403/kartor/A 69071-2018 karta.png", "A 69071-2018")</f>
        <v/>
      </c>
      <c r="V326">
        <f>HYPERLINK("https://klasma.github.io/Logging_2403/klagomål/A 69071-2018 FSC-klagomål.docx", "A 69071-2018")</f>
        <v/>
      </c>
      <c r="W326">
        <f>HYPERLINK("https://klasma.github.io/Logging_2403/klagomålsmail/A 69071-2018 FSC-klagomål mail.docx", "A 69071-2018")</f>
        <v/>
      </c>
      <c r="X326">
        <f>HYPERLINK("https://klasma.github.io/Logging_2403/tillsyn/A 69071-2018 tillsynsbegäran.docx", "A 69071-2018")</f>
        <v/>
      </c>
      <c r="Y326">
        <f>HYPERLINK("https://klasma.github.io/Logging_2403/tillsynsmail/A 69071-2018 tillsynsbegäran mail.docx", "A 69071-2018")</f>
        <v/>
      </c>
    </row>
    <row r="327" ht="15" customHeight="1">
      <c r="A327" t="inlineStr">
        <is>
          <t>A 5617-2019</t>
        </is>
      </c>
      <c r="B327" s="1" t="n">
        <v>43482</v>
      </c>
      <c r="C327" s="1" t="n">
        <v>45357</v>
      </c>
      <c r="D327" t="inlineStr">
        <is>
          <t>VÄSTERBOTTENS LÄN</t>
        </is>
      </c>
      <c r="E327" t="inlineStr">
        <is>
          <t>LYCKSELE</t>
        </is>
      </c>
      <c r="G327" t="n">
        <v>8.699999999999999</v>
      </c>
      <c r="H327" t="n">
        <v>3</v>
      </c>
      <c r="I327" t="n">
        <v>1</v>
      </c>
      <c r="J327" t="n">
        <v>1</v>
      </c>
      <c r="K327" t="n">
        <v>0</v>
      </c>
      <c r="L327" t="n">
        <v>0</v>
      </c>
      <c r="M327" t="n">
        <v>0</v>
      </c>
      <c r="N327" t="n">
        <v>0</v>
      </c>
      <c r="O327" t="n">
        <v>1</v>
      </c>
      <c r="P327" t="n">
        <v>0</v>
      </c>
      <c r="Q327" t="n">
        <v>4</v>
      </c>
      <c r="R327" s="2" t="inlineStr">
        <is>
          <t>Garnlav
Spindelblomster
Fläcknycklar
Revlummer</t>
        </is>
      </c>
      <c r="S327">
        <f>HYPERLINK("https://klasma.github.io/Logging_2481/artfynd/A 5617-2019 artfynd.xlsx", "A 5617-2019")</f>
        <v/>
      </c>
      <c r="T327">
        <f>HYPERLINK("https://klasma.github.io/Logging_2481/kartor/A 5617-2019 karta.png", "A 5617-2019")</f>
        <v/>
      </c>
      <c r="V327">
        <f>HYPERLINK("https://klasma.github.io/Logging_2481/klagomål/A 5617-2019 FSC-klagomål.docx", "A 5617-2019")</f>
        <v/>
      </c>
      <c r="W327">
        <f>HYPERLINK("https://klasma.github.io/Logging_2481/klagomålsmail/A 5617-2019 FSC-klagomål mail.docx", "A 5617-2019")</f>
        <v/>
      </c>
      <c r="X327">
        <f>HYPERLINK("https://klasma.github.io/Logging_2481/tillsyn/A 5617-2019 tillsynsbegäran.docx", "A 5617-2019")</f>
        <v/>
      </c>
      <c r="Y327">
        <f>HYPERLINK("https://klasma.github.io/Logging_2481/tillsynsmail/A 5617-2019 tillsynsbegäran mail.docx", "A 5617-2019")</f>
        <v/>
      </c>
    </row>
    <row r="328" ht="15" customHeight="1">
      <c r="A328" t="inlineStr">
        <is>
          <t>A 5981-2019</t>
        </is>
      </c>
      <c r="B328" s="1" t="n">
        <v>43483</v>
      </c>
      <c r="C328" s="1" t="n">
        <v>45357</v>
      </c>
      <c r="D328" t="inlineStr">
        <is>
          <t>VÄSTERBOTTENS LÄN</t>
        </is>
      </c>
      <c r="E328" t="inlineStr">
        <is>
          <t>LYCKSELE</t>
        </is>
      </c>
      <c r="G328" t="n">
        <v>5.2</v>
      </c>
      <c r="H328" t="n">
        <v>0</v>
      </c>
      <c r="I328" t="n">
        <v>0</v>
      </c>
      <c r="J328" t="n">
        <v>3</v>
      </c>
      <c r="K328" t="n">
        <v>1</v>
      </c>
      <c r="L328" t="n">
        <v>0</v>
      </c>
      <c r="M328" t="n">
        <v>0</v>
      </c>
      <c r="N328" t="n">
        <v>0</v>
      </c>
      <c r="O328" t="n">
        <v>4</v>
      </c>
      <c r="P328" t="n">
        <v>1</v>
      </c>
      <c r="Q328" t="n">
        <v>4</v>
      </c>
      <c r="R328" s="2" t="inlineStr">
        <is>
          <t>Rynkskinn
Garnlav
Granticka
Ullticka</t>
        </is>
      </c>
      <c r="S328">
        <f>HYPERLINK("https://klasma.github.io/Logging_2481/artfynd/A 5981-2019 artfynd.xlsx", "A 5981-2019")</f>
        <v/>
      </c>
      <c r="T328">
        <f>HYPERLINK("https://klasma.github.io/Logging_2481/kartor/A 5981-2019 karta.png", "A 5981-2019")</f>
        <v/>
      </c>
      <c r="V328">
        <f>HYPERLINK("https://klasma.github.io/Logging_2481/klagomål/A 5981-2019 FSC-klagomål.docx", "A 5981-2019")</f>
        <v/>
      </c>
      <c r="W328">
        <f>HYPERLINK("https://klasma.github.io/Logging_2481/klagomålsmail/A 5981-2019 FSC-klagomål mail.docx", "A 5981-2019")</f>
        <v/>
      </c>
      <c r="X328">
        <f>HYPERLINK("https://klasma.github.io/Logging_2481/tillsyn/A 5981-2019 tillsynsbegäran.docx", "A 5981-2019")</f>
        <v/>
      </c>
      <c r="Y328">
        <f>HYPERLINK("https://klasma.github.io/Logging_2481/tillsynsmail/A 5981-2019 tillsynsbegäran mail.docx", "A 5981-2019")</f>
        <v/>
      </c>
    </row>
    <row r="329" ht="15" customHeight="1">
      <c r="A329" t="inlineStr">
        <is>
          <t>A 7819-2019</t>
        </is>
      </c>
      <c r="B329" s="1" t="n">
        <v>43500</v>
      </c>
      <c r="C329" s="1" t="n">
        <v>45357</v>
      </c>
      <c r="D329" t="inlineStr">
        <is>
          <t>VÄSTERBOTTENS LÄN</t>
        </is>
      </c>
      <c r="E329" t="inlineStr">
        <is>
          <t>STORUMAN</t>
        </is>
      </c>
      <c r="G329" t="n">
        <v>17.6</v>
      </c>
      <c r="H329" t="n">
        <v>1</v>
      </c>
      <c r="I329" t="n">
        <v>0</v>
      </c>
      <c r="J329" t="n">
        <v>4</v>
      </c>
      <c r="K329" t="n">
        <v>0</v>
      </c>
      <c r="L329" t="n">
        <v>0</v>
      </c>
      <c r="M329" t="n">
        <v>0</v>
      </c>
      <c r="N329" t="n">
        <v>0</v>
      </c>
      <c r="O329" t="n">
        <v>4</v>
      </c>
      <c r="P329" t="n">
        <v>0</v>
      </c>
      <c r="Q329" t="n">
        <v>4</v>
      </c>
      <c r="R329" s="2" t="inlineStr">
        <is>
          <t>Granticka
Harticka
Rödbrun blekspik
Tretåig hackspett</t>
        </is>
      </c>
      <c r="S329">
        <f>HYPERLINK("https://klasma.github.io/Logging_2421/artfynd/A 7819-2019 artfynd.xlsx", "A 7819-2019")</f>
        <v/>
      </c>
      <c r="T329">
        <f>HYPERLINK("https://klasma.github.io/Logging_2421/kartor/A 7819-2019 karta.png", "A 7819-2019")</f>
        <v/>
      </c>
      <c r="V329">
        <f>HYPERLINK("https://klasma.github.io/Logging_2421/klagomål/A 7819-2019 FSC-klagomål.docx", "A 7819-2019")</f>
        <v/>
      </c>
      <c r="W329">
        <f>HYPERLINK("https://klasma.github.io/Logging_2421/klagomålsmail/A 7819-2019 FSC-klagomål mail.docx", "A 7819-2019")</f>
        <v/>
      </c>
      <c r="X329">
        <f>HYPERLINK("https://klasma.github.io/Logging_2421/tillsyn/A 7819-2019 tillsynsbegäran.docx", "A 7819-2019")</f>
        <v/>
      </c>
      <c r="Y329">
        <f>HYPERLINK("https://klasma.github.io/Logging_2421/tillsynsmail/A 7819-2019 tillsynsbegäran mail.docx", "A 7819-2019")</f>
        <v/>
      </c>
      <c r="Z329">
        <f>HYPERLINK("https://klasma.github.io/Logging_2421/fåglar/A 7819-2019 prioriterade fågelarter.docx", "A 7819-2019")</f>
        <v/>
      </c>
    </row>
    <row r="330" ht="15" customHeight="1">
      <c r="A330" t="inlineStr">
        <is>
          <t>A 32689-2019</t>
        </is>
      </c>
      <c r="B330" s="1" t="n">
        <v>43647</v>
      </c>
      <c r="C330" s="1" t="n">
        <v>45357</v>
      </c>
      <c r="D330" t="inlineStr">
        <is>
          <t>VÄSTERBOTTENS LÄN</t>
        </is>
      </c>
      <c r="E330" t="inlineStr">
        <is>
          <t>SKELLEFTEÅ</t>
        </is>
      </c>
      <c r="G330" t="n">
        <v>46.9</v>
      </c>
      <c r="H330" t="n">
        <v>0</v>
      </c>
      <c r="I330" t="n">
        <v>2</v>
      </c>
      <c r="J330" t="n">
        <v>2</v>
      </c>
      <c r="K330" t="n">
        <v>0</v>
      </c>
      <c r="L330" t="n">
        <v>0</v>
      </c>
      <c r="M330" t="n">
        <v>0</v>
      </c>
      <c r="N330" t="n">
        <v>0</v>
      </c>
      <c r="O330" t="n">
        <v>2</v>
      </c>
      <c r="P330" t="n">
        <v>0</v>
      </c>
      <c r="Q330" t="n">
        <v>4</v>
      </c>
      <c r="R330" s="2" t="inlineStr">
        <is>
          <t>Dvärgbägarlav
Lunglav
Luddlav
Stuplav</t>
        </is>
      </c>
      <c r="S330">
        <f>HYPERLINK("https://klasma.github.io/Logging_2482/artfynd/A 32689-2019 artfynd.xlsx", "A 32689-2019")</f>
        <v/>
      </c>
      <c r="T330">
        <f>HYPERLINK("https://klasma.github.io/Logging_2482/kartor/A 32689-2019 karta.png", "A 32689-2019")</f>
        <v/>
      </c>
      <c r="V330">
        <f>HYPERLINK("https://klasma.github.io/Logging_2482/klagomål/A 32689-2019 FSC-klagomål.docx", "A 32689-2019")</f>
        <v/>
      </c>
      <c r="W330">
        <f>HYPERLINK("https://klasma.github.io/Logging_2482/klagomålsmail/A 32689-2019 FSC-klagomål mail.docx", "A 32689-2019")</f>
        <v/>
      </c>
      <c r="X330">
        <f>HYPERLINK("https://klasma.github.io/Logging_2482/tillsyn/A 32689-2019 tillsynsbegäran.docx", "A 32689-2019")</f>
        <v/>
      </c>
      <c r="Y330">
        <f>HYPERLINK("https://klasma.github.io/Logging_2482/tillsynsmail/A 32689-2019 tillsynsbegäran mail.docx", "A 32689-2019")</f>
        <v/>
      </c>
    </row>
    <row r="331" ht="15" customHeight="1">
      <c r="A331" t="inlineStr">
        <is>
          <t>A 52731-2019</t>
        </is>
      </c>
      <c r="B331" s="1" t="n">
        <v>43739</v>
      </c>
      <c r="C331" s="1" t="n">
        <v>45357</v>
      </c>
      <c r="D331" t="inlineStr">
        <is>
          <t>VÄSTERBOTTENS LÄN</t>
        </is>
      </c>
      <c r="E331" t="inlineStr">
        <is>
          <t>SKELLEFTEÅ</t>
        </is>
      </c>
      <c r="G331" t="n">
        <v>6.5</v>
      </c>
      <c r="H331" t="n">
        <v>0</v>
      </c>
      <c r="I331" t="n">
        <v>0</v>
      </c>
      <c r="J331" t="n">
        <v>4</v>
      </c>
      <c r="K331" t="n">
        <v>0</v>
      </c>
      <c r="L331" t="n">
        <v>0</v>
      </c>
      <c r="M331" t="n">
        <v>0</v>
      </c>
      <c r="N331" t="n">
        <v>0</v>
      </c>
      <c r="O331" t="n">
        <v>4</v>
      </c>
      <c r="P331" t="n">
        <v>0</v>
      </c>
      <c r="Q331" t="n">
        <v>4</v>
      </c>
      <c r="R331" s="2" t="inlineStr">
        <is>
          <t>Granticka
Lunglav
Ullticka
Violettgrå tagellav</t>
        </is>
      </c>
      <c r="S331">
        <f>HYPERLINK("https://klasma.github.io/Logging_2482/artfynd/A 52731-2019 artfynd.xlsx", "A 52731-2019")</f>
        <v/>
      </c>
      <c r="T331">
        <f>HYPERLINK("https://klasma.github.io/Logging_2482/kartor/A 52731-2019 karta.png", "A 52731-2019")</f>
        <v/>
      </c>
      <c r="V331">
        <f>HYPERLINK("https://klasma.github.io/Logging_2482/klagomål/A 52731-2019 FSC-klagomål.docx", "A 52731-2019")</f>
        <v/>
      </c>
      <c r="W331">
        <f>HYPERLINK("https://klasma.github.io/Logging_2482/klagomålsmail/A 52731-2019 FSC-klagomål mail.docx", "A 52731-2019")</f>
        <v/>
      </c>
      <c r="X331">
        <f>HYPERLINK("https://klasma.github.io/Logging_2482/tillsyn/A 52731-2019 tillsynsbegäran.docx", "A 52731-2019")</f>
        <v/>
      </c>
      <c r="Y331">
        <f>HYPERLINK("https://klasma.github.io/Logging_2482/tillsynsmail/A 52731-2019 tillsynsbegäran mail.docx", "A 52731-2019")</f>
        <v/>
      </c>
    </row>
    <row r="332" ht="15" customHeight="1">
      <c r="A332" t="inlineStr">
        <is>
          <t>A 55630-2019</t>
        </is>
      </c>
      <c r="B332" s="1" t="n">
        <v>43755</v>
      </c>
      <c r="C332" s="1" t="n">
        <v>45357</v>
      </c>
      <c r="D332" t="inlineStr">
        <is>
          <t>VÄSTERBOTTENS LÄN</t>
        </is>
      </c>
      <c r="E332" t="inlineStr">
        <is>
          <t>SKELLEFTEÅ</t>
        </is>
      </c>
      <c r="G332" t="n">
        <v>20.2</v>
      </c>
      <c r="H332" t="n">
        <v>0</v>
      </c>
      <c r="I332" t="n">
        <v>0</v>
      </c>
      <c r="J332" t="n">
        <v>4</v>
      </c>
      <c r="K332" t="n">
        <v>0</v>
      </c>
      <c r="L332" t="n">
        <v>0</v>
      </c>
      <c r="M332" t="n">
        <v>0</v>
      </c>
      <c r="N332" t="n">
        <v>0</v>
      </c>
      <c r="O332" t="n">
        <v>4</v>
      </c>
      <c r="P332" t="n">
        <v>0</v>
      </c>
      <c r="Q332" t="n">
        <v>4</v>
      </c>
      <c r="R332" s="2" t="inlineStr">
        <is>
          <t>Gammelgransskål
Garnlav
Granticka
Violettgrå tagellav</t>
        </is>
      </c>
      <c r="S332">
        <f>HYPERLINK("https://klasma.github.io/Logging_2482/artfynd/A 55630-2019 artfynd.xlsx", "A 55630-2019")</f>
        <v/>
      </c>
      <c r="T332">
        <f>HYPERLINK("https://klasma.github.io/Logging_2482/kartor/A 55630-2019 karta.png", "A 55630-2019")</f>
        <v/>
      </c>
      <c r="V332">
        <f>HYPERLINK("https://klasma.github.io/Logging_2482/klagomål/A 55630-2019 FSC-klagomål.docx", "A 55630-2019")</f>
        <v/>
      </c>
      <c r="W332">
        <f>HYPERLINK("https://klasma.github.io/Logging_2482/klagomålsmail/A 55630-2019 FSC-klagomål mail.docx", "A 55630-2019")</f>
        <v/>
      </c>
      <c r="X332">
        <f>HYPERLINK("https://klasma.github.io/Logging_2482/tillsyn/A 55630-2019 tillsynsbegäran.docx", "A 55630-2019")</f>
        <v/>
      </c>
      <c r="Y332">
        <f>HYPERLINK("https://klasma.github.io/Logging_2482/tillsynsmail/A 55630-2019 tillsynsbegäran mail.docx", "A 55630-2019")</f>
        <v/>
      </c>
    </row>
    <row r="333" ht="15" customHeight="1">
      <c r="A333" t="inlineStr">
        <is>
          <t>A 55329-2019</t>
        </is>
      </c>
      <c r="B333" s="1" t="n">
        <v>43756</v>
      </c>
      <c r="C333" s="1" t="n">
        <v>45357</v>
      </c>
      <c r="D333" t="inlineStr">
        <is>
          <t>VÄSTERBOTTENS LÄN</t>
        </is>
      </c>
      <c r="E333" t="inlineStr">
        <is>
          <t>LYCKSELE</t>
        </is>
      </c>
      <c r="F333" t="inlineStr">
        <is>
          <t>Sveaskog</t>
        </is>
      </c>
      <c r="G333" t="n">
        <v>7.4</v>
      </c>
      <c r="H333" t="n">
        <v>2</v>
      </c>
      <c r="I333" t="n">
        <v>0</v>
      </c>
      <c r="J333" t="n">
        <v>3</v>
      </c>
      <c r="K333" t="n">
        <v>0</v>
      </c>
      <c r="L333" t="n">
        <v>0</v>
      </c>
      <c r="M333" t="n">
        <v>0</v>
      </c>
      <c r="N333" t="n">
        <v>0</v>
      </c>
      <c r="O333" t="n">
        <v>3</v>
      </c>
      <c r="P333" t="n">
        <v>0</v>
      </c>
      <c r="Q333" t="n">
        <v>4</v>
      </c>
      <c r="R333" s="2" t="inlineStr">
        <is>
          <t>Granticka
Spillkråka
Ullticka
Lavskrika</t>
        </is>
      </c>
      <c r="S333">
        <f>HYPERLINK("https://klasma.github.io/Logging_2481/artfynd/A 55329-2019 artfynd.xlsx", "A 55329-2019")</f>
        <v/>
      </c>
      <c r="T333">
        <f>HYPERLINK("https://klasma.github.io/Logging_2481/kartor/A 55329-2019 karta.png", "A 55329-2019")</f>
        <v/>
      </c>
      <c r="V333">
        <f>HYPERLINK("https://klasma.github.io/Logging_2481/klagomål/A 55329-2019 FSC-klagomål.docx", "A 55329-2019")</f>
        <v/>
      </c>
      <c r="W333">
        <f>HYPERLINK("https://klasma.github.io/Logging_2481/klagomålsmail/A 55329-2019 FSC-klagomål mail.docx", "A 55329-2019")</f>
        <v/>
      </c>
      <c r="X333">
        <f>HYPERLINK("https://klasma.github.io/Logging_2481/tillsyn/A 55329-2019 tillsynsbegäran.docx", "A 55329-2019")</f>
        <v/>
      </c>
      <c r="Y333">
        <f>HYPERLINK("https://klasma.github.io/Logging_2481/tillsynsmail/A 55329-2019 tillsynsbegäran mail.docx", "A 55329-2019")</f>
        <v/>
      </c>
      <c r="Z333">
        <f>HYPERLINK("https://klasma.github.io/Logging_2481/fåglar/A 55329-2019 prioriterade fågelarter.docx", "A 55329-2019")</f>
        <v/>
      </c>
    </row>
    <row r="334" ht="15" customHeight="1">
      <c r="A334" t="inlineStr">
        <is>
          <t>A 2336-2020</t>
        </is>
      </c>
      <c r="B334" s="1" t="n">
        <v>43846</v>
      </c>
      <c r="C334" s="1" t="n">
        <v>45357</v>
      </c>
      <c r="D334" t="inlineStr">
        <is>
          <t>VÄSTERBOTTENS LÄN</t>
        </is>
      </c>
      <c r="E334" t="inlineStr">
        <is>
          <t>UMEÅ</t>
        </is>
      </c>
      <c r="G334" t="n">
        <v>4.7</v>
      </c>
      <c r="H334" t="n">
        <v>0</v>
      </c>
      <c r="I334" t="n">
        <v>0</v>
      </c>
      <c r="J334" t="n">
        <v>4</v>
      </c>
      <c r="K334" t="n">
        <v>0</v>
      </c>
      <c r="L334" t="n">
        <v>0</v>
      </c>
      <c r="M334" t="n">
        <v>0</v>
      </c>
      <c r="N334" t="n">
        <v>0</v>
      </c>
      <c r="O334" t="n">
        <v>4</v>
      </c>
      <c r="P334" t="n">
        <v>0</v>
      </c>
      <c r="Q334" t="n">
        <v>4</v>
      </c>
      <c r="R334" s="2" t="inlineStr">
        <is>
          <t>Gammelgransskål
Garnlav
Stjärntagging
Vedflikmossa</t>
        </is>
      </c>
      <c r="S334">
        <f>HYPERLINK("https://klasma.github.io/Logging_2480/artfynd/A 2336-2020 artfynd.xlsx", "A 2336-2020")</f>
        <v/>
      </c>
      <c r="T334">
        <f>HYPERLINK("https://klasma.github.io/Logging_2480/kartor/A 2336-2020 karta.png", "A 2336-2020")</f>
        <v/>
      </c>
      <c r="V334">
        <f>HYPERLINK("https://klasma.github.io/Logging_2480/klagomål/A 2336-2020 FSC-klagomål.docx", "A 2336-2020")</f>
        <v/>
      </c>
      <c r="W334">
        <f>HYPERLINK("https://klasma.github.io/Logging_2480/klagomålsmail/A 2336-2020 FSC-klagomål mail.docx", "A 2336-2020")</f>
        <v/>
      </c>
      <c r="X334">
        <f>HYPERLINK("https://klasma.github.io/Logging_2480/tillsyn/A 2336-2020 tillsynsbegäran.docx", "A 2336-2020")</f>
        <v/>
      </c>
      <c r="Y334">
        <f>HYPERLINK("https://klasma.github.io/Logging_2480/tillsynsmail/A 2336-2020 tillsynsbegäran mail.docx", "A 2336-2020")</f>
        <v/>
      </c>
    </row>
    <row r="335" ht="15" customHeight="1">
      <c r="A335" t="inlineStr">
        <is>
          <t>A 8741-2020</t>
        </is>
      </c>
      <c r="B335" s="1" t="n">
        <v>43878</v>
      </c>
      <c r="C335" s="1" t="n">
        <v>45357</v>
      </c>
      <c r="D335" t="inlineStr">
        <is>
          <t>VÄSTERBOTTENS LÄN</t>
        </is>
      </c>
      <c r="E335" t="inlineStr">
        <is>
          <t>VINDELN</t>
        </is>
      </c>
      <c r="G335" t="n">
        <v>2.9</v>
      </c>
      <c r="H335" t="n">
        <v>0</v>
      </c>
      <c r="I335" t="n">
        <v>1</v>
      </c>
      <c r="J335" t="n">
        <v>3</v>
      </c>
      <c r="K335" t="n">
        <v>0</v>
      </c>
      <c r="L335" t="n">
        <v>0</v>
      </c>
      <c r="M335" t="n">
        <v>0</v>
      </c>
      <c r="N335" t="n">
        <v>0</v>
      </c>
      <c r="O335" t="n">
        <v>3</v>
      </c>
      <c r="P335" t="n">
        <v>0</v>
      </c>
      <c r="Q335" t="n">
        <v>4</v>
      </c>
      <c r="R335" s="2" t="inlineStr">
        <is>
          <t>Corticaria interstitialis
Granbarkmögelbagge
Scaphisoma subalpinum
Dorcatoma dresdensis</t>
        </is>
      </c>
      <c r="S335">
        <f>HYPERLINK("https://klasma.github.io/Logging_2404/artfynd/A 8741-2020 artfynd.xlsx", "A 8741-2020")</f>
        <v/>
      </c>
      <c r="T335">
        <f>HYPERLINK("https://klasma.github.io/Logging_2404/kartor/A 8741-2020 karta.png", "A 8741-2020")</f>
        <v/>
      </c>
      <c r="V335">
        <f>HYPERLINK("https://klasma.github.io/Logging_2404/klagomål/A 8741-2020 FSC-klagomål.docx", "A 8741-2020")</f>
        <v/>
      </c>
      <c r="W335">
        <f>HYPERLINK("https://klasma.github.io/Logging_2404/klagomålsmail/A 8741-2020 FSC-klagomål mail.docx", "A 8741-2020")</f>
        <v/>
      </c>
      <c r="X335">
        <f>HYPERLINK("https://klasma.github.io/Logging_2404/tillsyn/A 8741-2020 tillsynsbegäran.docx", "A 8741-2020")</f>
        <v/>
      </c>
      <c r="Y335">
        <f>HYPERLINK("https://klasma.github.io/Logging_2404/tillsynsmail/A 8741-2020 tillsynsbegäran mail.docx", "A 8741-2020")</f>
        <v/>
      </c>
    </row>
    <row r="336" ht="15" customHeight="1">
      <c r="A336" t="inlineStr">
        <is>
          <t>A 9856-2020</t>
        </is>
      </c>
      <c r="B336" s="1" t="n">
        <v>43882</v>
      </c>
      <c r="C336" s="1" t="n">
        <v>45357</v>
      </c>
      <c r="D336" t="inlineStr">
        <is>
          <t>VÄSTERBOTTENS LÄN</t>
        </is>
      </c>
      <c r="E336" t="inlineStr">
        <is>
          <t>NORDMALING</t>
        </is>
      </c>
      <c r="G336" t="n">
        <v>1</v>
      </c>
      <c r="H336" t="n">
        <v>0</v>
      </c>
      <c r="I336" t="n">
        <v>1</v>
      </c>
      <c r="J336" t="n">
        <v>2</v>
      </c>
      <c r="K336" t="n">
        <v>1</v>
      </c>
      <c r="L336" t="n">
        <v>0</v>
      </c>
      <c r="M336" t="n">
        <v>0</v>
      </c>
      <c r="N336" t="n">
        <v>0</v>
      </c>
      <c r="O336" t="n">
        <v>3</v>
      </c>
      <c r="P336" t="n">
        <v>1</v>
      </c>
      <c r="Q336" t="n">
        <v>4</v>
      </c>
      <c r="R336" s="2" t="inlineStr">
        <is>
          <t>Aspfjädermossa
Lunglav
Stiftgelélav
Luddlav</t>
        </is>
      </c>
      <c r="S336">
        <f>HYPERLINK("https://klasma.github.io/Logging_2401/artfynd/A 9856-2020 artfynd.xlsx", "A 9856-2020")</f>
        <v/>
      </c>
      <c r="T336">
        <f>HYPERLINK("https://klasma.github.io/Logging_2401/kartor/A 9856-2020 karta.png", "A 9856-2020")</f>
        <v/>
      </c>
      <c r="V336">
        <f>HYPERLINK("https://klasma.github.io/Logging_2401/klagomål/A 9856-2020 FSC-klagomål.docx", "A 9856-2020")</f>
        <v/>
      </c>
      <c r="W336">
        <f>HYPERLINK("https://klasma.github.io/Logging_2401/klagomålsmail/A 9856-2020 FSC-klagomål mail.docx", "A 9856-2020")</f>
        <v/>
      </c>
      <c r="X336">
        <f>HYPERLINK("https://klasma.github.io/Logging_2401/tillsyn/A 9856-2020 tillsynsbegäran.docx", "A 9856-2020")</f>
        <v/>
      </c>
      <c r="Y336">
        <f>HYPERLINK("https://klasma.github.io/Logging_2401/tillsynsmail/A 9856-2020 tillsynsbegäran mail.docx", "A 9856-2020")</f>
        <v/>
      </c>
    </row>
    <row r="337" ht="15" customHeight="1">
      <c r="A337" t="inlineStr">
        <is>
          <t>A 13048-2020</t>
        </is>
      </c>
      <c r="B337" s="1" t="n">
        <v>43900</v>
      </c>
      <c r="C337" s="1" t="n">
        <v>45357</v>
      </c>
      <c r="D337" t="inlineStr">
        <is>
          <t>VÄSTERBOTTENS LÄN</t>
        </is>
      </c>
      <c r="E337" t="inlineStr">
        <is>
          <t>UMEÅ</t>
        </is>
      </c>
      <c r="F337" t="inlineStr">
        <is>
          <t>Holmen skog AB</t>
        </is>
      </c>
      <c r="G337" t="n">
        <v>2</v>
      </c>
      <c r="H337" t="n">
        <v>2</v>
      </c>
      <c r="I337" t="n">
        <v>0</v>
      </c>
      <c r="J337" t="n">
        <v>4</v>
      </c>
      <c r="K337" t="n">
        <v>0</v>
      </c>
      <c r="L337" t="n">
        <v>0</v>
      </c>
      <c r="M337" t="n">
        <v>0</v>
      </c>
      <c r="N337" t="n">
        <v>0</v>
      </c>
      <c r="O337" t="n">
        <v>4</v>
      </c>
      <c r="P337" t="n">
        <v>0</v>
      </c>
      <c r="Q337" t="n">
        <v>4</v>
      </c>
      <c r="R337" s="2" t="inlineStr">
        <is>
          <t>Drillsnäppa
Granticka
Spillkråka
Veckticka</t>
        </is>
      </c>
      <c r="S337">
        <f>HYPERLINK("https://klasma.github.io/Logging_2480/artfynd/A 13048-2020 artfynd.xlsx", "A 13048-2020")</f>
        <v/>
      </c>
      <c r="T337">
        <f>HYPERLINK("https://klasma.github.io/Logging_2480/kartor/A 13048-2020 karta.png", "A 13048-2020")</f>
        <v/>
      </c>
      <c r="V337">
        <f>HYPERLINK("https://klasma.github.io/Logging_2480/klagomål/A 13048-2020 FSC-klagomål.docx", "A 13048-2020")</f>
        <v/>
      </c>
      <c r="W337">
        <f>HYPERLINK("https://klasma.github.io/Logging_2480/klagomålsmail/A 13048-2020 FSC-klagomål mail.docx", "A 13048-2020")</f>
        <v/>
      </c>
      <c r="X337">
        <f>HYPERLINK("https://klasma.github.io/Logging_2480/tillsyn/A 13048-2020 tillsynsbegäran.docx", "A 13048-2020")</f>
        <v/>
      </c>
      <c r="Y337">
        <f>HYPERLINK("https://klasma.github.io/Logging_2480/tillsynsmail/A 13048-2020 tillsynsbegäran mail.docx", "A 13048-2020")</f>
        <v/>
      </c>
      <c r="Z337">
        <f>HYPERLINK("https://klasma.github.io/Logging_2480/fåglar/A 13048-2020 prioriterade fågelarter.docx", "A 13048-2020")</f>
        <v/>
      </c>
    </row>
    <row r="338" ht="15" customHeight="1">
      <c r="A338" t="inlineStr">
        <is>
          <t>A 26906-2020</t>
        </is>
      </c>
      <c r="B338" s="1" t="n">
        <v>43990</v>
      </c>
      <c r="C338" s="1" t="n">
        <v>45357</v>
      </c>
      <c r="D338" t="inlineStr">
        <is>
          <t>VÄSTERBOTTENS LÄN</t>
        </is>
      </c>
      <c r="E338" t="inlineStr">
        <is>
          <t>SKELLEFTEÅ</t>
        </is>
      </c>
      <c r="F338" t="inlineStr">
        <is>
          <t>Holmen skog AB</t>
        </is>
      </c>
      <c r="G338" t="n">
        <v>5.2</v>
      </c>
      <c r="H338" t="n">
        <v>0</v>
      </c>
      <c r="I338" t="n">
        <v>2</v>
      </c>
      <c r="J338" t="n">
        <v>2</v>
      </c>
      <c r="K338" t="n">
        <v>0</v>
      </c>
      <c r="L338" t="n">
        <v>0</v>
      </c>
      <c r="M338" t="n">
        <v>0</v>
      </c>
      <c r="N338" t="n">
        <v>0</v>
      </c>
      <c r="O338" t="n">
        <v>2</v>
      </c>
      <c r="P338" t="n">
        <v>0</v>
      </c>
      <c r="Q338" t="n">
        <v>4</v>
      </c>
      <c r="R338" s="2" t="inlineStr">
        <is>
          <t>Granticka
Lunglav
Bårdlav
Luddlav</t>
        </is>
      </c>
      <c r="S338">
        <f>HYPERLINK("https://klasma.github.io/Logging_2482/artfynd/A 26906-2020 artfynd.xlsx", "A 26906-2020")</f>
        <v/>
      </c>
      <c r="T338">
        <f>HYPERLINK("https://klasma.github.io/Logging_2482/kartor/A 26906-2020 karta.png", "A 26906-2020")</f>
        <v/>
      </c>
      <c r="V338">
        <f>HYPERLINK("https://klasma.github.io/Logging_2482/klagomål/A 26906-2020 FSC-klagomål.docx", "A 26906-2020")</f>
        <v/>
      </c>
      <c r="W338">
        <f>HYPERLINK("https://klasma.github.io/Logging_2482/klagomålsmail/A 26906-2020 FSC-klagomål mail.docx", "A 26906-2020")</f>
        <v/>
      </c>
      <c r="X338">
        <f>HYPERLINK("https://klasma.github.io/Logging_2482/tillsyn/A 26906-2020 tillsynsbegäran.docx", "A 26906-2020")</f>
        <v/>
      </c>
      <c r="Y338">
        <f>HYPERLINK("https://klasma.github.io/Logging_2482/tillsynsmail/A 26906-2020 tillsynsbegäran mail.docx", "A 26906-2020")</f>
        <v/>
      </c>
    </row>
    <row r="339" ht="15" customHeight="1">
      <c r="A339" t="inlineStr">
        <is>
          <t>A 29234-2020</t>
        </is>
      </c>
      <c r="B339" s="1" t="n">
        <v>44000</v>
      </c>
      <c r="C339" s="1" t="n">
        <v>45357</v>
      </c>
      <c r="D339" t="inlineStr">
        <is>
          <t>VÄSTERBOTTENS LÄN</t>
        </is>
      </c>
      <c r="E339" t="inlineStr">
        <is>
          <t>VILHELMINA</t>
        </is>
      </c>
      <c r="F339" t="inlineStr">
        <is>
          <t>Allmännings- och besparingsskogar</t>
        </is>
      </c>
      <c r="G339" t="n">
        <v>14.1</v>
      </c>
      <c r="H339" t="n">
        <v>0</v>
      </c>
      <c r="I339" t="n">
        <v>1</v>
      </c>
      <c r="J339" t="n">
        <v>3</v>
      </c>
      <c r="K339" t="n">
        <v>0</v>
      </c>
      <c r="L339" t="n">
        <v>0</v>
      </c>
      <c r="M339" t="n">
        <v>0</v>
      </c>
      <c r="N339" t="n">
        <v>0</v>
      </c>
      <c r="O339" t="n">
        <v>3</v>
      </c>
      <c r="P339" t="n">
        <v>0</v>
      </c>
      <c r="Q339" t="n">
        <v>4</v>
      </c>
      <c r="R339" s="2" t="inlineStr">
        <is>
          <t>Garnlav
Granticka
Gränsticka
Stuplav</t>
        </is>
      </c>
      <c r="S339">
        <f>HYPERLINK("https://klasma.github.io/Logging_2462/artfynd/A 29234-2020 artfynd.xlsx", "A 29234-2020")</f>
        <v/>
      </c>
      <c r="T339">
        <f>HYPERLINK("https://klasma.github.io/Logging_2462/kartor/A 29234-2020 karta.png", "A 29234-2020")</f>
        <v/>
      </c>
      <c r="V339">
        <f>HYPERLINK("https://klasma.github.io/Logging_2462/klagomål/A 29234-2020 FSC-klagomål.docx", "A 29234-2020")</f>
        <v/>
      </c>
      <c r="W339">
        <f>HYPERLINK("https://klasma.github.io/Logging_2462/klagomålsmail/A 29234-2020 FSC-klagomål mail.docx", "A 29234-2020")</f>
        <v/>
      </c>
      <c r="X339">
        <f>HYPERLINK("https://klasma.github.io/Logging_2462/tillsyn/A 29234-2020 tillsynsbegäran.docx", "A 29234-2020")</f>
        <v/>
      </c>
      <c r="Y339">
        <f>HYPERLINK("https://klasma.github.io/Logging_2462/tillsynsmail/A 29234-2020 tillsynsbegäran mail.docx", "A 29234-2020")</f>
        <v/>
      </c>
    </row>
    <row r="340" ht="15" customHeight="1">
      <c r="A340" t="inlineStr">
        <is>
          <t>A 30604-2020</t>
        </is>
      </c>
      <c r="B340" s="1" t="n">
        <v>44008</v>
      </c>
      <c r="C340" s="1" t="n">
        <v>45357</v>
      </c>
      <c r="D340" t="inlineStr">
        <is>
          <t>VÄSTERBOTTENS LÄN</t>
        </is>
      </c>
      <c r="E340" t="inlineStr">
        <is>
          <t>SKELLEFTEÅ</t>
        </is>
      </c>
      <c r="G340" t="n">
        <v>17.9</v>
      </c>
      <c r="H340" t="n">
        <v>3</v>
      </c>
      <c r="I340" t="n">
        <v>0</v>
      </c>
      <c r="J340" t="n">
        <v>1</v>
      </c>
      <c r="K340" t="n">
        <v>0</v>
      </c>
      <c r="L340" t="n">
        <v>0</v>
      </c>
      <c r="M340" t="n">
        <v>0</v>
      </c>
      <c r="N340" t="n">
        <v>0</v>
      </c>
      <c r="O340" t="n">
        <v>1</v>
      </c>
      <c r="P340" t="n">
        <v>0</v>
      </c>
      <c r="Q340" t="n">
        <v>4</v>
      </c>
      <c r="R340" s="2" t="inlineStr">
        <is>
          <t>Lunglav
Tjäder
Fläcknycklar
Revlummer</t>
        </is>
      </c>
      <c r="S340">
        <f>HYPERLINK("https://klasma.github.io/Logging_2482/artfynd/A 30604-2020 artfynd.xlsx", "A 30604-2020")</f>
        <v/>
      </c>
      <c r="T340">
        <f>HYPERLINK("https://klasma.github.io/Logging_2482/kartor/A 30604-2020 karta.png", "A 30604-2020")</f>
        <v/>
      </c>
      <c r="V340">
        <f>HYPERLINK("https://klasma.github.io/Logging_2482/klagomål/A 30604-2020 FSC-klagomål.docx", "A 30604-2020")</f>
        <v/>
      </c>
      <c r="W340">
        <f>HYPERLINK("https://klasma.github.io/Logging_2482/klagomålsmail/A 30604-2020 FSC-klagomål mail.docx", "A 30604-2020")</f>
        <v/>
      </c>
      <c r="X340">
        <f>HYPERLINK("https://klasma.github.io/Logging_2482/tillsyn/A 30604-2020 tillsynsbegäran.docx", "A 30604-2020")</f>
        <v/>
      </c>
      <c r="Y340">
        <f>HYPERLINK("https://klasma.github.io/Logging_2482/tillsynsmail/A 30604-2020 tillsynsbegäran mail.docx", "A 30604-2020")</f>
        <v/>
      </c>
      <c r="Z340">
        <f>HYPERLINK("https://klasma.github.io/Logging_2482/fåglar/A 30604-2020 prioriterade fågelarter.docx", "A 30604-2020")</f>
        <v/>
      </c>
    </row>
    <row r="341" ht="15" customHeight="1">
      <c r="A341" t="inlineStr">
        <is>
          <t>A 45968-2020</t>
        </is>
      </c>
      <c r="B341" s="1" t="n">
        <v>44091</v>
      </c>
      <c r="C341" s="1" t="n">
        <v>45357</v>
      </c>
      <c r="D341" t="inlineStr">
        <is>
          <t>VÄSTERBOTTENS LÄN</t>
        </is>
      </c>
      <c r="E341" t="inlineStr">
        <is>
          <t>ROBERTSFORS</t>
        </is>
      </c>
      <c r="G341" t="n">
        <v>2.8</v>
      </c>
      <c r="H341" t="n">
        <v>1</v>
      </c>
      <c r="I341" t="n">
        <v>1</v>
      </c>
      <c r="J341" t="n">
        <v>2</v>
      </c>
      <c r="K341" t="n">
        <v>1</v>
      </c>
      <c r="L341" t="n">
        <v>0</v>
      </c>
      <c r="M341" t="n">
        <v>0</v>
      </c>
      <c r="N341" t="n">
        <v>0</v>
      </c>
      <c r="O341" t="n">
        <v>3</v>
      </c>
      <c r="P341" t="n">
        <v>1</v>
      </c>
      <c r="Q341" t="n">
        <v>4</v>
      </c>
      <c r="R341" s="2" t="inlineStr">
        <is>
          <t>Knärot
Gränsticka
Lunglav
Vedticka</t>
        </is>
      </c>
      <c r="S341">
        <f>HYPERLINK("https://klasma.github.io/Logging_2409/artfynd/A 45968-2020 artfynd.xlsx", "A 45968-2020")</f>
        <v/>
      </c>
      <c r="T341">
        <f>HYPERLINK("https://klasma.github.io/Logging_2409/kartor/A 45968-2020 karta.png", "A 45968-2020")</f>
        <v/>
      </c>
      <c r="U341">
        <f>HYPERLINK("https://klasma.github.io/Logging_2409/knärot/A 45968-2020 karta knärot.png", "A 45968-2020")</f>
        <v/>
      </c>
      <c r="V341">
        <f>HYPERLINK("https://klasma.github.io/Logging_2409/klagomål/A 45968-2020 FSC-klagomål.docx", "A 45968-2020")</f>
        <v/>
      </c>
      <c r="W341">
        <f>HYPERLINK("https://klasma.github.io/Logging_2409/klagomålsmail/A 45968-2020 FSC-klagomål mail.docx", "A 45968-2020")</f>
        <v/>
      </c>
      <c r="X341">
        <f>HYPERLINK("https://klasma.github.io/Logging_2409/tillsyn/A 45968-2020 tillsynsbegäran.docx", "A 45968-2020")</f>
        <v/>
      </c>
      <c r="Y341">
        <f>HYPERLINK("https://klasma.github.io/Logging_2409/tillsynsmail/A 45968-2020 tillsynsbegäran mail.docx", "A 45968-2020")</f>
        <v/>
      </c>
    </row>
    <row r="342" ht="15" customHeight="1">
      <c r="A342" t="inlineStr">
        <is>
          <t>A 55812-2020</t>
        </is>
      </c>
      <c r="B342" s="1" t="n">
        <v>44132</v>
      </c>
      <c r="C342" s="1" t="n">
        <v>45357</v>
      </c>
      <c r="D342" t="inlineStr">
        <is>
          <t>VÄSTERBOTTENS LÄN</t>
        </is>
      </c>
      <c r="E342" t="inlineStr">
        <is>
          <t>SKELLEFTEÅ</t>
        </is>
      </c>
      <c r="F342" t="inlineStr">
        <is>
          <t>Sveaskog</t>
        </is>
      </c>
      <c r="G342" t="n">
        <v>10.3</v>
      </c>
      <c r="H342" t="n">
        <v>0</v>
      </c>
      <c r="I342" t="n">
        <v>0</v>
      </c>
      <c r="J342" t="n">
        <v>4</v>
      </c>
      <c r="K342" t="n">
        <v>0</v>
      </c>
      <c r="L342" t="n">
        <v>0</v>
      </c>
      <c r="M342" t="n">
        <v>0</v>
      </c>
      <c r="N342" t="n">
        <v>0</v>
      </c>
      <c r="O342" t="n">
        <v>4</v>
      </c>
      <c r="P342" t="n">
        <v>0</v>
      </c>
      <c r="Q342" t="n">
        <v>4</v>
      </c>
      <c r="R342" s="2" t="inlineStr">
        <is>
          <t>Doftskinn
Garnlav
Granticka
Ullticka</t>
        </is>
      </c>
      <c r="S342">
        <f>HYPERLINK("https://klasma.github.io/Logging_2482/artfynd/A 55812-2020 artfynd.xlsx", "A 55812-2020")</f>
        <v/>
      </c>
      <c r="T342">
        <f>HYPERLINK("https://klasma.github.io/Logging_2482/kartor/A 55812-2020 karta.png", "A 55812-2020")</f>
        <v/>
      </c>
      <c r="V342">
        <f>HYPERLINK("https://klasma.github.io/Logging_2482/klagomål/A 55812-2020 FSC-klagomål.docx", "A 55812-2020")</f>
        <v/>
      </c>
      <c r="W342">
        <f>HYPERLINK("https://klasma.github.io/Logging_2482/klagomålsmail/A 55812-2020 FSC-klagomål mail.docx", "A 55812-2020")</f>
        <v/>
      </c>
      <c r="X342">
        <f>HYPERLINK("https://klasma.github.io/Logging_2482/tillsyn/A 55812-2020 tillsynsbegäran.docx", "A 55812-2020")</f>
        <v/>
      </c>
      <c r="Y342">
        <f>HYPERLINK("https://klasma.github.io/Logging_2482/tillsynsmail/A 55812-2020 tillsynsbegäran mail.docx", "A 55812-2020")</f>
        <v/>
      </c>
    </row>
    <row r="343" ht="15" customHeight="1">
      <c r="A343" t="inlineStr">
        <is>
          <t>A 55889-2020</t>
        </is>
      </c>
      <c r="B343" s="1" t="n">
        <v>44132</v>
      </c>
      <c r="C343" s="1" t="n">
        <v>45357</v>
      </c>
      <c r="D343" t="inlineStr">
        <is>
          <t>VÄSTERBOTTENS LÄN</t>
        </is>
      </c>
      <c r="E343" t="inlineStr">
        <is>
          <t>LYCKSELE</t>
        </is>
      </c>
      <c r="F343" t="inlineStr">
        <is>
          <t>Holmen skog AB</t>
        </is>
      </c>
      <c r="G343" t="n">
        <v>11.3</v>
      </c>
      <c r="H343" t="n">
        <v>1</v>
      </c>
      <c r="I343" t="n">
        <v>0</v>
      </c>
      <c r="J343" t="n">
        <v>4</v>
      </c>
      <c r="K343" t="n">
        <v>0</v>
      </c>
      <c r="L343" t="n">
        <v>0</v>
      </c>
      <c r="M343" t="n">
        <v>0</v>
      </c>
      <c r="N343" t="n">
        <v>0</v>
      </c>
      <c r="O343" t="n">
        <v>4</v>
      </c>
      <c r="P343" t="n">
        <v>0</v>
      </c>
      <c r="Q343" t="n">
        <v>4</v>
      </c>
      <c r="R343" s="2" t="inlineStr">
        <is>
          <t>Garnlav
Granticka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56894-2020</t>
        </is>
      </c>
      <c r="B344" s="1" t="n">
        <v>44137</v>
      </c>
      <c r="C344" s="1" t="n">
        <v>45357</v>
      </c>
      <c r="D344" t="inlineStr">
        <is>
          <t>VÄSTERBOTTENS LÄN</t>
        </is>
      </c>
      <c r="E344" t="inlineStr">
        <is>
          <t>VINDELN</t>
        </is>
      </c>
      <c r="G344" t="n">
        <v>11.1</v>
      </c>
      <c r="H344" t="n">
        <v>1</v>
      </c>
      <c r="I344" t="n">
        <v>0</v>
      </c>
      <c r="J344" t="n">
        <v>4</v>
      </c>
      <c r="K344" t="n">
        <v>0</v>
      </c>
      <c r="L344" t="n">
        <v>0</v>
      </c>
      <c r="M344" t="n">
        <v>0</v>
      </c>
      <c r="N344" t="n">
        <v>0</v>
      </c>
      <c r="O344" t="n">
        <v>4</v>
      </c>
      <c r="P344" t="n">
        <v>0</v>
      </c>
      <c r="Q344" t="n">
        <v>4</v>
      </c>
      <c r="R344" s="2" t="inlineStr">
        <is>
          <t>Granticka
Spillkråka
Ullticka
Violettgrå tagellav</t>
        </is>
      </c>
      <c r="S344">
        <f>HYPERLINK("https://klasma.github.io/Logging_2404/artfynd/A 56894-2020 artfynd.xlsx", "A 56894-2020")</f>
        <v/>
      </c>
      <c r="T344">
        <f>HYPERLINK("https://klasma.github.io/Logging_2404/kartor/A 56894-2020 karta.png", "A 56894-2020")</f>
        <v/>
      </c>
      <c r="V344">
        <f>HYPERLINK("https://klasma.github.io/Logging_2404/klagomål/A 56894-2020 FSC-klagomål.docx", "A 56894-2020")</f>
        <v/>
      </c>
      <c r="W344">
        <f>HYPERLINK("https://klasma.github.io/Logging_2404/klagomålsmail/A 56894-2020 FSC-klagomål mail.docx", "A 56894-2020")</f>
        <v/>
      </c>
      <c r="X344">
        <f>HYPERLINK("https://klasma.github.io/Logging_2404/tillsyn/A 56894-2020 tillsynsbegäran.docx", "A 56894-2020")</f>
        <v/>
      </c>
      <c r="Y344">
        <f>HYPERLINK("https://klasma.github.io/Logging_2404/tillsynsmail/A 56894-2020 tillsynsbegäran mail.docx", "A 56894-2020")</f>
        <v/>
      </c>
      <c r="Z344">
        <f>HYPERLINK("https://klasma.github.io/Logging_2404/fåglar/A 56894-2020 prioriterade fågelarter.docx", "A 56894-2020")</f>
        <v/>
      </c>
    </row>
    <row r="345" ht="15" customHeight="1">
      <c r="A345" t="inlineStr">
        <is>
          <t>A 68169-2020</t>
        </is>
      </c>
      <c r="B345" s="1" t="n">
        <v>44183</v>
      </c>
      <c r="C345" s="1" t="n">
        <v>45357</v>
      </c>
      <c r="D345" t="inlineStr">
        <is>
          <t>VÄSTERBOTTENS LÄN</t>
        </is>
      </c>
      <c r="E345" t="inlineStr">
        <is>
          <t>SKELLEFTEÅ</t>
        </is>
      </c>
      <c r="F345" t="inlineStr">
        <is>
          <t>Sveaskog</t>
        </is>
      </c>
      <c r="G345" t="n">
        <v>7.6</v>
      </c>
      <c r="H345" t="n">
        <v>2</v>
      </c>
      <c r="I345" t="n">
        <v>1</v>
      </c>
      <c r="J345" t="n">
        <v>2</v>
      </c>
      <c r="K345" t="n">
        <v>0</v>
      </c>
      <c r="L345" t="n">
        <v>0</v>
      </c>
      <c r="M345" t="n">
        <v>0</v>
      </c>
      <c r="N345" t="n">
        <v>0</v>
      </c>
      <c r="O345" t="n">
        <v>2</v>
      </c>
      <c r="P345" t="n">
        <v>0</v>
      </c>
      <c r="Q345" t="n">
        <v>4</v>
      </c>
      <c r="R345" s="2" t="inlineStr">
        <is>
          <t>Garnlav
Spillkråka
Vedticka
Fläcknycklar</t>
        </is>
      </c>
      <c r="S345">
        <f>HYPERLINK("https://klasma.github.io/Logging_2482/artfynd/A 68169-2020 artfynd.xlsx", "A 68169-2020")</f>
        <v/>
      </c>
      <c r="T345">
        <f>HYPERLINK("https://klasma.github.io/Logging_2482/kartor/A 68169-2020 karta.png", "A 68169-2020")</f>
        <v/>
      </c>
      <c r="V345">
        <f>HYPERLINK("https://klasma.github.io/Logging_2482/klagomål/A 68169-2020 FSC-klagomål.docx", "A 68169-2020")</f>
        <v/>
      </c>
      <c r="W345">
        <f>HYPERLINK("https://klasma.github.io/Logging_2482/klagomålsmail/A 68169-2020 FSC-klagomål mail.docx", "A 68169-2020")</f>
        <v/>
      </c>
      <c r="X345">
        <f>HYPERLINK("https://klasma.github.io/Logging_2482/tillsyn/A 68169-2020 tillsynsbegäran.docx", "A 68169-2020")</f>
        <v/>
      </c>
      <c r="Y345">
        <f>HYPERLINK("https://klasma.github.io/Logging_2482/tillsynsmail/A 68169-2020 tillsynsbegäran mail.docx", "A 68169-2020")</f>
        <v/>
      </c>
      <c r="Z345">
        <f>HYPERLINK("https://klasma.github.io/Logging_2482/fåglar/A 68169-2020 prioriterade fågelarter.docx", "A 68169-2020")</f>
        <v/>
      </c>
    </row>
    <row r="346" ht="15" customHeight="1">
      <c r="A346" t="inlineStr">
        <is>
          <t>A 68511-2020</t>
        </is>
      </c>
      <c r="B346" s="1" t="n">
        <v>44186</v>
      </c>
      <c r="C346" s="1" t="n">
        <v>45357</v>
      </c>
      <c r="D346" t="inlineStr">
        <is>
          <t>VÄSTERBOTTENS LÄN</t>
        </is>
      </c>
      <c r="E346" t="inlineStr">
        <is>
          <t>SKELLEFTEÅ</t>
        </is>
      </c>
      <c r="F346" t="inlineStr">
        <is>
          <t>Sveaskog</t>
        </is>
      </c>
      <c r="G346" t="n">
        <v>16.9</v>
      </c>
      <c r="H346" t="n">
        <v>0</v>
      </c>
      <c r="I346" t="n">
        <v>1</v>
      </c>
      <c r="J346" t="n">
        <v>3</v>
      </c>
      <c r="K346" t="n">
        <v>0</v>
      </c>
      <c r="L346" t="n">
        <v>0</v>
      </c>
      <c r="M346" t="n">
        <v>0</v>
      </c>
      <c r="N346" t="n">
        <v>0</v>
      </c>
      <c r="O346" t="n">
        <v>3</v>
      </c>
      <c r="P346" t="n">
        <v>0</v>
      </c>
      <c r="Q346" t="n">
        <v>4</v>
      </c>
      <c r="R346" s="2" t="inlineStr">
        <is>
          <t>Garnlav
Lunglav
Violettgrå tagellav
Stuplav</t>
        </is>
      </c>
      <c r="S346">
        <f>HYPERLINK("https://klasma.github.io/Logging_2482/artfynd/A 68511-2020 artfynd.xlsx", "A 68511-2020")</f>
        <v/>
      </c>
      <c r="T346">
        <f>HYPERLINK("https://klasma.github.io/Logging_2482/kartor/A 68511-2020 karta.png", "A 68511-2020")</f>
        <v/>
      </c>
      <c r="V346">
        <f>HYPERLINK("https://klasma.github.io/Logging_2482/klagomål/A 68511-2020 FSC-klagomål.docx", "A 68511-2020")</f>
        <v/>
      </c>
      <c r="W346">
        <f>HYPERLINK("https://klasma.github.io/Logging_2482/klagomålsmail/A 68511-2020 FSC-klagomål mail.docx", "A 68511-2020")</f>
        <v/>
      </c>
      <c r="X346">
        <f>HYPERLINK("https://klasma.github.io/Logging_2482/tillsyn/A 68511-2020 tillsynsbegäran.docx", "A 68511-2020")</f>
        <v/>
      </c>
      <c r="Y346">
        <f>HYPERLINK("https://klasma.github.io/Logging_2482/tillsynsmail/A 68511-2020 tillsynsbegäran mail.docx", "A 68511-2020")</f>
        <v/>
      </c>
    </row>
    <row r="347" ht="15" customHeight="1">
      <c r="A347" t="inlineStr">
        <is>
          <t>A 900-2021</t>
        </is>
      </c>
      <c r="B347" s="1" t="n">
        <v>44206</v>
      </c>
      <c r="C347" s="1" t="n">
        <v>45357</v>
      </c>
      <c r="D347" t="inlineStr">
        <is>
          <t>VÄSTERBOTTENS LÄN</t>
        </is>
      </c>
      <c r="E347" t="inlineStr">
        <is>
          <t>VILHELMINA</t>
        </is>
      </c>
      <c r="F347" t="inlineStr">
        <is>
          <t>SCA</t>
        </is>
      </c>
      <c r="G347" t="n">
        <v>2.3</v>
      </c>
      <c r="H347" t="n">
        <v>0</v>
      </c>
      <c r="I347" t="n">
        <v>3</v>
      </c>
      <c r="J347" t="n">
        <v>1</v>
      </c>
      <c r="K347" t="n">
        <v>0</v>
      </c>
      <c r="L347" t="n">
        <v>0</v>
      </c>
      <c r="M347" t="n">
        <v>0</v>
      </c>
      <c r="N347" t="n">
        <v>0</v>
      </c>
      <c r="O347" t="n">
        <v>1</v>
      </c>
      <c r="P347" t="n">
        <v>0</v>
      </c>
      <c r="Q347" t="n">
        <v>4</v>
      </c>
      <c r="R347" s="2" t="inlineStr">
        <is>
          <t>Lunglav
Bårdlav
Strutbräken
Stuplav</t>
        </is>
      </c>
      <c r="S347">
        <f>HYPERLINK("https://klasma.github.io/Logging_2462/artfynd/A 900-2021 artfynd.xlsx", "A 900-2021")</f>
        <v/>
      </c>
      <c r="T347">
        <f>HYPERLINK("https://klasma.github.io/Logging_2462/kartor/A 900-2021 karta.png", "A 900-2021")</f>
        <v/>
      </c>
      <c r="V347">
        <f>HYPERLINK("https://klasma.github.io/Logging_2462/klagomål/A 900-2021 FSC-klagomål.docx", "A 900-2021")</f>
        <v/>
      </c>
      <c r="W347">
        <f>HYPERLINK("https://klasma.github.io/Logging_2462/klagomålsmail/A 900-2021 FSC-klagomål mail.docx", "A 900-2021")</f>
        <v/>
      </c>
      <c r="X347">
        <f>HYPERLINK("https://klasma.github.io/Logging_2462/tillsyn/A 900-2021 tillsynsbegäran.docx", "A 900-2021")</f>
        <v/>
      </c>
      <c r="Y347">
        <f>HYPERLINK("https://klasma.github.io/Logging_2462/tillsynsmail/A 900-2021 tillsynsbegäran mail.docx", "A 900-2021")</f>
        <v/>
      </c>
    </row>
    <row r="348" ht="15" customHeight="1">
      <c r="A348" t="inlineStr">
        <is>
          <t>A 2776-2021</t>
        </is>
      </c>
      <c r="B348" s="1" t="n">
        <v>44215</v>
      </c>
      <c r="C348" s="1" t="n">
        <v>45357</v>
      </c>
      <c r="D348" t="inlineStr">
        <is>
          <t>VÄSTERBOTTENS LÄN</t>
        </is>
      </c>
      <c r="E348" t="inlineStr">
        <is>
          <t>SKELLEFTEÅ</t>
        </is>
      </c>
      <c r="F348" t="inlineStr">
        <is>
          <t>Sveaskog</t>
        </is>
      </c>
      <c r="G348" t="n">
        <v>4.4</v>
      </c>
      <c r="H348" t="n">
        <v>0</v>
      </c>
      <c r="I348" t="n">
        <v>1</v>
      </c>
      <c r="J348" t="n">
        <v>3</v>
      </c>
      <c r="K348" t="n">
        <v>0</v>
      </c>
      <c r="L348" t="n">
        <v>0</v>
      </c>
      <c r="M348" t="n">
        <v>0</v>
      </c>
      <c r="N348" t="n">
        <v>0</v>
      </c>
      <c r="O348" t="n">
        <v>3</v>
      </c>
      <c r="P348" t="n">
        <v>0</v>
      </c>
      <c r="Q348" t="n">
        <v>4</v>
      </c>
      <c r="R348" s="2" t="inlineStr">
        <is>
          <t>Garnlav
Granticka
Lunglav
Bårdlav</t>
        </is>
      </c>
      <c r="S348">
        <f>HYPERLINK("https://klasma.github.io/Logging_2482/artfynd/A 2776-2021 artfynd.xlsx", "A 2776-2021")</f>
        <v/>
      </c>
      <c r="T348">
        <f>HYPERLINK("https://klasma.github.io/Logging_2482/kartor/A 2776-2021 karta.png", "A 2776-2021")</f>
        <v/>
      </c>
      <c r="V348">
        <f>HYPERLINK("https://klasma.github.io/Logging_2482/klagomål/A 2776-2021 FSC-klagomål.docx", "A 2776-2021")</f>
        <v/>
      </c>
      <c r="W348">
        <f>HYPERLINK("https://klasma.github.io/Logging_2482/klagomålsmail/A 2776-2021 FSC-klagomål mail.docx", "A 2776-2021")</f>
        <v/>
      </c>
      <c r="X348">
        <f>HYPERLINK("https://klasma.github.io/Logging_2482/tillsyn/A 2776-2021 tillsynsbegäran.docx", "A 2776-2021")</f>
        <v/>
      </c>
      <c r="Y348">
        <f>HYPERLINK("https://klasma.github.io/Logging_2482/tillsynsmail/A 2776-2021 tillsynsbegäran mail.docx", "A 2776-2021")</f>
        <v/>
      </c>
    </row>
    <row r="349" ht="15" customHeight="1">
      <c r="A349" t="inlineStr">
        <is>
          <t>A 7607-2021</t>
        </is>
      </c>
      <c r="B349" s="1" t="n">
        <v>44242</v>
      </c>
      <c r="C349" s="1" t="n">
        <v>45357</v>
      </c>
      <c r="D349" t="inlineStr">
        <is>
          <t>VÄSTERBOTTENS LÄN</t>
        </is>
      </c>
      <c r="E349" t="inlineStr">
        <is>
          <t>SKELLEFTEÅ</t>
        </is>
      </c>
      <c r="G349" t="n">
        <v>2.3</v>
      </c>
      <c r="H349" t="n">
        <v>1</v>
      </c>
      <c r="I349" t="n">
        <v>2</v>
      </c>
      <c r="J349" t="n">
        <v>1</v>
      </c>
      <c r="K349" t="n">
        <v>0</v>
      </c>
      <c r="L349" t="n">
        <v>0</v>
      </c>
      <c r="M349" t="n">
        <v>0</v>
      </c>
      <c r="N349" t="n">
        <v>0</v>
      </c>
      <c r="O349" t="n">
        <v>1</v>
      </c>
      <c r="P349" t="n">
        <v>0</v>
      </c>
      <c r="Q349" t="n">
        <v>4</v>
      </c>
      <c r="R349" s="2" t="inlineStr">
        <is>
          <t>Granticka
Norrlandslav
Stuplav
Revlummer</t>
        </is>
      </c>
      <c r="S349">
        <f>HYPERLINK("https://klasma.github.io/Logging_2482/artfynd/A 7607-2021 artfynd.xlsx", "A 7607-2021")</f>
        <v/>
      </c>
      <c r="T349">
        <f>HYPERLINK("https://klasma.github.io/Logging_2482/kartor/A 7607-2021 karta.png", "A 7607-2021")</f>
        <v/>
      </c>
      <c r="V349">
        <f>HYPERLINK("https://klasma.github.io/Logging_2482/klagomål/A 7607-2021 FSC-klagomål.docx", "A 7607-2021")</f>
        <v/>
      </c>
      <c r="W349">
        <f>HYPERLINK("https://klasma.github.io/Logging_2482/klagomålsmail/A 7607-2021 FSC-klagomål mail.docx", "A 7607-2021")</f>
        <v/>
      </c>
      <c r="X349">
        <f>HYPERLINK("https://klasma.github.io/Logging_2482/tillsyn/A 7607-2021 tillsynsbegäran.docx", "A 7607-2021")</f>
        <v/>
      </c>
      <c r="Y349">
        <f>HYPERLINK("https://klasma.github.io/Logging_2482/tillsynsmail/A 7607-2021 tillsynsbegäran mail.docx", "A 7607-2021")</f>
        <v/>
      </c>
    </row>
    <row r="350" ht="15" customHeight="1">
      <c r="A350" t="inlineStr">
        <is>
          <t>A 16687-2021</t>
        </is>
      </c>
      <c r="B350" s="1" t="n">
        <v>44295</v>
      </c>
      <c r="C350" s="1" t="n">
        <v>45357</v>
      </c>
      <c r="D350" t="inlineStr">
        <is>
          <t>VÄSTERBOTTENS LÄN</t>
        </is>
      </c>
      <c r="E350" t="inlineStr">
        <is>
          <t>SORSELE</t>
        </is>
      </c>
      <c r="F350" t="inlineStr">
        <is>
          <t>Övriga statliga verk och myndigheter</t>
        </is>
      </c>
      <c r="G350" t="n">
        <v>19.7</v>
      </c>
      <c r="H350" t="n">
        <v>0</v>
      </c>
      <c r="I350" t="n">
        <v>0</v>
      </c>
      <c r="J350" t="n">
        <v>4</v>
      </c>
      <c r="K350" t="n">
        <v>0</v>
      </c>
      <c r="L350" t="n">
        <v>0</v>
      </c>
      <c r="M350" t="n">
        <v>0</v>
      </c>
      <c r="N350" t="n">
        <v>0</v>
      </c>
      <c r="O350" t="n">
        <v>4</v>
      </c>
      <c r="P350" t="n">
        <v>0</v>
      </c>
      <c r="Q350" t="n">
        <v>4</v>
      </c>
      <c r="R350" s="2" t="inlineStr">
        <is>
          <t>Brunpudrad nållav
Gammelgransskål
Garnlav
Granticka</t>
        </is>
      </c>
      <c r="S350">
        <f>HYPERLINK("https://klasma.github.io/Logging_2422/artfynd/A 16687-2021 artfynd.xlsx", "A 16687-2021")</f>
        <v/>
      </c>
      <c r="T350">
        <f>HYPERLINK("https://klasma.github.io/Logging_2422/kartor/A 16687-2021 karta.png", "A 16687-2021")</f>
        <v/>
      </c>
      <c r="V350">
        <f>HYPERLINK("https://klasma.github.io/Logging_2422/klagomål/A 16687-2021 FSC-klagomål.docx", "A 16687-2021")</f>
        <v/>
      </c>
      <c r="W350">
        <f>HYPERLINK("https://klasma.github.io/Logging_2422/klagomålsmail/A 16687-2021 FSC-klagomål mail.docx", "A 16687-2021")</f>
        <v/>
      </c>
      <c r="X350">
        <f>HYPERLINK("https://klasma.github.io/Logging_2422/tillsyn/A 16687-2021 tillsynsbegäran.docx", "A 16687-2021")</f>
        <v/>
      </c>
      <c r="Y350">
        <f>HYPERLINK("https://klasma.github.io/Logging_2422/tillsynsmail/A 16687-2021 tillsynsbegäran mail.docx", "A 16687-2021")</f>
        <v/>
      </c>
    </row>
    <row r="351" ht="15" customHeight="1">
      <c r="A351" t="inlineStr">
        <is>
          <t>A 38686-2021</t>
        </is>
      </c>
      <c r="B351" s="1" t="n">
        <v>44407</v>
      </c>
      <c r="C351" s="1" t="n">
        <v>45357</v>
      </c>
      <c r="D351" t="inlineStr">
        <is>
          <t>VÄSTERBOTTENS LÄN</t>
        </is>
      </c>
      <c r="E351" t="inlineStr">
        <is>
          <t>UMEÅ</t>
        </is>
      </c>
      <c r="F351" t="inlineStr">
        <is>
          <t>Kommuner</t>
        </is>
      </c>
      <c r="G351" t="n">
        <v>1.1</v>
      </c>
      <c r="H351" t="n">
        <v>3</v>
      </c>
      <c r="I351" t="n">
        <v>1</v>
      </c>
      <c r="J351" t="n">
        <v>1</v>
      </c>
      <c r="K351" t="n">
        <v>0</v>
      </c>
      <c r="L351" t="n">
        <v>0</v>
      </c>
      <c r="M351" t="n">
        <v>0</v>
      </c>
      <c r="N351" t="n">
        <v>0</v>
      </c>
      <c r="O351" t="n">
        <v>1</v>
      </c>
      <c r="P351" t="n">
        <v>0</v>
      </c>
      <c r="Q351" t="n">
        <v>4</v>
      </c>
      <c r="R351" s="2" t="inlineStr">
        <is>
          <t>Björktrast
Gullgröppa
Skogsödla
Vanlig padda</t>
        </is>
      </c>
      <c r="S351">
        <f>HYPERLINK("https://klasma.github.io/Logging_2480/artfynd/A 38686-2021 artfynd.xlsx", "A 38686-2021")</f>
        <v/>
      </c>
      <c r="T351">
        <f>HYPERLINK("https://klasma.github.io/Logging_2480/kartor/A 38686-2021 karta.png", "A 38686-2021")</f>
        <v/>
      </c>
      <c r="V351">
        <f>HYPERLINK("https://klasma.github.io/Logging_2480/klagomål/A 38686-2021 FSC-klagomål.docx", "A 38686-2021")</f>
        <v/>
      </c>
      <c r="W351">
        <f>HYPERLINK("https://klasma.github.io/Logging_2480/klagomålsmail/A 38686-2021 FSC-klagomål mail.docx", "A 38686-2021")</f>
        <v/>
      </c>
      <c r="X351">
        <f>HYPERLINK("https://klasma.github.io/Logging_2480/tillsyn/A 38686-2021 tillsynsbegäran.docx", "A 38686-2021")</f>
        <v/>
      </c>
      <c r="Y351">
        <f>HYPERLINK("https://klasma.github.io/Logging_2480/tillsynsmail/A 38686-2021 tillsynsbegäran mail.docx", "A 38686-2021")</f>
        <v/>
      </c>
    </row>
    <row r="352" ht="15" customHeight="1">
      <c r="A352" t="inlineStr">
        <is>
          <t>A 38688-2021</t>
        </is>
      </c>
      <c r="B352" s="1" t="n">
        <v>44407</v>
      </c>
      <c r="C352" s="1" t="n">
        <v>45357</v>
      </c>
      <c r="D352" t="inlineStr">
        <is>
          <t>VÄSTERBOTTENS LÄN</t>
        </is>
      </c>
      <c r="E352" t="inlineStr">
        <is>
          <t>UMEÅ</t>
        </is>
      </c>
      <c r="F352" t="inlineStr">
        <is>
          <t>Kommuner</t>
        </is>
      </c>
      <c r="G352" t="n">
        <v>1.6</v>
      </c>
      <c r="H352" t="n">
        <v>1</v>
      </c>
      <c r="I352" t="n">
        <v>2</v>
      </c>
      <c r="J352" t="n">
        <v>1</v>
      </c>
      <c r="K352" t="n">
        <v>0</v>
      </c>
      <c r="L352" t="n">
        <v>0</v>
      </c>
      <c r="M352" t="n">
        <v>0</v>
      </c>
      <c r="N352" t="n">
        <v>0</v>
      </c>
      <c r="O352" t="n">
        <v>1</v>
      </c>
      <c r="P352" t="n">
        <v>0</v>
      </c>
      <c r="Q352" t="n">
        <v>4</v>
      </c>
      <c r="R352" s="2" t="inlineStr">
        <is>
          <t>Älvstarr
Köseven
Strutbräken
Blåsippa</t>
        </is>
      </c>
      <c r="S352">
        <f>HYPERLINK("https://klasma.github.io/Logging_2480/artfynd/A 38688-2021 artfynd.xlsx", "A 38688-2021")</f>
        <v/>
      </c>
      <c r="T352">
        <f>HYPERLINK("https://klasma.github.io/Logging_2480/kartor/A 38688-2021 karta.png", "A 38688-2021")</f>
        <v/>
      </c>
      <c r="V352">
        <f>HYPERLINK("https://klasma.github.io/Logging_2480/klagomål/A 38688-2021 FSC-klagomål.docx", "A 38688-2021")</f>
        <v/>
      </c>
      <c r="W352">
        <f>HYPERLINK("https://klasma.github.io/Logging_2480/klagomålsmail/A 38688-2021 FSC-klagomål mail.docx", "A 38688-2021")</f>
        <v/>
      </c>
      <c r="X352">
        <f>HYPERLINK("https://klasma.github.io/Logging_2480/tillsyn/A 38688-2021 tillsynsbegäran.docx", "A 38688-2021")</f>
        <v/>
      </c>
      <c r="Y352">
        <f>HYPERLINK("https://klasma.github.io/Logging_2480/tillsynsmail/A 38688-2021 tillsynsbegäran mail.docx", "A 38688-2021")</f>
        <v/>
      </c>
    </row>
    <row r="353" ht="15" customHeight="1">
      <c r="A353" t="inlineStr">
        <is>
          <t>A 43740-2021</t>
        </is>
      </c>
      <c r="B353" s="1" t="n">
        <v>44433</v>
      </c>
      <c r="C353" s="1" t="n">
        <v>45357</v>
      </c>
      <c r="D353" t="inlineStr">
        <is>
          <t>VÄSTERBOTTENS LÄN</t>
        </is>
      </c>
      <c r="E353" t="inlineStr">
        <is>
          <t>LYCKSELE</t>
        </is>
      </c>
      <c r="F353" t="inlineStr">
        <is>
          <t>Sveaskog</t>
        </is>
      </c>
      <c r="G353" t="n">
        <v>16.2</v>
      </c>
      <c r="H353" t="n">
        <v>0</v>
      </c>
      <c r="I353" t="n">
        <v>1</v>
      </c>
      <c r="J353" t="n">
        <v>3</v>
      </c>
      <c r="K353" t="n">
        <v>0</v>
      </c>
      <c r="L353" t="n">
        <v>0</v>
      </c>
      <c r="M353" t="n">
        <v>0</v>
      </c>
      <c r="N353" t="n">
        <v>0</v>
      </c>
      <c r="O353" t="n">
        <v>3</v>
      </c>
      <c r="P353" t="n">
        <v>0</v>
      </c>
      <c r="Q353" t="n">
        <v>4</v>
      </c>
      <c r="R353" s="2" t="inlineStr">
        <is>
          <t>Garnlav
Kolflarnlav
Lunglav
Bårdlav</t>
        </is>
      </c>
      <c r="S353">
        <f>HYPERLINK("https://klasma.github.io/Logging_2481/artfynd/A 43740-2021 artfynd.xlsx", "A 43740-2021")</f>
        <v/>
      </c>
      <c r="T353">
        <f>HYPERLINK("https://klasma.github.io/Logging_2481/kartor/A 43740-2021 karta.png", "A 43740-2021")</f>
        <v/>
      </c>
      <c r="V353">
        <f>HYPERLINK("https://klasma.github.io/Logging_2481/klagomål/A 43740-2021 FSC-klagomål.docx", "A 43740-2021")</f>
        <v/>
      </c>
      <c r="W353">
        <f>HYPERLINK("https://klasma.github.io/Logging_2481/klagomålsmail/A 43740-2021 FSC-klagomål mail.docx", "A 43740-2021")</f>
        <v/>
      </c>
      <c r="X353">
        <f>HYPERLINK("https://klasma.github.io/Logging_2481/tillsyn/A 43740-2021 tillsynsbegäran.docx", "A 43740-2021")</f>
        <v/>
      </c>
      <c r="Y353">
        <f>HYPERLINK("https://klasma.github.io/Logging_2481/tillsynsmail/A 43740-2021 tillsynsbegäran mail.docx", "A 43740-2021")</f>
        <v/>
      </c>
    </row>
    <row r="354" ht="15" customHeight="1">
      <c r="A354" t="inlineStr">
        <is>
          <t>A 54138-2021</t>
        </is>
      </c>
      <c r="B354" s="1" t="n">
        <v>44470</v>
      </c>
      <c r="C354" s="1" t="n">
        <v>45357</v>
      </c>
      <c r="D354" t="inlineStr">
        <is>
          <t>VÄSTERBOTTENS LÄN</t>
        </is>
      </c>
      <c r="E354" t="inlineStr">
        <is>
          <t>ÅSELE</t>
        </is>
      </c>
      <c r="F354" t="inlineStr">
        <is>
          <t>Sveaskog</t>
        </is>
      </c>
      <c r="G354" t="n">
        <v>22.1</v>
      </c>
      <c r="H354" t="n">
        <v>0</v>
      </c>
      <c r="I354" t="n">
        <v>1</v>
      </c>
      <c r="J354" t="n">
        <v>3</v>
      </c>
      <c r="K354" t="n">
        <v>0</v>
      </c>
      <c r="L354" t="n">
        <v>0</v>
      </c>
      <c r="M354" t="n">
        <v>0</v>
      </c>
      <c r="N354" t="n">
        <v>0</v>
      </c>
      <c r="O354" t="n">
        <v>3</v>
      </c>
      <c r="P354" t="n">
        <v>0</v>
      </c>
      <c r="Q354" t="n">
        <v>4</v>
      </c>
      <c r="R354" s="2" t="inlineStr">
        <is>
          <t>Lunglav
Motaggsvamp
Tallvägstekel
Skarp dropptaggsvamp</t>
        </is>
      </c>
      <c r="S354">
        <f>HYPERLINK("https://klasma.github.io/Logging_2463/artfynd/A 54138-2021 artfynd.xlsx", "A 54138-2021")</f>
        <v/>
      </c>
      <c r="T354">
        <f>HYPERLINK("https://klasma.github.io/Logging_2463/kartor/A 54138-2021 karta.png", "A 54138-2021")</f>
        <v/>
      </c>
      <c r="V354">
        <f>HYPERLINK("https://klasma.github.io/Logging_2463/klagomål/A 54138-2021 FSC-klagomål.docx", "A 54138-2021")</f>
        <v/>
      </c>
      <c r="W354">
        <f>HYPERLINK("https://klasma.github.io/Logging_2463/klagomålsmail/A 54138-2021 FSC-klagomål mail.docx", "A 54138-2021")</f>
        <v/>
      </c>
      <c r="X354">
        <f>HYPERLINK("https://klasma.github.io/Logging_2463/tillsyn/A 54138-2021 tillsynsbegäran.docx", "A 54138-2021")</f>
        <v/>
      </c>
      <c r="Y354">
        <f>HYPERLINK("https://klasma.github.io/Logging_2463/tillsynsmail/A 54138-2021 tillsynsbegäran mail.docx", "A 54138-2021")</f>
        <v/>
      </c>
    </row>
    <row r="355" ht="15" customHeight="1">
      <c r="A355" t="inlineStr">
        <is>
          <t>A 54434-2021</t>
        </is>
      </c>
      <c r="B355" s="1" t="n">
        <v>44473</v>
      </c>
      <c r="C355" s="1" t="n">
        <v>45357</v>
      </c>
      <c r="D355" t="inlineStr">
        <is>
          <t>VÄSTERBOTTENS LÄN</t>
        </is>
      </c>
      <c r="E355" t="inlineStr">
        <is>
          <t>LYCKSELE</t>
        </is>
      </c>
      <c r="F355" t="inlineStr">
        <is>
          <t>Sveaskog</t>
        </is>
      </c>
      <c r="G355" t="n">
        <v>20.5</v>
      </c>
      <c r="H355" t="n">
        <v>0</v>
      </c>
      <c r="I355" t="n">
        <v>0</v>
      </c>
      <c r="J355" t="n">
        <v>3</v>
      </c>
      <c r="K355" t="n">
        <v>1</v>
      </c>
      <c r="L355" t="n">
        <v>0</v>
      </c>
      <c r="M355" t="n">
        <v>0</v>
      </c>
      <c r="N355" t="n">
        <v>0</v>
      </c>
      <c r="O355" t="n">
        <v>4</v>
      </c>
      <c r="P355" t="n">
        <v>1</v>
      </c>
      <c r="Q355" t="n">
        <v>4</v>
      </c>
      <c r="R355" s="2" t="inlineStr">
        <is>
          <t>Rynkskinn
Doftskinn
Garnlav
Lunglav</t>
        </is>
      </c>
      <c r="S355">
        <f>HYPERLINK("https://klasma.github.io/Logging_2481/artfynd/A 54434-2021 artfynd.xlsx", "A 54434-2021")</f>
        <v/>
      </c>
      <c r="T355">
        <f>HYPERLINK("https://klasma.github.io/Logging_2481/kartor/A 54434-2021 karta.png", "A 54434-2021")</f>
        <v/>
      </c>
      <c r="V355">
        <f>HYPERLINK("https://klasma.github.io/Logging_2481/klagomål/A 54434-2021 FSC-klagomål.docx", "A 54434-2021")</f>
        <v/>
      </c>
      <c r="W355">
        <f>HYPERLINK("https://klasma.github.io/Logging_2481/klagomålsmail/A 54434-2021 FSC-klagomål mail.docx", "A 54434-2021")</f>
        <v/>
      </c>
      <c r="X355">
        <f>HYPERLINK("https://klasma.github.io/Logging_2481/tillsyn/A 54434-2021 tillsynsbegäran.docx", "A 54434-2021")</f>
        <v/>
      </c>
      <c r="Y355">
        <f>HYPERLINK("https://klasma.github.io/Logging_2481/tillsynsmail/A 54434-2021 tillsynsbegäran mail.docx", "A 54434-2021")</f>
        <v/>
      </c>
    </row>
    <row r="356" ht="15" customHeight="1">
      <c r="A356" t="inlineStr">
        <is>
          <t>A 57409-2021</t>
        </is>
      </c>
      <c r="B356" s="1" t="n">
        <v>44483</v>
      </c>
      <c r="C356" s="1" t="n">
        <v>45357</v>
      </c>
      <c r="D356" t="inlineStr">
        <is>
          <t>VÄSTERBOTTENS LÄN</t>
        </is>
      </c>
      <c r="E356" t="inlineStr">
        <is>
          <t>SKELLEFTEÅ</t>
        </is>
      </c>
      <c r="G356" t="n">
        <v>20.3</v>
      </c>
      <c r="H356" t="n">
        <v>0</v>
      </c>
      <c r="I356" t="n">
        <v>1</v>
      </c>
      <c r="J356" t="n">
        <v>3</v>
      </c>
      <c r="K356" t="n">
        <v>0</v>
      </c>
      <c r="L356" t="n">
        <v>0</v>
      </c>
      <c r="M356" t="n">
        <v>0</v>
      </c>
      <c r="N356" t="n">
        <v>0</v>
      </c>
      <c r="O356" t="n">
        <v>3</v>
      </c>
      <c r="P356" t="n">
        <v>0</v>
      </c>
      <c r="Q356" t="n">
        <v>4</v>
      </c>
      <c r="R356" s="2" t="inlineStr">
        <is>
          <t>Gammelgransskål
Garnlav
Ullticka
Vedticka</t>
        </is>
      </c>
      <c r="S356">
        <f>HYPERLINK("https://klasma.github.io/Logging_2482/artfynd/A 57409-2021 artfynd.xlsx", "A 57409-2021")</f>
        <v/>
      </c>
      <c r="T356">
        <f>HYPERLINK("https://klasma.github.io/Logging_2482/kartor/A 57409-2021 karta.png", "A 57409-2021")</f>
        <v/>
      </c>
      <c r="V356">
        <f>HYPERLINK("https://klasma.github.io/Logging_2482/klagomål/A 57409-2021 FSC-klagomål.docx", "A 57409-2021")</f>
        <v/>
      </c>
      <c r="W356">
        <f>HYPERLINK("https://klasma.github.io/Logging_2482/klagomålsmail/A 57409-2021 FSC-klagomål mail.docx", "A 57409-2021")</f>
        <v/>
      </c>
      <c r="X356">
        <f>HYPERLINK("https://klasma.github.io/Logging_2482/tillsyn/A 57409-2021 tillsynsbegäran.docx", "A 57409-2021")</f>
        <v/>
      </c>
      <c r="Y356">
        <f>HYPERLINK("https://klasma.github.io/Logging_2482/tillsynsmail/A 57409-2021 tillsynsbegäran mail.docx", "A 57409-2021")</f>
        <v/>
      </c>
    </row>
    <row r="357" ht="15" customHeight="1">
      <c r="A357" t="inlineStr">
        <is>
          <t>A 58835-2021</t>
        </is>
      </c>
      <c r="B357" s="1" t="n">
        <v>44489</v>
      </c>
      <c r="C357" s="1" t="n">
        <v>45357</v>
      </c>
      <c r="D357" t="inlineStr">
        <is>
          <t>VÄSTERBOTTENS LÄN</t>
        </is>
      </c>
      <c r="E357" t="inlineStr">
        <is>
          <t>SKELLEFTEÅ</t>
        </is>
      </c>
      <c r="G357" t="n">
        <v>10.2</v>
      </c>
      <c r="H357" t="n">
        <v>0</v>
      </c>
      <c r="I357" t="n">
        <v>0</v>
      </c>
      <c r="J357" t="n">
        <v>4</v>
      </c>
      <c r="K357" t="n">
        <v>0</v>
      </c>
      <c r="L357" t="n">
        <v>0</v>
      </c>
      <c r="M357" t="n">
        <v>0</v>
      </c>
      <c r="N357" t="n">
        <v>0</v>
      </c>
      <c r="O357" t="n">
        <v>4</v>
      </c>
      <c r="P357" t="n">
        <v>0</v>
      </c>
      <c r="Q357" t="n">
        <v>4</v>
      </c>
      <c r="R357" s="2" t="inlineStr">
        <is>
          <t>Doftskinn
Gammelgransskål
Stjärntagging
Ullticka</t>
        </is>
      </c>
      <c r="S357">
        <f>HYPERLINK("https://klasma.github.io/Logging_2482/artfynd/A 58835-2021 artfynd.xlsx", "A 58835-2021")</f>
        <v/>
      </c>
      <c r="T357">
        <f>HYPERLINK("https://klasma.github.io/Logging_2482/kartor/A 58835-2021 karta.png", "A 58835-2021")</f>
        <v/>
      </c>
      <c r="V357">
        <f>HYPERLINK("https://klasma.github.io/Logging_2482/klagomål/A 58835-2021 FSC-klagomål.docx", "A 58835-2021")</f>
        <v/>
      </c>
      <c r="W357">
        <f>HYPERLINK("https://klasma.github.io/Logging_2482/klagomålsmail/A 58835-2021 FSC-klagomål mail.docx", "A 58835-2021")</f>
        <v/>
      </c>
      <c r="X357">
        <f>HYPERLINK("https://klasma.github.io/Logging_2482/tillsyn/A 58835-2021 tillsynsbegäran.docx", "A 58835-2021")</f>
        <v/>
      </c>
      <c r="Y357">
        <f>HYPERLINK("https://klasma.github.io/Logging_2482/tillsynsmail/A 58835-2021 tillsynsbegäran mail.docx", "A 58835-2021")</f>
        <v/>
      </c>
    </row>
    <row r="358" ht="15" customHeight="1">
      <c r="A358" t="inlineStr">
        <is>
          <t>A 60124-2021</t>
        </is>
      </c>
      <c r="B358" s="1" t="n">
        <v>44494</v>
      </c>
      <c r="C358" s="1" t="n">
        <v>45357</v>
      </c>
      <c r="D358" t="inlineStr">
        <is>
          <t>VÄSTERBOTTENS LÄN</t>
        </is>
      </c>
      <c r="E358" t="inlineStr">
        <is>
          <t>DOROTEA</t>
        </is>
      </c>
      <c r="G358" t="n">
        <v>22.6</v>
      </c>
      <c r="H358" t="n">
        <v>0</v>
      </c>
      <c r="I358" t="n">
        <v>2</v>
      </c>
      <c r="J358" t="n">
        <v>2</v>
      </c>
      <c r="K358" t="n">
        <v>0</v>
      </c>
      <c r="L358" t="n">
        <v>0</v>
      </c>
      <c r="M358" t="n">
        <v>0</v>
      </c>
      <c r="N358" t="n">
        <v>0</v>
      </c>
      <c r="O358" t="n">
        <v>2</v>
      </c>
      <c r="P358" t="n">
        <v>0</v>
      </c>
      <c r="Q358" t="n">
        <v>4</v>
      </c>
      <c r="R358" s="2" t="inlineStr">
        <is>
          <t>Harticka
Lunglav
Stuplav
Trådticka</t>
        </is>
      </c>
      <c r="S358">
        <f>HYPERLINK("https://klasma.github.io/Logging_2425/artfynd/A 60124-2021 artfynd.xlsx", "A 60124-2021")</f>
        <v/>
      </c>
      <c r="T358">
        <f>HYPERLINK("https://klasma.github.io/Logging_2425/kartor/A 60124-2021 karta.png", "A 60124-2021")</f>
        <v/>
      </c>
      <c r="V358">
        <f>HYPERLINK("https://klasma.github.io/Logging_2425/klagomål/A 60124-2021 FSC-klagomål.docx", "A 60124-2021")</f>
        <v/>
      </c>
      <c r="W358">
        <f>HYPERLINK("https://klasma.github.io/Logging_2425/klagomålsmail/A 60124-2021 FSC-klagomål mail.docx", "A 60124-2021")</f>
        <v/>
      </c>
      <c r="X358">
        <f>HYPERLINK("https://klasma.github.io/Logging_2425/tillsyn/A 60124-2021 tillsynsbegäran.docx", "A 60124-2021")</f>
        <v/>
      </c>
      <c r="Y358">
        <f>HYPERLINK("https://klasma.github.io/Logging_2425/tillsynsmail/A 60124-2021 tillsynsbegäran mail.docx", "A 60124-2021")</f>
        <v/>
      </c>
    </row>
    <row r="359" ht="15" customHeight="1">
      <c r="A359" t="inlineStr">
        <is>
          <t>A 60901-2021</t>
        </is>
      </c>
      <c r="B359" s="1" t="n">
        <v>44497</v>
      </c>
      <c r="C359" s="1" t="n">
        <v>45357</v>
      </c>
      <c r="D359" t="inlineStr">
        <is>
          <t>VÄSTERBOTTENS LÄN</t>
        </is>
      </c>
      <c r="E359" t="inlineStr">
        <is>
          <t>VINDELN</t>
        </is>
      </c>
      <c r="F359" t="inlineStr">
        <is>
          <t>Sveaskog</t>
        </is>
      </c>
      <c r="G359" t="n">
        <v>2.4</v>
      </c>
      <c r="H359" t="n">
        <v>0</v>
      </c>
      <c r="I359" t="n">
        <v>0</v>
      </c>
      <c r="J359" t="n">
        <v>4</v>
      </c>
      <c r="K359" t="n">
        <v>0</v>
      </c>
      <c r="L359" t="n">
        <v>0</v>
      </c>
      <c r="M359" t="n">
        <v>0</v>
      </c>
      <c r="N359" t="n">
        <v>0</v>
      </c>
      <c r="O359" t="n">
        <v>4</v>
      </c>
      <c r="P359" t="n">
        <v>0</v>
      </c>
      <c r="Q359" t="n">
        <v>4</v>
      </c>
      <c r="R359" s="2" t="inlineStr">
        <is>
          <t>Gammelgransskål
Garnlav
Vedskivlav
Violettgrå tagellav</t>
        </is>
      </c>
      <c r="S359">
        <f>HYPERLINK("https://klasma.github.io/Logging_2404/artfynd/A 60901-2021 artfynd.xlsx", "A 60901-2021")</f>
        <v/>
      </c>
      <c r="T359">
        <f>HYPERLINK("https://klasma.github.io/Logging_2404/kartor/A 60901-2021 karta.png", "A 60901-2021")</f>
        <v/>
      </c>
      <c r="V359">
        <f>HYPERLINK("https://klasma.github.io/Logging_2404/klagomål/A 60901-2021 FSC-klagomål.docx", "A 60901-2021")</f>
        <v/>
      </c>
      <c r="W359">
        <f>HYPERLINK("https://klasma.github.io/Logging_2404/klagomålsmail/A 60901-2021 FSC-klagomål mail.docx", "A 60901-2021")</f>
        <v/>
      </c>
      <c r="X359">
        <f>HYPERLINK("https://klasma.github.io/Logging_2404/tillsyn/A 60901-2021 tillsynsbegäran.docx", "A 60901-2021")</f>
        <v/>
      </c>
      <c r="Y359">
        <f>HYPERLINK("https://klasma.github.io/Logging_2404/tillsynsmail/A 60901-2021 tillsynsbegäran mail.docx", "A 60901-2021")</f>
        <v/>
      </c>
    </row>
    <row r="360" ht="15" customHeight="1">
      <c r="A360" t="inlineStr">
        <is>
          <t>A 66443-2021</t>
        </is>
      </c>
      <c r="B360" s="1" t="n">
        <v>44518</v>
      </c>
      <c r="C360" s="1" t="n">
        <v>45357</v>
      </c>
      <c r="D360" t="inlineStr">
        <is>
          <t>VÄSTERBOTTENS LÄN</t>
        </is>
      </c>
      <c r="E360" t="inlineStr">
        <is>
          <t>SORSELE</t>
        </is>
      </c>
      <c r="G360" t="n">
        <v>15.5</v>
      </c>
      <c r="H360" t="n">
        <v>1</v>
      </c>
      <c r="I360" t="n">
        <v>0</v>
      </c>
      <c r="J360" t="n">
        <v>4</v>
      </c>
      <c r="K360" t="n">
        <v>0</v>
      </c>
      <c r="L360" t="n">
        <v>0</v>
      </c>
      <c r="M360" t="n">
        <v>0</v>
      </c>
      <c r="N360" t="n">
        <v>0</v>
      </c>
      <c r="O360" t="n">
        <v>4</v>
      </c>
      <c r="P360" t="n">
        <v>0</v>
      </c>
      <c r="Q360" t="n">
        <v>4</v>
      </c>
      <c r="R360" s="2" t="inlineStr">
        <is>
          <t>Dvärgbägarlav
Granticka
Harticka
Talltita</t>
        </is>
      </c>
      <c r="S360">
        <f>HYPERLINK("https://klasma.github.io/Logging_2422/artfynd/A 66443-2021 artfynd.xlsx", "A 66443-2021")</f>
        <v/>
      </c>
      <c r="T360">
        <f>HYPERLINK("https://klasma.github.io/Logging_2422/kartor/A 66443-2021 karta.png", "A 66443-2021")</f>
        <v/>
      </c>
      <c r="V360">
        <f>HYPERLINK("https://klasma.github.io/Logging_2422/klagomål/A 66443-2021 FSC-klagomål.docx", "A 66443-2021")</f>
        <v/>
      </c>
      <c r="W360">
        <f>HYPERLINK("https://klasma.github.io/Logging_2422/klagomålsmail/A 66443-2021 FSC-klagomål mail.docx", "A 66443-2021")</f>
        <v/>
      </c>
      <c r="X360">
        <f>HYPERLINK("https://klasma.github.io/Logging_2422/tillsyn/A 66443-2021 tillsynsbegäran.docx", "A 66443-2021")</f>
        <v/>
      </c>
      <c r="Y360">
        <f>HYPERLINK("https://klasma.github.io/Logging_2422/tillsynsmail/A 66443-2021 tillsynsbegäran mail.docx", "A 66443-2021")</f>
        <v/>
      </c>
      <c r="Z360">
        <f>HYPERLINK("https://klasma.github.io/Logging_2422/fåglar/A 66443-2021 prioriterade fågelarter.docx", "A 66443-2021")</f>
        <v/>
      </c>
    </row>
    <row r="361" ht="15" customHeight="1">
      <c r="A361" t="inlineStr">
        <is>
          <t>A 3212-2022</t>
        </is>
      </c>
      <c r="B361" s="1" t="n">
        <v>44582</v>
      </c>
      <c r="C361" s="1" t="n">
        <v>45357</v>
      </c>
      <c r="D361" t="inlineStr">
        <is>
          <t>VÄSTERBOTTENS LÄN</t>
        </is>
      </c>
      <c r="E361" t="inlineStr">
        <is>
          <t>SKELLEFTEÅ</t>
        </is>
      </c>
      <c r="G361" t="n">
        <v>1.4</v>
      </c>
      <c r="H361" t="n">
        <v>0</v>
      </c>
      <c r="I361" t="n">
        <v>1</v>
      </c>
      <c r="J361" t="n">
        <v>3</v>
      </c>
      <c r="K361" t="n">
        <v>0</v>
      </c>
      <c r="L361" t="n">
        <v>0</v>
      </c>
      <c r="M361" t="n">
        <v>0</v>
      </c>
      <c r="N361" t="n">
        <v>0</v>
      </c>
      <c r="O361" t="n">
        <v>3</v>
      </c>
      <c r="P361" t="n">
        <v>0</v>
      </c>
      <c r="Q361" t="n">
        <v>4</v>
      </c>
      <c r="R361" s="2" t="inlineStr">
        <is>
          <t>Garnlav
Granticka
Harticka
Vedticka</t>
        </is>
      </c>
      <c r="S361">
        <f>HYPERLINK("https://klasma.github.io/Logging_2482/artfynd/A 3212-2022 artfynd.xlsx", "A 3212-2022")</f>
        <v/>
      </c>
      <c r="T361">
        <f>HYPERLINK("https://klasma.github.io/Logging_2482/kartor/A 3212-2022 karta.png", "A 3212-2022")</f>
        <v/>
      </c>
      <c r="V361">
        <f>HYPERLINK("https://klasma.github.io/Logging_2482/klagomål/A 3212-2022 FSC-klagomål.docx", "A 3212-2022")</f>
        <v/>
      </c>
      <c r="W361">
        <f>HYPERLINK("https://klasma.github.io/Logging_2482/klagomålsmail/A 3212-2022 FSC-klagomål mail.docx", "A 3212-2022")</f>
        <v/>
      </c>
      <c r="X361">
        <f>HYPERLINK("https://klasma.github.io/Logging_2482/tillsyn/A 3212-2022 tillsynsbegäran.docx", "A 3212-2022")</f>
        <v/>
      </c>
      <c r="Y361">
        <f>HYPERLINK("https://klasma.github.io/Logging_2482/tillsynsmail/A 3212-2022 tillsynsbegäran mail.docx", "A 3212-2022")</f>
        <v/>
      </c>
    </row>
    <row r="362" ht="15" customHeight="1">
      <c r="A362" t="inlineStr">
        <is>
          <t>A 4365-2022</t>
        </is>
      </c>
      <c r="B362" s="1" t="n">
        <v>44588</v>
      </c>
      <c r="C362" s="1" t="n">
        <v>45357</v>
      </c>
      <c r="D362" t="inlineStr">
        <is>
          <t>VÄSTERBOTTENS LÄN</t>
        </is>
      </c>
      <c r="E362" t="inlineStr">
        <is>
          <t>BJURHOLM</t>
        </is>
      </c>
      <c r="G362" t="n">
        <v>14</v>
      </c>
      <c r="H362" t="n">
        <v>1</v>
      </c>
      <c r="I362" t="n">
        <v>0</v>
      </c>
      <c r="J362" t="n">
        <v>3</v>
      </c>
      <c r="K362" t="n">
        <v>1</v>
      </c>
      <c r="L362" t="n">
        <v>0</v>
      </c>
      <c r="M362" t="n">
        <v>0</v>
      </c>
      <c r="N362" t="n">
        <v>0</v>
      </c>
      <c r="O362" t="n">
        <v>4</v>
      </c>
      <c r="P362" t="n">
        <v>1</v>
      </c>
      <c r="Q362" t="n">
        <v>4</v>
      </c>
      <c r="R362" s="2" t="inlineStr">
        <is>
          <t>Rynkskinn
Garnlav
Spillkråka
Ullticka</t>
        </is>
      </c>
      <c r="S362">
        <f>HYPERLINK("https://klasma.github.io/Logging_2403/artfynd/A 4365-2022 artfynd.xlsx", "A 4365-2022")</f>
        <v/>
      </c>
      <c r="T362">
        <f>HYPERLINK("https://klasma.github.io/Logging_2403/kartor/A 4365-2022 karta.png", "A 4365-2022")</f>
        <v/>
      </c>
      <c r="V362">
        <f>HYPERLINK("https://klasma.github.io/Logging_2403/klagomål/A 4365-2022 FSC-klagomål.docx", "A 4365-2022")</f>
        <v/>
      </c>
      <c r="W362">
        <f>HYPERLINK("https://klasma.github.io/Logging_2403/klagomålsmail/A 4365-2022 FSC-klagomål mail.docx", "A 4365-2022")</f>
        <v/>
      </c>
      <c r="X362">
        <f>HYPERLINK("https://klasma.github.io/Logging_2403/tillsyn/A 4365-2022 tillsynsbegäran.docx", "A 4365-2022")</f>
        <v/>
      </c>
      <c r="Y362">
        <f>HYPERLINK("https://klasma.github.io/Logging_2403/tillsynsmail/A 4365-2022 tillsynsbegäran mail.docx", "A 4365-2022")</f>
        <v/>
      </c>
      <c r="Z362">
        <f>HYPERLINK("https://klasma.github.io/Logging_2403/fåglar/A 4365-2022 prioriterade fågelarter.docx", "A 4365-2022")</f>
        <v/>
      </c>
    </row>
    <row r="363" ht="15" customHeight="1">
      <c r="A363" t="inlineStr">
        <is>
          <t>A 16206-2022</t>
        </is>
      </c>
      <c r="B363" s="1" t="n">
        <v>44670</v>
      </c>
      <c r="C363" s="1" t="n">
        <v>45357</v>
      </c>
      <c r="D363" t="inlineStr">
        <is>
          <t>VÄSTERBOTTENS LÄN</t>
        </is>
      </c>
      <c r="E363" t="inlineStr">
        <is>
          <t>UMEÅ</t>
        </is>
      </c>
      <c r="F363" t="inlineStr">
        <is>
          <t>Kommuner</t>
        </is>
      </c>
      <c r="G363" t="n">
        <v>4.2</v>
      </c>
      <c r="H363" t="n">
        <v>1</v>
      </c>
      <c r="I363" t="n">
        <v>1</v>
      </c>
      <c r="J363" t="n">
        <v>3</v>
      </c>
      <c r="K363" t="n">
        <v>0</v>
      </c>
      <c r="L363" t="n">
        <v>0</v>
      </c>
      <c r="M363" t="n">
        <v>0</v>
      </c>
      <c r="N363" t="n">
        <v>0</v>
      </c>
      <c r="O363" t="n">
        <v>3</v>
      </c>
      <c r="P363" t="n">
        <v>0</v>
      </c>
      <c r="Q363" t="n">
        <v>4</v>
      </c>
      <c r="R363" s="2" t="inlineStr">
        <is>
          <t>Gammelgransskål
Spillkråka
Ullticka
Vedticka</t>
        </is>
      </c>
      <c r="S363">
        <f>HYPERLINK("https://klasma.github.io/Logging_2480/artfynd/A 16206-2022 artfynd.xlsx", "A 16206-2022")</f>
        <v/>
      </c>
      <c r="T363">
        <f>HYPERLINK("https://klasma.github.io/Logging_2480/kartor/A 16206-2022 karta.png", "A 16206-2022")</f>
        <v/>
      </c>
      <c r="V363">
        <f>HYPERLINK("https://klasma.github.io/Logging_2480/klagomål/A 16206-2022 FSC-klagomål.docx", "A 16206-2022")</f>
        <v/>
      </c>
      <c r="W363">
        <f>HYPERLINK("https://klasma.github.io/Logging_2480/klagomålsmail/A 16206-2022 FSC-klagomål mail.docx", "A 16206-2022")</f>
        <v/>
      </c>
      <c r="X363">
        <f>HYPERLINK("https://klasma.github.io/Logging_2480/tillsyn/A 16206-2022 tillsynsbegäran.docx", "A 16206-2022")</f>
        <v/>
      </c>
      <c r="Y363">
        <f>HYPERLINK("https://klasma.github.io/Logging_2480/tillsynsmail/A 16206-2022 tillsynsbegäran mail.docx", "A 16206-2022")</f>
        <v/>
      </c>
      <c r="Z363">
        <f>HYPERLINK("https://klasma.github.io/Logging_2480/fåglar/A 16206-2022 prioriterade fågelarter.docx", "A 16206-2022")</f>
        <v/>
      </c>
    </row>
    <row r="364" ht="15" customHeight="1">
      <c r="A364" t="inlineStr">
        <is>
          <t>A 30296-2022</t>
        </is>
      </c>
      <c r="B364" s="1" t="n">
        <v>44760</v>
      </c>
      <c r="C364" s="1" t="n">
        <v>45357</v>
      </c>
      <c r="D364" t="inlineStr">
        <is>
          <t>VÄSTERBOTTENS LÄN</t>
        </is>
      </c>
      <c r="E364" t="inlineStr">
        <is>
          <t>LYCKSELE</t>
        </is>
      </c>
      <c r="F364" t="inlineStr">
        <is>
          <t>Sveaskog</t>
        </is>
      </c>
      <c r="G364" t="n">
        <v>12.3</v>
      </c>
      <c r="H364" t="n">
        <v>0</v>
      </c>
      <c r="I364" t="n">
        <v>1</v>
      </c>
      <c r="J364" t="n">
        <v>3</v>
      </c>
      <c r="K364" t="n">
        <v>0</v>
      </c>
      <c r="L364" t="n">
        <v>0</v>
      </c>
      <c r="M364" t="n">
        <v>0</v>
      </c>
      <c r="N364" t="n">
        <v>0</v>
      </c>
      <c r="O364" t="n">
        <v>3</v>
      </c>
      <c r="P364" t="n">
        <v>0</v>
      </c>
      <c r="Q364" t="n">
        <v>4</v>
      </c>
      <c r="R364" s="2" t="inlineStr">
        <is>
          <t>Dvärgbägarlav
Kolflarnlav
Lunglav
Stuplav</t>
        </is>
      </c>
      <c r="S364">
        <f>HYPERLINK("https://klasma.github.io/Logging_2481/artfynd/A 30296-2022 artfynd.xlsx", "A 30296-2022")</f>
        <v/>
      </c>
      <c r="T364">
        <f>HYPERLINK("https://klasma.github.io/Logging_2481/kartor/A 30296-2022 karta.png", "A 30296-2022")</f>
        <v/>
      </c>
      <c r="V364">
        <f>HYPERLINK("https://klasma.github.io/Logging_2481/klagomål/A 30296-2022 FSC-klagomål.docx", "A 30296-2022")</f>
        <v/>
      </c>
      <c r="W364">
        <f>HYPERLINK("https://klasma.github.io/Logging_2481/klagomålsmail/A 30296-2022 FSC-klagomål mail.docx", "A 30296-2022")</f>
        <v/>
      </c>
      <c r="X364">
        <f>HYPERLINK("https://klasma.github.io/Logging_2481/tillsyn/A 30296-2022 tillsynsbegäran.docx", "A 30296-2022")</f>
        <v/>
      </c>
      <c r="Y364">
        <f>HYPERLINK("https://klasma.github.io/Logging_2481/tillsynsmail/A 30296-2022 tillsynsbegäran mail.docx", "A 30296-2022")</f>
        <v/>
      </c>
    </row>
    <row r="365" ht="15" customHeight="1">
      <c r="A365" t="inlineStr">
        <is>
          <t>A 33008-2022</t>
        </is>
      </c>
      <c r="B365" s="1" t="n">
        <v>44785</v>
      </c>
      <c r="C365" s="1" t="n">
        <v>45357</v>
      </c>
      <c r="D365" t="inlineStr">
        <is>
          <t>VÄSTERBOTTENS LÄN</t>
        </is>
      </c>
      <c r="E365" t="inlineStr">
        <is>
          <t>UMEÅ</t>
        </is>
      </c>
      <c r="F365" t="inlineStr">
        <is>
          <t>Kommuner</t>
        </is>
      </c>
      <c r="G365" t="n">
        <v>1.6</v>
      </c>
      <c r="H365" t="n">
        <v>1</v>
      </c>
      <c r="I365" t="n">
        <v>2</v>
      </c>
      <c r="J365" t="n">
        <v>2</v>
      </c>
      <c r="K365" t="n">
        <v>0</v>
      </c>
      <c r="L365" t="n">
        <v>0</v>
      </c>
      <c r="M365" t="n">
        <v>0</v>
      </c>
      <c r="N365" t="n">
        <v>0</v>
      </c>
      <c r="O365" t="n">
        <v>2</v>
      </c>
      <c r="P365" t="n">
        <v>0</v>
      </c>
      <c r="Q365" t="n">
        <v>4</v>
      </c>
      <c r="R365" s="2" t="inlineStr">
        <is>
          <t>Leptoporus mollis
Spillkråka
Trådticka
Vedticka</t>
        </is>
      </c>
      <c r="S365">
        <f>HYPERLINK("https://klasma.github.io/Logging_2480/artfynd/A 33008-2022 artfynd.xlsx", "A 33008-2022")</f>
        <v/>
      </c>
      <c r="T365">
        <f>HYPERLINK("https://klasma.github.io/Logging_2480/kartor/A 33008-2022 karta.png", "A 33008-2022")</f>
        <v/>
      </c>
      <c r="V365">
        <f>HYPERLINK("https://klasma.github.io/Logging_2480/klagomål/A 33008-2022 FSC-klagomål.docx", "A 33008-2022")</f>
        <v/>
      </c>
      <c r="W365">
        <f>HYPERLINK("https://klasma.github.io/Logging_2480/klagomålsmail/A 33008-2022 FSC-klagomål mail.docx", "A 33008-2022")</f>
        <v/>
      </c>
      <c r="X365">
        <f>HYPERLINK("https://klasma.github.io/Logging_2480/tillsyn/A 33008-2022 tillsynsbegäran.docx", "A 33008-2022")</f>
        <v/>
      </c>
      <c r="Y365">
        <f>HYPERLINK("https://klasma.github.io/Logging_2480/tillsynsmail/A 33008-2022 tillsynsbegäran mail.docx", "A 33008-2022")</f>
        <v/>
      </c>
      <c r="Z365">
        <f>HYPERLINK("https://klasma.github.io/Logging_2480/fåglar/A 33008-2022 prioriterade fågelarter.docx", "A 33008-2022")</f>
        <v/>
      </c>
    </row>
    <row r="366" ht="15" customHeight="1">
      <c r="A366" t="inlineStr">
        <is>
          <t>A 33350-2022</t>
        </is>
      </c>
      <c r="B366" s="1" t="n">
        <v>44788</v>
      </c>
      <c r="C366" s="1" t="n">
        <v>45357</v>
      </c>
      <c r="D366" t="inlineStr">
        <is>
          <t>VÄSTERBOTTENS LÄN</t>
        </is>
      </c>
      <c r="E366" t="inlineStr">
        <is>
          <t>STORUMAN</t>
        </is>
      </c>
      <c r="F366" t="inlineStr">
        <is>
          <t>Sveaskog</t>
        </is>
      </c>
      <c r="G366" t="n">
        <v>6.6</v>
      </c>
      <c r="H366" t="n">
        <v>0</v>
      </c>
      <c r="I366" t="n">
        <v>1</v>
      </c>
      <c r="J366" t="n">
        <v>3</v>
      </c>
      <c r="K366" t="n">
        <v>0</v>
      </c>
      <c r="L366" t="n">
        <v>0</v>
      </c>
      <c r="M366" t="n">
        <v>0</v>
      </c>
      <c r="N366" t="n">
        <v>0</v>
      </c>
      <c r="O366" t="n">
        <v>3</v>
      </c>
      <c r="P366" t="n">
        <v>0</v>
      </c>
      <c r="Q366" t="n">
        <v>4</v>
      </c>
      <c r="R366" s="2" t="inlineStr">
        <is>
          <t>Orange taggsvamp
Talltaggsvamp
Vaddporing
Dropptaggsvamp</t>
        </is>
      </c>
      <c r="S366">
        <f>HYPERLINK("https://klasma.github.io/Logging_2421/artfynd/A 33350-2022 artfynd.xlsx", "A 33350-2022")</f>
        <v/>
      </c>
      <c r="T366">
        <f>HYPERLINK("https://klasma.github.io/Logging_2421/kartor/A 33350-2022 karta.png", "A 33350-2022")</f>
        <v/>
      </c>
      <c r="V366">
        <f>HYPERLINK("https://klasma.github.io/Logging_2421/klagomål/A 33350-2022 FSC-klagomål.docx", "A 33350-2022")</f>
        <v/>
      </c>
      <c r="W366">
        <f>HYPERLINK("https://klasma.github.io/Logging_2421/klagomålsmail/A 33350-2022 FSC-klagomål mail.docx", "A 33350-2022")</f>
        <v/>
      </c>
      <c r="X366">
        <f>HYPERLINK("https://klasma.github.io/Logging_2421/tillsyn/A 33350-2022 tillsynsbegäran.docx", "A 33350-2022")</f>
        <v/>
      </c>
      <c r="Y366">
        <f>HYPERLINK("https://klasma.github.io/Logging_2421/tillsynsmail/A 33350-2022 tillsynsbegäran mail.docx", "A 33350-2022")</f>
        <v/>
      </c>
    </row>
    <row r="367" ht="15" customHeight="1">
      <c r="A367" t="inlineStr">
        <is>
          <t>A 45582-2022</t>
        </is>
      </c>
      <c r="B367" s="1" t="n">
        <v>44841</v>
      </c>
      <c r="C367" s="1" t="n">
        <v>45357</v>
      </c>
      <c r="D367" t="inlineStr">
        <is>
          <t>VÄSTERBOTTENS LÄN</t>
        </is>
      </c>
      <c r="E367" t="inlineStr">
        <is>
          <t>SORSELE</t>
        </is>
      </c>
      <c r="G367" t="n">
        <v>87.8</v>
      </c>
      <c r="H367" t="n">
        <v>0</v>
      </c>
      <c r="I367" t="n">
        <v>0</v>
      </c>
      <c r="J367" t="n">
        <v>3</v>
      </c>
      <c r="K367" t="n">
        <v>0</v>
      </c>
      <c r="L367" t="n">
        <v>1</v>
      </c>
      <c r="M367" t="n">
        <v>0</v>
      </c>
      <c r="N367" t="n">
        <v>0</v>
      </c>
      <c r="O367" t="n">
        <v>4</v>
      </c>
      <c r="P367" t="n">
        <v>1</v>
      </c>
      <c r="Q367" t="n">
        <v>4</v>
      </c>
      <c r="R367" s="2" t="inlineStr">
        <is>
          <t>Grangytterlav
Lunglav
Olivbrun gytterlav
Skrovellav</t>
        </is>
      </c>
      <c r="S367">
        <f>HYPERLINK("https://klasma.github.io/Logging_2422/artfynd/A 45582-2022 artfynd.xlsx", "A 45582-2022")</f>
        <v/>
      </c>
      <c r="T367">
        <f>HYPERLINK("https://klasma.github.io/Logging_2422/kartor/A 45582-2022 karta.png", "A 45582-2022")</f>
        <v/>
      </c>
      <c r="V367">
        <f>HYPERLINK("https://klasma.github.io/Logging_2422/klagomål/A 45582-2022 FSC-klagomål.docx", "A 45582-2022")</f>
        <v/>
      </c>
      <c r="W367">
        <f>HYPERLINK("https://klasma.github.io/Logging_2422/klagomålsmail/A 45582-2022 FSC-klagomål mail.docx", "A 45582-2022")</f>
        <v/>
      </c>
      <c r="X367">
        <f>HYPERLINK("https://klasma.github.io/Logging_2422/tillsyn/A 45582-2022 tillsynsbegäran.docx", "A 45582-2022")</f>
        <v/>
      </c>
      <c r="Y367">
        <f>HYPERLINK("https://klasma.github.io/Logging_2422/tillsynsmail/A 45582-2022 tillsynsbegäran mail.docx", "A 45582-2022")</f>
        <v/>
      </c>
    </row>
    <row r="368" ht="15" customHeight="1">
      <c r="A368" t="inlineStr">
        <is>
          <t>A 47682-2022</t>
        </is>
      </c>
      <c r="B368" s="1" t="n">
        <v>44854</v>
      </c>
      <c r="C368" s="1" t="n">
        <v>45357</v>
      </c>
      <c r="D368" t="inlineStr">
        <is>
          <t>VÄSTERBOTTENS LÄN</t>
        </is>
      </c>
      <c r="E368" t="inlineStr">
        <is>
          <t>ÅSELE</t>
        </is>
      </c>
      <c r="F368" t="inlineStr">
        <is>
          <t>Kyrkan</t>
        </is>
      </c>
      <c r="G368" t="n">
        <v>20</v>
      </c>
      <c r="H368" t="n">
        <v>2</v>
      </c>
      <c r="I368" t="n">
        <v>1</v>
      </c>
      <c r="J368" t="n">
        <v>2</v>
      </c>
      <c r="K368" t="n">
        <v>1</v>
      </c>
      <c r="L368" t="n">
        <v>0</v>
      </c>
      <c r="M368" t="n">
        <v>0</v>
      </c>
      <c r="N368" t="n">
        <v>0</v>
      </c>
      <c r="O368" t="n">
        <v>3</v>
      </c>
      <c r="P368" t="n">
        <v>1</v>
      </c>
      <c r="Q368" t="n">
        <v>4</v>
      </c>
      <c r="R368" s="2" t="inlineStr">
        <is>
          <t>Fläckporing
Spillkråka
Tretåig hackspett
Dropptaggsvamp</t>
        </is>
      </c>
      <c r="S368">
        <f>HYPERLINK("https://klasma.github.io/Logging_2463/artfynd/A 47682-2022 artfynd.xlsx", "A 47682-2022")</f>
        <v/>
      </c>
      <c r="T368">
        <f>HYPERLINK("https://klasma.github.io/Logging_2463/kartor/A 47682-2022 karta.png", "A 47682-2022")</f>
        <v/>
      </c>
      <c r="V368">
        <f>HYPERLINK("https://klasma.github.io/Logging_2463/klagomål/A 47682-2022 FSC-klagomål.docx", "A 47682-2022")</f>
        <v/>
      </c>
      <c r="W368">
        <f>HYPERLINK("https://klasma.github.io/Logging_2463/klagomålsmail/A 47682-2022 FSC-klagomål mail.docx", "A 47682-2022")</f>
        <v/>
      </c>
      <c r="X368">
        <f>HYPERLINK("https://klasma.github.io/Logging_2463/tillsyn/A 47682-2022 tillsynsbegäran.docx", "A 47682-2022")</f>
        <v/>
      </c>
      <c r="Y368">
        <f>HYPERLINK("https://klasma.github.io/Logging_2463/tillsynsmail/A 47682-2022 tillsynsbegäran mail.docx", "A 47682-2022")</f>
        <v/>
      </c>
      <c r="Z368">
        <f>HYPERLINK("https://klasma.github.io/Logging_2463/fåglar/A 47682-2022 prioriterade fågelarter.docx", "A 47682-2022")</f>
        <v/>
      </c>
    </row>
    <row r="369" ht="15" customHeight="1">
      <c r="A369" t="inlineStr">
        <is>
          <t>A 49528-2022</t>
        </is>
      </c>
      <c r="B369" s="1" t="n">
        <v>44861</v>
      </c>
      <c r="C369" s="1" t="n">
        <v>45357</v>
      </c>
      <c r="D369" t="inlineStr">
        <is>
          <t>VÄSTERBOTTENS LÄN</t>
        </is>
      </c>
      <c r="E369" t="inlineStr">
        <is>
          <t>ÅSELE</t>
        </is>
      </c>
      <c r="F369" t="inlineStr">
        <is>
          <t>SCA</t>
        </is>
      </c>
      <c r="G369" t="n">
        <v>12.6</v>
      </c>
      <c r="H369" t="n">
        <v>0</v>
      </c>
      <c r="I369" t="n">
        <v>1</v>
      </c>
      <c r="J369" t="n">
        <v>3</v>
      </c>
      <c r="K369" t="n">
        <v>0</v>
      </c>
      <c r="L369" t="n">
        <v>0</v>
      </c>
      <c r="M369" t="n">
        <v>0</v>
      </c>
      <c r="N369" t="n">
        <v>0</v>
      </c>
      <c r="O369" t="n">
        <v>3</v>
      </c>
      <c r="P369" t="n">
        <v>0</v>
      </c>
      <c r="Q369" t="n">
        <v>4</v>
      </c>
      <c r="R369" s="2" t="inlineStr">
        <is>
          <t>Doftskinn
Garnlav
Lunglav
Rävticka</t>
        </is>
      </c>
      <c r="S369">
        <f>HYPERLINK("https://klasma.github.io/Logging_2463/artfynd/A 49528-2022 artfynd.xlsx", "A 49528-2022")</f>
        <v/>
      </c>
      <c r="T369">
        <f>HYPERLINK("https://klasma.github.io/Logging_2463/kartor/A 49528-2022 karta.png", "A 49528-2022")</f>
        <v/>
      </c>
      <c r="V369">
        <f>HYPERLINK("https://klasma.github.io/Logging_2463/klagomål/A 49528-2022 FSC-klagomål.docx", "A 49528-2022")</f>
        <v/>
      </c>
      <c r="W369">
        <f>HYPERLINK("https://klasma.github.io/Logging_2463/klagomålsmail/A 49528-2022 FSC-klagomål mail.docx", "A 49528-2022")</f>
        <v/>
      </c>
      <c r="X369">
        <f>HYPERLINK("https://klasma.github.io/Logging_2463/tillsyn/A 49528-2022 tillsynsbegäran.docx", "A 49528-2022")</f>
        <v/>
      </c>
      <c r="Y369">
        <f>HYPERLINK("https://klasma.github.io/Logging_2463/tillsynsmail/A 49528-2022 tillsynsbegäran mail.docx", "A 49528-2022")</f>
        <v/>
      </c>
    </row>
    <row r="370" ht="15" customHeight="1">
      <c r="A370" t="inlineStr">
        <is>
          <t>A 2937-2023</t>
        </is>
      </c>
      <c r="B370" s="1" t="n">
        <v>44945</v>
      </c>
      <c r="C370" s="1" t="n">
        <v>45357</v>
      </c>
      <c r="D370" t="inlineStr">
        <is>
          <t>VÄSTERBOTTENS LÄN</t>
        </is>
      </c>
      <c r="E370" t="inlineStr">
        <is>
          <t>LYCKSELE</t>
        </is>
      </c>
      <c r="F370" t="inlineStr">
        <is>
          <t>Kyrkan</t>
        </is>
      </c>
      <c r="G370" t="n">
        <v>17.4</v>
      </c>
      <c r="H370" t="n">
        <v>0</v>
      </c>
      <c r="I370" t="n">
        <v>1</v>
      </c>
      <c r="J370" t="n">
        <v>3</v>
      </c>
      <c r="K370" t="n">
        <v>0</v>
      </c>
      <c r="L370" t="n">
        <v>0</v>
      </c>
      <c r="M370" t="n">
        <v>0</v>
      </c>
      <c r="N370" t="n">
        <v>0</v>
      </c>
      <c r="O370" t="n">
        <v>3</v>
      </c>
      <c r="P370" t="n">
        <v>0</v>
      </c>
      <c r="Q370" t="n">
        <v>4</v>
      </c>
      <c r="R370" s="2" t="inlineStr">
        <is>
          <t>Blå taggsvamp
Lunglav
Orange taggsvamp
Dropptaggsvamp</t>
        </is>
      </c>
      <c r="S370">
        <f>HYPERLINK("https://klasma.github.io/Logging_2481/artfynd/A 2937-2023 artfynd.xlsx", "A 2937-2023")</f>
        <v/>
      </c>
      <c r="T370">
        <f>HYPERLINK("https://klasma.github.io/Logging_2481/kartor/A 2937-2023 karta.png", "A 2937-2023")</f>
        <v/>
      </c>
      <c r="V370">
        <f>HYPERLINK("https://klasma.github.io/Logging_2481/klagomål/A 2937-2023 FSC-klagomål.docx", "A 2937-2023")</f>
        <v/>
      </c>
      <c r="W370">
        <f>HYPERLINK("https://klasma.github.io/Logging_2481/klagomålsmail/A 2937-2023 FSC-klagomål mail.docx", "A 2937-2023")</f>
        <v/>
      </c>
      <c r="X370">
        <f>HYPERLINK("https://klasma.github.io/Logging_2481/tillsyn/A 2937-2023 tillsynsbegäran.docx", "A 2937-2023")</f>
        <v/>
      </c>
      <c r="Y370">
        <f>HYPERLINK("https://klasma.github.io/Logging_2481/tillsynsmail/A 2937-2023 tillsynsbegäran mail.docx", "A 2937-2023")</f>
        <v/>
      </c>
    </row>
    <row r="371" ht="15" customHeight="1">
      <c r="A371" t="inlineStr">
        <is>
          <t>A 4828-2023</t>
        </is>
      </c>
      <c r="B371" s="1" t="n">
        <v>44957</v>
      </c>
      <c r="C371" s="1" t="n">
        <v>45357</v>
      </c>
      <c r="D371" t="inlineStr">
        <is>
          <t>VÄSTERBOTTENS LÄN</t>
        </is>
      </c>
      <c r="E371" t="inlineStr">
        <is>
          <t>DOROTEA</t>
        </is>
      </c>
      <c r="G371" t="n">
        <v>8</v>
      </c>
      <c r="H371" t="n">
        <v>1</v>
      </c>
      <c r="I371" t="n">
        <v>1</v>
      </c>
      <c r="J371" t="n">
        <v>3</v>
      </c>
      <c r="K371" t="n">
        <v>0</v>
      </c>
      <c r="L371" t="n">
        <v>0</v>
      </c>
      <c r="M371" t="n">
        <v>0</v>
      </c>
      <c r="N371" t="n">
        <v>0</v>
      </c>
      <c r="O371" t="n">
        <v>3</v>
      </c>
      <c r="P371" t="n">
        <v>0</v>
      </c>
      <c r="Q371" t="n">
        <v>4</v>
      </c>
      <c r="R371" s="2" t="inlineStr">
        <is>
          <t>Garnlav
Granticka
Vitgrynig nållav
Spindelblomster</t>
        </is>
      </c>
      <c r="S371">
        <f>HYPERLINK("https://klasma.github.io/Logging_2425/artfynd/A 4828-2023 artfynd.xlsx", "A 4828-2023")</f>
        <v/>
      </c>
      <c r="T371">
        <f>HYPERLINK("https://klasma.github.io/Logging_2425/kartor/A 4828-2023 karta.png", "A 4828-2023")</f>
        <v/>
      </c>
      <c r="V371">
        <f>HYPERLINK("https://klasma.github.io/Logging_2425/klagomål/A 4828-2023 FSC-klagomål.docx", "A 4828-2023")</f>
        <v/>
      </c>
      <c r="W371">
        <f>HYPERLINK("https://klasma.github.io/Logging_2425/klagomålsmail/A 4828-2023 FSC-klagomål mail.docx", "A 4828-2023")</f>
        <v/>
      </c>
      <c r="X371">
        <f>HYPERLINK("https://klasma.github.io/Logging_2425/tillsyn/A 4828-2023 tillsynsbegäran.docx", "A 4828-2023")</f>
        <v/>
      </c>
      <c r="Y371">
        <f>HYPERLINK("https://klasma.github.io/Logging_2425/tillsynsmail/A 4828-2023 tillsynsbegäran mail.docx", "A 4828-2023")</f>
        <v/>
      </c>
    </row>
    <row r="372" ht="15" customHeight="1">
      <c r="A372" t="inlineStr">
        <is>
          <t>A 5700-2023</t>
        </is>
      </c>
      <c r="B372" s="1" t="n">
        <v>44960</v>
      </c>
      <c r="C372" s="1" t="n">
        <v>45357</v>
      </c>
      <c r="D372" t="inlineStr">
        <is>
          <t>VÄSTERBOTTENS LÄN</t>
        </is>
      </c>
      <c r="E372" t="inlineStr">
        <is>
          <t>ÅSELE</t>
        </is>
      </c>
      <c r="F372" t="inlineStr">
        <is>
          <t>SCA</t>
        </is>
      </c>
      <c r="G372" t="n">
        <v>5.1</v>
      </c>
      <c r="H372" t="n">
        <v>0</v>
      </c>
      <c r="I372" t="n">
        <v>0</v>
      </c>
      <c r="J372" t="n">
        <v>4</v>
      </c>
      <c r="K372" t="n">
        <v>0</v>
      </c>
      <c r="L372" t="n">
        <v>0</v>
      </c>
      <c r="M372" t="n">
        <v>0</v>
      </c>
      <c r="N372" t="n">
        <v>0</v>
      </c>
      <c r="O372" t="n">
        <v>4</v>
      </c>
      <c r="P372" t="n">
        <v>0</v>
      </c>
      <c r="Q372" t="n">
        <v>4</v>
      </c>
      <c r="R372" s="2" t="inlineStr">
        <is>
          <t>Gammelgransskål
Garnlav
Granticka
Lunglav</t>
        </is>
      </c>
      <c r="S372">
        <f>HYPERLINK("https://klasma.github.io/Logging_2463/artfynd/A 5700-2023 artfynd.xlsx", "A 5700-2023")</f>
        <v/>
      </c>
      <c r="T372">
        <f>HYPERLINK("https://klasma.github.io/Logging_2463/kartor/A 5700-2023 karta.png", "A 5700-2023")</f>
        <v/>
      </c>
      <c r="V372">
        <f>HYPERLINK("https://klasma.github.io/Logging_2463/klagomål/A 5700-2023 FSC-klagomål.docx", "A 5700-2023")</f>
        <v/>
      </c>
      <c r="W372">
        <f>HYPERLINK("https://klasma.github.io/Logging_2463/klagomålsmail/A 5700-2023 FSC-klagomål mail.docx", "A 5700-2023")</f>
        <v/>
      </c>
      <c r="X372">
        <f>HYPERLINK("https://klasma.github.io/Logging_2463/tillsyn/A 5700-2023 tillsynsbegäran.docx", "A 5700-2023")</f>
        <v/>
      </c>
      <c r="Y372">
        <f>HYPERLINK("https://klasma.github.io/Logging_2463/tillsynsmail/A 5700-2023 tillsynsbegäran mail.docx", "A 5700-2023")</f>
        <v/>
      </c>
    </row>
    <row r="373" ht="15" customHeight="1">
      <c r="A373" t="inlineStr">
        <is>
          <t>A 10764-2023</t>
        </is>
      </c>
      <c r="B373" s="1" t="n">
        <v>44988</v>
      </c>
      <c r="C373" s="1" t="n">
        <v>45357</v>
      </c>
      <c r="D373" t="inlineStr">
        <is>
          <t>VÄSTERBOTTENS LÄN</t>
        </is>
      </c>
      <c r="E373" t="inlineStr">
        <is>
          <t>NORDMALING</t>
        </is>
      </c>
      <c r="G373" t="n">
        <v>13.3</v>
      </c>
      <c r="H373" t="n">
        <v>0</v>
      </c>
      <c r="I373" t="n">
        <v>0</v>
      </c>
      <c r="J373" t="n">
        <v>4</v>
      </c>
      <c r="K373" t="n">
        <v>0</v>
      </c>
      <c r="L373" t="n">
        <v>0</v>
      </c>
      <c r="M373" t="n">
        <v>0</v>
      </c>
      <c r="N373" t="n">
        <v>0</v>
      </c>
      <c r="O373" t="n">
        <v>4</v>
      </c>
      <c r="P373" t="n">
        <v>0</v>
      </c>
      <c r="Q373" t="n">
        <v>4</v>
      </c>
      <c r="R373" s="2" t="inlineStr">
        <is>
          <t>Kolflarnlav
Mörk kolflarnlav
Reliktbock
Violettgrå tagellav</t>
        </is>
      </c>
      <c r="S373">
        <f>HYPERLINK("https://klasma.github.io/Logging_2401/artfynd/A 10764-2023 artfynd.xlsx", "A 10764-2023")</f>
        <v/>
      </c>
      <c r="T373">
        <f>HYPERLINK("https://klasma.github.io/Logging_2401/kartor/A 10764-2023 karta.png", "A 10764-2023")</f>
        <v/>
      </c>
      <c r="V373">
        <f>HYPERLINK("https://klasma.github.io/Logging_2401/klagomål/A 10764-2023 FSC-klagomål.docx", "A 10764-2023")</f>
        <v/>
      </c>
      <c r="W373">
        <f>HYPERLINK("https://klasma.github.io/Logging_2401/klagomålsmail/A 10764-2023 FSC-klagomål mail.docx", "A 10764-2023")</f>
        <v/>
      </c>
      <c r="X373">
        <f>HYPERLINK("https://klasma.github.io/Logging_2401/tillsyn/A 10764-2023 tillsynsbegäran.docx", "A 10764-2023")</f>
        <v/>
      </c>
      <c r="Y373">
        <f>HYPERLINK("https://klasma.github.io/Logging_2401/tillsynsmail/A 10764-2023 tillsynsbegäran mail.docx", "A 10764-2023")</f>
        <v/>
      </c>
    </row>
    <row r="374" ht="15" customHeight="1">
      <c r="A374" t="inlineStr">
        <is>
          <t>A 18950-2023</t>
        </is>
      </c>
      <c r="B374" s="1" t="n">
        <v>45043</v>
      </c>
      <c r="C374" s="1" t="n">
        <v>45357</v>
      </c>
      <c r="D374" t="inlineStr">
        <is>
          <t>VÄSTERBOTTENS LÄN</t>
        </is>
      </c>
      <c r="E374" t="inlineStr">
        <is>
          <t>BJURHOLM</t>
        </is>
      </c>
      <c r="G374" t="n">
        <v>5.6</v>
      </c>
      <c r="H374" t="n">
        <v>0</v>
      </c>
      <c r="I374" t="n">
        <v>1</v>
      </c>
      <c r="J374" t="n">
        <v>3</v>
      </c>
      <c r="K374" t="n">
        <v>0</v>
      </c>
      <c r="L374" t="n">
        <v>0</v>
      </c>
      <c r="M374" t="n">
        <v>0</v>
      </c>
      <c r="N374" t="n">
        <v>0</v>
      </c>
      <c r="O374" t="n">
        <v>3</v>
      </c>
      <c r="P374" t="n">
        <v>0</v>
      </c>
      <c r="Q374" t="n">
        <v>4</v>
      </c>
      <c r="R374" s="2" t="inlineStr">
        <is>
          <t>Ullticka
Vedskivlav
Violettgrå tagellav
Skuggblåslav</t>
        </is>
      </c>
      <c r="S374">
        <f>HYPERLINK("https://klasma.github.io/Logging_2403/artfynd/A 18950-2023 artfynd.xlsx", "A 18950-2023")</f>
        <v/>
      </c>
      <c r="T374">
        <f>HYPERLINK("https://klasma.github.io/Logging_2403/kartor/A 18950-2023 karta.png", "A 18950-2023")</f>
        <v/>
      </c>
      <c r="V374">
        <f>HYPERLINK("https://klasma.github.io/Logging_2403/klagomål/A 18950-2023 FSC-klagomål.docx", "A 18950-2023")</f>
        <v/>
      </c>
      <c r="W374">
        <f>HYPERLINK("https://klasma.github.io/Logging_2403/klagomålsmail/A 18950-2023 FSC-klagomål mail.docx", "A 18950-2023")</f>
        <v/>
      </c>
      <c r="X374">
        <f>HYPERLINK("https://klasma.github.io/Logging_2403/tillsyn/A 18950-2023 tillsynsbegäran.docx", "A 18950-2023")</f>
        <v/>
      </c>
      <c r="Y374">
        <f>HYPERLINK("https://klasma.github.io/Logging_2403/tillsynsmail/A 18950-2023 tillsynsbegäran mail.docx", "A 18950-2023")</f>
        <v/>
      </c>
    </row>
    <row r="375" ht="15" customHeight="1">
      <c r="A375" t="inlineStr">
        <is>
          <t>A 32211-2023</t>
        </is>
      </c>
      <c r="B375" s="1" t="n">
        <v>45119</v>
      </c>
      <c r="C375" s="1" t="n">
        <v>45357</v>
      </c>
      <c r="D375" t="inlineStr">
        <is>
          <t>VÄSTERBOTTENS LÄN</t>
        </is>
      </c>
      <c r="E375" t="inlineStr">
        <is>
          <t>ROBERTSFORS</t>
        </is>
      </c>
      <c r="F375" t="inlineStr">
        <is>
          <t>SCA</t>
        </is>
      </c>
      <c r="G375" t="n">
        <v>14.4</v>
      </c>
      <c r="H375" t="n">
        <v>1</v>
      </c>
      <c r="I375" t="n">
        <v>0</v>
      </c>
      <c r="J375" t="n">
        <v>3</v>
      </c>
      <c r="K375" t="n">
        <v>1</v>
      </c>
      <c r="L375" t="n">
        <v>0</v>
      </c>
      <c r="M375" t="n">
        <v>0</v>
      </c>
      <c r="N375" t="n">
        <v>0</v>
      </c>
      <c r="O375" t="n">
        <v>4</v>
      </c>
      <c r="P375" t="n">
        <v>1</v>
      </c>
      <c r="Q375" t="n">
        <v>4</v>
      </c>
      <c r="R375" s="2" t="inlineStr">
        <is>
          <t>Gräddporing
Granticka
Tallticka
Talltita</t>
        </is>
      </c>
      <c r="S375">
        <f>HYPERLINK("https://klasma.github.io/Logging_2409/artfynd/A 32211-2023 artfynd.xlsx", "A 32211-2023")</f>
        <v/>
      </c>
      <c r="T375">
        <f>HYPERLINK("https://klasma.github.io/Logging_2409/kartor/A 32211-2023 karta.png", "A 32211-2023")</f>
        <v/>
      </c>
      <c r="V375">
        <f>HYPERLINK("https://klasma.github.io/Logging_2409/klagomål/A 32211-2023 FSC-klagomål.docx", "A 32211-2023")</f>
        <v/>
      </c>
      <c r="W375">
        <f>HYPERLINK("https://klasma.github.io/Logging_2409/klagomålsmail/A 32211-2023 FSC-klagomål mail.docx", "A 32211-2023")</f>
        <v/>
      </c>
      <c r="X375">
        <f>HYPERLINK("https://klasma.github.io/Logging_2409/tillsyn/A 32211-2023 tillsynsbegäran.docx", "A 32211-2023")</f>
        <v/>
      </c>
      <c r="Y375">
        <f>HYPERLINK("https://klasma.github.io/Logging_2409/tillsynsmail/A 32211-2023 tillsynsbegäran mail.docx", "A 32211-2023")</f>
        <v/>
      </c>
      <c r="Z375">
        <f>HYPERLINK("https://klasma.github.io/Logging_2409/fåglar/A 32211-2023 prioriterade fågelarter.docx", "A 32211-2023")</f>
        <v/>
      </c>
    </row>
    <row r="376" ht="15" customHeight="1">
      <c r="A376" t="inlineStr">
        <is>
          <t>A 35626-2023</t>
        </is>
      </c>
      <c r="B376" s="1" t="n">
        <v>45147</v>
      </c>
      <c r="C376" s="1" t="n">
        <v>45357</v>
      </c>
      <c r="D376" t="inlineStr">
        <is>
          <t>VÄSTERBOTTENS LÄN</t>
        </is>
      </c>
      <c r="E376" t="inlineStr">
        <is>
          <t>ROBERTSFORS</t>
        </is>
      </c>
      <c r="F376" t="inlineStr">
        <is>
          <t>Holmen skog AB</t>
        </is>
      </c>
      <c r="G376" t="n">
        <v>3.5</v>
      </c>
      <c r="H376" t="n">
        <v>0</v>
      </c>
      <c r="I376" t="n">
        <v>1</v>
      </c>
      <c r="J376" t="n">
        <v>3</v>
      </c>
      <c r="K376" t="n">
        <v>0</v>
      </c>
      <c r="L376" t="n">
        <v>0</v>
      </c>
      <c r="M376" t="n">
        <v>0</v>
      </c>
      <c r="N376" t="n">
        <v>0</v>
      </c>
      <c r="O376" t="n">
        <v>3</v>
      </c>
      <c r="P376" t="n">
        <v>0</v>
      </c>
      <c r="Q376" t="n">
        <v>4</v>
      </c>
      <c r="R376" s="2" t="inlineStr">
        <is>
          <t>Granticka
Ullticka
Violettgrå tagellav
Vedticka</t>
        </is>
      </c>
      <c r="S376">
        <f>HYPERLINK("https://klasma.github.io/Logging_2409/artfynd/A 35626-2023 artfynd.xlsx", "A 35626-2023")</f>
        <v/>
      </c>
      <c r="T376">
        <f>HYPERLINK("https://klasma.github.io/Logging_2409/kartor/A 35626-2023 karta.png", "A 35626-2023")</f>
        <v/>
      </c>
      <c r="U376">
        <f>HYPERLINK("https://klasma.github.io/Logging_2409/knärot/A 35626-2023 karta knärot.png", "A 35626-2023")</f>
        <v/>
      </c>
      <c r="V376">
        <f>HYPERLINK("https://klasma.github.io/Logging_2409/klagomål/A 35626-2023 FSC-klagomål.docx", "A 35626-2023")</f>
        <v/>
      </c>
      <c r="W376">
        <f>HYPERLINK("https://klasma.github.io/Logging_2409/klagomålsmail/A 35626-2023 FSC-klagomål mail.docx", "A 35626-2023")</f>
        <v/>
      </c>
      <c r="X376">
        <f>HYPERLINK("https://klasma.github.io/Logging_2409/tillsyn/A 35626-2023 tillsynsbegäran.docx", "A 35626-2023")</f>
        <v/>
      </c>
      <c r="Y376">
        <f>HYPERLINK("https://klasma.github.io/Logging_2409/tillsynsmail/A 35626-2023 tillsynsbegäran mail.docx", "A 35626-2023")</f>
        <v/>
      </c>
    </row>
    <row r="377" ht="15" customHeight="1">
      <c r="A377" t="inlineStr">
        <is>
          <t>A 37137-2023</t>
        </is>
      </c>
      <c r="B377" s="1" t="n">
        <v>45155</v>
      </c>
      <c r="C377" s="1" t="n">
        <v>45357</v>
      </c>
      <c r="D377" t="inlineStr">
        <is>
          <t>VÄSTERBOTTENS LÄN</t>
        </is>
      </c>
      <c r="E377" t="inlineStr">
        <is>
          <t>MALÅ</t>
        </is>
      </c>
      <c r="F377" t="inlineStr">
        <is>
          <t>Kyrkan</t>
        </is>
      </c>
      <c r="G377" t="n">
        <v>17.6</v>
      </c>
      <c r="H377" t="n">
        <v>1</v>
      </c>
      <c r="I377" t="n">
        <v>0</v>
      </c>
      <c r="J377" t="n">
        <v>3</v>
      </c>
      <c r="K377" t="n">
        <v>1</v>
      </c>
      <c r="L377" t="n">
        <v>0</v>
      </c>
      <c r="M377" t="n">
        <v>0</v>
      </c>
      <c r="N377" t="n">
        <v>0</v>
      </c>
      <c r="O377" t="n">
        <v>4</v>
      </c>
      <c r="P377" t="n">
        <v>1</v>
      </c>
      <c r="Q377" t="n">
        <v>4</v>
      </c>
      <c r="R377" s="2" t="inlineStr">
        <is>
          <t>Doftticka
Garnlav
Lunglav
Skrovellav</t>
        </is>
      </c>
      <c r="S377">
        <f>HYPERLINK("https://klasma.github.io/Logging_2418/artfynd/A 37137-2023 artfynd.xlsx", "A 37137-2023")</f>
        <v/>
      </c>
      <c r="T377">
        <f>HYPERLINK("https://klasma.github.io/Logging_2418/kartor/A 37137-2023 karta.png", "A 37137-2023")</f>
        <v/>
      </c>
      <c r="V377">
        <f>HYPERLINK("https://klasma.github.io/Logging_2418/klagomål/A 37137-2023 FSC-klagomål.docx", "A 37137-2023")</f>
        <v/>
      </c>
      <c r="W377">
        <f>HYPERLINK("https://klasma.github.io/Logging_2418/klagomålsmail/A 37137-2023 FSC-klagomål mail.docx", "A 37137-2023")</f>
        <v/>
      </c>
      <c r="X377">
        <f>HYPERLINK("https://klasma.github.io/Logging_2418/tillsyn/A 37137-2023 tillsynsbegäran.docx", "A 37137-2023")</f>
        <v/>
      </c>
      <c r="Y377">
        <f>HYPERLINK("https://klasma.github.io/Logging_2418/tillsynsmail/A 37137-2023 tillsynsbegäran mail.docx", "A 37137-2023")</f>
        <v/>
      </c>
    </row>
    <row r="378" ht="15" customHeight="1">
      <c r="A378" t="inlineStr">
        <is>
          <t>A 37477-2023</t>
        </is>
      </c>
      <c r="B378" s="1" t="n">
        <v>45156</v>
      </c>
      <c r="C378" s="1" t="n">
        <v>45357</v>
      </c>
      <c r="D378" t="inlineStr">
        <is>
          <t>VÄSTERBOTTENS LÄN</t>
        </is>
      </c>
      <c r="E378" t="inlineStr">
        <is>
          <t>SKELLEFTEÅ</t>
        </is>
      </c>
      <c r="G378" t="n">
        <v>6.3</v>
      </c>
      <c r="H378" t="n">
        <v>0</v>
      </c>
      <c r="I378" t="n">
        <v>0</v>
      </c>
      <c r="J378" t="n">
        <v>4</v>
      </c>
      <c r="K378" t="n">
        <v>0</v>
      </c>
      <c r="L378" t="n">
        <v>0</v>
      </c>
      <c r="M378" t="n">
        <v>0</v>
      </c>
      <c r="N378" t="n">
        <v>0</v>
      </c>
      <c r="O378" t="n">
        <v>4</v>
      </c>
      <c r="P378" t="n">
        <v>0</v>
      </c>
      <c r="Q378" t="n">
        <v>4</v>
      </c>
      <c r="R378" s="2" t="inlineStr">
        <is>
          <t>Garnlav
Lunglav
Ullticka
Violettgrå tagellav</t>
        </is>
      </c>
      <c r="S378">
        <f>HYPERLINK("https://klasma.github.io/Logging_2482/artfynd/A 37477-2023 artfynd.xlsx", "A 37477-2023")</f>
        <v/>
      </c>
      <c r="T378">
        <f>HYPERLINK("https://klasma.github.io/Logging_2482/kartor/A 37477-2023 karta.png", "A 37477-2023")</f>
        <v/>
      </c>
      <c r="V378">
        <f>HYPERLINK("https://klasma.github.io/Logging_2482/klagomål/A 37477-2023 FSC-klagomål.docx", "A 37477-2023")</f>
        <v/>
      </c>
      <c r="W378">
        <f>HYPERLINK("https://klasma.github.io/Logging_2482/klagomålsmail/A 37477-2023 FSC-klagomål mail.docx", "A 37477-2023")</f>
        <v/>
      </c>
      <c r="X378">
        <f>HYPERLINK("https://klasma.github.io/Logging_2482/tillsyn/A 37477-2023 tillsynsbegäran.docx", "A 37477-2023")</f>
        <v/>
      </c>
      <c r="Y378">
        <f>HYPERLINK("https://klasma.github.io/Logging_2482/tillsynsmail/A 37477-2023 tillsynsbegäran mail.docx", "A 37477-2023")</f>
        <v/>
      </c>
    </row>
    <row r="379" ht="15" customHeight="1">
      <c r="A379" t="inlineStr">
        <is>
          <t>A 40122-2023</t>
        </is>
      </c>
      <c r="B379" s="1" t="n">
        <v>45169</v>
      </c>
      <c r="C379" s="1" t="n">
        <v>45357</v>
      </c>
      <c r="D379" t="inlineStr">
        <is>
          <t>VÄSTERBOTTENS LÄN</t>
        </is>
      </c>
      <c r="E379" t="inlineStr">
        <is>
          <t>ROBERTSFORS</t>
        </is>
      </c>
      <c r="G379" t="n">
        <v>10.8</v>
      </c>
      <c r="H379" t="n">
        <v>0</v>
      </c>
      <c r="I379" t="n">
        <v>1</v>
      </c>
      <c r="J379" t="n">
        <v>2</v>
      </c>
      <c r="K379" t="n">
        <v>1</v>
      </c>
      <c r="L379" t="n">
        <v>0</v>
      </c>
      <c r="M379" t="n">
        <v>0</v>
      </c>
      <c r="N379" t="n">
        <v>0</v>
      </c>
      <c r="O379" t="n">
        <v>3</v>
      </c>
      <c r="P379" t="n">
        <v>1</v>
      </c>
      <c r="Q379" t="n">
        <v>4</v>
      </c>
      <c r="R379" s="2" t="inlineStr">
        <is>
          <t>Goliatmusseron
Gammelgransskål
Orange taggsvamp
Dropptaggsvamp</t>
        </is>
      </c>
      <c r="S379">
        <f>HYPERLINK("https://klasma.github.io/Logging_2409/artfynd/A 40122-2023 artfynd.xlsx", "A 40122-2023")</f>
        <v/>
      </c>
      <c r="T379">
        <f>HYPERLINK("https://klasma.github.io/Logging_2409/kartor/A 40122-2023 karta.png", "A 40122-2023")</f>
        <v/>
      </c>
      <c r="V379">
        <f>HYPERLINK("https://klasma.github.io/Logging_2409/klagomål/A 40122-2023 FSC-klagomål.docx", "A 40122-2023")</f>
        <v/>
      </c>
      <c r="W379">
        <f>HYPERLINK("https://klasma.github.io/Logging_2409/klagomålsmail/A 40122-2023 FSC-klagomål mail.docx", "A 40122-2023")</f>
        <v/>
      </c>
      <c r="X379">
        <f>HYPERLINK("https://klasma.github.io/Logging_2409/tillsyn/A 40122-2023 tillsynsbegäran.docx", "A 40122-2023")</f>
        <v/>
      </c>
      <c r="Y379">
        <f>HYPERLINK("https://klasma.github.io/Logging_2409/tillsynsmail/A 40122-2023 tillsynsbegäran mail.docx", "A 40122-2023")</f>
        <v/>
      </c>
    </row>
    <row r="380" ht="15" customHeight="1">
      <c r="A380" t="inlineStr">
        <is>
          <t>A 46092-2023</t>
        </is>
      </c>
      <c r="B380" s="1" t="n">
        <v>45190</v>
      </c>
      <c r="C380" s="1" t="n">
        <v>45357</v>
      </c>
      <c r="D380" t="inlineStr">
        <is>
          <t>VÄSTERBOTTENS LÄN</t>
        </is>
      </c>
      <c r="E380" t="inlineStr">
        <is>
          <t>SKELLEFTEÅ</t>
        </is>
      </c>
      <c r="G380" t="n">
        <v>8.699999999999999</v>
      </c>
      <c r="H380" t="n">
        <v>0</v>
      </c>
      <c r="I380" t="n">
        <v>3</v>
      </c>
      <c r="J380" t="n">
        <v>1</v>
      </c>
      <c r="K380" t="n">
        <v>0</v>
      </c>
      <c r="L380" t="n">
        <v>0</v>
      </c>
      <c r="M380" t="n">
        <v>0</v>
      </c>
      <c r="N380" t="n">
        <v>0</v>
      </c>
      <c r="O380" t="n">
        <v>1</v>
      </c>
      <c r="P380" t="n">
        <v>0</v>
      </c>
      <c r="Q380" t="n">
        <v>4</v>
      </c>
      <c r="R380" s="2" t="inlineStr">
        <is>
          <t>Violettgrå tagellav
Luddlav
Skinnlav
Stuplav</t>
        </is>
      </c>
      <c r="S380">
        <f>HYPERLINK("https://klasma.github.io/Logging_2482/artfynd/A 46092-2023 artfynd.xlsx", "A 46092-2023")</f>
        <v/>
      </c>
      <c r="T380">
        <f>HYPERLINK("https://klasma.github.io/Logging_2482/kartor/A 46092-2023 karta.png", "A 46092-2023")</f>
        <v/>
      </c>
      <c r="V380">
        <f>HYPERLINK("https://klasma.github.io/Logging_2482/klagomål/A 46092-2023 FSC-klagomål.docx", "A 46092-2023")</f>
        <v/>
      </c>
      <c r="W380">
        <f>HYPERLINK("https://klasma.github.io/Logging_2482/klagomålsmail/A 46092-2023 FSC-klagomål mail.docx", "A 46092-2023")</f>
        <v/>
      </c>
      <c r="X380">
        <f>HYPERLINK("https://klasma.github.io/Logging_2482/tillsyn/A 46092-2023 tillsynsbegäran.docx", "A 46092-2023")</f>
        <v/>
      </c>
      <c r="Y380">
        <f>HYPERLINK("https://klasma.github.io/Logging_2482/tillsynsmail/A 46092-2023 tillsynsbegäran mail.docx", "A 46092-2023")</f>
        <v/>
      </c>
    </row>
    <row r="381" ht="15" customHeight="1">
      <c r="A381" t="inlineStr">
        <is>
          <t>A 45691-2023</t>
        </is>
      </c>
      <c r="B381" s="1" t="n">
        <v>45195</v>
      </c>
      <c r="C381" s="1" t="n">
        <v>45357</v>
      </c>
      <c r="D381" t="inlineStr">
        <is>
          <t>VÄSTERBOTTENS LÄN</t>
        </is>
      </c>
      <c r="E381" t="inlineStr">
        <is>
          <t>UMEÅ</t>
        </is>
      </c>
      <c r="F381" t="inlineStr">
        <is>
          <t>Holmen skog AB</t>
        </is>
      </c>
      <c r="G381" t="n">
        <v>5.1</v>
      </c>
      <c r="H381" t="n">
        <v>1</v>
      </c>
      <c r="I381" t="n">
        <v>1</v>
      </c>
      <c r="J381" t="n">
        <v>3</v>
      </c>
      <c r="K381" t="n">
        <v>0</v>
      </c>
      <c r="L381" t="n">
        <v>0</v>
      </c>
      <c r="M381" t="n">
        <v>0</v>
      </c>
      <c r="N381" t="n">
        <v>0</v>
      </c>
      <c r="O381" t="n">
        <v>3</v>
      </c>
      <c r="P381" t="n">
        <v>0</v>
      </c>
      <c r="Q381" t="n">
        <v>4</v>
      </c>
      <c r="R381" s="2" t="inlineStr">
        <is>
          <t>Garnlav
Tretåig hackspett
Vaddporing
Stuplav</t>
        </is>
      </c>
      <c r="S381">
        <f>HYPERLINK("https://klasma.github.io/Logging_2480/artfynd/A 45691-2023 artfynd.xlsx", "A 45691-2023")</f>
        <v/>
      </c>
      <c r="T381">
        <f>HYPERLINK("https://klasma.github.io/Logging_2480/kartor/A 45691-2023 karta.png", "A 45691-2023")</f>
        <v/>
      </c>
      <c r="V381">
        <f>HYPERLINK("https://klasma.github.io/Logging_2480/klagomål/A 45691-2023 FSC-klagomål.docx", "A 45691-2023")</f>
        <v/>
      </c>
      <c r="W381">
        <f>HYPERLINK("https://klasma.github.io/Logging_2480/klagomålsmail/A 45691-2023 FSC-klagomål mail.docx", "A 45691-2023")</f>
        <v/>
      </c>
      <c r="X381">
        <f>HYPERLINK("https://klasma.github.io/Logging_2480/tillsyn/A 45691-2023 tillsynsbegäran.docx", "A 45691-2023")</f>
        <v/>
      </c>
      <c r="Y381">
        <f>HYPERLINK("https://klasma.github.io/Logging_2480/tillsynsmail/A 45691-2023 tillsynsbegäran mail.docx", "A 45691-2023")</f>
        <v/>
      </c>
      <c r="Z381">
        <f>HYPERLINK("https://klasma.github.io/Logging_2480/fåglar/A 45691-2023 prioriterade fågelarter.docx", "A 45691-2023")</f>
        <v/>
      </c>
    </row>
    <row r="382" ht="15" customHeight="1">
      <c r="A382" t="inlineStr">
        <is>
          <t>A 49026-2023</t>
        </is>
      </c>
      <c r="B382" s="1" t="n">
        <v>45209</v>
      </c>
      <c r="C382" s="1" t="n">
        <v>45357</v>
      </c>
      <c r="D382" t="inlineStr">
        <is>
          <t>VÄSTERBOTTENS LÄN</t>
        </is>
      </c>
      <c r="E382" t="inlineStr">
        <is>
          <t>UMEÅ</t>
        </is>
      </c>
      <c r="G382" t="n">
        <v>3.7</v>
      </c>
      <c r="H382" t="n">
        <v>2</v>
      </c>
      <c r="I382" t="n">
        <v>0</v>
      </c>
      <c r="J382" t="n">
        <v>4</v>
      </c>
      <c r="K382" t="n">
        <v>0</v>
      </c>
      <c r="L382" t="n">
        <v>0</v>
      </c>
      <c r="M382" t="n">
        <v>0</v>
      </c>
      <c r="N382" t="n">
        <v>0</v>
      </c>
      <c r="O382" t="n">
        <v>4</v>
      </c>
      <c r="P382" t="n">
        <v>0</v>
      </c>
      <c r="Q382" t="n">
        <v>4</v>
      </c>
      <c r="R382" s="2" t="inlineStr">
        <is>
          <t>Granticka
Spillkråka
Talltita
Ullticka</t>
        </is>
      </c>
      <c r="S382">
        <f>HYPERLINK("https://klasma.github.io/Logging_2480/artfynd/A 49026-2023 artfynd.xlsx", "A 49026-2023")</f>
        <v/>
      </c>
      <c r="T382">
        <f>HYPERLINK("https://klasma.github.io/Logging_2480/kartor/A 49026-2023 karta.png", "A 49026-2023")</f>
        <v/>
      </c>
      <c r="V382">
        <f>HYPERLINK("https://klasma.github.io/Logging_2480/klagomål/A 49026-2023 FSC-klagomål.docx", "A 49026-2023")</f>
        <v/>
      </c>
      <c r="W382">
        <f>HYPERLINK("https://klasma.github.io/Logging_2480/klagomålsmail/A 49026-2023 FSC-klagomål mail.docx", "A 49026-2023")</f>
        <v/>
      </c>
      <c r="X382">
        <f>HYPERLINK("https://klasma.github.io/Logging_2480/tillsyn/A 49026-2023 tillsynsbegäran.docx", "A 49026-2023")</f>
        <v/>
      </c>
      <c r="Y382">
        <f>HYPERLINK("https://klasma.github.io/Logging_2480/tillsynsmail/A 49026-2023 tillsynsbegäran mail.docx", "A 49026-2023")</f>
        <v/>
      </c>
      <c r="Z382">
        <f>HYPERLINK("https://klasma.github.io/Logging_2480/fåglar/A 49026-2023 prioriterade fågelarter.docx", "A 49026-2023")</f>
        <v/>
      </c>
    </row>
    <row r="383" ht="15" customHeight="1">
      <c r="A383" t="inlineStr">
        <is>
          <t>A 50665-2023</t>
        </is>
      </c>
      <c r="B383" s="1" t="n">
        <v>45217</v>
      </c>
      <c r="C383" s="1" t="n">
        <v>45357</v>
      </c>
      <c r="D383" t="inlineStr">
        <is>
          <t>VÄSTERBOTTENS LÄN</t>
        </is>
      </c>
      <c r="E383" t="inlineStr">
        <is>
          <t>VINDELN</t>
        </is>
      </c>
      <c r="F383" t="inlineStr">
        <is>
          <t>Holmen skog AB</t>
        </is>
      </c>
      <c r="G383" t="n">
        <v>7.3</v>
      </c>
      <c r="H383" t="n">
        <v>3</v>
      </c>
      <c r="I383" t="n">
        <v>0</v>
      </c>
      <c r="J383" t="n">
        <v>1</v>
      </c>
      <c r="K383" t="n">
        <v>1</v>
      </c>
      <c r="L383" t="n">
        <v>0</v>
      </c>
      <c r="M383" t="n">
        <v>0</v>
      </c>
      <c r="N383" t="n">
        <v>0</v>
      </c>
      <c r="O383" t="n">
        <v>2</v>
      </c>
      <c r="P383" t="n">
        <v>1</v>
      </c>
      <c r="Q383" t="n">
        <v>4</v>
      </c>
      <c r="R383" s="2" t="inlineStr">
        <is>
          <t>Turkos blåvinge
Höstlåsbräken
Fläcknycklar
Nattviol</t>
        </is>
      </c>
      <c r="S383">
        <f>HYPERLINK("https://klasma.github.io/Logging_2404/artfynd/A 50665-2023 artfynd.xlsx", "A 50665-2023")</f>
        <v/>
      </c>
      <c r="T383">
        <f>HYPERLINK("https://klasma.github.io/Logging_2404/kartor/A 50665-2023 karta.png", "A 50665-2023")</f>
        <v/>
      </c>
      <c r="V383">
        <f>HYPERLINK("https://klasma.github.io/Logging_2404/klagomål/A 50665-2023 FSC-klagomål.docx", "A 50665-2023")</f>
        <v/>
      </c>
      <c r="W383">
        <f>HYPERLINK("https://klasma.github.io/Logging_2404/klagomålsmail/A 50665-2023 FSC-klagomål mail.docx", "A 50665-2023")</f>
        <v/>
      </c>
      <c r="X383">
        <f>HYPERLINK("https://klasma.github.io/Logging_2404/tillsyn/A 50665-2023 tillsynsbegäran.docx", "A 50665-2023")</f>
        <v/>
      </c>
      <c r="Y383">
        <f>HYPERLINK("https://klasma.github.io/Logging_2404/tillsynsmail/A 50665-2023 tillsynsbegäran mail.docx", "A 50665-2023")</f>
        <v/>
      </c>
    </row>
    <row r="384" ht="15" customHeight="1">
      <c r="A384" t="inlineStr">
        <is>
          <t>A 52791-2023</t>
        </is>
      </c>
      <c r="B384" s="1" t="n">
        <v>45219</v>
      </c>
      <c r="C384" s="1" t="n">
        <v>45357</v>
      </c>
      <c r="D384" t="inlineStr">
        <is>
          <t>VÄSTERBOTTENS LÄN</t>
        </is>
      </c>
      <c r="E384" t="inlineStr">
        <is>
          <t>NORDMALING</t>
        </is>
      </c>
      <c r="G384" t="n">
        <v>5.6</v>
      </c>
      <c r="H384" t="n">
        <v>1</v>
      </c>
      <c r="I384" t="n">
        <v>1</v>
      </c>
      <c r="J384" t="n">
        <v>3</v>
      </c>
      <c r="K384" t="n">
        <v>0</v>
      </c>
      <c r="L384" t="n">
        <v>0</v>
      </c>
      <c r="M384" t="n">
        <v>0</v>
      </c>
      <c r="N384" t="n">
        <v>0</v>
      </c>
      <c r="O384" t="n">
        <v>3</v>
      </c>
      <c r="P384" t="n">
        <v>0</v>
      </c>
      <c r="Q384" t="n">
        <v>4</v>
      </c>
      <c r="R384" s="2" t="inlineStr">
        <is>
          <t>Gammelgransskål
Garnlav
Spillkråka
Vedticka</t>
        </is>
      </c>
      <c r="S384">
        <f>HYPERLINK("https://klasma.github.io/Logging_2401/artfynd/A 52791-2023 artfynd.xlsx", "A 52791-2023")</f>
        <v/>
      </c>
      <c r="T384">
        <f>HYPERLINK("https://klasma.github.io/Logging_2401/kartor/A 52791-2023 karta.png", "A 52791-2023")</f>
        <v/>
      </c>
      <c r="V384">
        <f>HYPERLINK("https://klasma.github.io/Logging_2401/klagomål/A 52791-2023 FSC-klagomål.docx", "A 52791-2023")</f>
        <v/>
      </c>
      <c r="W384">
        <f>HYPERLINK("https://klasma.github.io/Logging_2401/klagomålsmail/A 52791-2023 FSC-klagomål mail.docx", "A 52791-2023")</f>
        <v/>
      </c>
      <c r="X384">
        <f>HYPERLINK("https://klasma.github.io/Logging_2401/tillsyn/A 52791-2023 tillsynsbegäran.docx", "A 52791-2023")</f>
        <v/>
      </c>
      <c r="Y384">
        <f>HYPERLINK("https://klasma.github.io/Logging_2401/tillsynsmail/A 52791-2023 tillsynsbegäran mail.docx", "A 52791-2023")</f>
        <v/>
      </c>
      <c r="Z384">
        <f>HYPERLINK("https://klasma.github.io/Logging_2401/fåglar/A 52791-2023 prioriterade fågelarter.docx", "A 52791-2023")</f>
        <v/>
      </c>
    </row>
    <row r="385" ht="15" customHeight="1">
      <c r="A385" t="inlineStr">
        <is>
          <t>A 52634-2023</t>
        </is>
      </c>
      <c r="B385" s="1" t="n">
        <v>45225</v>
      </c>
      <c r="C385" s="1" t="n">
        <v>45357</v>
      </c>
      <c r="D385" t="inlineStr">
        <is>
          <t>VÄSTERBOTTENS LÄN</t>
        </is>
      </c>
      <c r="E385" t="inlineStr">
        <is>
          <t>VINDELN</t>
        </is>
      </c>
      <c r="G385" t="n">
        <v>1</v>
      </c>
      <c r="H385" t="n">
        <v>0</v>
      </c>
      <c r="I385" t="n">
        <v>0</v>
      </c>
      <c r="J385" t="n">
        <v>4</v>
      </c>
      <c r="K385" t="n">
        <v>0</v>
      </c>
      <c r="L385" t="n">
        <v>0</v>
      </c>
      <c r="M385" t="n">
        <v>0</v>
      </c>
      <c r="N385" t="n">
        <v>0</v>
      </c>
      <c r="O385" t="n">
        <v>4</v>
      </c>
      <c r="P385" t="n">
        <v>0</v>
      </c>
      <c r="Q385" t="n">
        <v>4</v>
      </c>
      <c r="R385" s="2" t="inlineStr">
        <is>
          <t>Garnlav
Granticka
Kortskaftad ärgspik
Vitgrynig nållav</t>
        </is>
      </c>
      <c r="S385">
        <f>HYPERLINK("https://klasma.github.io/Logging_2404/artfynd/A 52634-2023 artfynd.xlsx", "A 52634-2023")</f>
        <v/>
      </c>
      <c r="T385">
        <f>HYPERLINK("https://klasma.github.io/Logging_2404/kartor/A 52634-2023 karta.png", "A 52634-2023")</f>
        <v/>
      </c>
      <c r="V385">
        <f>HYPERLINK("https://klasma.github.io/Logging_2404/klagomål/A 52634-2023 FSC-klagomål.docx", "A 52634-2023")</f>
        <v/>
      </c>
      <c r="W385">
        <f>HYPERLINK("https://klasma.github.io/Logging_2404/klagomålsmail/A 52634-2023 FSC-klagomål mail.docx", "A 52634-2023")</f>
        <v/>
      </c>
      <c r="X385">
        <f>HYPERLINK("https://klasma.github.io/Logging_2404/tillsyn/A 52634-2023 tillsynsbegäran.docx", "A 52634-2023")</f>
        <v/>
      </c>
      <c r="Y385">
        <f>HYPERLINK("https://klasma.github.io/Logging_2404/tillsynsmail/A 52634-2023 tillsynsbegäran mail.docx", "A 52634-2023")</f>
        <v/>
      </c>
    </row>
    <row r="386" ht="15" customHeight="1">
      <c r="A386" t="inlineStr">
        <is>
          <t>A 53793-2023</t>
        </is>
      </c>
      <c r="B386" s="1" t="n">
        <v>45231</v>
      </c>
      <c r="C386" s="1" t="n">
        <v>45357</v>
      </c>
      <c r="D386" t="inlineStr">
        <is>
          <t>VÄSTERBOTTENS LÄN</t>
        </is>
      </c>
      <c r="E386" t="inlineStr">
        <is>
          <t>LYCKSELE</t>
        </is>
      </c>
      <c r="F386" t="inlineStr">
        <is>
          <t>Sveaskog</t>
        </is>
      </c>
      <c r="G386" t="n">
        <v>5.7</v>
      </c>
      <c r="H386" t="n">
        <v>0</v>
      </c>
      <c r="I386" t="n">
        <v>1</v>
      </c>
      <c r="J386" t="n">
        <v>3</v>
      </c>
      <c r="K386" t="n">
        <v>0</v>
      </c>
      <c r="L386" t="n">
        <v>0</v>
      </c>
      <c r="M386" t="n">
        <v>0</v>
      </c>
      <c r="N386" t="n">
        <v>0</v>
      </c>
      <c r="O386" t="n">
        <v>3</v>
      </c>
      <c r="P386" t="n">
        <v>0</v>
      </c>
      <c r="Q386" t="n">
        <v>4</v>
      </c>
      <c r="R386" s="2" t="inlineStr">
        <is>
          <t>Blå taggsvamp
Lunglav
Violmussling
Dropptaggsvamp</t>
        </is>
      </c>
      <c r="S386">
        <f>HYPERLINK("https://klasma.github.io/Logging_2481/artfynd/A 53793-2023 artfynd.xlsx", "A 53793-2023")</f>
        <v/>
      </c>
      <c r="T386">
        <f>HYPERLINK("https://klasma.github.io/Logging_2481/kartor/A 53793-2023 karta.png", "A 53793-2023")</f>
        <v/>
      </c>
      <c r="V386">
        <f>HYPERLINK("https://klasma.github.io/Logging_2481/klagomål/A 53793-2023 FSC-klagomål.docx", "A 53793-2023")</f>
        <v/>
      </c>
      <c r="W386">
        <f>HYPERLINK("https://klasma.github.io/Logging_2481/klagomålsmail/A 53793-2023 FSC-klagomål mail.docx", "A 53793-2023")</f>
        <v/>
      </c>
      <c r="X386">
        <f>HYPERLINK("https://klasma.github.io/Logging_2481/tillsyn/A 53793-2023 tillsynsbegäran.docx", "A 53793-2023")</f>
        <v/>
      </c>
      <c r="Y386">
        <f>HYPERLINK("https://klasma.github.io/Logging_2481/tillsynsmail/A 53793-2023 tillsynsbegäran mail.docx", "A 53793-2023")</f>
        <v/>
      </c>
    </row>
    <row r="387" ht="15" customHeight="1">
      <c r="A387" t="inlineStr">
        <is>
          <t>A 61748-2023</t>
        </is>
      </c>
      <c r="B387" s="1" t="n">
        <v>45264</v>
      </c>
      <c r="C387" s="1" t="n">
        <v>45357</v>
      </c>
      <c r="D387" t="inlineStr">
        <is>
          <t>VÄSTERBOTTENS LÄN</t>
        </is>
      </c>
      <c r="E387" t="inlineStr">
        <is>
          <t>BJURHOLM</t>
        </is>
      </c>
      <c r="G387" t="n">
        <v>5.9</v>
      </c>
      <c r="H387" t="n">
        <v>0</v>
      </c>
      <c r="I387" t="n">
        <v>1</v>
      </c>
      <c r="J387" t="n">
        <v>3</v>
      </c>
      <c r="K387" t="n">
        <v>0</v>
      </c>
      <c r="L387" t="n">
        <v>0</v>
      </c>
      <c r="M387" t="n">
        <v>0</v>
      </c>
      <c r="N387" t="n">
        <v>0</v>
      </c>
      <c r="O387" t="n">
        <v>3</v>
      </c>
      <c r="P387" t="n">
        <v>0</v>
      </c>
      <c r="Q387" t="n">
        <v>4</v>
      </c>
      <c r="R387" s="2" t="inlineStr">
        <is>
          <t>Garnlav
Granticka
Gränsticka
Vedticka</t>
        </is>
      </c>
      <c r="S387">
        <f>HYPERLINK("https://klasma.github.io/Logging_2403/artfynd/A 61748-2023 artfynd.xlsx", "A 61748-2023")</f>
        <v/>
      </c>
      <c r="T387">
        <f>HYPERLINK("https://klasma.github.io/Logging_2403/kartor/A 61748-2023 karta.png", "A 61748-2023")</f>
        <v/>
      </c>
      <c r="V387">
        <f>HYPERLINK("https://klasma.github.io/Logging_2403/klagomål/A 61748-2023 FSC-klagomål.docx", "A 61748-2023")</f>
        <v/>
      </c>
      <c r="W387">
        <f>HYPERLINK("https://klasma.github.io/Logging_2403/klagomålsmail/A 61748-2023 FSC-klagomål mail.docx", "A 61748-2023")</f>
        <v/>
      </c>
      <c r="X387">
        <f>HYPERLINK("https://klasma.github.io/Logging_2403/tillsyn/A 61748-2023 tillsynsbegäran.docx", "A 61748-2023")</f>
        <v/>
      </c>
      <c r="Y387">
        <f>HYPERLINK("https://klasma.github.io/Logging_2403/tillsynsmail/A 61748-2023 tillsynsbegäran mail.docx", "A 61748-2023")</f>
        <v/>
      </c>
    </row>
    <row r="388" ht="15" customHeight="1">
      <c r="A388" t="inlineStr">
        <is>
          <t>A 62393-2023</t>
        </is>
      </c>
      <c r="B388" s="1" t="n">
        <v>45268</v>
      </c>
      <c r="C388" s="1" t="n">
        <v>45357</v>
      </c>
      <c r="D388" t="inlineStr">
        <is>
          <t>VÄSTERBOTTENS LÄN</t>
        </is>
      </c>
      <c r="E388" t="inlineStr">
        <is>
          <t>SKELLEFTEÅ</t>
        </is>
      </c>
      <c r="F388" t="inlineStr">
        <is>
          <t>Sveaskog</t>
        </is>
      </c>
      <c r="G388" t="n">
        <v>6.7</v>
      </c>
      <c r="H388" t="n">
        <v>0</v>
      </c>
      <c r="I388" t="n">
        <v>1</v>
      </c>
      <c r="J388" t="n">
        <v>3</v>
      </c>
      <c r="K388" t="n">
        <v>0</v>
      </c>
      <c r="L388" t="n">
        <v>0</v>
      </c>
      <c r="M388" t="n">
        <v>0</v>
      </c>
      <c r="N388" t="n">
        <v>0</v>
      </c>
      <c r="O388" t="n">
        <v>3</v>
      </c>
      <c r="P388" t="n">
        <v>0</v>
      </c>
      <c r="Q388" t="n">
        <v>4</v>
      </c>
      <c r="R388" s="2" t="inlineStr">
        <is>
          <t>Garnlav
Lunglav
Violettgrå tagellav
Bårdlav</t>
        </is>
      </c>
      <c r="S388">
        <f>HYPERLINK("https://klasma.github.io/Logging_2482/artfynd/A 62393-2023 artfynd.xlsx", "A 62393-2023")</f>
        <v/>
      </c>
      <c r="T388">
        <f>HYPERLINK("https://klasma.github.io/Logging_2482/kartor/A 62393-2023 karta.png", "A 62393-2023")</f>
        <v/>
      </c>
      <c r="V388">
        <f>HYPERLINK("https://klasma.github.io/Logging_2482/klagomål/A 62393-2023 FSC-klagomål.docx", "A 62393-2023")</f>
        <v/>
      </c>
      <c r="W388">
        <f>HYPERLINK("https://klasma.github.io/Logging_2482/klagomålsmail/A 62393-2023 FSC-klagomål mail.docx", "A 62393-2023")</f>
        <v/>
      </c>
      <c r="X388">
        <f>HYPERLINK("https://klasma.github.io/Logging_2482/tillsyn/A 62393-2023 tillsynsbegäran.docx", "A 62393-2023")</f>
        <v/>
      </c>
      <c r="Y388">
        <f>HYPERLINK("https://klasma.github.io/Logging_2482/tillsynsmail/A 62393-2023 tillsynsbegäran mail.docx", "A 62393-2023")</f>
        <v/>
      </c>
    </row>
    <row r="389" ht="15" customHeight="1">
      <c r="A389" t="inlineStr">
        <is>
          <t>A 693-2024</t>
        </is>
      </c>
      <c r="B389" s="1" t="n">
        <v>45300</v>
      </c>
      <c r="C389" s="1" t="n">
        <v>45357</v>
      </c>
      <c r="D389" t="inlineStr">
        <is>
          <t>VÄSTERBOTTENS LÄN</t>
        </is>
      </c>
      <c r="E389" t="inlineStr">
        <is>
          <t>STORUMAN</t>
        </is>
      </c>
      <c r="G389" t="n">
        <v>17.7</v>
      </c>
      <c r="H389" t="n">
        <v>1</v>
      </c>
      <c r="I389" t="n">
        <v>1</v>
      </c>
      <c r="J389" t="n">
        <v>3</v>
      </c>
      <c r="K389" t="n">
        <v>0</v>
      </c>
      <c r="L389" t="n">
        <v>0</v>
      </c>
      <c r="M389" t="n">
        <v>0</v>
      </c>
      <c r="N389" t="n">
        <v>0</v>
      </c>
      <c r="O389" t="n">
        <v>3</v>
      </c>
      <c r="P389" t="n">
        <v>0</v>
      </c>
      <c r="Q389" t="n">
        <v>4</v>
      </c>
      <c r="R389" s="2" t="inlineStr">
        <is>
          <t>Harticka
Tretåig hackspett
Ullticka
Trådticka</t>
        </is>
      </c>
      <c r="S389">
        <f>HYPERLINK("https://klasma.github.io/Logging_2421/artfynd/A 693-2024 artfynd.xlsx", "A 693-2024")</f>
        <v/>
      </c>
      <c r="T389">
        <f>HYPERLINK("https://klasma.github.io/Logging_2421/kartor/A 693-2024 karta.png", "A 693-2024")</f>
        <v/>
      </c>
      <c r="V389">
        <f>HYPERLINK("https://klasma.github.io/Logging_2421/klagomål/A 693-2024 FSC-klagomål.docx", "A 693-2024")</f>
        <v/>
      </c>
      <c r="W389">
        <f>HYPERLINK("https://klasma.github.io/Logging_2421/klagomålsmail/A 693-2024 FSC-klagomål mail.docx", "A 693-2024")</f>
        <v/>
      </c>
      <c r="X389">
        <f>HYPERLINK("https://klasma.github.io/Logging_2421/tillsyn/A 693-2024 tillsynsbegäran.docx", "A 693-2024")</f>
        <v/>
      </c>
      <c r="Y389">
        <f>HYPERLINK("https://klasma.github.io/Logging_2421/tillsynsmail/A 693-2024 tillsynsbegäran mail.docx", "A 693-2024")</f>
        <v/>
      </c>
      <c r="Z389">
        <f>HYPERLINK("https://klasma.github.io/Logging_2421/fåglar/A 693-2024 prioriterade fågelarter.docx", "A 693-2024")</f>
        <v/>
      </c>
    </row>
    <row r="390" ht="15" customHeight="1">
      <c r="A390" t="inlineStr">
        <is>
          <t>A 4458-2024</t>
        </is>
      </c>
      <c r="B390" s="1" t="n">
        <v>45324</v>
      </c>
      <c r="C390" s="1" t="n">
        <v>45357</v>
      </c>
      <c r="D390" t="inlineStr">
        <is>
          <t>VÄSTERBOTTENS LÄN</t>
        </is>
      </c>
      <c r="E390" t="inlineStr">
        <is>
          <t>UMEÅ</t>
        </is>
      </c>
      <c r="G390" t="n">
        <v>16</v>
      </c>
      <c r="H390" t="n">
        <v>1</v>
      </c>
      <c r="I390" t="n">
        <v>1</v>
      </c>
      <c r="J390" t="n">
        <v>3</v>
      </c>
      <c r="K390" t="n">
        <v>0</v>
      </c>
      <c r="L390" t="n">
        <v>0</v>
      </c>
      <c r="M390" t="n">
        <v>0</v>
      </c>
      <c r="N390" t="n">
        <v>0</v>
      </c>
      <c r="O390" t="n">
        <v>3</v>
      </c>
      <c r="P390" t="n">
        <v>0</v>
      </c>
      <c r="Q390" t="n">
        <v>4</v>
      </c>
      <c r="R390" s="2" t="inlineStr">
        <is>
          <t>Garnlav
Granticka
Spillkråka
Vedticka</t>
        </is>
      </c>
      <c r="S390">
        <f>HYPERLINK("https://klasma.github.io/Logging_2480/artfynd/A 4458-2024 artfynd.xlsx", "A 4458-2024")</f>
        <v/>
      </c>
      <c r="T390">
        <f>HYPERLINK("https://klasma.github.io/Logging_2480/kartor/A 4458-2024 karta.png", "A 4458-2024")</f>
        <v/>
      </c>
      <c r="V390">
        <f>HYPERLINK("https://klasma.github.io/Logging_2480/klagomål/A 4458-2024 FSC-klagomål.docx", "A 4458-2024")</f>
        <v/>
      </c>
      <c r="W390">
        <f>HYPERLINK("https://klasma.github.io/Logging_2480/klagomålsmail/A 4458-2024 FSC-klagomål mail.docx", "A 4458-2024")</f>
        <v/>
      </c>
      <c r="X390">
        <f>HYPERLINK("https://klasma.github.io/Logging_2480/tillsyn/A 4458-2024 tillsynsbegäran.docx", "A 4458-2024")</f>
        <v/>
      </c>
      <c r="Y390">
        <f>HYPERLINK("https://klasma.github.io/Logging_2480/tillsynsmail/A 4458-2024 tillsynsbegäran mail.docx", "A 4458-2024")</f>
        <v/>
      </c>
      <c r="Z390">
        <f>HYPERLINK("https://klasma.github.io/Logging_2480/fåglar/A 4458-2024 prioriterade fågelarter.docx", "A 4458-2024")</f>
        <v/>
      </c>
    </row>
    <row r="391" ht="15" customHeight="1">
      <c r="A391" t="inlineStr">
        <is>
          <t>A 47263-2018</t>
        </is>
      </c>
      <c r="B391" s="1" t="n">
        <v>43369</v>
      </c>
      <c r="C391" s="1" t="n">
        <v>45357</v>
      </c>
      <c r="D391" t="inlineStr">
        <is>
          <t>VÄSTERBOTTENS LÄN</t>
        </is>
      </c>
      <c r="E391" t="inlineStr">
        <is>
          <t>VÄNNÄS</t>
        </is>
      </c>
      <c r="G391" t="n">
        <v>8.1</v>
      </c>
      <c r="H391" t="n">
        <v>0</v>
      </c>
      <c r="I391" t="n">
        <v>1</v>
      </c>
      <c r="J391" t="n">
        <v>2</v>
      </c>
      <c r="K391" t="n">
        <v>0</v>
      </c>
      <c r="L391" t="n">
        <v>0</v>
      </c>
      <c r="M391" t="n">
        <v>0</v>
      </c>
      <c r="N391" t="n">
        <v>0</v>
      </c>
      <c r="O391" t="n">
        <v>2</v>
      </c>
      <c r="P391" t="n">
        <v>0</v>
      </c>
      <c r="Q391" t="n">
        <v>3</v>
      </c>
      <c r="R391" s="2" t="inlineStr">
        <is>
          <t>Leptoporus mollis
Ullticka
Blodticka</t>
        </is>
      </c>
      <c r="S391">
        <f>HYPERLINK("https://klasma.github.io/Logging_2460/artfynd/A 47263-2018 artfynd.xlsx", "A 47263-2018")</f>
        <v/>
      </c>
      <c r="T391">
        <f>HYPERLINK("https://klasma.github.io/Logging_2460/kartor/A 47263-2018 karta.png", "A 47263-2018")</f>
        <v/>
      </c>
      <c r="V391">
        <f>HYPERLINK("https://klasma.github.io/Logging_2460/klagomål/A 47263-2018 FSC-klagomål.docx", "A 47263-2018")</f>
        <v/>
      </c>
      <c r="W391">
        <f>HYPERLINK("https://klasma.github.io/Logging_2460/klagomålsmail/A 47263-2018 FSC-klagomål mail.docx", "A 47263-2018")</f>
        <v/>
      </c>
      <c r="X391">
        <f>HYPERLINK("https://klasma.github.io/Logging_2460/tillsyn/A 47263-2018 tillsynsbegäran.docx", "A 47263-2018")</f>
        <v/>
      </c>
      <c r="Y391">
        <f>HYPERLINK("https://klasma.github.io/Logging_2460/tillsynsmail/A 47263-2018 tillsynsbegäran mail.docx", "A 47263-2018")</f>
        <v/>
      </c>
    </row>
    <row r="392" ht="15" customHeight="1">
      <c r="A392" t="inlineStr">
        <is>
          <t>A 50497-2018</t>
        </is>
      </c>
      <c r="B392" s="1" t="n">
        <v>43380</v>
      </c>
      <c r="C392" s="1" t="n">
        <v>45357</v>
      </c>
      <c r="D392" t="inlineStr">
        <is>
          <t>VÄSTERBOTTENS LÄN</t>
        </is>
      </c>
      <c r="E392" t="inlineStr">
        <is>
          <t>DOROTEA</t>
        </is>
      </c>
      <c r="F392" t="inlineStr">
        <is>
          <t>Allmännings- och besparingsskogar</t>
        </is>
      </c>
      <c r="G392" t="n">
        <v>3.8</v>
      </c>
      <c r="H392" t="n">
        <v>0</v>
      </c>
      <c r="I392" t="n">
        <v>0</v>
      </c>
      <c r="J392" t="n">
        <v>3</v>
      </c>
      <c r="K392" t="n">
        <v>0</v>
      </c>
      <c r="L392" t="n">
        <v>0</v>
      </c>
      <c r="M392" t="n">
        <v>0</v>
      </c>
      <c r="N392" t="n">
        <v>0</v>
      </c>
      <c r="O392" t="n">
        <v>3</v>
      </c>
      <c r="P392" t="n">
        <v>0</v>
      </c>
      <c r="Q392" t="n">
        <v>3</v>
      </c>
      <c r="R392" s="2" t="inlineStr">
        <is>
          <t>Garnlav
Gränsticka
Ullticka</t>
        </is>
      </c>
      <c r="S392">
        <f>HYPERLINK("https://klasma.github.io/Logging_2425/artfynd/A 50497-2018 artfynd.xlsx", "A 50497-2018")</f>
        <v/>
      </c>
      <c r="T392">
        <f>HYPERLINK("https://klasma.github.io/Logging_2425/kartor/A 50497-2018 karta.png", "A 50497-2018")</f>
        <v/>
      </c>
      <c r="V392">
        <f>HYPERLINK("https://klasma.github.io/Logging_2425/klagomål/A 50497-2018 FSC-klagomål.docx", "A 50497-2018")</f>
        <v/>
      </c>
      <c r="W392">
        <f>HYPERLINK("https://klasma.github.io/Logging_2425/klagomålsmail/A 50497-2018 FSC-klagomål mail.docx", "A 50497-2018")</f>
        <v/>
      </c>
      <c r="X392">
        <f>HYPERLINK("https://klasma.github.io/Logging_2425/tillsyn/A 50497-2018 tillsynsbegäran.docx", "A 50497-2018")</f>
        <v/>
      </c>
      <c r="Y392">
        <f>HYPERLINK("https://klasma.github.io/Logging_2425/tillsynsmail/A 50497-2018 tillsynsbegäran mail.docx", "A 50497-2018")</f>
        <v/>
      </c>
    </row>
    <row r="393" ht="15" customHeight="1">
      <c r="A393" t="inlineStr">
        <is>
          <t>A 55793-2018</t>
        </is>
      </c>
      <c r="B393" s="1" t="n">
        <v>43391</v>
      </c>
      <c r="C393" s="1" t="n">
        <v>45357</v>
      </c>
      <c r="D393" t="inlineStr">
        <is>
          <t>VÄSTERBOTTENS LÄN</t>
        </is>
      </c>
      <c r="E393" t="inlineStr">
        <is>
          <t>UMEÅ</t>
        </is>
      </c>
      <c r="G393" t="n">
        <v>2</v>
      </c>
      <c r="H393" t="n">
        <v>0</v>
      </c>
      <c r="I393" t="n">
        <v>1</v>
      </c>
      <c r="J393" t="n">
        <v>2</v>
      </c>
      <c r="K393" t="n">
        <v>0</v>
      </c>
      <c r="L393" t="n">
        <v>0</v>
      </c>
      <c r="M393" t="n">
        <v>0</v>
      </c>
      <c r="N393" t="n">
        <v>0</v>
      </c>
      <c r="O393" t="n">
        <v>2</v>
      </c>
      <c r="P393" t="n">
        <v>0</v>
      </c>
      <c r="Q393" t="n">
        <v>3</v>
      </c>
      <c r="R393" s="2" t="inlineStr">
        <is>
          <t>Grantaggsvamp
Violettgrå tagellav
Nästlav</t>
        </is>
      </c>
      <c r="S393">
        <f>HYPERLINK("https://klasma.github.io/Logging_2480/artfynd/A 55793-2018 artfynd.xlsx", "A 55793-2018")</f>
        <v/>
      </c>
      <c r="T393">
        <f>HYPERLINK("https://klasma.github.io/Logging_2480/kartor/A 55793-2018 karta.png", "A 55793-2018")</f>
        <v/>
      </c>
      <c r="V393">
        <f>HYPERLINK("https://klasma.github.io/Logging_2480/klagomål/A 55793-2018 FSC-klagomål.docx", "A 55793-2018")</f>
        <v/>
      </c>
      <c r="W393">
        <f>HYPERLINK("https://klasma.github.io/Logging_2480/klagomålsmail/A 55793-2018 FSC-klagomål mail.docx", "A 55793-2018")</f>
        <v/>
      </c>
      <c r="X393">
        <f>HYPERLINK("https://klasma.github.io/Logging_2480/tillsyn/A 55793-2018 tillsynsbegäran.docx", "A 55793-2018")</f>
        <v/>
      </c>
      <c r="Y393">
        <f>HYPERLINK("https://klasma.github.io/Logging_2480/tillsynsmail/A 55793-2018 tillsynsbegäran mail.docx", "A 55793-2018")</f>
        <v/>
      </c>
    </row>
    <row r="394" ht="15" customHeight="1">
      <c r="A394" t="inlineStr">
        <is>
          <t>A 55469-2018</t>
        </is>
      </c>
      <c r="B394" s="1" t="n">
        <v>43397</v>
      </c>
      <c r="C394" s="1" t="n">
        <v>45357</v>
      </c>
      <c r="D394" t="inlineStr">
        <is>
          <t>VÄSTERBOTTENS LÄN</t>
        </is>
      </c>
      <c r="E394" t="inlineStr">
        <is>
          <t>SORSELE</t>
        </is>
      </c>
      <c r="F394" t="inlineStr">
        <is>
          <t>Sveaskog</t>
        </is>
      </c>
      <c r="G394" t="n">
        <v>13.1</v>
      </c>
      <c r="H394" t="n">
        <v>0</v>
      </c>
      <c r="I394" t="n">
        <v>0</v>
      </c>
      <c r="J394" t="n">
        <v>2</v>
      </c>
      <c r="K394" t="n">
        <v>1</v>
      </c>
      <c r="L394" t="n">
        <v>0</v>
      </c>
      <c r="M394" t="n">
        <v>0</v>
      </c>
      <c r="N394" t="n">
        <v>0</v>
      </c>
      <c r="O394" t="n">
        <v>3</v>
      </c>
      <c r="P394" t="n">
        <v>1</v>
      </c>
      <c r="Q394" t="n">
        <v>3</v>
      </c>
      <c r="R394" s="2" t="inlineStr">
        <is>
          <t>Fläckporing
Stjärntagging
Vitplätt</t>
        </is>
      </c>
      <c r="S394">
        <f>HYPERLINK("https://klasma.github.io/Logging_2422/artfynd/A 55469-2018 artfynd.xlsx", "A 55469-2018")</f>
        <v/>
      </c>
      <c r="T394">
        <f>HYPERLINK("https://klasma.github.io/Logging_2422/kartor/A 55469-2018 karta.png", "A 55469-2018")</f>
        <v/>
      </c>
      <c r="V394">
        <f>HYPERLINK("https://klasma.github.io/Logging_2422/klagomål/A 55469-2018 FSC-klagomål.docx", "A 55469-2018")</f>
        <v/>
      </c>
      <c r="W394">
        <f>HYPERLINK("https://klasma.github.io/Logging_2422/klagomålsmail/A 55469-2018 FSC-klagomål mail.docx", "A 55469-2018")</f>
        <v/>
      </c>
      <c r="X394">
        <f>HYPERLINK("https://klasma.github.io/Logging_2422/tillsyn/A 55469-2018 tillsynsbegäran.docx", "A 55469-2018")</f>
        <v/>
      </c>
      <c r="Y394">
        <f>HYPERLINK("https://klasma.github.io/Logging_2422/tillsynsmail/A 55469-2018 tillsynsbegäran mail.docx", "A 55469-2018")</f>
        <v/>
      </c>
    </row>
    <row r="395" ht="15" customHeight="1">
      <c r="A395" t="inlineStr">
        <is>
          <t>A 56275-2018</t>
        </is>
      </c>
      <c r="B395" s="1" t="n">
        <v>43399</v>
      </c>
      <c r="C395" s="1" t="n">
        <v>45357</v>
      </c>
      <c r="D395" t="inlineStr">
        <is>
          <t>VÄSTERBOTTENS LÄN</t>
        </is>
      </c>
      <c r="E395" t="inlineStr">
        <is>
          <t>ROBERTSFORS</t>
        </is>
      </c>
      <c r="F395" t="inlineStr">
        <is>
          <t>Holmen skog AB</t>
        </is>
      </c>
      <c r="G395" t="n">
        <v>2</v>
      </c>
      <c r="H395" t="n">
        <v>1</v>
      </c>
      <c r="I395" t="n">
        <v>1</v>
      </c>
      <c r="J395" t="n">
        <v>2</v>
      </c>
      <c r="K395" t="n">
        <v>0</v>
      </c>
      <c r="L395" t="n">
        <v>0</v>
      </c>
      <c r="M395" t="n">
        <v>0</v>
      </c>
      <c r="N395" t="n">
        <v>0</v>
      </c>
      <c r="O395" t="n">
        <v>2</v>
      </c>
      <c r="P395" t="n">
        <v>0</v>
      </c>
      <c r="Q395" t="n">
        <v>3</v>
      </c>
      <c r="R395" s="2" t="inlineStr">
        <is>
          <t>Tretåig hackspett
Ullticka
Vedticka</t>
        </is>
      </c>
      <c r="S395">
        <f>HYPERLINK("https://klasma.github.io/Logging_2409/artfynd/A 56275-2018 artfynd.xlsx", "A 56275-2018")</f>
        <v/>
      </c>
      <c r="T395">
        <f>HYPERLINK("https://klasma.github.io/Logging_2409/kartor/A 56275-2018 karta.png", "A 56275-2018")</f>
        <v/>
      </c>
      <c r="V395">
        <f>HYPERLINK("https://klasma.github.io/Logging_2409/klagomål/A 56275-2018 FSC-klagomål.docx", "A 56275-2018")</f>
        <v/>
      </c>
      <c r="W395">
        <f>HYPERLINK("https://klasma.github.io/Logging_2409/klagomålsmail/A 56275-2018 FSC-klagomål mail.docx", "A 56275-2018")</f>
        <v/>
      </c>
      <c r="X395">
        <f>HYPERLINK("https://klasma.github.io/Logging_2409/tillsyn/A 56275-2018 tillsynsbegäran.docx", "A 56275-2018")</f>
        <v/>
      </c>
      <c r="Y395">
        <f>HYPERLINK("https://klasma.github.io/Logging_2409/tillsynsmail/A 56275-2018 tillsynsbegäran mail.docx", "A 56275-2018")</f>
        <v/>
      </c>
      <c r="Z395">
        <f>HYPERLINK("https://klasma.github.io/Logging_2409/fåglar/A 56275-2018 prioriterade fågelarter.docx", "A 56275-2018")</f>
        <v/>
      </c>
    </row>
    <row r="396" ht="15" customHeight="1">
      <c r="A396" t="inlineStr">
        <is>
          <t>A 62195-2018</t>
        </is>
      </c>
      <c r="B396" s="1" t="n">
        <v>43413</v>
      </c>
      <c r="C396" s="1" t="n">
        <v>45357</v>
      </c>
      <c r="D396" t="inlineStr">
        <is>
          <t>VÄSTERBOTTENS LÄN</t>
        </is>
      </c>
      <c r="E396" t="inlineStr">
        <is>
          <t>VÄNNÄS</t>
        </is>
      </c>
      <c r="F396" t="inlineStr">
        <is>
          <t>Övriga Aktiebolag</t>
        </is>
      </c>
      <c r="G396" t="n">
        <v>5</v>
      </c>
      <c r="H396" t="n">
        <v>1</v>
      </c>
      <c r="I396" t="n">
        <v>0</v>
      </c>
      <c r="J396" t="n">
        <v>3</v>
      </c>
      <c r="K396" t="n">
        <v>0</v>
      </c>
      <c r="L396" t="n">
        <v>0</v>
      </c>
      <c r="M396" t="n">
        <v>0</v>
      </c>
      <c r="N396" t="n">
        <v>0</v>
      </c>
      <c r="O396" t="n">
        <v>3</v>
      </c>
      <c r="P396" t="n">
        <v>0</v>
      </c>
      <c r="Q396" t="n">
        <v>3</v>
      </c>
      <c r="R396" s="2" t="inlineStr">
        <is>
          <t>Granticka
Tretåig hackspett
Violettgrå tagellav</t>
        </is>
      </c>
      <c r="S396">
        <f>HYPERLINK("https://klasma.github.io/Logging_2460/artfynd/A 62195-2018 artfynd.xlsx", "A 62195-2018")</f>
        <v/>
      </c>
      <c r="T396">
        <f>HYPERLINK("https://klasma.github.io/Logging_2460/kartor/A 62195-2018 karta.png", "A 62195-2018")</f>
        <v/>
      </c>
      <c r="V396">
        <f>HYPERLINK("https://klasma.github.io/Logging_2460/klagomål/A 62195-2018 FSC-klagomål.docx", "A 62195-2018")</f>
        <v/>
      </c>
      <c r="W396">
        <f>HYPERLINK("https://klasma.github.io/Logging_2460/klagomålsmail/A 62195-2018 FSC-klagomål mail.docx", "A 62195-2018")</f>
        <v/>
      </c>
      <c r="X396">
        <f>HYPERLINK("https://klasma.github.io/Logging_2460/tillsyn/A 62195-2018 tillsynsbegäran.docx", "A 62195-2018")</f>
        <v/>
      </c>
      <c r="Y396">
        <f>HYPERLINK("https://klasma.github.io/Logging_2460/tillsynsmail/A 62195-2018 tillsynsbegäran mail.docx", "A 62195-2018")</f>
        <v/>
      </c>
      <c r="Z396">
        <f>HYPERLINK("https://klasma.github.io/Logging_2460/fåglar/A 62195-2018 prioriterade fågelarter.docx", "A 62195-2018")</f>
        <v/>
      </c>
    </row>
    <row r="397" ht="15" customHeight="1">
      <c r="A397" t="inlineStr">
        <is>
          <t>A 65202-2018</t>
        </is>
      </c>
      <c r="B397" s="1" t="n">
        <v>43423</v>
      </c>
      <c r="C397" s="1" t="n">
        <v>45357</v>
      </c>
      <c r="D397" t="inlineStr">
        <is>
          <t>VÄSTERBOTTENS LÄN</t>
        </is>
      </c>
      <c r="E397" t="inlineStr">
        <is>
          <t>SKELLEFTEÅ</t>
        </is>
      </c>
      <c r="G397" t="n">
        <v>4.7</v>
      </c>
      <c r="H397" t="n">
        <v>2</v>
      </c>
      <c r="I397" t="n">
        <v>1</v>
      </c>
      <c r="J397" t="n">
        <v>1</v>
      </c>
      <c r="K397" t="n">
        <v>0</v>
      </c>
      <c r="L397" t="n">
        <v>0</v>
      </c>
      <c r="M397" t="n">
        <v>0</v>
      </c>
      <c r="N397" t="n">
        <v>0</v>
      </c>
      <c r="O397" t="n">
        <v>1</v>
      </c>
      <c r="P397" t="n">
        <v>0</v>
      </c>
      <c r="Q397" t="n">
        <v>3</v>
      </c>
      <c r="R397" s="2" t="inlineStr">
        <is>
          <t>Spillkråka
Vedticka
Fläcknycklar</t>
        </is>
      </c>
      <c r="S397">
        <f>HYPERLINK("https://klasma.github.io/Logging_2482/artfynd/A 65202-2018 artfynd.xlsx", "A 65202-2018")</f>
        <v/>
      </c>
      <c r="T397">
        <f>HYPERLINK("https://klasma.github.io/Logging_2482/kartor/A 65202-2018 karta.png", "A 65202-2018")</f>
        <v/>
      </c>
      <c r="V397">
        <f>HYPERLINK("https://klasma.github.io/Logging_2482/klagomål/A 65202-2018 FSC-klagomål.docx", "A 65202-2018")</f>
        <v/>
      </c>
      <c r="W397">
        <f>HYPERLINK("https://klasma.github.io/Logging_2482/klagomålsmail/A 65202-2018 FSC-klagomål mail.docx", "A 65202-2018")</f>
        <v/>
      </c>
      <c r="X397">
        <f>HYPERLINK("https://klasma.github.io/Logging_2482/tillsyn/A 65202-2018 tillsynsbegäran.docx", "A 65202-2018")</f>
        <v/>
      </c>
      <c r="Y397">
        <f>HYPERLINK("https://klasma.github.io/Logging_2482/tillsynsmail/A 65202-2018 tillsynsbegäran mail.docx", "A 65202-2018")</f>
        <v/>
      </c>
      <c r="Z397">
        <f>HYPERLINK("https://klasma.github.io/Logging_2482/fåglar/A 65202-2018 prioriterade fågelarter.docx", "A 65202-2018")</f>
        <v/>
      </c>
    </row>
    <row r="398" ht="15" customHeight="1">
      <c r="A398" t="inlineStr">
        <is>
          <t>A 65173-2018</t>
        </is>
      </c>
      <c r="B398" s="1" t="n">
        <v>43432</v>
      </c>
      <c r="C398" s="1" t="n">
        <v>45357</v>
      </c>
      <c r="D398" t="inlineStr">
        <is>
          <t>VÄSTERBOTTENS LÄN</t>
        </is>
      </c>
      <c r="E398" t="inlineStr">
        <is>
          <t>SKELLEFTEÅ</t>
        </is>
      </c>
      <c r="F398" t="inlineStr">
        <is>
          <t>Sveaskog</t>
        </is>
      </c>
      <c r="G398" t="n">
        <v>0.6</v>
      </c>
      <c r="H398" t="n">
        <v>0</v>
      </c>
      <c r="I398" t="n">
        <v>0</v>
      </c>
      <c r="J398" t="n">
        <v>3</v>
      </c>
      <c r="K398" t="n">
        <v>0</v>
      </c>
      <c r="L398" t="n">
        <v>0</v>
      </c>
      <c r="M398" t="n">
        <v>0</v>
      </c>
      <c r="N398" t="n">
        <v>0</v>
      </c>
      <c r="O398" t="n">
        <v>3</v>
      </c>
      <c r="P398" t="n">
        <v>0</v>
      </c>
      <c r="Q398" t="n">
        <v>3</v>
      </c>
      <c r="R398" s="2" t="inlineStr">
        <is>
          <t>Garnlav
Lunglav
Ullticka</t>
        </is>
      </c>
      <c r="S398">
        <f>HYPERLINK("https://klasma.github.io/Logging_2482/artfynd/A 65173-2018 artfynd.xlsx", "A 65173-2018")</f>
        <v/>
      </c>
      <c r="T398">
        <f>HYPERLINK("https://klasma.github.io/Logging_2482/kartor/A 65173-2018 karta.png", "A 65173-2018")</f>
        <v/>
      </c>
      <c r="V398">
        <f>HYPERLINK("https://klasma.github.io/Logging_2482/klagomål/A 65173-2018 FSC-klagomål.docx", "A 65173-2018")</f>
        <v/>
      </c>
      <c r="W398">
        <f>HYPERLINK("https://klasma.github.io/Logging_2482/klagomålsmail/A 65173-2018 FSC-klagomål mail.docx", "A 65173-2018")</f>
        <v/>
      </c>
      <c r="X398">
        <f>HYPERLINK("https://klasma.github.io/Logging_2482/tillsyn/A 65173-2018 tillsynsbegäran.docx", "A 65173-2018")</f>
        <v/>
      </c>
      <c r="Y398">
        <f>HYPERLINK("https://klasma.github.io/Logging_2482/tillsynsmail/A 65173-2018 tillsynsbegäran mail.docx", "A 65173-2018")</f>
        <v/>
      </c>
    </row>
    <row r="399" ht="15" customHeight="1">
      <c r="A399" t="inlineStr">
        <is>
          <t>A 67294-2018</t>
        </is>
      </c>
      <c r="B399" s="1" t="n">
        <v>43432</v>
      </c>
      <c r="C399" s="1" t="n">
        <v>45357</v>
      </c>
      <c r="D399" t="inlineStr">
        <is>
          <t>VÄSTERBOTTENS LÄN</t>
        </is>
      </c>
      <c r="E399" t="inlineStr">
        <is>
          <t>VILHELMINA</t>
        </is>
      </c>
      <c r="F399" t="inlineStr">
        <is>
          <t>Allmännings- och besparingsskogar</t>
        </is>
      </c>
      <c r="G399" t="n">
        <v>11.8</v>
      </c>
      <c r="H399" t="n">
        <v>0</v>
      </c>
      <c r="I399" t="n">
        <v>0</v>
      </c>
      <c r="J399" t="n">
        <v>3</v>
      </c>
      <c r="K399" t="n">
        <v>0</v>
      </c>
      <c r="L399" t="n">
        <v>0</v>
      </c>
      <c r="M399" t="n">
        <v>0</v>
      </c>
      <c r="N399" t="n">
        <v>0</v>
      </c>
      <c r="O399" t="n">
        <v>3</v>
      </c>
      <c r="P399" t="n">
        <v>0</v>
      </c>
      <c r="Q399" t="n">
        <v>3</v>
      </c>
      <c r="R399" s="2" t="inlineStr">
        <is>
          <t>Garnlav
Granticka
Knottrig blåslav</t>
        </is>
      </c>
      <c r="S399">
        <f>HYPERLINK("https://klasma.github.io/Logging_2462/artfynd/A 67294-2018 artfynd.xlsx", "A 67294-2018")</f>
        <v/>
      </c>
      <c r="T399">
        <f>HYPERLINK("https://klasma.github.io/Logging_2462/kartor/A 67294-2018 karta.png", "A 67294-2018")</f>
        <v/>
      </c>
      <c r="V399">
        <f>HYPERLINK("https://klasma.github.io/Logging_2462/klagomål/A 67294-2018 FSC-klagomål.docx", "A 67294-2018")</f>
        <v/>
      </c>
      <c r="W399">
        <f>HYPERLINK("https://klasma.github.io/Logging_2462/klagomålsmail/A 67294-2018 FSC-klagomål mail.docx", "A 67294-2018")</f>
        <v/>
      </c>
      <c r="X399">
        <f>HYPERLINK("https://klasma.github.io/Logging_2462/tillsyn/A 67294-2018 tillsynsbegäran.docx", "A 67294-2018")</f>
        <v/>
      </c>
      <c r="Y399">
        <f>HYPERLINK("https://klasma.github.io/Logging_2462/tillsynsmail/A 67294-2018 tillsynsbegäran mail.docx", "A 67294-2018")</f>
        <v/>
      </c>
    </row>
    <row r="400" ht="15" customHeight="1">
      <c r="A400" t="inlineStr">
        <is>
          <t>A 66918-2018</t>
        </is>
      </c>
      <c r="B400" s="1" t="n">
        <v>43438</v>
      </c>
      <c r="C400" s="1" t="n">
        <v>45357</v>
      </c>
      <c r="D400" t="inlineStr">
        <is>
          <t>VÄSTERBOTTENS LÄN</t>
        </is>
      </c>
      <c r="E400" t="inlineStr">
        <is>
          <t>VÄNNÄS</t>
        </is>
      </c>
      <c r="G400" t="n">
        <v>12</v>
      </c>
      <c r="H400" t="n">
        <v>0</v>
      </c>
      <c r="I400" t="n">
        <v>2</v>
      </c>
      <c r="J400" t="n">
        <v>1</v>
      </c>
      <c r="K400" t="n">
        <v>0</v>
      </c>
      <c r="L400" t="n">
        <v>0</v>
      </c>
      <c r="M400" t="n">
        <v>0</v>
      </c>
      <c r="N400" t="n">
        <v>0</v>
      </c>
      <c r="O400" t="n">
        <v>1</v>
      </c>
      <c r="P400" t="n">
        <v>0</v>
      </c>
      <c r="Q400" t="n">
        <v>3</v>
      </c>
      <c r="R400" s="2" t="inlineStr">
        <is>
          <t>Ullticka
Mörk husmossa
Strutbräken</t>
        </is>
      </c>
      <c r="S400">
        <f>HYPERLINK("https://klasma.github.io/Logging_2460/artfynd/A 66918-2018 artfynd.xlsx", "A 66918-2018")</f>
        <v/>
      </c>
      <c r="T400">
        <f>HYPERLINK("https://klasma.github.io/Logging_2460/kartor/A 66918-2018 karta.png", "A 66918-2018")</f>
        <v/>
      </c>
      <c r="V400">
        <f>HYPERLINK("https://klasma.github.io/Logging_2460/klagomål/A 66918-2018 FSC-klagomål.docx", "A 66918-2018")</f>
        <v/>
      </c>
      <c r="W400">
        <f>HYPERLINK("https://klasma.github.io/Logging_2460/klagomålsmail/A 66918-2018 FSC-klagomål mail.docx", "A 66918-2018")</f>
        <v/>
      </c>
      <c r="X400">
        <f>HYPERLINK("https://klasma.github.io/Logging_2460/tillsyn/A 66918-2018 tillsynsbegäran.docx", "A 66918-2018")</f>
        <v/>
      </c>
      <c r="Y400">
        <f>HYPERLINK("https://klasma.github.io/Logging_2460/tillsynsmail/A 66918-2018 tillsynsbegäran mail.docx", "A 66918-2018")</f>
        <v/>
      </c>
    </row>
    <row r="401" ht="15" customHeight="1">
      <c r="A401" t="inlineStr">
        <is>
          <t>A 11624-2019</t>
        </is>
      </c>
      <c r="B401" s="1" t="n">
        <v>43517</v>
      </c>
      <c r="C401" s="1" t="n">
        <v>45357</v>
      </c>
      <c r="D401" t="inlineStr">
        <is>
          <t>VÄSTERBOTTENS LÄN</t>
        </is>
      </c>
      <c r="E401" t="inlineStr">
        <is>
          <t>SKELLEFTEÅ</t>
        </is>
      </c>
      <c r="G401" t="n">
        <v>24.7</v>
      </c>
      <c r="H401" t="n">
        <v>1</v>
      </c>
      <c r="I401" t="n">
        <v>0</v>
      </c>
      <c r="J401" t="n">
        <v>2</v>
      </c>
      <c r="K401" t="n">
        <v>0</v>
      </c>
      <c r="L401" t="n">
        <v>0</v>
      </c>
      <c r="M401" t="n">
        <v>0</v>
      </c>
      <c r="N401" t="n">
        <v>0</v>
      </c>
      <c r="O401" t="n">
        <v>2</v>
      </c>
      <c r="P401" t="n">
        <v>0</v>
      </c>
      <c r="Q401" t="n">
        <v>3</v>
      </c>
      <c r="R401" s="2" t="inlineStr">
        <is>
          <t>Garnlav
Lunglav
Mindre vattensalamander</t>
        </is>
      </c>
      <c r="S401">
        <f>HYPERLINK("https://klasma.github.io/Logging_2482/artfynd/A 11624-2019 artfynd.xlsx", "A 11624-2019")</f>
        <v/>
      </c>
      <c r="T401">
        <f>HYPERLINK("https://klasma.github.io/Logging_2482/kartor/A 11624-2019 karta.png", "A 11624-2019")</f>
        <v/>
      </c>
      <c r="V401">
        <f>HYPERLINK("https://klasma.github.io/Logging_2482/klagomål/A 11624-2019 FSC-klagomål.docx", "A 11624-2019")</f>
        <v/>
      </c>
      <c r="W401">
        <f>HYPERLINK("https://klasma.github.io/Logging_2482/klagomålsmail/A 11624-2019 FSC-klagomål mail.docx", "A 11624-2019")</f>
        <v/>
      </c>
      <c r="X401">
        <f>HYPERLINK("https://klasma.github.io/Logging_2482/tillsyn/A 11624-2019 tillsynsbegäran.docx", "A 11624-2019")</f>
        <v/>
      </c>
      <c r="Y401">
        <f>HYPERLINK("https://klasma.github.io/Logging_2482/tillsynsmail/A 11624-2019 tillsynsbegäran mail.docx", "A 11624-2019")</f>
        <v/>
      </c>
    </row>
    <row r="402" ht="15" customHeight="1">
      <c r="A402" t="inlineStr">
        <is>
          <t>A 12915-2019</t>
        </is>
      </c>
      <c r="B402" s="1" t="n">
        <v>43525</v>
      </c>
      <c r="C402" s="1" t="n">
        <v>45357</v>
      </c>
      <c r="D402" t="inlineStr">
        <is>
          <t>VÄSTERBOTTENS LÄN</t>
        </is>
      </c>
      <c r="E402" t="inlineStr">
        <is>
          <t>NORDMALING</t>
        </is>
      </c>
      <c r="G402" t="n">
        <v>0.4</v>
      </c>
      <c r="H402" t="n">
        <v>0</v>
      </c>
      <c r="I402" t="n">
        <v>2</v>
      </c>
      <c r="J402" t="n">
        <v>1</v>
      </c>
      <c r="K402" t="n">
        <v>0</v>
      </c>
      <c r="L402" t="n">
        <v>0</v>
      </c>
      <c r="M402" t="n">
        <v>0</v>
      </c>
      <c r="N402" t="n">
        <v>0</v>
      </c>
      <c r="O402" t="n">
        <v>1</v>
      </c>
      <c r="P402" t="n">
        <v>0</v>
      </c>
      <c r="Q402" t="n">
        <v>3</v>
      </c>
      <c r="R402" s="2" t="inlineStr">
        <is>
          <t>Ullticka
Stor aspticka
Vedticka</t>
        </is>
      </c>
      <c r="S402">
        <f>HYPERLINK("https://klasma.github.io/Logging_2401/artfynd/A 12915-2019 artfynd.xlsx", "A 12915-2019")</f>
        <v/>
      </c>
      <c r="T402">
        <f>HYPERLINK("https://klasma.github.io/Logging_2401/kartor/A 12915-2019 karta.png", "A 12915-2019")</f>
        <v/>
      </c>
      <c r="V402">
        <f>HYPERLINK("https://klasma.github.io/Logging_2401/klagomål/A 12915-2019 FSC-klagomål.docx", "A 12915-2019")</f>
        <v/>
      </c>
      <c r="W402">
        <f>HYPERLINK("https://klasma.github.io/Logging_2401/klagomålsmail/A 12915-2019 FSC-klagomål mail.docx", "A 12915-2019")</f>
        <v/>
      </c>
      <c r="X402">
        <f>HYPERLINK("https://klasma.github.io/Logging_2401/tillsyn/A 12915-2019 tillsynsbegäran.docx", "A 12915-2019")</f>
        <v/>
      </c>
      <c r="Y402">
        <f>HYPERLINK("https://klasma.github.io/Logging_2401/tillsynsmail/A 12915-2019 tillsynsbegäran mail.docx", "A 12915-2019")</f>
        <v/>
      </c>
    </row>
    <row r="403" ht="15" customHeight="1">
      <c r="A403" t="inlineStr">
        <is>
          <t>A 14580-2019</t>
        </is>
      </c>
      <c r="B403" s="1" t="n">
        <v>43536</v>
      </c>
      <c r="C403" s="1" t="n">
        <v>45357</v>
      </c>
      <c r="D403" t="inlineStr">
        <is>
          <t>VÄSTERBOTTENS LÄN</t>
        </is>
      </c>
      <c r="E403" t="inlineStr">
        <is>
          <t>SKELLEFTEÅ</t>
        </is>
      </c>
      <c r="G403" t="n">
        <v>11.3</v>
      </c>
      <c r="H403" t="n">
        <v>0</v>
      </c>
      <c r="I403" t="n">
        <v>0</v>
      </c>
      <c r="J403" t="n">
        <v>3</v>
      </c>
      <c r="K403" t="n">
        <v>0</v>
      </c>
      <c r="L403" t="n">
        <v>0</v>
      </c>
      <c r="M403" t="n">
        <v>0</v>
      </c>
      <c r="N403" t="n">
        <v>0</v>
      </c>
      <c r="O403" t="n">
        <v>3</v>
      </c>
      <c r="P403" t="n">
        <v>0</v>
      </c>
      <c r="Q403" t="n">
        <v>3</v>
      </c>
      <c r="R403" s="2" t="inlineStr">
        <is>
          <t>Gammelgransskål
Garnlav
Ullticka</t>
        </is>
      </c>
      <c r="S403">
        <f>HYPERLINK("https://klasma.github.io/Logging_2482/artfynd/A 14580-2019 artfynd.xlsx", "A 14580-2019")</f>
        <v/>
      </c>
      <c r="T403">
        <f>HYPERLINK("https://klasma.github.io/Logging_2482/kartor/A 14580-2019 karta.png", "A 14580-2019")</f>
        <v/>
      </c>
      <c r="V403">
        <f>HYPERLINK("https://klasma.github.io/Logging_2482/klagomål/A 14580-2019 FSC-klagomål.docx", "A 14580-2019")</f>
        <v/>
      </c>
      <c r="W403">
        <f>HYPERLINK("https://klasma.github.io/Logging_2482/klagomålsmail/A 14580-2019 FSC-klagomål mail.docx", "A 14580-2019")</f>
        <v/>
      </c>
      <c r="X403">
        <f>HYPERLINK("https://klasma.github.io/Logging_2482/tillsyn/A 14580-2019 tillsynsbegäran.docx", "A 14580-2019")</f>
        <v/>
      </c>
      <c r="Y403">
        <f>HYPERLINK("https://klasma.github.io/Logging_2482/tillsynsmail/A 14580-2019 tillsynsbegäran mail.docx", "A 14580-2019")</f>
        <v/>
      </c>
    </row>
    <row r="404" ht="15" customHeight="1">
      <c r="A404" t="inlineStr">
        <is>
          <t>A 18981-2019</t>
        </is>
      </c>
      <c r="B404" s="1" t="n">
        <v>43563</v>
      </c>
      <c r="C404" s="1" t="n">
        <v>45357</v>
      </c>
      <c r="D404" t="inlineStr">
        <is>
          <t>VÄSTERBOTTENS LÄN</t>
        </is>
      </c>
      <c r="E404" t="inlineStr">
        <is>
          <t>VINDELN</t>
        </is>
      </c>
      <c r="G404" t="n">
        <v>5</v>
      </c>
      <c r="H404" t="n">
        <v>0</v>
      </c>
      <c r="I404" t="n">
        <v>0</v>
      </c>
      <c r="J404" t="n">
        <v>3</v>
      </c>
      <c r="K404" t="n">
        <v>0</v>
      </c>
      <c r="L404" t="n">
        <v>0</v>
      </c>
      <c r="M404" t="n">
        <v>0</v>
      </c>
      <c r="N404" t="n">
        <v>0</v>
      </c>
      <c r="O404" t="n">
        <v>3</v>
      </c>
      <c r="P404" t="n">
        <v>0</v>
      </c>
      <c r="Q404" t="n">
        <v>3</v>
      </c>
      <c r="R404" s="2" t="inlineStr">
        <is>
          <t>Granticka
Lunglav
Ullticka</t>
        </is>
      </c>
      <c r="S404">
        <f>HYPERLINK("https://klasma.github.io/Logging_2404/artfynd/A 18981-2019 artfynd.xlsx", "A 18981-2019")</f>
        <v/>
      </c>
      <c r="T404">
        <f>HYPERLINK("https://klasma.github.io/Logging_2404/kartor/A 18981-2019 karta.png", "A 18981-2019")</f>
        <v/>
      </c>
      <c r="V404">
        <f>HYPERLINK("https://klasma.github.io/Logging_2404/klagomål/A 18981-2019 FSC-klagomål.docx", "A 18981-2019")</f>
        <v/>
      </c>
      <c r="W404">
        <f>HYPERLINK("https://klasma.github.io/Logging_2404/klagomålsmail/A 18981-2019 FSC-klagomål mail.docx", "A 18981-2019")</f>
        <v/>
      </c>
      <c r="X404">
        <f>HYPERLINK("https://klasma.github.io/Logging_2404/tillsyn/A 18981-2019 tillsynsbegäran.docx", "A 18981-2019")</f>
        <v/>
      </c>
      <c r="Y404">
        <f>HYPERLINK("https://klasma.github.io/Logging_2404/tillsynsmail/A 18981-2019 tillsynsbegäran mail.docx", "A 18981-2019")</f>
        <v/>
      </c>
    </row>
    <row r="405" ht="15" customHeight="1">
      <c r="A405" t="inlineStr">
        <is>
          <t>A 34201-2019</t>
        </is>
      </c>
      <c r="B405" s="1" t="n">
        <v>43655</v>
      </c>
      <c r="C405" s="1" t="n">
        <v>45357</v>
      </c>
      <c r="D405" t="inlineStr">
        <is>
          <t>VÄSTERBOTTENS LÄN</t>
        </is>
      </c>
      <c r="E405" t="inlineStr">
        <is>
          <t>STORUMAN</t>
        </is>
      </c>
      <c r="G405" t="n">
        <v>32</v>
      </c>
      <c r="H405" t="n">
        <v>0</v>
      </c>
      <c r="I405" t="n">
        <v>0</v>
      </c>
      <c r="J405" t="n">
        <v>2</v>
      </c>
      <c r="K405" t="n">
        <v>1</v>
      </c>
      <c r="L405" t="n">
        <v>0</v>
      </c>
      <c r="M405" t="n">
        <v>0</v>
      </c>
      <c r="N405" t="n">
        <v>0</v>
      </c>
      <c r="O405" t="n">
        <v>3</v>
      </c>
      <c r="P405" t="n">
        <v>1</v>
      </c>
      <c r="Q405" t="n">
        <v>3</v>
      </c>
      <c r="R405" s="2" t="inlineStr">
        <is>
          <t>Smalfotad taggsvamp
Nordtagging
Rosenticka</t>
        </is>
      </c>
      <c r="S405">
        <f>HYPERLINK("https://klasma.github.io/Logging_2421/artfynd/A 34201-2019 artfynd.xlsx", "A 34201-2019")</f>
        <v/>
      </c>
      <c r="T405">
        <f>HYPERLINK("https://klasma.github.io/Logging_2421/kartor/A 34201-2019 karta.png", "A 34201-2019")</f>
        <v/>
      </c>
      <c r="V405">
        <f>HYPERLINK("https://klasma.github.io/Logging_2421/klagomål/A 34201-2019 FSC-klagomål.docx", "A 34201-2019")</f>
        <v/>
      </c>
      <c r="W405">
        <f>HYPERLINK("https://klasma.github.io/Logging_2421/klagomålsmail/A 34201-2019 FSC-klagomål mail.docx", "A 34201-2019")</f>
        <v/>
      </c>
      <c r="X405">
        <f>HYPERLINK("https://klasma.github.io/Logging_2421/tillsyn/A 34201-2019 tillsynsbegäran.docx", "A 34201-2019")</f>
        <v/>
      </c>
      <c r="Y405">
        <f>HYPERLINK("https://klasma.github.io/Logging_2421/tillsynsmail/A 34201-2019 tillsynsbegäran mail.docx", "A 34201-2019")</f>
        <v/>
      </c>
    </row>
    <row r="406" ht="15" customHeight="1">
      <c r="A406" t="inlineStr">
        <is>
          <t>A 35777-2019</t>
        </is>
      </c>
      <c r="B406" s="1" t="n">
        <v>43665</v>
      </c>
      <c r="C406" s="1" t="n">
        <v>45357</v>
      </c>
      <c r="D406" t="inlineStr">
        <is>
          <t>VÄSTERBOTTENS LÄN</t>
        </is>
      </c>
      <c r="E406" t="inlineStr">
        <is>
          <t>SKELLEFTEÅ</t>
        </is>
      </c>
      <c r="F406" t="inlineStr">
        <is>
          <t>Holmen skog AB</t>
        </is>
      </c>
      <c r="G406" t="n">
        <v>26.8</v>
      </c>
      <c r="H406" t="n">
        <v>0</v>
      </c>
      <c r="I406" t="n">
        <v>1</v>
      </c>
      <c r="J406" t="n">
        <v>2</v>
      </c>
      <c r="K406" t="n">
        <v>0</v>
      </c>
      <c r="L406" t="n">
        <v>0</v>
      </c>
      <c r="M406" t="n">
        <v>0</v>
      </c>
      <c r="N406" t="n">
        <v>0</v>
      </c>
      <c r="O406" t="n">
        <v>2</v>
      </c>
      <c r="P406" t="n">
        <v>0</v>
      </c>
      <c r="Q406" t="n">
        <v>3</v>
      </c>
      <c r="R406" s="2" t="inlineStr">
        <is>
          <t>Garnlav
Ullticka
Vedticka</t>
        </is>
      </c>
      <c r="S406">
        <f>HYPERLINK("https://klasma.github.io/Logging_2482/artfynd/A 35777-2019 artfynd.xlsx", "A 35777-2019")</f>
        <v/>
      </c>
      <c r="T406">
        <f>HYPERLINK("https://klasma.github.io/Logging_2482/kartor/A 35777-2019 karta.png", "A 35777-2019")</f>
        <v/>
      </c>
      <c r="V406">
        <f>HYPERLINK("https://klasma.github.io/Logging_2482/klagomål/A 35777-2019 FSC-klagomål.docx", "A 35777-2019")</f>
        <v/>
      </c>
      <c r="W406">
        <f>HYPERLINK("https://klasma.github.io/Logging_2482/klagomålsmail/A 35777-2019 FSC-klagomål mail.docx", "A 35777-2019")</f>
        <v/>
      </c>
      <c r="X406">
        <f>HYPERLINK("https://klasma.github.io/Logging_2482/tillsyn/A 35777-2019 tillsynsbegäran.docx", "A 35777-2019")</f>
        <v/>
      </c>
      <c r="Y406">
        <f>HYPERLINK("https://klasma.github.io/Logging_2482/tillsynsmail/A 35777-2019 tillsynsbegäran mail.docx", "A 35777-2019")</f>
        <v/>
      </c>
    </row>
    <row r="407" ht="15" customHeight="1">
      <c r="A407" t="inlineStr">
        <is>
          <t>A 45239-2019</t>
        </is>
      </c>
      <c r="B407" s="1" t="n">
        <v>43713</v>
      </c>
      <c r="C407" s="1" t="n">
        <v>45357</v>
      </c>
      <c r="D407" t="inlineStr">
        <is>
          <t>VÄSTERBOTTENS LÄN</t>
        </is>
      </c>
      <c r="E407" t="inlineStr">
        <is>
          <t>STORUMAN</t>
        </is>
      </c>
      <c r="G407" t="n">
        <v>9.5</v>
      </c>
      <c r="H407" t="n">
        <v>0</v>
      </c>
      <c r="I407" t="n">
        <v>1</v>
      </c>
      <c r="J407" t="n">
        <v>2</v>
      </c>
      <c r="K407" t="n">
        <v>0</v>
      </c>
      <c r="L407" t="n">
        <v>0</v>
      </c>
      <c r="M407" t="n">
        <v>0</v>
      </c>
      <c r="N407" t="n">
        <v>0</v>
      </c>
      <c r="O407" t="n">
        <v>2</v>
      </c>
      <c r="P407" t="n">
        <v>0</v>
      </c>
      <c r="Q407" t="n">
        <v>3</v>
      </c>
      <c r="R407" s="2" t="inlineStr">
        <is>
          <t>Dvärgbägarlav
Vedflamlav
Dropptaggsvamp</t>
        </is>
      </c>
      <c r="S407">
        <f>HYPERLINK("https://klasma.github.io/Logging_2421/artfynd/A 45239-2019 artfynd.xlsx", "A 45239-2019")</f>
        <v/>
      </c>
      <c r="T407">
        <f>HYPERLINK("https://klasma.github.io/Logging_2421/kartor/A 45239-2019 karta.png", "A 45239-2019")</f>
        <v/>
      </c>
      <c r="V407">
        <f>HYPERLINK("https://klasma.github.io/Logging_2421/klagomål/A 45239-2019 FSC-klagomål.docx", "A 45239-2019")</f>
        <v/>
      </c>
      <c r="W407">
        <f>HYPERLINK("https://klasma.github.io/Logging_2421/klagomålsmail/A 45239-2019 FSC-klagomål mail.docx", "A 45239-2019")</f>
        <v/>
      </c>
      <c r="X407">
        <f>HYPERLINK("https://klasma.github.io/Logging_2421/tillsyn/A 45239-2019 tillsynsbegäran.docx", "A 45239-2019")</f>
        <v/>
      </c>
      <c r="Y407">
        <f>HYPERLINK("https://klasma.github.io/Logging_2421/tillsynsmail/A 45239-2019 tillsynsbegäran mail.docx", "A 45239-2019")</f>
        <v/>
      </c>
    </row>
    <row r="408" ht="15" customHeight="1">
      <c r="A408" t="inlineStr">
        <is>
          <t>A 50902-2019</t>
        </is>
      </c>
      <c r="B408" s="1" t="n">
        <v>43738</v>
      </c>
      <c r="C408" s="1" t="n">
        <v>45357</v>
      </c>
      <c r="D408" t="inlineStr">
        <is>
          <t>VÄSTERBOTTENS LÄN</t>
        </is>
      </c>
      <c r="E408" t="inlineStr">
        <is>
          <t>ÅSELE</t>
        </is>
      </c>
      <c r="F408" t="inlineStr">
        <is>
          <t>Sveaskog</t>
        </is>
      </c>
      <c r="G408" t="n">
        <v>1.1</v>
      </c>
      <c r="H408" t="n">
        <v>0</v>
      </c>
      <c r="I408" t="n">
        <v>0</v>
      </c>
      <c r="J408" t="n">
        <v>3</v>
      </c>
      <c r="K408" t="n">
        <v>0</v>
      </c>
      <c r="L408" t="n">
        <v>0</v>
      </c>
      <c r="M408" t="n">
        <v>0</v>
      </c>
      <c r="N408" t="n">
        <v>0</v>
      </c>
      <c r="O408" t="n">
        <v>3</v>
      </c>
      <c r="P408" t="n">
        <v>0</v>
      </c>
      <c r="Q408" t="n">
        <v>3</v>
      </c>
      <c r="R408" s="2" t="inlineStr">
        <is>
          <t>Blanksvart spiklav
Dvärgbägarlav
Vedflamlav</t>
        </is>
      </c>
      <c r="S408">
        <f>HYPERLINK("https://klasma.github.io/Logging_2463/artfynd/A 50902-2019 artfynd.xlsx", "A 50902-2019")</f>
        <v/>
      </c>
      <c r="T408">
        <f>HYPERLINK("https://klasma.github.io/Logging_2463/kartor/A 50902-2019 karta.png", "A 50902-2019")</f>
        <v/>
      </c>
      <c r="V408">
        <f>HYPERLINK("https://klasma.github.io/Logging_2463/klagomål/A 50902-2019 FSC-klagomål.docx", "A 50902-2019")</f>
        <v/>
      </c>
      <c r="W408">
        <f>HYPERLINK("https://klasma.github.io/Logging_2463/klagomålsmail/A 50902-2019 FSC-klagomål mail.docx", "A 50902-2019")</f>
        <v/>
      </c>
      <c r="X408">
        <f>HYPERLINK("https://klasma.github.io/Logging_2463/tillsyn/A 50902-2019 tillsynsbegäran.docx", "A 50902-2019")</f>
        <v/>
      </c>
      <c r="Y408">
        <f>HYPERLINK("https://klasma.github.io/Logging_2463/tillsynsmail/A 50902-2019 tillsynsbegäran mail.docx", "A 50902-2019")</f>
        <v/>
      </c>
    </row>
    <row r="409" ht="15" customHeight="1">
      <c r="A409" t="inlineStr">
        <is>
          <t>A 50909-2019</t>
        </is>
      </c>
      <c r="B409" s="1" t="n">
        <v>43738</v>
      </c>
      <c r="C409" s="1" t="n">
        <v>45357</v>
      </c>
      <c r="D409" t="inlineStr">
        <is>
          <t>VÄSTERBOTTENS LÄN</t>
        </is>
      </c>
      <c r="E409" t="inlineStr">
        <is>
          <t>ÅSELE</t>
        </is>
      </c>
      <c r="F409" t="inlineStr">
        <is>
          <t>Sveaskog</t>
        </is>
      </c>
      <c r="G409" t="n">
        <v>3.6</v>
      </c>
      <c r="H409" t="n">
        <v>1</v>
      </c>
      <c r="I409" t="n">
        <v>0</v>
      </c>
      <c r="J409" t="n">
        <v>3</v>
      </c>
      <c r="K409" t="n">
        <v>0</v>
      </c>
      <c r="L409" t="n">
        <v>0</v>
      </c>
      <c r="M409" t="n">
        <v>0</v>
      </c>
      <c r="N409" t="n">
        <v>0</v>
      </c>
      <c r="O409" t="n">
        <v>3</v>
      </c>
      <c r="P409" t="n">
        <v>0</v>
      </c>
      <c r="Q409" t="n">
        <v>3</v>
      </c>
      <c r="R409" s="2" t="inlineStr">
        <is>
          <t>Blanksvart spiklav
Blågrå svartspik
Tretåig hackspett</t>
        </is>
      </c>
      <c r="S409">
        <f>HYPERLINK("https://klasma.github.io/Logging_2463/artfynd/A 50909-2019 artfynd.xlsx", "A 50909-2019")</f>
        <v/>
      </c>
      <c r="T409">
        <f>HYPERLINK("https://klasma.github.io/Logging_2463/kartor/A 50909-2019 karta.png", "A 50909-2019")</f>
        <v/>
      </c>
      <c r="V409">
        <f>HYPERLINK("https://klasma.github.io/Logging_2463/klagomål/A 50909-2019 FSC-klagomål.docx", "A 50909-2019")</f>
        <v/>
      </c>
      <c r="W409">
        <f>HYPERLINK("https://klasma.github.io/Logging_2463/klagomålsmail/A 50909-2019 FSC-klagomål mail.docx", "A 50909-2019")</f>
        <v/>
      </c>
      <c r="X409">
        <f>HYPERLINK("https://klasma.github.io/Logging_2463/tillsyn/A 50909-2019 tillsynsbegäran.docx", "A 50909-2019")</f>
        <v/>
      </c>
      <c r="Y409">
        <f>HYPERLINK("https://klasma.github.io/Logging_2463/tillsynsmail/A 50909-2019 tillsynsbegäran mail.docx", "A 50909-2019")</f>
        <v/>
      </c>
      <c r="Z409">
        <f>HYPERLINK("https://klasma.github.io/Logging_2463/fåglar/A 50909-2019 prioriterade fågelarter.docx", "A 50909-2019")</f>
        <v/>
      </c>
    </row>
    <row r="410" ht="15" customHeight="1">
      <c r="A410" t="inlineStr">
        <is>
          <t>A 54111-2019</t>
        </is>
      </c>
      <c r="B410" s="1" t="n">
        <v>43752</v>
      </c>
      <c r="C410" s="1" t="n">
        <v>45357</v>
      </c>
      <c r="D410" t="inlineStr">
        <is>
          <t>VÄSTERBOTTENS LÄN</t>
        </is>
      </c>
      <c r="E410" t="inlineStr">
        <is>
          <t>SKELLEFTEÅ</t>
        </is>
      </c>
      <c r="F410" t="inlineStr">
        <is>
          <t>Sveaskog</t>
        </is>
      </c>
      <c r="G410" t="n">
        <v>30.6</v>
      </c>
      <c r="H410" t="n">
        <v>0</v>
      </c>
      <c r="I410" t="n">
        <v>1</v>
      </c>
      <c r="J410" t="n">
        <v>2</v>
      </c>
      <c r="K410" t="n">
        <v>0</v>
      </c>
      <c r="L410" t="n">
        <v>0</v>
      </c>
      <c r="M410" t="n">
        <v>0</v>
      </c>
      <c r="N410" t="n">
        <v>0</v>
      </c>
      <c r="O410" t="n">
        <v>2</v>
      </c>
      <c r="P410" t="n">
        <v>0</v>
      </c>
      <c r="Q410" t="n">
        <v>3</v>
      </c>
      <c r="R410" s="2" t="inlineStr">
        <is>
          <t>Kolflarnlav
Vedskivlav
Skarp dropptaggsvamp</t>
        </is>
      </c>
      <c r="S410">
        <f>HYPERLINK("https://klasma.github.io/Logging_2482/artfynd/A 54111-2019 artfynd.xlsx", "A 54111-2019")</f>
        <v/>
      </c>
      <c r="T410">
        <f>HYPERLINK("https://klasma.github.io/Logging_2482/kartor/A 54111-2019 karta.png", "A 54111-2019")</f>
        <v/>
      </c>
      <c r="V410">
        <f>HYPERLINK("https://klasma.github.io/Logging_2482/klagomål/A 54111-2019 FSC-klagomål.docx", "A 54111-2019")</f>
        <v/>
      </c>
      <c r="W410">
        <f>HYPERLINK("https://klasma.github.io/Logging_2482/klagomålsmail/A 54111-2019 FSC-klagomål mail.docx", "A 54111-2019")</f>
        <v/>
      </c>
      <c r="X410">
        <f>HYPERLINK("https://klasma.github.io/Logging_2482/tillsyn/A 54111-2019 tillsynsbegäran.docx", "A 54111-2019")</f>
        <v/>
      </c>
      <c r="Y410">
        <f>HYPERLINK("https://klasma.github.io/Logging_2482/tillsynsmail/A 54111-2019 tillsynsbegäran mail.docx", "A 54111-2019")</f>
        <v/>
      </c>
    </row>
    <row r="411" ht="15" customHeight="1">
      <c r="A411" t="inlineStr">
        <is>
          <t>A 56885-2019</t>
        </is>
      </c>
      <c r="B411" s="1" t="n">
        <v>43766</v>
      </c>
      <c r="C411" s="1" t="n">
        <v>45357</v>
      </c>
      <c r="D411" t="inlineStr">
        <is>
          <t>VÄSTERBOTTENS LÄN</t>
        </is>
      </c>
      <c r="E411" t="inlineStr">
        <is>
          <t>STORUMAN</t>
        </is>
      </c>
      <c r="F411" t="inlineStr">
        <is>
          <t>Sveaskog</t>
        </is>
      </c>
      <c r="G411" t="n">
        <v>9.800000000000001</v>
      </c>
      <c r="H411" t="n">
        <v>0</v>
      </c>
      <c r="I411" t="n">
        <v>1</v>
      </c>
      <c r="J411" t="n">
        <v>2</v>
      </c>
      <c r="K411" t="n">
        <v>0</v>
      </c>
      <c r="L411" t="n">
        <v>0</v>
      </c>
      <c r="M411" t="n">
        <v>0</v>
      </c>
      <c r="N411" t="n">
        <v>0</v>
      </c>
      <c r="O411" t="n">
        <v>2</v>
      </c>
      <c r="P411" t="n">
        <v>0</v>
      </c>
      <c r="Q411" t="n">
        <v>3</v>
      </c>
      <c r="R411" s="2" t="inlineStr">
        <is>
          <t>Gammelgransskål
Garnlav
Luddlav</t>
        </is>
      </c>
      <c r="S411">
        <f>HYPERLINK("https://klasma.github.io/Logging_2421/artfynd/A 56885-2019 artfynd.xlsx", "A 56885-2019")</f>
        <v/>
      </c>
      <c r="T411">
        <f>HYPERLINK("https://klasma.github.io/Logging_2421/kartor/A 56885-2019 karta.png", "A 56885-2019")</f>
        <v/>
      </c>
      <c r="V411">
        <f>HYPERLINK("https://klasma.github.io/Logging_2421/klagomål/A 56885-2019 FSC-klagomål.docx", "A 56885-2019")</f>
        <v/>
      </c>
      <c r="W411">
        <f>HYPERLINK("https://klasma.github.io/Logging_2421/klagomålsmail/A 56885-2019 FSC-klagomål mail.docx", "A 56885-2019")</f>
        <v/>
      </c>
      <c r="X411">
        <f>HYPERLINK("https://klasma.github.io/Logging_2421/tillsyn/A 56885-2019 tillsynsbegäran.docx", "A 56885-2019")</f>
        <v/>
      </c>
      <c r="Y411">
        <f>HYPERLINK("https://klasma.github.io/Logging_2421/tillsynsmail/A 56885-2019 tillsynsbegäran mail.docx", "A 56885-2019")</f>
        <v/>
      </c>
    </row>
    <row r="412" ht="15" customHeight="1">
      <c r="A412" t="inlineStr">
        <is>
          <t>A 57209-2019</t>
        </is>
      </c>
      <c r="B412" s="1" t="n">
        <v>43767</v>
      </c>
      <c r="C412" s="1" t="n">
        <v>45357</v>
      </c>
      <c r="D412" t="inlineStr">
        <is>
          <t>VÄSTERBOTTENS LÄN</t>
        </is>
      </c>
      <c r="E412" t="inlineStr">
        <is>
          <t>MALÅ</t>
        </is>
      </c>
      <c r="F412" t="inlineStr">
        <is>
          <t>Sveaskog</t>
        </is>
      </c>
      <c r="G412" t="n">
        <v>7.7</v>
      </c>
      <c r="H412" t="n">
        <v>0</v>
      </c>
      <c r="I412" t="n">
        <v>1</v>
      </c>
      <c r="J412" t="n">
        <v>2</v>
      </c>
      <c r="K412" t="n">
        <v>0</v>
      </c>
      <c r="L412" t="n">
        <v>0</v>
      </c>
      <c r="M412" t="n">
        <v>0</v>
      </c>
      <c r="N412" t="n">
        <v>0</v>
      </c>
      <c r="O412" t="n">
        <v>2</v>
      </c>
      <c r="P412" t="n">
        <v>0</v>
      </c>
      <c r="Q412" t="n">
        <v>3</v>
      </c>
      <c r="R412" s="2" t="inlineStr">
        <is>
          <t>Gammelgransskål
Lunglav
Stuplav</t>
        </is>
      </c>
      <c r="S412">
        <f>HYPERLINK("https://klasma.github.io/Logging_2418/artfynd/A 57209-2019 artfynd.xlsx", "A 57209-2019")</f>
        <v/>
      </c>
      <c r="T412">
        <f>HYPERLINK("https://klasma.github.io/Logging_2418/kartor/A 57209-2019 karta.png", "A 57209-2019")</f>
        <v/>
      </c>
      <c r="V412">
        <f>HYPERLINK("https://klasma.github.io/Logging_2418/klagomål/A 57209-2019 FSC-klagomål.docx", "A 57209-2019")</f>
        <v/>
      </c>
      <c r="W412">
        <f>HYPERLINK("https://klasma.github.io/Logging_2418/klagomålsmail/A 57209-2019 FSC-klagomål mail.docx", "A 57209-2019")</f>
        <v/>
      </c>
      <c r="X412">
        <f>HYPERLINK("https://klasma.github.io/Logging_2418/tillsyn/A 57209-2019 tillsynsbegäran.docx", "A 57209-2019")</f>
        <v/>
      </c>
      <c r="Y412">
        <f>HYPERLINK("https://klasma.github.io/Logging_2418/tillsynsmail/A 57209-2019 tillsynsbegäran mail.docx", "A 57209-2019")</f>
        <v/>
      </c>
    </row>
    <row r="413" ht="15" customHeight="1">
      <c r="A413" t="inlineStr">
        <is>
          <t>A 64056-2019</t>
        </is>
      </c>
      <c r="B413" s="1" t="n">
        <v>43796</v>
      </c>
      <c r="C413" s="1" t="n">
        <v>45357</v>
      </c>
      <c r="D413" t="inlineStr">
        <is>
          <t>VÄSTERBOTTENS LÄN</t>
        </is>
      </c>
      <c r="E413" t="inlineStr">
        <is>
          <t>SKELLEFTEÅ</t>
        </is>
      </c>
      <c r="F413" t="inlineStr">
        <is>
          <t>Sveaskog</t>
        </is>
      </c>
      <c r="G413" t="n">
        <v>4.1</v>
      </c>
      <c r="H413" t="n">
        <v>0</v>
      </c>
      <c r="I413" t="n">
        <v>0</v>
      </c>
      <c r="J413" t="n">
        <v>3</v>
      </c>
      <c r="K413" t="n">
        <v>0</v>
      </c>
      <c r="L413" t="n">
        <v>0</v>
      </c>
      <c r="M413" t="n">
        <v>0</v>
      </c>
      <c r="N413" t="n">
        <v>0</v>
      </c>
      <c r="O413" t="n">
        <v>3</v>
      </c>
      <c r="P413" t="n">
        <v>0</v>
      </c>
      <c r="Q413" t="n">
        <v>3</v>
      </c>
      <c r="R413" s="2" t="inlineStr">
        <is>
          <t>Gammelgransskål
Garnlav
Lunglav</t>
        </is>
      </c>
      <c r="S413">
        <f>HYPERLINK("https://klasma.github.io/Logging_2482/artfynd/A 64056-2019 artfynd.xlsx", "A 64056-2019")</f>
        <v/>
      </c>
      <c r="T413">
        <f>HYPERLINK("https://klasma.github.io/Logging_2482/kartor/A 64056-2019 karta.png", "A 64056-2019")</f>
        <v/>
      </c>
      <c r="V413">
        <f>HYPERLINK("https://klasma.github.io/Logging_2482/klagomål/A 64056-2019 FSC-klagomål.docx", "A 64056-2019")</f>
        <v/>
      </c>
      <c r="W413">
        <f>HYPERLINK("https://klasma.github.io/Logging_2482/klagomålsmail/A 64056-2019 FSC-klagomål mail.docx", "A 64056-2019")</f>
        <v/>
      </c>
      <c r="X413">
        <f>HYPERLINK("https://klasma.github.io/Logging_2482/tillsyn/A 64056-2019 tillsynsbegäran.docx", "A 64056-2019")</f>
        <v/>
      </c>
      <c r="Y413">
        <f>HYPERLINK("https://klasma.github.io/Logging_2482/tillsynsmail/A 64056-2019 tillsynsbegäran mail.docx", "A 64056-2019")</f>
        <v/>
      </c>
    </row>
    <row r="414" ht="15" customHeight="1">
      <c r="A414" t="inlineStr">
        <is>
          <t>A 3109-2020</t>
        </is>
      </c>
      <c r="B414" s="1" t="n">
        <v>43851</v>
      </c>
      <c r="C414" s="1" t="n">
        <v>45357</v>
      </c>
      <c r="D414" t="inlineStr">
        <is>
          <t>VÄSTERBOTTENS LÄN</t>
        </is>
      </c>
      <c r="E414" t="inlineStr">
        <is>
          <t>UMEÅ</t>
        </is>
      </c>
      <c r="G414" t="n">
        <v>2.2</v>
      </c>
      <c r="H414" t="n">
        <v>1</v>
      </c>
      <c r="I414" t="n">
        <v>1</v>
      </c>
      <c r="J414" t="n">
        <v>1</v>
      </c>
      <c r="K414" t="n">
        <v>1</v>
      </c>
      <c r="L414" t="n">
        <v>0</v>
      </c>
      <c r="M414" t="n">
        <v>0</v>
      </c>
      <c r="N414" t="n">
        <v>0</v>
      </c>
      <c r="O414" t="n">
        <v>2</v>
      </c>
      <c r="P414" t="n">
        <v>1</v>
      </c>
      <c r="Q414" t="n">
        <v>3</v>
      </c>
      <c r="R414" s="2" t="inlineStr">
        <is>
          <t>Långskägg
Granticka
Vedticka</t>
        </is>
      </c>
      <c r="S414">
        <f>HYPERLINK("https://klasma.github.io/Logging_2480/artfynd/A 3109-2020 artfynd.xlsx", "A 3109-2020")</f>
        <v/>
      </c>
      <c r="T414">
        <f>HYPERLINK("https://klasma.github.io/Logging_2480/kartor/A 3109-2020 karta.png", "A 3109-2020")</f>
        <v/>
      </c>
      <c r="V414">
        <f>HYPERLINK("https://klasma.github.io/Logging_2480/klagomål/A 3109-2020 FSC-klagomål.docx", "A 3109-2020")</f>
        <v/>
      </c>
      <c r="W414">
        <f>HYPERLINK("https://klasma.github.io/Logging_2480/klagomålsmail/A 3109-2020 FSC-klagomål mail.docx", "A 3109-2020")</f>
        <v/>
      </c>
      <c r="X414">
        <f>HYPERLINK("https://klasma.github.io/Logging_2480/tillsyn/A 3109-2020 tillsynsbegäran.docx", "A 3109-2020")</f>
        <v/>
      </c>
      <c r="Y414">
        <f>HYPERLINK("https://klasma.github.io/Logging_2480/tillsynsmail/A 3109-2020 tillsynsbegäran mail.docx", "A 3109-2020")</f>
        <v/>
      </c>
    </row>
    <row r="415" ht="15" customHeight="1">
      <c r="A415" t="inlineStr">
        <is>
          <t>A 14267-2020</t>
        </is>
      </c>
      <c r="B415" s="1" t="n">
        <v>43901</v>
      </c>
      <c r="C415" s="1" t="n">
        <v>45357</v>
      </c>
      <c r="D415" t="inlineStr">
        <is>
          <t>VÄSTERBOTTENS LÄN</t>
        </is>
      </c>
      <c r="E415" t="inlineStr">
        <is>
          <t>UMEÅ</t>
        </is>
      </c>
      <c r="G415" t="n">
        <v>2.2</v>
      </c>
      <c r="H415" t="n">
        <v>1</v>
      </c>
      <c r="I415" t="n">
        <v>1</v>
      </c>
      <c r="J415" t="n">
        <v>2</v>
      </c>
      <c r="K415" t="n">
        <v>0</v>
      </c>
      <c r="L415" t="n">
        <v>0</v>
      </c>
      <c r="M415" t="n">
        <v>0</v>
      </c>
      <c r="N415" t="n">
        <v>0</v>
      </c>
      <c r="O415" t="n">
        <v>2</v>
      </c>
      <c r="P415" t="n">
        <v>0</v>
      </c>
      <c r="Q415" t="n">
        <v>3</v>
      </c>
      <c r="R415" s="2" t="inlineStr">
        <is>
          <t>Garnlav
Tretåig hackspett
Vedticka</t>
        </is>
      </c>
      <c r="S415">
        <f>HYPERLINK("https://klasma.github.io/Logging_2480/artfynd/A 14267-2020 artfynd.xlsx", "A 14267-2020")</f>
        <v/>
      </c>
      <c r="T415">
        <f>HYPERLINK("https://klasma.github.io/Logging_2480/kartor/A 14267-2020 karta.png", "A 14267-2020")</f>
        <v/>
      </c>
      <c r="V415">
        <f>HYPERLINK("https://klasma.github.io/Logging_2480/klagomål/A 14267-2020 FSC-klagomål.docx", "A 14267-2020")</f>
        <v/>
      </c>
      <c r="W415">
        <f>HYPERLINK("https://klasma.github.io/Logging_2480/klagomålsmail/A 14267-2020 FSC-klagomål mail.docx", "A 14267-2020")</f>
        <v/>
      </c>
      <c r="X415">
        <f>HYPERLINK("https://klasma.github.io/Logging_2480/tillsyn/A 14267-2020 tillsynsbegäran.docx", "A 14267-2020")</f>
        <v/>
      </c>
      <c r="Y415">
        <f>HYPERLINK("https://klasma.github.io/Logging_2480/tillsynsmail/A 14267-2020 tillsynsbegäran mail.docx", "A 14267-2020")</f>
        <v/>
      </c>
      <c r="Z415">
        <f>HYPERLINK("https://klasma.github.io/Logging_2480/fåglar/A 14267-2020 prioriterade fågelarter.docx", "A 14267-2020")</f>
        <v/>
      </c>
    </row>
    <row r="416" ht="15" customHeight="1">
      <c r="A416" t="inlineStr">
        <is>
          <t>A 17571-2020</t>
        </is>
      </c>
      <c r="B416" s="1" t="n">
        <v>43920</v>
      </c>
      <c r="C416" s="1" t="n">
        <v>45357</v>
      </c>
      <c r="D416" t="inlineStr">
        <is>
          <t>VÄSTERBOTTENS LÄN</t>
        </is>
      </c>
      <c r="E416" t="inlineStr">
        <is>
          <t>BJURHOLM</t>
        </is>
      </c>
      <c r="G416" t="n">
        <v>12.1</v>
      </c>
      <c r="H416" t="n">
        <v>0</v>
      </c>
      <c r="I416" t="n">
        <v>0</v>
      </c>
      <c r="J416" t="n">
        <v>3</v>
      </c>
      <c r="K416" t="n">
        <v>0</v>
      </c>
      <c r="L416" t="n">
        <v>0</v>
      </c>
      <c r="M416" t="n">
        <v>0</v>
      </c>
      <c r="N416" t="n">
        <v>0</v>
      </c>
      <c r="O416" t="n">
        <v>3</v>
      </c>
      <c r="P416" t="n">
        <v>0</v>
      </c>
      <c r="Q416" t="n">
        <v>3</v>
      </c>
      <c r="R416" s="2" t="inlineStr">
        <is>
          <t>Garnlav
Ullticka
Violettgrå tagellav</t>
        </is>
      </c>
      <c r="S416">
        <f>HYPERLINK("https://klasma.github.io/Logging_2403/artfynd/A 17571-2020 artfynd.xlsx", "A 17571-2020")</f>
        <v/>
      </c>
      <c r="T416">
        <f>HYPERLINK("https://klasma.github.io/Logging_2403/kartor/A 17571-2020 karta.png", "A 17571-2020")</f>
        <v/>
      </c>
      <c r="V416">
        <f>HYPERLINK("https://klasma.github.io/Logging_2403/klagomål/A 17571-2020 FSC-klagomål.docx", "A 17571-2020")</f>
        <v/>
      </c>
      <c r="W416">
        <f>HYPERLINK("https://klasma.github.io/Logging_2403/klagomålsmail/A 17571-2020 FSC-klagomål mail.docx", "A 17571-2020")</f>
        <v/>
      </c>
      <c r="X416">
        <f>HYPERLINK("https://klasma.github.io/Logging_2403/tillsyn/A 17571-2020 tillsynsbegäran.docx", "A 17571-2020")</f>
        <v/>
      </c>
      <c r="Y416">
        <f>HYPERLINK("https://klasma.github.io/Logging_2403/tillsynsmail/A 17571-2020 tillsynsbegäran mail.docx", "A 17571-2020")</f>
        <v/>
      </c>
    </row>
    <row r="417" ht="15" customHeight="1">
      <c r="A417" t="inlineStr">
        <is>
          <t>A 18717-2020</t>
        </is>
      </c>
      <c r="B417" s="1" t="n">
        <v>43930</v>
      </c>
      <c r="C417" s="1" t="n">
        <v>45357</v>
      </c>
      <c r="D417" t="inlineStr">
        <is>
          <t>VÄSTERBOTTENS LÄN</t>
        </is>
      </c>
      <c r="E417" t="inlineStr">
        <is>
          <t>NORDMALING</t>
        </is>
      </c>
      <c r="G417" t="n">
        <v>4.3</v>
      </c>
      <c r="H417" t="n">
        <v>0</v>
      </c>
      <c r="I417" t="n">
        <v>1</v>
      </c>
      <c r="J417" t="n">
        <v>2</v>
      </c>
      <c r="K417" t="n">
        <v>0</v>
      </c>
      <c r="L417" t="n">
        <v>0</v>
      </c>
      <c r="M417" t="n">
        <v>0</v>
      </c>
      <c r="N417" t="n">
        <v>0</v>
      </c>
      <c r="O417" t="n">
        <v>2</v>
      </c>
      <c r="P417" t="n">
        <v>0</v>
      </c>
      <c r="Q417" t="n">
        <v>3</v>
      </c>
      <c r="R417" s="2" t="inlineStr">
        <is>
          <t>Gammelgransskål
Vitgrynig nållav
Vedticka</t>
        </is>
      </c>
      <c r="S417">
        <f>HYPERLINK("https://klasma.github.io/Logging_2401/artfynd/A 18717-2020 artfynd.xlsx", "A 18717-2020")</f>
        <v/>
      </c>
      <c r="T417">
        <f>HYPERLINK("https://klasma.github.io/Logging_2401/kartor/A 18717-2020 karta.png", "A 18717-2020")</f>
        <v/>
      </c>
      <c r="V417">
        <f>HYPERLINK("https://klasma.github.io/Logging_2401/klagomål/A 18717-2020 FSC-klagomål.docx", "A 18717-2020")</f>
        <v/>
      </c>
      <c r="W417">
        <f>HYPERLINK("https://klasma.github.io/Logging_2401/klagomålsmail/A 18717-2020 FSC-klagomål mail.docx", "A 18717-2020")</f>
        <v/>
      </c>
      <c r="X417">
        <f>HYPERLINK("https://klasma.github.io/Logging_2401/tillsyn/A 18717-2020 tillsynsbegäran.docx", "A 18717-2020")</f>
        <v/>
      </c>
      <c r="Y417">
        <f>HYPERLINK("https://klasma.github.io/Logging_2401/tillsynsmail/A 18717-2020 tillsynsbegäran mail.docx", "A 18717-2020")</f>
        <v/>
      </c>
    </row>
    <row r="418" ht="15" customHeight="1">
      <c r="A418" t="inlineStr">
        <is>
          <t>A 26628-2020</t>
        </is>
      </c>
      <c r="B418" s="1" t="n">
        <v>43987</v>
      </c>
      <c r="C418" s="1" t="n">
        <v>45357</v>
      </c>
      <c r="D418" t="inlineStr">
        <is>
          <t>VÄSTERBOTTENS LÄN</t>
        </is>
      </c>
      <c r="E418" t="inlineStr">
        <is>
          <t>VILHELMINA</t>
        </is>
      </c>
      <c r="F418" t="inlineStr">
        <is>
          <t>SCA</t>
        </is>
      </c>
      <c r="G418" t="n">
        <v>8.9</v>
      </c>
      <c r="H418" t="n">
        <v>0</v>
      </c>
      <c r="I418" t="n">
        <v>1</v>
      </c>
      <c r="J418" t="n">
        <v>2</v>
      </c>
      <c r="K418" t="n">
        <v>0</v>
      </c>
      <c r="L418" t="n">
        <v>0</v>
      </c>
      <c r="M418" t="n">
        <v>0</v>
      </c>
      <c r="N418" t="n">
        <v>0</v>
      </c>
      <c r="O418" t="n">
        <v>2</v>
      </c>
      <c r="P418" t="n">
        <v>0</v>
      </c>
      <c r="Q418" t="n">
        <v>3</v>
      </c>
      <c r="R418" s="2" t="inlineStr">
        <is>
          <t>Granticka
Vitgrynig nållav
Vedticka</t>
        </is>
      </c>
      <c r="S418">
        <f>HYPERLINK("https://klasma.github.io/Logging_2462/artfynd/A 26628-2020 artfynd.xlsx", "A 26628-2020")</f>
        <v/>
      </c>
      <c r="T418">
        <f>HYPERLINK("https://klasma.github.io/Logging_2462/kartor/A 26628-2020 karta.png", "A 26628-2020")</f>
        <v/>
      </c>
      <c r="V418">
        <f>HYPERLINK("https://klasma.github.io/Logging_2462/klagomål/A 26628-2020 FSC-klagomål.docx", "A 26628-2020")</f>
        <v/>
      </c>
      <c r="W418">
        <f>HYPERLINK("https://klasma.github.io/Logging_2462/klagomålsmail/A 26628-2020 FSC-klagomål mail.docx", "A 26628-2020")</f>
        <v/>
      </c>
      <c r="X418">
        <f>HYPERLINK("https://klasma.github.io/Logging_2462/tillsyn/A 26628-2020 tillsynsbegäran.docx", "A 26628-2020")</f>
        <v/>
      </c>
      <c r="Y418">
        <f>HYPERLINK("https://klasma.github.io/Logging_2462/tillsynsmail/A 26628-2020 tillsynsbegäran mail.docx", "A 26628-2020")</f>
        <v/>
      </c>
    </row>
    <row r="419" ht="15" customHeight="1">
      <c r="A419" t="inlineStr">
        <is>
          <t>A 32940-2020</t>
        </is>
      </c>
      <c r="B419" s="1" t="n">
        <v>44018</v>
      </c>
      <c r="C419" s="1" t="n">
        <v>45357</v>
      </c>
      <c r="D419" t="inlineStr">
        <is>
          <t>VÄSTERBOTTENS LÄN</t>
        </is>
      </c>
      <c r="E419" t="inlineStr">
        <is>
          <t>SKELLEFTEÅ</t>
        </is>
      </c>
      <c r="G419" t="n">
        <v>15.6</v>
      </c>
      <c r="H419" t="n">
        <v>0</v>
      </c>
      <c r="I419" t="n">
        <v>1</v>
      </c>
      <c r="J419" t="n">
        <v>1</v>
      </c>
      <c r="K419" t="n">
        <v>1</v>
      </c>
      <c r="L419" t="n">
        <v>0</v>
      </c>
      <c r="M419" t="n">
        <v>0</v>
      </c>
      <c r="N419" t="n">
        <v>0</v>
      </c>
      <c r="O419" t="n">
        <v>2</v>
      </c>
      <c r="P419" t="n">
        <v>1</v>
      </c>
      <c r="Q419" t="n">
        <v>3</v>
      </c>
      <c r="R419" s="2" t="inlineStr">
        <is>
          <t>Goliatmusseron
Skrovlig taggsvamp
Dropptaggsvamp</t>
        </is>
      </c>
      <c r="S419">
        <f>HYPERLINK("https://klasma.github.io/Logging_2482/artfynd/A 32940-2020 artfynd.xlsx", "A 32940-2020")</f>
        <v/>
      </c>
      <c r="T419">
        <f>HYPERLINK("https://klasma.github.io/Logging_2482/kartor/A 32940-2020 karta.png", "A 32940-2020")</f>
        <v/>
      </c>
      <c r="V419">
        <f>HYPERLINK("https://klasma.github.io/Logging_2482/klagomål/A 32940-2020 FSC-klagomål.docx", "A 32940-2020")</f>
        <v/>
      </c>
      <c r="W419">
        <f>HYPERLINK("https://klasma.github.io/Logging_2482/klagomålsmail/A 32940-2020 FSC-klagomål mail.docx", "A 32940-2020")</f>
        <v/>
      </c>
      <c r="X419">
        <f>HYPERLINK("https://klasma.github.io/Logging_2482/tillsyn/A 32940-2020 tillsynsbegäran.docx", "A 32940-2020")</f>
        <v/>
      </c>
      <c r="Y419">
        <f>HYPERLINK("https://klasma.github.io/Logging_2482/tillsynsmail/A 32940-2020 tillsynsbegäran mail.docx", "A 32940-2020")</f>
        <v/>
      </c>
    </row>
    <row r="420" ht="15" customHeight="1">
      <c r="A420" t="inlineStr">
        <is>
          <t>A 35082-2020</t>
        </is>
      </c>
      <c r="B420" s="1" t="n">
        <v>44039</v>
      </c>
      <c r="C420" s="1" t="n">
        <v>45357</v>
      </c>
      <c r="D420" t="inlineStr">
        <is>
          <t>VÄSTERBOTTENS LÄN</t>
        </is>
      </c>
      <c r="E420" t="inlineStr">
        <is>
          <t>VILHELMINA</t>
        </is>
      </c>
      <c r="F420" t="inlineStr">
        <is>
          <t>SCA</t>
        </is>
      </c>
      <c r="G420" t="n">
        <v>8.9</v>
      </c>
      <c r="H420" t="n">
        <v>0</v>
      </c>
      <c r="I420" t="n">
        <v>1</v>
      </c>
      <c r="J420" t="n">
        <v>2</v>
      </c>
      <c r="K420" t="n">
        <v>0</v>
      </c>
      <c r="L420" t="n">
        <v>0</v>
      </c>
      <c r="M420" t="n">
        <v>0</v>
      </c>
      <c r="N420" t="n">
        <v>0</v>
      </c>
      <c r="O420" t="n">
        <v>2</v>
      </c>
      <c r="P420" t="n">
        <v>0</v>
      </c>
      <c r="Q420" t="n">
        <v>3</v>
      </c>
      <c r="R420" s="2" t="inlineStr">
        <is>
          <t>Granticka
Vitgrynig nållav
Vedticka</t>
        </is>
      </c>
      <c r="S420">
        <f>HYPERLINK("https://klasma.github.io/Logging_2462/artfynd/A 35082-2020 artfynd.xlsx", "A 35082-2020")</f>
        <v/>
      </c>
      <c r="T420">
        <f>HYPERLINK("https://klasma.github.io/Logging_2462/kartor/A 35082-2020 karta.png", "A 35082-2020")</f>
        <v/>
      </c>
      <c r="V420">
        <f>HYPERLINK("https://klasma.github.io/Logging_2462/klagomål/A 35082-2020 FSC-klagomål.docx", "A 35082-2020")</f>
        <v/>
      </c>
      <c r="W420">
        <f>HYPERLINK("https://klasma.github.io/Logging_2462/klagomålsmail/A 35082-2020 FSC-klagomål mail.docx", "A 35082-2020")</f>
        <v/>
      </c>
      <c r="X420">
        <f>HYPERLINK("https://klasma.github.io/Logging_2462/tillsyn/A 35082-2020 tillsynsbegäran.docx", "A 35082-2020")</f>
        <v/>
      </c>
      <c r="Y420">
        <f>HYPERLINK("https://klasma.github.io/Logging_2462/tillsynsmail/A 35082-2020 tillsynsbegäran mail.docx", "A 35082-2020")</f>
        <v/>
      </c>
    </row>
    <row r="421" ht="15" customHeight="1">
      <c r="A421" t="inlineStr">
        <is>
          <t>A 40137-2020</t>
        </is>
      </c>
      <c r="B421" s="1" t="n">
        <v>44064</v>
      </c>
      <c r="C421" s="1" t="n">
        <v>45357</v>
      </c>
      <c r="D421" t="inlineStr">
        <is>
          <t>VÄSTERBOTTENS LÄN</t>
        </is>
      </c>
      <c r="E421" t="inlineStr">
        <is>
          <t>NORDMALING</t>
        </is>
      </c>
      <c r="G421" t="n">
        <v>0.8</v>
      </c>
      <c r="H421" t="n">
        <v>0</v>
      </c>
      <c r="I421" t="n">
        <v>2</v>
      </c>
      <c r="J421" t="n">
        <v>1</v>
      </c>
      <c r="K421" t="n">
        <v>0</v>
      </c>
      <c r="L421" t="n">
        <v>0</v>
      </c>
      <c r="M421" t="n">
        <v>0</v>
      </c>
      <c r="N421" t="n">
        <v>0</v>
      </c>
      <c r="O421" t="n">
        <v>1</v>
      </c>
      <c r="P421" t="n">
        <v>0</v>
      </c>
      <c r="Q421" t="n">
        <v>3</v>
      </c>
      <c r="R421" s="2" t="inlineStr">
        <is>
          <t>Ullticka
Bronshjon
Skinnlav</t>
        </is>
      </c>
      <c r="S421">
        <f>HYPERLINK("https://klasma.github.io/Logging_2401/artfynd/A 40137-2020 artfynd.xlsx", "A 40137-2020")</f>
        <v/>
      </c>
      <c r="T421">
        <f>HYPERLINK("https://klasma.github.io/Logging_2401/kartor/A 40137-2020 karta.png", "A 40137-2020")</f>
        <v/>
      </c>
      <c r="V421">
        <f>HYPERLINK("https://klasma.github.io/Logging_2401/klagomål/A 40137-2020 FSC-klagomål.docx", "A 40137-2020")</f>
        <v/>
      </c>
      <c r="W421">
        <f>HYPERLINK("https://klasma.github.io/Logging_2401/klagomålsmail/A 40137-2020 FSC-klagomål mail.docx", "A 40137-2020")</f>
        <v/>
      </c>
      <c r="X421">
        <f>HYPERLINK("https://klasma.github.io/Logging_2401/tillsyn/A 40137-2020 tillsynsbegäran.docx", "A 40137-2020")</f>
        <v/>
      </c>
      <c r="Y421">
        <f>HYPERLINK("https://klasma.github.io/Logging_2401/tillsynsmail/A 40137-2020 tillsynsbegäran mail.docx", "A 40137-2020")</f>
        <v/>
      </c>
    </row>
    <row r="422" ht="15" customHeight="1">
      <c r="A422" t="inlineStr">
        <is>
          <t>A 40421-2020</t>
        </is>
      </c>
      <c r="B422" s="1" t="n">
        <v>44068</v>
      </c>
      <c r="C422" s="1" t="n">
        <v>45357</v>
      </c>
      <c r="D422" t="inlineStr">
        <is>
          <t>VÄSTERBOTTENS LÄN</t>
        </is>
      </c>
      <c r="E422" t="inlineStr">
        <is>
          <t>UMEÅ</t>
        </is>
      </c>
      <c r="F422" t="inlineStr">
        <is>
          <t>Kommuner</t>
        </is>
      </c>
      <c r="G422" t="n">
        <v>3</v>
      </c>
      <c r="H422" t="n">
        <v>1</v>
      </c>
      <c r="I422" t="n">
        <v>1</v>
      </c>
      <c r="J422" t="n">
        <v>2</v>
      </c>
      <c r="K422" t="n">
        <v>0</v>
      </c>
      <c r="L422" t="n">
        <v>0</v>
      </c>
      <c r="M422" t="n">
        <v>0</v>
      </c>
      <c r="N422" t="n">
        <v>0</v>
      </c>
      <c r="O422" t="n">
        <v>2</v>
      </c>
      <c r="P422" t="n">
        <v>0</v>
      </c>
      <c r="Q422" t="n">
        <v>3</v>
      </c>
      <c r="R422" s="2" t="inlineStr">
        <is>
          <t>Garnlav
Tretåig hackspett
Nästlav</t>
        </is>
      </c>
      <c r="S422">
        <f>HYPERLINK("https://klasma.github.io/Logging_2480/artfynd/A 40421-2020 artfynd.xlsx", "A 40421-2020")</f>
        <v/>
      </c>
      <c r="T422">
        <f>HYPERLINK("https://klasma.github.io/Logging_2480/kartor/A 40421-2020 karta.png", "A 40421-2020")</f>
        <v/>
      </c>
      <c r="V422">
        <f>HYPERLINK("https://klasma.github.io/Logging_2480/klagomål/A 40421-2020 FSC-klagomål.docx", "A 40421-2020")</f>
        <v/>
      </c>
      <c r="W422">
        <f>HYPERLINK("https://klasma.github.io/Logging_2480/klagomålsmail/A 40421-2020 FSC-klagomål mail.docx", "A 40421-2020")</f>
        <v/>
      </c>
      <c r="X422">
        <f>HYPERLINK("https://klasma.github.io/Logging_2480/tillsyn/A 40421-2020 tillsynsbegäran.docx", "A 40421-2020")</f>
        <v/>
      </c>
      <c r="Y422">
        <f>HYPERLINK("https://klasma.github.io/Logging_2480/tillsynsmail/A 40421-2020 tillsynsbegäran mail.docx", "A 40421-2020")</f>
        <v/>
      </c>
      <c r="Z422">
        <f>HYPERLINK("https://klasma.github.io/Logging_2480/fåglar/A 40421-2020 prioriterade fågelarter.docx", "A 40421-2020")</f>
        <v/>
      </c>
    </row>
    <row r="423" ht="15" customHeight="1">
      <c r="A423" t="inlineStr">
        <is>
          <t>A 40098-2020</t>
        </is>
      </c>
      <c r="B423" s="1" t="n">
        <v>44068</v>
      </c>
      <c r="C423" s="1" t="n">
        <v>45357</v>
      </c>
      <c r="D423" t="inlineStr">
        <is>
          <t>VÄSTERBOTTENS LÄN</t>
        </is>
      </c>
      <c r="E423" t="inlineStr">
        <is>
          <t>ROBERTSFORS</t>
        </is>
      </c>
      <c r="F423" t="inlineStr">
        <is>
          <t>Holmen skog AB</t>
        </is>
      </c>
      <c r="G423" t="n">
        <v>4.6</v>
      </c>
      <c r="H423" t="n">
        <v>2</v>
      </c>
      <c r="I423" t="n">
        <v>0</v>
      </c>
      <c r="J423" t="n">
        <v>3</v>
      </c>
      <c r="K423" t="n">
        <v>0</v>
      </c>
      <c r="L423" t="n">
        <v>0</v>
      </c>
      <c r="M423" t="n">
        <v>0</v>
      </c>
      <c r="N423" t="n">
        <v>0</v>
      </c>
      <c r="O423" t="n">
        <v>3</v>
      </c>
      <c r="P423" t="n">
        <v>0</v>
      </c>
      <c r="Q423" t="n">
        <v>3</v>
      </c>
      <c r="R423" s="2" t="inlineStr">
        <is>
          <t>Garnlav
Spillkråka
Tretåig hackspett</t>
        </is>
      </c>
      <c r="S423">
        <f>HYPERLINK("https://klasma.github.io/Logging_2409/artfynd/A 40098-2020 artfynd.xlsx", "A 40098-2020")</f>
        <v/>
      </c>
      <c r="T423">
        <f>HYPERLINK("https://klasma.github.io/Logging_2409/kartor/A 40098-2020 karta.png", "A 40098-2020")</f>
        <v/>
      </c>
      <c r="V423">
        <f>HYPERLINK("https://klasma.github.io/Logging_2409/klagomål/A 40098-2020 FSC-klagomål.docx", "A 40098-2020")</f>
        <v/>
      </c>
      <c r="W423">
        <f>HYPERLINK("https://klasma.github.io/Logging_2409/klagomålsmail/A 40098-2020 FSC-klagomål mail.docx", "A 40098-2020")</f>
        <v/>
      </c>
      <c r="X423">
        <f>HYPERLINK("https://klasma.github.io/Logging_2409/tillsyn/A 40098-2020 tillsynsbegäran.docx", "A 40098-2020")</f>
        <v/>
      </c>
      <c r="Y423">
        <f>HYPERLINK("https://klasma.github.io/Logging_2409/tillsynsmail/A 40098-2020 tillsynsbegäran mail.docx", "A 40098-2020")</f>
        <v/>
      </c>
      <c r="Z423">
        <f>HYPERLINK("https://klasma.github.io/Logging_2409/fåglar/A 40098-2020 prioriterade fågelarter.docx", "A 40098-2020")</f>
        <v/>
      </c>
    </row>
    <row r="424" ht="15" customHeight="1">
      <c r="A424" t="inlineStr">
        <is>
          <t>A 51376-2020</t>
        </is>
      </c>
      <c r="B424" s="1" t="n">
        <v>44112</v>
      </c>
      <c r="C424" s="1" t="n">
        <v>45357</v>
      </c>
      <c r="D424" t="inlineStr">
        <is>
          <t>VÄSTERBOTTENS LÄN</t>
        </is>
      </c>
      <c r="E424" t="inlineStr">
        <is>
          <t>DOROTEA</t>
        </is>
      </c>
      <c r="F424" t="inlineStr">
        <is>
          <t>SCA</t>
        </is>
      </c>
      <c r="G424" t="n">
        <v>8</v>
      </c>
      <c r="H424" t="n">
        <v>0</v>
      </c>
      <c r="I424" t="n">
        <v>0</v>
      </c>
      <c r="J424" t="n">
        <v>3</v>
      </c>
      <c r="K424" t="n">
        <v>0</v>
      </c>
      <c r="L424" t="n">
        <v>0</v>
      </c>
      <c r="M424" t="n">
        <v>0</v>
      </c>
      <c r="N424" t="n">
        <v>0</v>
      </c>
      <c r="O424" t="n">
        <v>3</v>
      </c>
      <c r="P424" t="n">
        <v>0</v>
      </c>
      <c r="Q424" t="n">
        <v>3</v>
      </c>
      <c r="R424" s="2" t="inlineStr">
        <is>
          <t>Granticka
Harticka
Knottrig blåslav</t>
        </is>
      </c>
      <c r="S424">
        <f>HYPERLINK("https://klasma.github.io/Logging_2425/artfynd/A 51376-2020 artfynd.xlsx", "A 51376-2020")</f>
        <v/>
      </c>
      <c r="T424">
        <f>HYPERLINK("https://klasma.github.io/Logging_2425/kartor/A 51376-2020 karta.png", "A 51376-2020")</f>
        <v/>
      </c>
      <c r="V424">
        <f>HYPERLINK("https://klasma.github.io/Logging_2425/klagomål/A 51376-2020 FSC-klagomål.docx", "A 51376-2020")</f>
        <v/>
      </c>
      <c r="W424">
        <f>HYPERLINK("https://klasma.github.io/Logging_2425/klagomålsmail/A 51376-2020 FSC-klagomål mail.docx", "A 51376-2020")</f>
        <v/>
      </c>
      <c r="X424">
        <f>HYPERLINK("https://klasma.github.io/Logging_2425/tillsyn/A 51376-2020 tillsynsbegäran.docx", "A 51376-2020")</f>
        <v/>
      </c>
      <c r="Y424">
        <f>HYPERLINK("https://klasma.github.io/Logging_2425/tillsynsmail/A 51376-2020 tillsynsbegäran mail.docx", "A 51376-2020")</f>
        <v/>
      </c>
    </row>
    <row r="425" ht="15" customHeight="1">
      <c r="A425" t="inlineStr">
        <is>
          <t>A 55616-2020</t>
        </is>
      </c>
      <c r="B425" s="1" t="n">
        <v>44131</v>
      </c>
      <c r="C425" s="1" t="n">
        <v>45357</v>
      </c>
      <c r="D425" t="inlineStr">
        <is>
          <t>VÄSTERBOTTENS LÄN</t>
        </is>
      </c>
      <c r="E425" t="inlineStr">
        <is>
          <t>VINDELN</t>
        </is>
      </c>
      <c r="F425" t="inlineStr">
        <is>
          <t>Sveaskog</t>
        </is>
      </c>
      <c r="G425" t="n">
        <v>4.8</v>
      </c>
      <c r="H425" t="n">
        <v>0</v>
      </c>
      <c r="I425" t="n">
        <v>0</v>
      </c>
      <c r="J425" t="n">
        <v>3</v>
      </c>
      <c r="K425" t="n">
        <v>0</v>
      </c>
      <c r="L425" t="n">
        <v>0</v>
      </c>
      <c r="M425" t="n">
        <v>0</v>
      </c>
      <c r="N425" t="n">
        <v>0</v>
      </c>
      <c r="O425" t="n">
        <v>3</v>
      </c>
      <c r="P425" t="n">
        <v>0</v>
      </c>
      <c r="Q425" t="n">
        <v>3</v>
      </c>
      <c r="R425" s="2" t="inlineStr">
        <is>
          <t>Garnlav
Granticka
Violettgrå tagellav</t>
        </is>
      </c>
      <c r="S425">
        <f>HYPERLINK("https://klasma.github.io/Logging_2404/artfynd/A 55616-2020 artfynd.xlsx", "A 55616-2020")</f>
        <v/>
      </c>
      <c r="T425">
        <f>HYPERLINK("https://klasma.github.io/Logging_2404/kartor/A 55616-2020 karta.png", "A 55616-2020")</f>
        <v/>
      </c>
      <c r="V425">
        <f>HYPERLINK("https://klasma.github.io/Logging_2404/klagomål/A 55616-2020 FSC-klagomål.docx", "A 55616-2020")</f>
        <v/>
      </c>
      <c r="W425">
        <f>HYPERLINK("https://klasma.github.io/Logging_2404/klagomålsmail/A 55616-2020 FSC-klagomål mail.docx", "A 55616-2020")</f>
        <v/>
      </c>
      <c r="X425">
        <f>HYPERLINK("https://klasma.github.io/Logging_2404/tillsyn/A 55616-2020 tillsynsbegäran.docx", "A 55616-2020")</f>
        <v/>
      </c>
      <c r="Y425">
        <f>HYPERLINK("https://klasma.github.io/Logging_2404/tillsynsmail/A 55616-2020 tillsynsbegäran mail.docx", "A 55616-2020")</f>
        <v/>
      </c>
    </row>
    <row r="426" ht="15" customHeight="1">
      <c r="A426" t="inlineStr">
        <is>
          <t>A 68690-2020</t>
        </is>
      </c>
      <c r="B426" s="1" t="n">
        <v>44186</v>
      </c>
      <c r="C426" s="1" t="n">
        <v>45357</v>
      </c>
      <c r="D426" t="inlineStr">
        <is>
          <t>VÄSTERBOTTENS LÄN</t>
        </is>
      </c>
      <c r="E426" t="inlineStr">
        <is>
          <t>SKELLEFTEÅ</t>
        </is>
      </c>
      <c r="G426" t="n">
        <v>6.1</v>
      </c>
      <c r="H426" t="n">
        <v>0</v>
      </c>
      <c r="I426" t="n">
        <v>1</v>
      </c>
      <c r="J426" t="n">
        <v>2</v>
      </c>
      <c r="K426" t="n">
        <v>0</v>
      </c>
      <c r="L426" t="n">
        <v>0</v>
      </c>
      <c r="M426" t="n">
        <v>0</v>
      </c>
      <c r="N426" t="n">
        <v>0</v>
      </c>
      <c r="O426" t="n">
        <v>2</v>
      </c>
      <c r="P426" t="n">
        <v>0</v>
      </c>
      <c r="Q426" t="n">
        <v>3</v>
      </c>
      <c r="R426" s="2" t="inlineStr">
        <is>
          <t>Garnlav
Ullticka
Vedticka</t>
        </is>
      </c>
      <c r="S426">
        <f>HYPERLINK("https://klasma.github.io/Logging_2482/artfynd/A 68690-2020 artfynd.xlsx", "A 68690-2020")</f>
        <v/>
      </c>
      <c r="T426">
        <f>HYPERLINK("https://klasma.github.io/Logging_2482/kartor/A 68690-2020 karta.png", "A 68690-2020")</f>
        <v/>
      </c>
      <c r="V426">
        <f>HYPERLINK("https://klasma.github.io/Logging_2482/klagomål/A 68690-2020 FSC-klagomål.docx", "A 68690-2020")</f>
        <v/>
      </c>
      <c r="W426">
        <f>HYPERLINK("https://klasma.github.io/Logging_2482/klagomålsmail/A 68690-2020 FSC-klagomål mail.docx", "A 68690-2020")</f>
        <v/>
      </c>
      <c r="X426">
        <f>HYPERLINK("https://klasma.github.io/Logging_2482/tillsyn/A 68690-2020 tillsynsbegäran.docx", "A 68690-2020")</f>
        <v/>
      </c>
      <c r="Y426">
        <f>HYPERLINK("https://klasma.github.io/Logging_2482/tillsynsmail/A 68690-2020 tillsynsbegäran mail.docx", "A 68690-2020")</f>
        <v/>
      </c>
    </row>
    <row r="427" ht="15" customHeight="1">
      <c r="A427" t="inlineStr">
        <is>
          <t>A 16152-2021</t>
        </is>
      </c>
      <c r="B427" s="1" t="n">
        <v>44287</v>
      </c>
      <c r="C427" s="1" t="n">
        <v>45357</v>
      </c>
      <c r="D427" t="inlineStr">
        <is>
          <t>VÄSTERBOTTENS LÄN</t>
        </is>
      </c>
      <c r="E427" t="inlineStr">
        <is>
          <t>SKELLEFTEÅ</t>
        </is>
      </c>
      <c r="G427" t="n">
        <v>3.4</v>
      </c>
      <c r="H427" t="n">
        <v>0</v>
      </c>
      <c r="I427" t="n">
        <v>1</v>
      </c>
      <c r="J427" t="n">
        <v>1</v>
      </c>
      <c r="K427" t="n">
        <v>1</v>
      </c>
      <c r="L427" t="n">
        <v>0</v>
      </c>
      <c r="M427" t="n">
        <v>0</v>
      </c>
      <c r="N427" t="n">
        <v>0</v>
      </c>
      <c r="O427" t="n">
        <v>2</v>
      </c>
      <c r="P427" t="n">
        <v>1</v>
      </c>
      <c r="Q427" t="n">
        <v>3</v>
      </c>
      <c r="R427" s="2" t="inlineStr">
        <is>
          <t>Goliatmusseron
Granticka
Vedticka</t>
        </is>
      </c>
      <c r="S427">
        <f>HYPERLINK("https://klasma.github.io/Logging_2482/artfynd/A 16152-2021 artfynd.xlsx", "A 16152-2021")</f>
        <v/>
      </c>
      <c r="T427">
        <f>HYPERLINK("https://klasma.github.io/Logging_2482/kartor/A 16152-2021 karta.png", "A 16152-2021")</f>
        <v/>
      </c>
      <c r="V427">
        <f>HYPERLINK("https://klasma.github.io/Logging_2482/klagomål/A 16152-2021 FSC-klagomål.docx", "A 16152-2021")</f>
        <v/>
      </c>
      <c r="W427">
        <f>HYPERLINK("https://klasma.github.io/Logging_2482/klagomålsmail/A 16152-2021 FSC-klagomål mail.docx", "A 16152-2021")</f>
        <v/>
      </c>
      <c r="X427">
        <f>HYPERLINK("https://klasma.github.io/Logging_2482/tillsyn/A 16152-2021 tillsynsbegäran.docx", "A 16152-2021")</f>
        <v/>
      </c>
      <c r="Y427">
        <f>HYPERLINK("https://klasma.github.io/Logging_2482/tillsynsmail/A 16152-2021 tillsynsbegäran mail.docx", "A 16152-2021")</f>
        <v/>
      </c>
    </row>
    <row r="428" ht="15" customHeight="1">
      <c r="A428" t="inlineStr">
        <is>
          <t>A 21287-2021</t>
        </is>
      </c>
      <c r="B428" s="1" t="n">
        <v>44320</v>
      </c>
      <c r="C428" s="1" t="n">
        <v>45357</v>
      </c>
      <c r="D428" t="inlineStr">
        <is>
          <t>VÄSTERBOTTENS LÄN</t>
        </is>
      </c>
      <c r="E428" t="inlineStr">
        <is>
          <t>UMEÅ</t>
        </is>
      </c>
      <c r="G428" t="n">
        <v>2.9</v>
      </c>
      <c r="H428" t="n">
        <v>2</v>
      </c>
      <c r="I428" t="n">
        <v>0</v>
      </c>
      <c r="J428" t="n">
        <v>3</v>
      </c>
      <c r="K428" t="n">
        <v>0</v>
      </c>
      <c r="L428" t="n">
        <v>0</v>
      </c>
      <c r="M428" t="n">
        <v>0</v>
      </c>
      <c r="N428" t="n">
        <v>0</v>
      </c>
      <c r="O428" t="n">
        <v>3</v>
      </c>
      <c r="P428" t="n">
        <v>0</v>
      </c>
      <c r="Q428" t="n">
        <v>3</v>
      </c>
      <c r="R428" s="2" t="inlineStr">
        <is>
          <t>Brunlångöra
Nordfladdermus
Violmussling</t>
        </is>
      </c>
      <c r="S428">
        <f>HYPERLINK("https://klasma.github.io/Logging_2480/artfynd/A 21287-2021 artfynd.xlsx", "A 21287-2021")</f>
        <v/>
      </c>
      <c r="T428">
        <f>HYPERLINK("https://klasma.github.io/Logging_2480/kartor/A 21287-2021 karta.png", "A 21287-2021")</f>
        <v/>
      </c>
      <c r="V428">
        <f>HYPERLINK("https://klasma.github.io/Logging_2480/klagomål/A 21287-2021 FSC-klagomål.docx", "A 21287-2021")</f>
        <v/>
      </c>
      <c r="W428">
        <f>HYPERLINK("https://klasma.github.io/Logging_2480/klagomålsmail/A 21287-2021 FSC-klagomål mail.docx", "A 21287-2021")</f>
        <v/>
      </c>
      <c r="X428">
        <f>HYPERLINK("https://klasma.github.io/Logging_2480/tillsyn/A 21287-2021 tillsynsbegäran.docx", "A 21287-2021")</f>
        <v/>
      </c>
      <c r="Y428">
        <f>HYPERLINK("https://klasma.github.io/Logging_2480/tillsynsmail/A 21287-2021 tillsynsbegäran mail.docx", "A 21287-2021")</f>
        <v/>
      </c>
    </row>
    <row r="429" ht="15" customHeight="1">
      <c r="A429" t="inlineStr">
        <is>
          <t>A 29725-2021</t>
        </is>
      </c>
      <c r="B429" s="1" t="n">
        <v>44362</v>
      </c>
      <c r="C429" s="1" t="n">
        <v>45357</v>
      </c>
      <c r="D429" t="inlineStr">
        <is>
          <t>VÄSTERBOTTENS LÄN</t>
        </is>
      </c>
      <c r="E429" t="inlineStr">
        <is>
          <t>SKELLEFTEÅ</t>
        </is>
      </c>
      <c r="F429" t="inlineStr">
        <is>
          <t>Holmen skog AB</t>
        </is>
      </c>
      <c r="G429" t="n">
        <v>10.7</v>
      </c>
      <c r="H429" t="n">
        <v>1</v>
      </c>
      <c r="I429" t="n">
        <v>0</v>
      </c>
      <c r="J429" t="n">
        <v>2</v>
      </c>
      <c r="K429" t="n">
        <v>0</v>
      </c>
      <c r="L429" t="n">
        <v>0</v>
      </c>
      <c r="M429" t="n">
        <v>0</v>
      </c>
      <c r="N429" t="n">
        <v>0</v>
      </c>
      <c r="O429" t="n">
        <v>2</v>
      </c>
      <c r="P429" t="n">
        <v>0</v>
      </c>
      <c r="Q429" t="n">
        <v>3</v>
      </c>
      <c r="R429" s="2" t="inlineStr">
        <is>
          <t>Gammelgransskål
Garnlav
Orre</t>
        </is>
      </c>
      <c r="S429">
        <f>HYPERLINK("https://klasma.github.io/Logging_2482/artfynd/A 29725-2021 artfynd.xlsx", "A 29725-2021")</f>
        <v/>
      </c>
      <c r="T429">
        <f>HYPERLINK("https://klasma.github.io/Logging_2482/kartor/A 29725-2021 karta.png", "A 29725-2021")</f>
        <v/>
      </c>
      <c r="V429">
        <f>HYPERLINK("https://klasma.github.io/Logging_2482/klagomål/A 29725-2021 FSC-klagomål.docx", "A 29725-2021")</f>
        <v/>
      </c>
      <c r="W429">
        <f>HYPERLINK("https://klasma.github.io/Logging_2482/klagomålsmail/A 29725-2021 FSC-klagomål mail.docx", "A 29725-2021")</f>
        <v/>
      </c>
      <c r="X429">
        <f>HYPERLINK("https://klasma.github.io/Logging_2482/tillsyn/A 29725-2021 tillsynsbegäran.docx", "A 29725-2021")</f>
        <v/>
      </c>
      <c r="Y429">
        <f>HYPERLINK("https://klasma.github.io/Logging_2482/tillsynsmail/A 29725-2021 tillsynsbegäran mail.docx", "A 29725-2021")</f>
        <v/>
      </c>
      <c r="Z429">
        <f>HYPERLINK("https://klasma.github.io/Logging_2482/fåglar/A 29725-2021 prioriterade fågelarter.docx", "A 29725-2021")</f>
        <v/>
      </c>
    </row>
    <row r="430" ht="15" customHeight="1">
      <c r="A430" t="inlineStr">
        <is>
          <t>A 32918-2021</t>
        </is>
      </c>
      <c r="B430" s="1" t="n">
        <v>44375</v>
      </c>
      <c r="C430" s="1" t="n">
        <v>45357</v>
      </c>
      <c r="D430" t="inlineStr">
        <is>
          <t>VÄSTERBOTTENS LÄN</t>
        </is>
      </c>
      <c r="E430" t="inlineStr">
        <is>
          <t>SKELLEFTEÅ</t>
        </is>
      </c>
      <c r="F430" t="inlineStr">
        <is>
          <t>SCA</t>
        </is>
      </c>
      <c r="G430" t="n">
        <v>16.7</v>
      </c>
      <c r="H430" t="n">
        <v>0</v>
      </c>
      <c r="I430" t="n">
        <v>1</v>
      </c>
      <c r="J430" t="n">
        <v>2</v>
      </c>
      <c r="K430" t="n">
        <v>0</v>
      </c>
      <c r="L430" t="n">
        <v>0</v>
      </c>
      <c r="M430" t="n">
        <v>0</v>
      </c>
      <c r="N430" t="n">
        <v>0</v>
      </c>
      <c r="O430" t="n">
        <v>2</v>
      </c>
      <c r="P430" t="n">
        <v>0</v>
      </c>
      <c r="Q430" t="n">
        <v>3</v>
      </c>
      <c r="R430" s="2" t="inlineStr">
        <is>
          <t>Blå taggsvamp
Tallticka
Dropptaggsvamp</t>
        </is>
      </c>
      <c r="S430">
        <f>HYPERLINK("https://klasma.github.io/Logging_2482/artfynd/A 32918-2021 artfynd.xlsx", "A 32918-2021")</f>
        <v/>
      </c>
      <c r="T430">
        <f>HYPERLINK("https://klasma.github.io/Logging_2482/kartor/A 32918-2021 karta.png", "A 32918-2021")</f>
        <v/>
      </c>
      <c r="V430">
        <f>HYPERLINK("https://klasma.github.io/Logging_2482/klagomål/A 32918-2021 FSC-klagomål.docx", "A 32918-2021")</f>
        <v/>
      </c>
      <c r="W430">
        <f>HYPERLINK("https://klasma.github.io/Logging_2482/klagomålsmail/A 32918-2021 FSC-klagomål mail.docx", "A 32918-2021")</f>
        <v/>
      </c>
      <c r="X430">
        <f>HYPERLINK("https://klasma.github.io/Logging_2482/tillsyn/A 32918-2021 tillsynsbegäran.docx", "A 32918-2021")</f>
        <v/>
      </c>
      <c r="Y430">
        <f>HYPERLINK("https://klasma.github.io/Logging_2482/tillsynsmail/A 32918-2021 tillsynsbegäran mail.docx", "A 32918-2021")</f>
        <v/>
      </c>
    </row>
    <row r="431" ht="15" customHeight="1">
      <c r="A431" t="inlineStr">
        <is>
          <t>A 34718-2021</t>
        </is>
      </c>
      <c r="B431" s="1" t="n">
        <v>44382</v>
      </c>
      <c r="C431" s="1" t="n">
        <v>45357</v>
      </c>
      <c r="D431" t="inlineStr">
        <is>
          <t>VÄSTERBOTTENS LÄN</t>
        </is>
      </c>
      <c r="E431" t="inlineStr">
        <is>
          <t>VILHELMINA</t>
        </is>
      </c>
      <c r="F431" t="inlineStr">
        <is>
          <t>Allmännings- och besparingsskogar</t>
        </is>
      </c>
      <c r="G431" t="n">
        <v>8</v>
      </c>
      <c r="H431" t="n">
        <v>0</v>
      </c>
      <c r="I431" t="n">
        <v>0</v>
      </c>
      <c r="J431" t="n">
        <v>3</v>
      </c>
      <c r="K431" t="n">
        <v>0</v>
      </c>
      <c r="L431" t="n">
        <v>0</v>
      </c>
      <c r="M431" t="n">
        <v>0</v>
      </c>
      <c r="N431" t="n">
        <v>0</v>
      </c>
      <c r="O431" t="n">
        <v>3</v>
      </c>
      <c r="P431" t="n">
        <v>0</v>
      </c>
      <c r="Q431" t="n">
        <v>3</v>
      </c>
      <c r="R431" s="2" t="inlineStr">
        <is>
          <t>Garnlav
Granticka
Gränsticka</t>
        </is>
      </c>
      <c r="S431">
        <f>HYPERLINK("https://klasma.github.io/Logging_2462/artfynd/A 34718-2021 artfynd.xlsx", "A 34718-2021")</f>
        <v/>
      </c>
      <c r="T431">
        <f>HYPERLINK("https://klasma.github.io/Logging_2462/kartor/A 34718-2021 karta.png", "A 34718-2021")</f>
        <v/>
      </c>
      <c r="V431">
        <f>HYPERLINK("https://klasma.github.io/Logging_2462/klagomål/A 34718-2021 FSC-klagomål.docx", "A 34718-2021")</f>
        <v/>
      </c>
      <c r="W431">
        <f>HYPERLINK("https://klasma.github.io/Logging_2462/klagomålsmail/A 34718-2021 FSC-klagomål mail.docx", "A 34718-2021")</f>
        <v/>
      </c>
      <c r="X431">
        <f>HYPERLINK("https://klasma.github.io/Logging_2462/tillsyn/A 34718-2021 tillsynsbegäran.docx", "A 34718-2021")</f>
        <v/>
      </c>
      <c r="Y431">
        <f>HYPERLINK("https://klasma.github.io/Logging_2462/tillsynsmail/A 34718-2021 tillsynsbegäran mail.docx", "A 34718-2021")</f>
        <v/>
      </c>
    </row>
    <row r="432" ht="15" customHeight="1">
      <c r="A432" t="inlineStr">
        <is>
          <t>A 40209-2021</t>
        </is>
      </c>
      <c r="B432" s="1" t="n">
        <v>44418</v>
      </c>
      <c r="C432" s="1" t="n">
        <v>45357</v>
      </c>
      <c r="D432" t="inlineStr">
        <is>
          <t>VÄSTERBOTTENS LÄN</t>
        </is>
      </c>
      <c r="E432" t="inlineStr">
        <is>
          <t>ÅSELE</t>
        </is>
      </c>
      <c r="G432" t="n">
        <v>13.3</v>
      </c>
      <c r="H432" t="n">
        <v>0</v>
      </c>
      <c r="I432" t="n">
        <v>3</v>
      </c>
      <c r="J432" t="n">
        <v>0</v>
      </c>
      <c r="K432" t="n">
        <v>0</v>
      </c>
      <c r="L432" t="n">
        <v>0</v>
      </c>
      <c r="M432" t="n">
        <v>0</v>
      </c>
      <c r="N432" t="n">
        <v>0</v>
      </c>
      <c r="O432" t="n">
        <v>0</v>
      </c>
      <c r="P432" t="n">
        <v>0</v>
      </c>
      <c r="Q432" t="n">
        <v>3</v>
      </c>
      <c r="R432" s="2" t="inlineStr">
        <is>
          <t>Grovticka
Stor aspticka
Vedticka</t>
        </is>
      </c>
      <c r="S432">
        <f>HYPERLINK("https://klasma.github.io/Logging_2463/artfynd/A 40209-2021 artfynd.xlsx", "A 40209-2021")</f>
        <v/>
      </c>
      <c r="T432">
        <f>HYPERLINK("https://klasma.github.io/Logging_2463/kartor/A 40209-2021 karta.png", "A 40209-2021")</f>
        <v/>
      </c>
      <c r="V432">
        <f>HYPERLINK("https://klasma.github.io/Logging_2463/klagomål/A 40209-2021 FSC-klagomål.docx", "A 40209-2021")</f>
        <v/>
      </c>
      <c r="W432">
        <f>HYPERLINK("https://klasma.github.io/Logging_2463/klagomålsmail/A 40209-2021 FSC-klagomål mail.docx", "A 40209-2021")</f>
        <v/>
      </c>
      <c r="X432">
        <f>HYPERLINK("https://klasma.github.io/Logging_2463/tillsyn/A 40209-2021 tillsynsbegäran.docx", "A 40209-2021")</f>
        <v/>
      </c>
      <c r="Y432">
        <f>HYPERLINK("https://klasma.github.io/Logging_2463/tillsynsmail/A 40209-2021 tillsynsbegäran mail.docx", "A 40209-2021")</f>
        <v/>
      </c>
    </row>
    <row r="433" ht="15" customHeight="1">
      <c r="A433" t="inlineStr">
        <is>
          <t>A 40687-2021</t>
        </is>
      </c>
      <c r="B433" s="1" t="n">
        <v>44420</v>
      </c>
      <c r="C433" s="1" t="n">
        <v>45357</v>
      </c>
      <c r="D433" t="inlineStr">
        <is>
          <t>VÄSTERBOTTENS LÄN</t>
        </is>
      </c>
      <c r="E433" t="inlineStr">
        <is>
          <t>VILHELMINA</t>
        </is>
      </c>
      <c r="G433" t="n">
        <v>5.4</v>
      </c>
      <c r="H433" t="n">
        <v>1</v>
      </c>
      <c r="I433" t="n">
        <v>1</v>
      </c>
      <c r="J433" t="n">
        <v>2</v>
      </c>
      <c r="K433" t="n">
        <v>0</v>
      </c>
      <c r="L433" t="n">
        <v>0</v>
      </c>
      <c r="M433" t="n">
        <v>0</v>
      </c>
      <c r="N433" t="n">
        <v>0</v>
      </c>
      <c r="O433" t="n">
        <v>2</v>
      </c>
      <c r="P433" t="n">
        <v>0</v>
      </c>
      <c r="Q433" t="n">
        <v>3</v>
      </c>
      <c r="R433" s="2" t="inlineStr">
        <is>
          <t>Garnlav
Granticka
Spindelblomster</t>
        </is>
      </c>
      <c r="S433">
        <f>HYPERLINK("https://klasma.github.io/Logging_2462/artfynd/A 40687-2021 artfynd.xlsx", "A 40687-2021")</f>
        <v/>
      </c>
      <c r="T433">
        <f>HYPERLINK("https://klasma.github.io/Logging_2462/kartor/A 40687-2021 karta.png", "A 40687-2021")</f>
        <v/>
      </c>
      <c r="V433">
        <f>HYPERLINK("https://klasma.github.io/Logging_2462/klagomål/A 40687-2021 FSC-klagomål.docx", "A 40687-2021")</f>
        <v/>
      </c>
      <c r="W433">
        <f>HYPERLINK("https://klasma.github.io/Logging_2462/klagomålsmail/A 40687-2021 FSC-klagomål mail.docx", "A 40687-2021")</f>
        <v/>
      </c>
      <c r="X433">
        <f>HYPERLINK("https://klasma.github.io/Logging_2462/tillsyn/A 40687-2021 tillsynsbegäran.docx", "A 40687-2021")</f>
        <v/>
      </c>
      <c r="Y433">
        <f>HYPERLINK("https://klasma.github.io/Logging_2462/tillsynsmail/A 40687-2021 tillsynsbegäran mail.docx", "A 40687-2021")</f>
        <v/>
      </c>
    </row>
    <row r="434" ht="15" customHeight="1">
      <c r="A434" t="inlineStr">
        <is>
          <t>A 41508-2021</t>
        </is>
      </c>
      <c r="B434" s="1" t="n">
        <v>44424</v>
      </c>
      <c r="C434" s="1" t="n">
        <v>45357</v>
      </c>
      <c r="D434" t="inlineStr">
        <is>
          <t>VÄSTERBOTTENS LÄN</t>
        </is>
      </c>
      <c r="E434" t="inlineStr">
        <is>
          <t>SKELLEFTEÅ</t>
        </is>
      </c>
      <c r="F434" t="inlineStr">
        <is>
          <t>SCA</t>
        </is>
      </c>
      <c r="G434" t="n">
        <v>9.800000000000001</v>
      </c>
      <c r="H434" t="n">
        <v>0</v>
      </c>
      <c r="I434" t="n">
        <v>1</v>
      </c>
      <c r="J434" t="n">
        <v>2</v>
      </c>
      <c r="K434" t="n">
        <v>0</v>
      </c>
      <c r="L434" t="n">
        <v>0</v>
      </c>
      <c r="M434" t="n">
        <v>0</v>
      </c>
      <c r="N434" t="n">
        <v>0</v>
      </c>
      <c r="O434" t="n">
        <v>2</v>
      </c>
      <c r="P434" t="n">
        <v>0</v>
      </c>
      <c r="Q434" t="n">
        <v>3</v>
      </c>
      <c r="R434" s="2" t="inlineStr">
        <is>
          <t>Motaggsvamp
Orange taggsvamp
Dropptaggsvamp</t>
        </is>
      </c>
      <c r="S434">
        <f>HYPERLINK("https://klasma.github.io/Logging_2482/artfynd/A 41508-2021 artfynd.xlsx", "A 41508-2021")</f>
        <v/>
      </c>
      <c r="T434">
        <f>HYPERLINK("https://klasma.github.io/Logging_2482/kartor/A 41508-2021 karta.png", "A 41508-2021")</f>
        <v/>
      </c>
      <c r="V434">
        <f>HYPERLINK("https://klasma.github.io/Logging_2482/klagomål/A 41508-2021 FSC-klagomål.docx", "A 41508-2021")</f>
        <v/>
      </c>
      <c r="W434">
        <f>HYPERLINK("https://klasma.github.io/Logging_2482/klagomålsmail/A 41508-2021 FSC-klagomål mail.docx", "A 41508-2021")</f>
        <v/>
      </c>
      <c r="X434">
        <f>HYPERLINK("https://klasma.github.io/Logging_2482/tillsyn/A 41508-2021 tillsynsbegäran.docx", "A 41508-2021")</f>
        <v/>
      </c>
      <c r="Y434">
        <f>HYPERLINK("https://klasma.github.io/Logging_2482/tillsynsmail/A 41508-2021 tillsynsbegäran mail.docx", "A 41508-2021")</f>
        <v/>
      </c>
    </row>
    <row r="435" ht="15" customHeight="1">
      <c r="A435" t="inlineStr">
        <is>
          <t>A 41506-2021</t>
        </is>
      </c>
      <c r="B435" s="1" t="n">
        <v>44425</v>
      </c>
      <c r="C435" s="1" t="n">
        <v>45357</v>
      </c>
      <c r="D435" t="inlineStr">
        <is>
          <t>VÄSTERBOTTENS LÄN</t>
        </is>
      </c>
      <c r="E435" t="inlineStr">
        <is>
          <t>SKELLEFTEÅ</t>
        </is>
      </c>
      <c r="F435" t="inlineStr">
        <is>
          <t>SCA</t>
        </is>
      </c>
      <c r="G435" t="n">
        <v>4.2</v>
      </c>
      <c r="H435" t="n">
        <v>0</v>
      </c>
      <c r="I435" t="n">
        <v>1</v>
      </c>
      <c r="J435" t="n">
        <v>2</v>
      </c>
      <c r="K435" t="n">
        <v>0</v>
      </c>
      <c r="L435" t="n">
        <v>0</v>
      </c>
      <c r="M435" t="n">
        <v>0</v>
      </c>
      <c r="N435" t="n">
        <v>0</v>
      </c>
      <c r="O435" t="n">
        <v>2</v>
      </c>
      <c r="P435" t="n">
        <v>0</v>
      </c>
      <c r="Q435" t="n">
        <v>3</v>
      </c>
      <c r="R435" s="2" t="inlineStr">
        <is>
          <t>Rosenticka
Ullticka
Vedticka</t>
        </is>
      </c>
      <c r="S435">
        <f>HYPERLINK("https://klasma.github.io/Logging_2482/artfynd/A 41506-2021 artfynd.xlsx", "A 41506-2021")</f>
        <v/>
      </c>
      <c r="T435">
        <f>HYPERLINK("https://klasma.github.io/Logging_2482/kartor/A 41506-2021 karta.png", "A 41506-2021")</f>
        <v/>
      </c>
      <c r="V435">
        <f>HYPERLINK("https://klasma.github.io/Logging_2482/klagomål/A 41506-2021 FSC-klagomål.docx", "A 41506-2021")</f>
        <v/>
      </c>
      <c r="W435">
        <f>HYPERLINK("https://klasma.github.io/Logging_2482/klagomålsmail/A 41506-2021 FSC-klagomål mail.docx", "A 41506-2021")</f>
        <v/>
      </c>
      <c r="X435">
        <f>HYPERLINK("https://klasma.github.io/Logging_2482/tillsyn/A 41506-2021 tillsynsbegäran.docx", "A 41506-2021")</f>
        <v/>
      </c>
      <c r="Y435">
        <f>HYPERLINK("https://klasma.github.io/Logging_2482/tillsynsmail/A 41506-2021 tillsynsbegäran mail.docx", "A 41506-2021")</f>
        <v/>
      </c>
    </row>
    <row r="436" ht="15" customHeight="1">
      <c r="A436" t="inlineStr">
        <is>
          <t>A 43272-2021</t>
        </is>
      </c>
      <c r="B436" s="1" t="n">
        <v>44432</v>
      </c>
      <c r="C436" s="1" t="n">
        <v>45357</v>
      </c>
      <c r="D436" t="inlineStr">
        <is>
          <t>VÄSTERBOTTENS LÄN</t>
        </is>
      </c>
      <c r="E436" t="inlineStr">
        <is>
          <t>SORSELE</t>
        </is>
      </c>
      <c r="G436" t="n">
        <v>24.4</v>
      </c>
      <c r="H436" t="n">
        <v>1</v>
      </c>
      <c r="I436" t="n">
        <v>0</v>
      </c>
      <c r="J436" t="n">
        <v>3</v>
      </c>
      <c r="K436" t="n">
        <v>0</v>
      </c>
      <c r="L436" t="n">
        <v>0</v>
      </c>
      <c r="M436" t="n">
        <v>0</v>
      </c>
      <c r="N436" t="n">
        <v>0</v>
      </c>
      <c r="O436" t="n">
        <v>3</v>
      </c>
      <c r="P436" t="n">
        <v>0</v>
      </c>
      <c r="Q436" t="n">
        <v>3</v>
      </c>
      <c r="R436" s="2" t="inlineStr">
        <is>
          <t>Garnlav
Granticka
Tretåig hackspett</t>
        </is>
      </c>
      <c r="S436">
        <f>HYPERLINK("https://klasma.github.io/Logging_2422/artfynd/A 43272-2021 artfynd.xlsx", "A 43272-2021")</f>
        <v/>
      </c>
      <c r="T436">
        <f>HYPERLINK("https://klasma.github.io/Logging_2422/kartor/A 43272-2021 karta.png", "A 43272-2021")</f>
        <v/>
      </c>
      <c r="V436">
        <f>HYPERLINK("https://klasma.github.io/Logging_2422/klagomål/A 43272-2021 FSC-klagomål.docx", "A 43272-2021")</f>
        <v/>
      </c>
      <c r="W436">
        <f>HYPERLINK("https://klasma.github.io/Logging_2422/klagomålsmail/A 43272-2021 FSC-klagomål mail.docx", "A 43272-2021")</f>
        <v/>
      </c>
      <c r="X436">
        <f>HYPERLINK("https://klasma.github.io/Logging_2422/tillsyn/A 43272-2021 tillsynsbegäran.docx", "A 43272-2021")</f>
        <v/>
      </c>
      <c r="Y436">
        <f>HYPERLINK("https://klasma.github.io/Logging_2422/tillsynsmail/A 43272-2021 tillsynsbegäran mail.docx", "A 43272-2021")</f>
        <v/>
      </c>
      <c r="Z436">
        <f>HYPERLINK("https://klasma.github.io/Logging_2422/fåglar/A 43272-2021 prioriterade fågelarter.docx", "A 43272-2021")</f>
        <v/>
      </c>
    </row>
    <row r="437" ht="15" customHeight="1">
      <c r="A437" t="inlineStr">
        <is>
          <t>A 47498-2021</t>
        </is>
      </c>
      <c r="B437" s="1" t="n">
        <v>44447</v>
      </c>
      <c r="C437" s="1" t="n">
        <v>45357</v>
      </c>
      <c r="D437" t="inlineStr">
        <is>
          <t>VÄSTERBOTTENS LÄN</t>
        </is>
      </c>
      <c r="E437" t="inlineStr">
        <is>
          <t>LYCKSELE</t>
        </is>
      </c>
      <c r="F437" t="inlineStr">
        <is>
          <t>Sveaskog</t>
        </is>
      </c>
      <c r="G437" t="n">
        <v>4.6</v>
      </c>
      <c r="H437" t="n">
        <v>1</v>
      </c>
      <c r="I437" t="n">
        <v>2</v>
      </c>
      <c r="J437" t="n">
        <v>0</v>
      </c>
      <c r="K437" t="n">
        <v>1</v>
      </c>
      <c r="L437" t="n">
        <v>0</v>
      </c>
      <c r="M437" t="n">
        <v>0</v>
      </c>
      <c r="N437" t="n">
        <v>0</v>
      </c>
      <c r="O437" t="n">
        <v>1</v>
      </c>
      <c r="P437" t="n">
        <v>1</v>
      </c>
      <c r="Q437" t="n">
        <v>3</v>
      </c>
      <c r="R437" s="2" t="inlineStr">
        <is>
          <t>Doftticka
Skinnlav
Stuplav</t>
        </is>
      </c>
      <c r="S437">
        <f>HYPERLINK("https://klasma.github.io/Logging_2481/artfynd/A 47498-2021 artfynd.xlsx", "A 47498-2021")</f>
        <v/>
      </c>
      <c r="T437">
        <f>HYPERLINK("https://klasma.github.io/Logging_2481/kartor/A 47498-2021 karta.png", "A 47498-2021")</f>
        <v/>
      </c>
      <c r="V437">
        <f>HYPERLINK("https://klasma.github.io/Logging_2481/klagomål/A 47498-2021 FSC-klagomål.docx", "A 47498-2021")</f>
        <v/>
      </c>
      <c r="W437">
        <f>HYPERLINK("https://klasma.github.io/Logging_2481/klagomålsmail/A 47498-2021 FSC-klagomål mail.docx", "A 47498-2021")</f>
        <v/>
      </c>
      <c r="X437">
        <f>HYPERLINK("https://klasma.github.io/Logging_2481/tillsyn/A 47498-2021 tillsynsbegäran.docx", "A 47498-2021")</f>
        <v/>
      </c>
      <c r="Y437">
        <f>HYPERLINK("https://klasma.github.io/Logging_2481/tillsynsmail/A 47498-2021 tillsynsbegäran mail.docx", "A 47498-2021")</f>
        <v/>
      </c>
    </row>
    <row r="438" ht="15" customHeight="1">
      <c r="A438" t="inlineStr">
        <is>
          <t>A 51644-2021</t>
        </is>
      </c>
      <c r="B438" s="1" t="n">
        <v>44462</v>
      </c>
      <c r="C438" s="1" t="n">
        <v>45357</v>
      </c>
      <c r="D438" t="inlineStr">
        <is>
          <t>VÄSTERBOTTENS LÄN</t>
        </is>
      </c>
      <c r="E438" t="inlineStr">
        <is>
          <t>NORSJÖ</t>
        </is>
      </c>
      <c r="F438" t="inlineStr">
        <is>
          <t>Sveaskog</t>
        </is>
      </c>
      <c r="G438" t="n">
        <v>11.9</v>
      </c>
      <c r="H438" t="n">
        <v>0</v>
      </c>
      <c r="I438" t="n">
        <v>2</v>
      </c>
      <c r="J438" t="n">
        <v>1</v>
      </c>
      <c r="K438" t="n">
        <v>0</v>
      </c>
      <c r="L438" t="n">
        <v>0</v>
      </c>
      <c r="M438" t="n">
        <v>0</v>
      </c>
      <c r="N438" t="n">
        <v>0</v>
      </c>
      <c r="O438" t="n">
        <v>1</v>
      </c>
      <c r="P438" t="n">
        <v>0</v>
      </c>
      <c r="Q438" t="n">
        <v>3</v>
      </c>
      <c r="R438" s="2" t="inlineStr">
        <is>
          <t>Garnlav
Bårdlav
Stuplav</t>
        </is>
      </c>
      <c r="S438">
        <f>HYPERLINK("https://klasma.github.io/Logging_2417/artfynd/A 51644-2021 artfynd.xlsx", "A 51644-2021")</f>
        <v/>
      </c>
      <c r="T438">
        <f>HYPERLINK("https://klasma.github.io/Logging_2417/kartor/A 51644-2021 karta.png", "A 51644-2021")</f>
        <v/>
      </c>
      <c r="V438">
        <f>HYPERLINK("https://klasma.github.io/Logging_2417/klagomål/A 51644-2021 FSC-klagomål.docx", "A 51644-2021")</f>
        <v/>
      </c>
      <c r="W438">
        <f>HYPERLINK("https://klasma.github.io/Logging_2417/klagomålsmail/A 51644-2021 FSC-klagomål mail.docx", "A 51644-2021")</f>
        <v/>
      </c>
      <c r="X438">
        <f>HYPERLINK("https://klasma.github.io/Logging_2417/tillsyn/A 51644-2021 tillsynsbegäran.docx", "A 51644-2021")</f>
        <v/>
      </c>
      <c r="Y438">
        <f>HYPERLINK("https://klasma.github.io/Logging_2417/tillsynsmail/A 51644-2021 tillsynsbegäran mail.docx", "A 51644-2021")</f>
        <v/>
      </c>
    </row>
    <row r="439" ht="15" customHeight="1">
      <c r="A439" t="inlineStr">
        <is>
          <t>A 61172-2021</t>
        </is>
      </c>
      <c r="B439" s="1" t="n">
        <v>44498</v>
      </c>
      <c r="C439" s="1" t="n">
        <v>45357</v>
      </c>
      <c r="D439" t="inlineStr">
        <is>
          <t>VÄSTERBOTTENS LÄN</t>
        </is>
      </c>
      <c r="E439" t="inlineStr">
        <is>
          <t>LYCKSELE</t>
        </is>
      </c>
      <c r="F439" t="inlineStr">
        <is>
          <t>Sveaskog</t>
        </is>
      </c>
      <c r="G439" t="n">
        <v>1.8</v>
      </c>
      <c r="H439" t="n">
        <v>0</v>
      </c>
      <c r="I439" t="n">
        <v>0</v>
      </c>
      <c r="J439" t="n">
        <v>2</v>
      </c>
      <c r="K439" t="n">
        <v>1</v>
      </c>
      <c r="L439" t="n">
        <v>0</v>
      </c>
      <c r="M439" t="n">
        <v>0</v>
      </c>
      <c r="N439" t="n">
        <v>0</v>
      </c>
      <c r="O439" t="n">
        <v>3</v>
      </c>
      <c r="P439" t="n">
        <v>1</v>
      </c>
      <c r="Q439" t="n">
        <v>3</v>
      </c>
      <c r="R439" s="2" t="inlineStr">
        <is>
          <t>Jättemusseron
Kolflarnlav
Nordtagging</t>
        </is>
      </c>
      <c r="S439">
        <f>HYPERLINK("https://klasma.github.io/Logging_2481/artfynd/A 61172-2021 artfynd.xlsx", "A 61172-2021")</f>
        <v/>
      </c>
      <c r="T439">
        <f>HYPERLINK("https://klasma.github.io/Logging_2481/kartor/A 61172-2021 karta.png", "A 61172-2021")</f>
        <v/>
      </c>
      <c r="V439">
        <f>HYPERLINK("https://klasma.github.io/Logging_2481/klagomål/A 61172-2021 FSC-klagomål.docx", "A 61172-2021")</f>
        <v/>
      </c>
      <c r="W439">
        <f>HYPERLINK("https://klasma.github.io/Logging_2481/klagomålsmail/A 61172-2021 FSC-klagomål mail.docx", "A 61172-2021")</f>
        <v/>
      </c>
      <c r="X439">
        <f>HYPERLINK("https://klasma.github.io/Logging_2481/tillsyn/A 61172-2021 tillsynsbegäran.docx", "A 61172-2021")</f>
        <v/>
      </c>
      <c r="Y439">
        <f>HYPERLINK("https://klasma.github.io/Logging_2481/tillsynsmail/A 61172-2021 tillsynsbegäran mail.docx", "A 61172-2021")</f>
        <v/>
      </c>
    </row>
    <row r="440" ht="15" customHeight="1">
      <c r="A440" t="inlineStr">
        <is>
          <t>A 61747-2021</t>
        </is>
      </c>
      <c r="B440" s="1" t="n">
        <v>44501</v>
      </c>
      <c r="C440" s="1" t="n">
        <v>45357</v>
      </c>
      <c r="D440" t="inlineStr">
        <is>
          <t>VÄSTERBOTTENS LÄN</t>
        </is>
      </c>
      <c r="E440" t="inlineStr">
        <is>
          <t>LYCKSELE</t>
        </is>
      </c>
      <c r="F440" t="inlineStr">
        <is>
          <t>Sveaskog</t>
        </is>
      </c>
      <c r="G440" t="n">
        <v>15.1</v>
      </c>
      <c r="H440" t="n">
        <v>0</v>
      </c>
      <c r="I440" t="n">
        <v>2</v>
      </c>
      <c r="J440" t="n">
        <v>1</v>
      </c>
      <c r="K440" t="n">
        <v>0</v>
      </c>
      <c r="L440" t="n">
        <v>0</v>
      </c>
      <c r="M440" t="n">
        <v>0</v>
      </c>
      <c r="N440" t="n">
        <v>0</v>
      </c>
      <c r="O440" t="n">
        <v>1</v>
      </c>
      <c r="P440" t="n">
        <v>0</v>
      </c>
      <c r="Q440" t="n">
        <v>3</v>
      </c>
      <c r="R440" s="2" t="inlineStr">
        <is>
          <t>Vaddporing
Dropptaggsvamp
Fjällig taggsvamp s.str.</t>
        </is>
      </c>
      <c r="S440">
        <f>HYPERLINK("https://klasma.github.io/Logging_2481/artfynd/A 61747-2021 artfynd.xlsx", "A 61747-2021")</f>
        <v/>
      </c>
      <c r="T440">
        <f>HYPERLINK("https://klasma.github.io/Logging_2481/kartor/A 61747-2021 karta.png", "A 61747-2021")</f>
        <v/>
      </c>
      <c r="V440">
        <f>HYPERLINK("https://klasma.github.io/Logging_2481/klagomål/A 61747-2021 FSC-klagomål.docx", "A 61747-2021")</f>
        <v/>
      </c>
      <c r="W440">
        <f>HYPERLINK("https://klasma.github.io/Logging_2481/klagomålsmail/A 61747-2021 FSC-klagomål mail.docx", "A 61747-2021")</f>
        <v/>
      </c>
      <c r="X440">
        <f>HYPERLINK("https://klasma.github.io/Logging_2481/tillsyn/A 61747-2021 tillsynsbegäran.docx", "A 61747-2021")</f>
        <v/>
      </c>
      <c r="Y440">
        <f>HYPERLINK("https://klasma.github.io/Logging_2481/tillsynsmail/A 61747-2021 tillsynsbegäran mail.docx", "A 61747-2021")</f>
        <v/>
      </c>
    </row>
    <row r="441" ht="15" customHeight="1">
      <c r="A441" t="inlineStr">
        <is>
          <t>A 62340-2021</t>
        </is>
      </c>
      <c r="B441" s="1" t="n">
        <v>44503</v>
      </c>
      <c r="C441" s="1" t="n">
        <v>45357</v>
      </c>
      <c r="D441" t="inlineStr">
        <is>
          <t>VÄSTERBOTTENS LÄN</t>
        </is>
      </c>
      <c r="E441" t="inlineStr">
        <is>
          <t>SKELLEFTEÅ</t>
        </is>
      </c>
      <c r="G441" t="n">
        <v>3.9</v>
      </c>
      <c r="H441" t="n">
        <v>0</v>
      </c>
      <c r="I441" t="n">
        <v>2</v>
      </c>
      <c r="J441" t="n">
        <v>1</v>
      </c>
      <c r="K441" t="n">
        <v>0</v>
      </c>
      <c r="L441" t="n">
        <v>0</v>
      </c>
      <c r="M441" t="n">
        <v>0</v>
      </c>
      <c r="N441" t="n">
        <v>0</v>
      </c>
      <c r="O441" t="n">
        <v>1</v>
      </c>
      <c r="P441" t="n">
        <v>0</v>
      </c>
      <c r="Q441" t="n">
        <v>3</v>
      </c>
      <c r="R441" s="2" t="inlineStr">
        <is>
          <t>Garnlav
Dropptaggsvamp
Vedticka</t>
        </is>
      </c>
      <c r="S441">
        <f>HYPERLINK("https://klasma.github.io/Logging_2482/artfynd/A 62340-2021 artfynd.xlsx", "A 62340-2021")</f>
        <v/>
      </c>
      <c r="T441">
        <f>HYPERLINK("https://klasma.github.io/Logging_2482/kartor/A 62340-2021 karta.png", "A 62340-2021")</f>
        <v/>
      </c>
      <c r="V441">
        <f>HYPERLINK("https://klasma.github.io/Logging_2482/klagomål/A 62340-2021 FSC-klagomål.docx", "A 62340-2021")</f>
        <v/>
      </c>
      <c r="W441">
        <f>HYPERLINK("https://klasma.github.io/Logging_2482/klagomålsmail/A 62340-2021 FSC-klagomål mail.docx", "A 62340-2021")</f>
        <v/>
      </c>
      <c r="X441">
        <f>HYPERLINK("https://klasma.github.io/Logging_2482/tillsyn/A 62340-2021 tillsynsbegäran.docx", "A 62340-2021")</f>
        <v/>
      </c>
      <c r="Y441">
        <f>HYPERLINK("https://klasma.github.io/Logging_2482/tillsynsmail/A 62340-2021 tillsynsbegäran mail.docx", "A 62340-2021")</f>
        <v/>
      </c>
    </row>
    <row r="442" ht="15" customHeight="1">
      <c r="A442" t="inlineStr">
        <is>
          <t>A 3412-2022</t>
        </is>
      </c>
      <c r="B442" s="1" t="n">
        <v>44585</v>
      </c>
      <c r="C442" s="1" t="n">
        <v>45357</v>
      </c>
      <c r="D442" t="inlineStr">
        <is>
          <t>VÄSTERBOTTENS LÄN</t>
        </is>
      </c>
      <c r="E442" t="inlineStr">
        <is>
          <t>STORUMAN</t>
        </is>
      </c>
      <c r="G442" t="n">
        <v>0.7</v>
      </c>
      <c r="H442" t="n">
        <v>2</v>
      </c>
      <c r="I442" t="n">
        <v>1</v>
      </c>
      <c r="J442" t="n">
        <v>1</v>
      </c>
      <c r="K442" t="n">
        <v>0</v>
      </c>
      <c r="L442" t="n">
        <v>0</v>
      </c>
      <c r="M442" t="n">
        <v>0</v>
      </c>
      <c r="N442" t="n">
        <v>0</v>
      </c>
      <c r="O442" t="n">
        <v>1</v>
      </c>
      <c r="P442" t="n">
        <v>0</v>
      </c>
      <c r="Q442" t="n">
        <v>3</v>
      </c>
      <c r="R442" s="2" t="inlineStr">
        <is>
          <t>Garnlav
Spindelblomster
Skogsrör</t>
        </is>
      </c>
      <c r="S442">
        <f>HYPERLINK("https://klasma.github.io/Logging_2421/artfynd/A 3412-2022 artfynd.xlsx", "A 3412-2022")</f>
        <v/>
      </c>
      <c r="T442">
        <f>HYPERLINK("https://klasma.github.io/Logging_2421/kartor/A 3412-2022 karta.png", "A 3412-2022")</f>
        <v/>
      </c>
      <c r="V442">
        <f>HYPERLINK("https://klasma.github.io/Logging_2421/klagomål/A 3412-2022 FSC-klagomål.docx", "A 3412-2022")</f>
        <v/>
      </c>
      <c r="W442">
        <f>HYPERLINK("https://klasma.github.io/Logging_2421/klagomålsmail/A 3412-2022 FSC-klagomål mail.docx", "A 3412-2022")</f>
        <v/>
      </c>
      <c r="X442">
        <f>HYPERLINK("https://klasma.github.io/Logging_2421/tillsyn/A 3412-2022 tillsynsbegäran.docx", "A 3412-2022")</f>
        <v/>
      </c>
      <c r="Y442">
        <f>HYPERLINK("https://klasma.github.io/Logging_2421/tillsynsmail/A 3412-2022 tillsynsbegäran mail.docx", "A 3412-2022")</f>
        <v/>
      </c>
    </row>
    <row r="443" ht="15" customHeight="1">
      <c r="A443" t="inlineStr">
        <is>
          <t>A 4245-2022</t>
        </is>
      </c>
      <c r="B443" s="1" t="n">
        <v>44588</v>
      </c>
      <c r="C443" s="1" t="n">
        <v>45357</v>
      </c>
      <c r="D443" t="inlineStr">
        <is>
          <t>VÄSTERBOTTENS LÄN</t>
        </is>
      </c>
      <c r="E443" t="inlineStr">
        <is>
          <t>SKELLEFTEÅ</t>
        </is>
      </c>
      <c r="G443" t="n">
        <v>0.2</v>
      </c>
      <c r="H443" t="n">
        <v>0</v>
      </c>
      <c r="I443" t="n">
        <v>0</v>
      </c>
      <c r="J443" t="n">
        <v>3</v>
      </c>
      <c r="K443" t="n">
        <v>0</v>
      </c>
      <c r="L443" t="n">
        <v>0</v>
      </c>
      <c r="M443" t="n">
        <v>0</v>
      </c>
      <c r="N443" t="n">
        <v>0</v>
      </c>
      <c r="O443" t="n">
        <v>3</v>
      </c>
      <c r="P443" t="n">
        <v>0</v>
      </c>
      <c r="Q443" t="n">
        <v>3</v>
      </c>
      <c r="R443" s="2" t="inlineStr">
        <is>
          <t>Garnlav
Granticka
Harticka</t>
        </is>
      </c>
      <c r="S443">
        <f>HYPERLINK("https://klasma.github.io/Logging_2482/artfynd/A 4245-2022 artfynd.xlsx", "A 4245-2022")</f>
        <v/>
      </c>
      <c r="T443">
        <f>HYPERLINK("https://klasma.github.io/Logging_2482/kartor/A 4245-2022 karta.png", "A 4245-2022")</f>
        <v/>
      </c>
      <c r="V443">
        <f>HYPERLINK("https://klasma.github.io/Logging_2482/klagomål/A 4245-2022 FSC-klagomål.docx", "A 4245-2022")</f>
        <v/>
      </c>
      <c r="W443">
        <f>HYPERLINK("https://klasma.github.io/Logging_2482/klagomålsmail/A 4245-2022 FSC-klagomål mail.docx", "A 4245-2022")</f>
        <v/>
      </c>
      <c r="X443">
        <f>HYPERLINK("https://klasma.github.io/Logging_2482/tillsyn/A 4245-2022 tillsynsbegäran.docx", "A 4245-2022")</f>
        <v/>
      </c>
      <c r="Y443">
        <f>HYPERLINK("https://klasma.github.io/Logging_2482/tillsynsmail/A 4245-2022 tillsynsbegäran mail.docx", "A 4245-2022")</f>
        <v/>
      </c>
    </row>
    <row r="444" ht="15" customHeight="1">
      <c r="A444" t="inlineStr">
        <is>
          <t>A 9195-2022</t>
        </is>
      </c>
      <c r="B444" s="1" t="n">
        <v>44615</v>
      </c>
      <c r="C444" s="1" t="n">
        <v>45357</v>
      </c>
      <c r="D444" t="inlineStr">
        <is>
          <t>VÄSTERBOTTENS LÄN</t>
        </is>
      </c>
      <c r="E444" t="inlineStr">
        <is>
          <t>UMEÅ</t>
        </is>
      </c>
      <c r="G444" t="n">
        <v>2</v>
      </c>
      <c r="H444" t="n">
        <v>1</v>
      </c>
      <c r="I444" t="n">
        <v>1</v>
      </c>
      <c r="J444" t="n">
        <v>2</v>
      </c>
      <c r="K444" t="n">
        <v>0</v>
      </c>
      <c r="L444" t="n">
        <v>0</v>
      </c>
      <c r="M444" t="n">
        <v>0</v>
      </c>
      <c r="N444" t="n">
        <v>0</v>
      </c>
      <c r="O444" t="n">
        <v>2</v>
      </c>
      <c r="P444" t="n">
        <v>0</v>
      </c>
      <c r="Q444" t="n">
        <v>3</v>
      </c>
      <c r="R444" s="2" t="inlineStr">
        <is>
          <t>Lunglav
Talltita
Skinnlav</t>
        </is>
      </c>
      <c r="S444">
        <f>HYPERLINK("https://klasma.github.io/Logging_2480/artfynd/A 9195-2022 artfynd.xlsx", "A 9195-2022")</f>
        <v/>
      </c>
      <c r="T444">
        <f>HYPERLINK("https://klasma.github.io/Logging_2480/kartor/A 9195-2022 karta.png", "A 9195-2022")</f>
        <v/>
      </c>
      <c r="V444">
        <f>HYPERLINK("https://klasma.github.io/Logging_2480/klagomål/A 9195-2022 FSC-klagomål.docx", "A 9195-2022")</f>
        <v/>
      </c>
      <c r="W444">
        <f>HYPERLINK("https://klasma.github.io/Logging_2480/klagomålsmail/A 9195-2022 FSC-klagomål mail.docx", "A 9195-2022")</f>
        <v/>
      </c>
      <c r="X444">
        <f>HYPERLINK("https://klasma.github.io/Logging_2480/tillsyn/A 9195-2022 tillsynsbegäran.docx", "A 9195-2022")</f>
        <v/>
      </c>
      <c r="Y444">
        <f>HYPERLINK("https://klasma.github.io/Logging_2480/tillsynsmail/A 9195-2022 tillsynsbegäran mail.docx", "A 9195-2022")</f>
        <v/>
      </c>
      <c r="Z444">
        <f>HYPERLINK("https://klasma.github.io/Logging_2480/fåglar/A 9195-2022 prioriterade fågelarter.docx", "A 9195-2022")</f>
        <v/>
      </c>
    </row>
    <row r="445" ht="15" customHeight="1">
      <c r="A445" t="inlineStr">
        <is>
          <t>A 14498-2022</t>
        </is>
      </c>
      <c r="B445" s="1" t="n">
        <v>44655</v>
      </c>
      <c r="C445" s="1" t="n">
        <v>45357</v>
      </c>
      <c r="D445" t="inlineStr">
        <is>
          <t>VÄSTERBOTTENS LÄN</t>
        </is>
      </c>
      <c r="E445" t="inlineStr">
        <is>
          <t>SKELLEFTEÅ</t>
        </is>
      </c>
      <c r="G445" t="n">
        <v>8.6</v>
      </c>
      <c r="H445" t="n">
        <v>0</v>
      </c>
      <c r="I445" t="n">
        <v>0</v>
      </c>
      <c r="J445" t="n">
        <v>3</v>
      </c>
      <c r="K445" t="n">
        <v>0</v>
      </c>
      <c r="L445" t="n">
        <v>0</v>
      </c>
      <c r="M445" t="n">
        <v>0</v>
      </c>
      <c r="N445" t="n">
        <v>0</v>
      </c>
      <c r="O445" t="n">
        <v>3</v>
      </c>
      <c r="P445" t="n">
        <v>0</v>
      </c>
      <c r="Q445" t="n">
        <v>3</v>
      </c>
      <c r="R445" s="2" t="inlineStr">
        <is>
          <t>Garnlav
Granticka
Ullticka</t>
        </is>
      </c>
      <c r="S445">
        <f>HYPERLINK("https://klasma.github.io/Logging_2482/artfynd/A 14498-2022 artfynd.xlsx", "A 14498-2022")</f>
        <v/>
      </c>
      <c r="T445">
        <f>HYPERLINK("https://klasma.github.io/Logging_2482/kartor/A 14498-2022 karta.png", "A 14498-2022")</f>
        <v/>
      </c>
      <c r="V445">
        <f>HYPERLINK("https://klasma.github.io/Logging_2482/klagomål/A 14498-2022 FSC-klagomål.docx", "A 14498-2022")</f>
        <v/>
      </c>
      <c r="W445">
        <f>HYPERLINK("https://klasma.github.io/Logging_2482/klagomålsmail/A 14498-2022 FSC-klagomål mail.docx", "A 14498-2022")</f>
        <v/>
      </c>
      <c r="X445">
        <f>HYPERLINK("https://klasma.github.io/Logging_2482/tillsyn/A 14498-2022 tillsynsbegäran.docx", "A 14498-2022")</f>
        <v/>
      </c>
      <c r="Y445">
        <f>HYPERLINK("https://klasma.github.io/Logging_2482/tillsynsmail/A 14498-2022 tillsynsbegäran mail.docx", "A 14498-2022")</f>
        <v/>
      </c>
    </row>
    <row r="446" ht="15" customHeight="1">
      <c r="A446" t="inlineStr">
        <is>
          <t>A 19803-2022</t>
        </is>
      </c>
      <c r="B446" s="1" t="n">
        <v>44694</v>
      </c>
      <c r="C446" s="1" t="n">
        <v>45357</v>
      </c>
      <c r="D446" t="inlineStr">
        <is>
          <t>VÄSTERBOTTENS LÄN</t>
        </is>
      </c>
      <c r="E446" t="inlineStr">
        <is>
          <t>SKELLEFTEÅ</t>
        </is>
      </c>
      <c r="F446" t="inlineStr">
        <is>
          <t>SCA</t>
        </is>
      </c>
      <c r="G446" t="n">
        <v>5.6</v>
      </c>
      <c r="H446" t="n">
        <v>1</v>
      </c>
      <c r="I446" t="n">
        <v>0</v>
      </c>
      <c r="J446" t="n">
        <v>3</v>
      </c>
      <c r="K446" t="n">
        <v>0</v>
      </c>
      <c r="L446" t="n">
        <v>0</v>
      </c>
      <c r="M446" t="n">
        <v>0</v>
      </c>
      <c r="N446" t="n">
        <v>0</v>
      </c>
      <c r="O446" t="n">
        <v>3</v>
      </c>
      <c r="P446" t="n">
        <v>0</v>
      </c>
      <c r="Q446" t="n">
        <v>3</v>
      </c>
      <c r="R446" s="2" t="inlineStr">
        <is>
          <t>Rosenticka
Spillkråka
Vitgrynig nållav</t>
        </is>
      </c>
      <c r="S446">
        <f>HYPERLINK("https://klasma.github.io/Logging_2482/artfynd/A 19803-2022 artfynd.xlsx", "A 19803-2022")</f>
        <v/>
      </c>
      <c r="T446">
        <f>HYPERLINK("https://klasma.github.io/Logging_2482/kartor/A 19803-2022 karta.png", "A 19803-2022")</f>
        <v/>
      </c>
      <c r="V446">
        <f>HYPERLINK("https://klasma.github.io/Logging_2482/klagomål/A 19803-2022 FSC-klagomål.docx", "A 19803-2022")</f>
        <v/>
      </c>
      <c r="W446">
        <f>HYPERLINK("https://klasma.github.io/Logging_2482/klagomålsmail/A 19803-2022 FSC-klagomål mail.docx", "A 19803-2022")</f>
        <v/>
      </c>
      <c r="X446">
        <f>HYPERLINK("https://klasma.github.io/Logging_2482/tillsyn/A 19803-2022 tillsynsbegäran.docx", "A 19803-2022")</f>
        <v/>
      </c>
      <c r="Y446">
        <f>HYPERLINK("https://klasma.github.io/Logging_2482/tillsynsmail/A 19803-2022 tillsynsbegäran mail.docx", "A 19803-2022")</f>
        <v/>
      </c>
      <c r="Z446">
        <f>HYPERLINK("https://klasma.github.io/Logging_2482/fåglar/A 19803-2022 prioriterade fågelarter.docx", "A 19803-2022")</f>
        <v/>
      </c>
    </row>
    <row r="447" ht="15" customHeight="1">
      <c r="A447" t="inlineStr">
        <is>
          <t>A 22607-2022</t>
        </is>
      </c>
      <c r="B447" s="1" t="n">
        <v>44714</v>
      </c>
      <c r="C447" s="1" t="n">
        <v>45357</v>
      </c>
      <c r="D447" t="inlineStr">
        <is>
          <t>VÄSTERBOTTENS LÄN</t>
        </is>
      </c>
      <c r="E447" t="inlineStr">
        <is>
          <t>UMEÅ</t>
        </is>
      </c>
      <c r="G447" t="n">
        <v>3.1</v>
      </c>
      <c r="H447" t="n">
        <v>1</v>
      </c>
      <c r="I447" t="n">
        <v>1</v>
      </c>
      <c r="J447" t="n">
        <v>2</v>
      </c>
      <c r="K447" t="n">
        <v>0</v>
      </c>
      <c r="L447" t="n">
        <v>0</v>
      </c>
      <c r="M447" t="n">
        <v>0</v>
      </c>
      <c r="N447" t="n">
        <v>0</v>
      </c>
      <c r="O447" t="n">
        <v>2</v>
      </c>
      <c r="P447" t="n">
        <v>0</v>
      </c>
      <c r="Q447" t="n">
        <v>3</v>
      </c>
      <c r="R447" s="2" t="inlineStr">
        <is>
          <t>Gammelgransskål
Tretåig hackspett
Vedticka</t>
        </is>
      </c>
      <c r="S447">
        <f>HYPERLINK("https://klasma.github.io/Logging_2480/artfynd/A 22607-2022 artfynd.xlsx", "A 22607-2022")</f>
        <v/>
      </c>
      <c r="T447">
        <f>HYPERLINK("https://klasma.github.io/Logging_2480/kartor/A 22607-2022 karta.png", "A 22607-2022")</f>
        <v/>
      </c>
      <c r="V447">
        <f>HYPERLINK("https://klasma.github.io/Logging_2480/klagomål/A 22607-2022 FSC-klagomål.docx", "A 22607-2022")</f>
        <v/>
      </c>
      <c r="W447">
        <f>HYPERLINK("https://klasma.github.io/Logging_2480/klagomålsmail/A 22607-2022 FSC-klagomål mail.docx", "A 22607-2022")</f>
        <v/>
      </c>
      <c r="X447">
        <f>HYPERLINK("https://klasma.github.io/Logging_2480/tillsyn/A 22607-2022 tillsynsbegäran.docx", "A 22607-2022")</f>
        <v/>
      </c>
      <c r="Y447">
        <f>HYPERLINK("https://klasma.github.io/Logging_2480/tillsynsmail/A 22607-2022 tillsynsbegäran mail.docx", "A 22607-2022")</f>
        <v/>
      </c>
      <c r="Z447">
        <f>HYPERLINK("https://klasma.github.io/Logging_2480/fåglar/A 22607-2022 prioriterade fågelarter.docx", "A 22607-2022")</f>
        <v/>
      </c>
    </row>
    <row r="448" ht="15" customHeight="1">
      <c r="A448" t="inlineStr">
        <is>
          <t>A 25503-2022</t>
        </is>
      </c>
      <c r="B448" s="1" t="n">
        <v>44732</v>
      </c>
      <c r="C448" s="1" t="n">
        <v>45357</v>
      </c>
      <c r="D448" t="inlineStr">
        <is>
          <t>VÄSTERBOTTENS LÄN</t>
        </is>
      </c>
      <c r="E448" t="inlineStr">
        <is>
          <t>VILHELMINA</t>
        </is>
      </c>
      <c r="G448" t="n">
        <v>1.9</v>
      </c>
      <c r="H448" t="n">
        <v>0</v>
      </c>
      <c r="I448" t="n">
        <v>3</v>
      </c>
      <c r="J448" t="n">
        <v>0</v>
      </c>
      <c r="K448" t="n">
        <v>0</v>
      </c>
      <c r="L448" t="n">
        <v>0</v>
      </c>
      <c r="M448" t="n">
        <v>0</v>
      </c>
      <c r="N448" t="n">
        <v>0</v>
      </c>
      <c r="O448" t="n">
        <v>0</v>
      </c>
      <c r="P448" t="n">
        <v>0</v>
      </c>
      <c r="Q448" t="n">
        <v>3</v>
      </c>
      <c r="R448" s="2" t="inlineStr">
        <is>
          <t>Gulnål
Skinnlav
Stuplav</t>
        </is>
      </c>
      <c r="S448">
        <f>HYPERLINK("https://klasma.github.io/Logging_2462/artfynd/A 25503-2022 artfynd.xlsx", "A 25503-2022")</f>
        <v/>
      </c>
      <c r="T448">
        <f>HYPERLINK("https://klasma.github.io/Logging_2462/kartor/A 25503-2022 karta.png", "A 25503-2022")</f>
        <v/>
      </c>
      <c r="V448">
        <f>HYPERLINK("https://klasma.github.io/Logging_2462/klagomål/A 25503-2022 FSC-klagomål.docx", "A 25503-2022")</f>
        <v/>
      </c>
      <c r="W448">
        <f>HYPERLINK("https://klasma.github.io/Logging_2462/klagomålsmail/A 25503-2022 FSC-klagomål mail.docx", "A 25503-2022")</f>
        <v/>
      </c>
      <c r="X448">
        <f>HYPERLINK("https://klasma.github.io/Logging_2462/tillsyn/A 25503-2022 tillsynsbegäran.docx", "A 25503-2022")</f>
        <v/>
      </c>
      <c r="Y448">
        <f>HYPERLINK("https://klasma.github.io/Logging_2462/tillsynsmail/A 25503-2022 tillsynsbegäran mail.docx", "A 25503-2022")</f>
        <v/>
      </c>
    </row>
    <row r="449" ht="15" customHeight="1">
      <c r="A449" t="inlineStr">
        <is>
          <t>A 28420-2022</t>
        </is>
      </c>
      <c r="B449" s="1" t="n">
        <v>44747</v>
      </c>
      <c r="C449" s="1" t="n">
        <v>45357</v>
      </c>
      <c r="D449" t="inlineStr">
        <is>
          <t>VÄSTERBOTTENS LÄN</t>
        </is>
      </c>
      <c r="E449" t="inlineStr">
        <is>
          <t>LYCKSELE</t>
        </is>
      </c>
      <c r="G449" t="n">
        <v>6.4</v>
      </c>
      <c r="H449" t="n">
        <v>0</v>
      </c>
      <c r="I449" t="n">
        <v>2</v>
      </c>
      <c r="J449" t="n">
        <v>1</v>
      </c>
      <c r="K449" t="n">
        <v>0</v>
      </c>
      <c r="L449" t="n">
        <v>0</v>
      </c>
      <c r="M449" t="n">
        <v>0</v>
      </c>
      <c r="N449" t="n">
        <v>0</v>
      </c>
      <c r="O449" t="n">
        <v>1</v>
      </c>
      <c r="P449" t="n">
        <v>0</v>
      </c>
      <c r="Q449" t="n">
        <v>3</v>
      </c>
      <c r="R449" s="2" t="inlineStr">
        <is>
          <t>Lunglav
Luddlav
Stuplav</t>
        </is>
      </c>
      <c r="S449">
        <f>HYPERLINK("https://klasma.github.io/Logging_2481/artfynd/A 28420-2022 artfynd.xlsx", "A 28420-2022")</f>
        <v/>
      </c>
      <c r="T449">
        <f>HYPERLINK("https://klasma.github.io/Logging_2481/kartor/A 28420-2022 karta.png", "A 28420-2022")</f>
        <v/>
      </c>
      <c r="V449">
        <f>HYPERLINK("https://klasma.github.io/Logging_2481/klagomål/A 28420-2022 FSC-klagomål.docx", "A 28420-2022")</f>
        <v/>
      </c>
      <c r="W449">
        <f>HYPERLINK("https://klasma.github.io/Logging_2481/klagomålsmail/A 28420-2022 FSC-klagomål mail.docx", "A 28420-2022")</f>
        <v/>
      </c>
      <c r="X449">
        <f>HYPERLINK("https://klasma.github.io/Logging_2481/tillsyn/A 28420-2022 tillsynsbegäran.docx", "A 28420-2022")</f>
        <v/>
      </c>
      <c r="Y449">
        <f>HYPERLINK("https://klasma.github.io/Logging_2481/tillsynsmail/A 28420-2022 tillsynsbegäran mail.docx", "A 28420-2022")</f>
        <v/>
      </c>
    </row>
    <row r="450" ht="15" customHeight="1">
      <c r="A450" t="inlineStr">
        <is>
          <t>A 40987-2022</t>
        </is>
      </c>
      <c r="B450" s="1" t="n">
        <v>44823</v>
      </c>
      <c r="C450" s="1" t="n">
        <v>45357</v>
      </c>
      <c r="D450" t="inlineStr">
        <is>
          <t>VÄSTERBOTTENS LÄN</t>
        </is>
      </c>
      <c r="E450" t="inlineStr">
        <is>
          <t>SKELLEFTEÅ</t>
        </is>
      </c>
      <c r="G450" t="n">
        <v>7.1</v>
      </c>
      <c r="H450" t="n">
        <v>0</v>
      </c>
      <c r="I450" t="n">
        <v>2</v>
      </c>
      <c r="J450" t="n">
        <v>1</v>
      </c>
      <c r="K450" t="n">
        <v>0</v>
      </c>
      <c r="L450" t="n">
        <v>0</v>
      </c>
      <c r="M450" t="n">
        <v>0</v>
      </c>
      <c r="N450" t="n">
        <v>0</v>
      </c>
      <c r="O450" t="n">
        <v>1</v>
      </c>
      <c r="P450" t="n">
        <v>0</v>
      </c>
      <c r="Q450" t="n">
        <v>3</v>
      </c>
      <c r="R450" s="2" t="inlineStr">
        <is>
          <t>Blå taggsvamp
Bårdlav
Norrlandslav</t>
        </is>
      </c>
      <c r="S450">
        <f>HYPERLINK("https://klasma.github.io/Logging_2482/artfynd/A 40987-2022 artfynd.xlsx", "A 40987-2022")</f>
        <v/>
      </c>
      <c r="T450">
        <f>HYPERLINK("https://klasma.github.io/Logging_2482/kartor/A 40987-2022 karta.png", "A 40987-2022")</f>
        <v/>
      </c>
      <c r="V450">
        <f>HYPERLINK("https://klasma.github.io/Logging_2482/klagomål/A 40987-2022 FSC-klagomål.docx", "A 40987-2022")</f>
        <v/>
      </c>
      <c r="W450">
        <f>HYPERLINK("https://klasma.github.io/Logging_2482/klagomålsmail/A 40987-2022 FSC-klagomål mail.docx", "A 40987-2022")</f>
        <v/>
      </c>
      <c r="X450">
        <f>HYPERLINK("https://klasma.github.io/Logging_2482/tillsyn/A 40987-2022 tillsynsbegäran.docx", "A 40987-2022")</f>
        <v/>
      </c>
      <c r="Y450">
        <f>HYPERLINK("https://klasma.github.io/Logging_2482/tillsynsmail/A 40987-2022 tillsynsbegäran mail.docx", "A 40987-2022")</f>
        <v/>
      </c>
    </row>
    <row r="451" ht="15" customHeight="1">
      <c r="A451" t="inlineStr">
        <is>
          <t>A 41412-2022</t>
        </is>
      </c>
      <c r="B451" s="1" t="n">
        <v>44826</v>
      </c>
      <c r="C451" s="1" t="n">
        <v>45357</v>
      </c>
      <c r="D451" t="inlineStr">
        <is>
          <t>VÄSTERBOTTENS LÄN</t>
        </is>
      </c>
      <c r="E451" t="inlineStr">
        <is>
          <t>SKELLEFTEÅ</t>
        </is>
      </c>
      <c r="G451" t="n">
        <v>2.6</v>
      </c>
      <c r="H451" t="n">
        <v>0</v>
      </c>
      <c r="I451" t="n">
        <v>1</v>
      </c>
      <c r="J451" t="n">
        <v>2</v>
      </c>
      <c r="K451" t="n">
        <v>0</v>
      </c>
      <c r="L451" t="n">
        <v>0</v>
      </c>
      <c r="M451" t="n">
        <v>0</v>
      </c>
      <c r="N451" t="n">
        <v>0</v>
      </c>
      <c r="O451" t="n">
        <v>2</v>
      </c>
      <c r="P451" t="n">
        <v>0</v>
      </c>
      <c r="Q451" t="n">
        <v>3</v>
      </c>
      <c r="R451" s="2" t="inlineStr">
        <is>
          <t>Gränsticka
Ullticka
Vedticka</t>
        </is>
      </c>
      <c r="S451">
        <f>HYPERLINK("https://klasma.github.io/Logging_2482/artfynd/A 41412-2022 artfynd.xlsx", "A 41412-2022")</f>
        <v/>
      </c>
      <c r="T451">
        <f>HYPERLINK("https://klasma.github.io/Logging_2482/kartor/A 41412-2022 karta.png", "A 41412-2022")</f>
        <v/>
      </c>
      <c r="V451">
        <f>HYPERLINK("https://klasma.github.io/Logging_2482/klagomål/A 41412-2022 FSC-klagomål.docx", "A 41412-2022")</f>
        <v/>
      </c>
      <c r="W451">
        <f>HYPERLINK("https://klasma.github.io/Logging_2482/klagomålsmail/A 41412-2022 FSC-klagomål mail.docx", "A 41412-2022")</f>
        <v/>
      </c>
      <c r="X451">
        <f>HYPERLINK("https://klasma.github.io/Logging_2482/tillsyn/A 41412-2022 tillsynsbegäran.docx", "A 41412-2022")</f>
        <v/>
      </c>
      <c r="Y451">
        <f>HYPERLINK("https://klasma.github.io/Logging_2482/tillsynsmail/A 41412-2022 tillsynsbegäran mail.docx", "A 41412-2022")</f>
        <v/>
      </c>
    </row>
    <row r="452" ht="15" customHeight="1">
      <c r="A452" t="inlineStr">
        <is>
          <t>A 42687-2022</t>
        </is>
      </c>
      <c r="B452" s="1" t="n">
        <v>44831</v>
      </c>
      <c r="C452" s="1" t="n">
        <v>45357</v>
      </c>
      <c r="D452" t="inlineStr">
        <is>
          <t>VÄSTERBOTTENS LÄN</t>
        </is>
      </c>
      <c r="E452" t="inlineStr">
        <is>
          <t>SKELLEFTEÅ</t>
        </is>
      </c>
      <c r="G452" t="n">
        <v>2.7</v>
      </c>
      <c r="H452" t="n">
        <v>0</v>
      </c>
      <c r="I452" t="n">
        <v>0</v>
      </c>
      <c r="J452" t="n">
        <v>3</v>
      </c>
      <c r="K452" t="n">
        <v>0</v>
      </c>
      <c r="L452" t="n">
        <v>0</v>
      </c>
      <c r="M452" t="n">
        <v>0</v>
      </c>
      <c r="N452" t="n">
        <v>0</v>
      </c>
      <c r="O452" t="n">
        <v>3</v>
      </c>
      <c r="P452" t="n">
        <v>0</v>
      </c>
      <c r="Q452" t="n">
        <v>3</v>
      </c>
      <c r="R452" s="2" t="inlineStr">
        <is>
          <t>Granticka
Stjärntagging
Ullticka</t>
        </is>
      </c>
      <c r="S452">
        <f>HYPERLINK("https://klasma.github.io/Logging_2482/artfynd/A 42687-2022 artfynd.xlsx", "A 42687-2022")</f>
        <v/>
      </c>
      <c r="T452">
        <f>HYPERLINK("https://klasma.github.io/Logging_2482/kartor/A 42687-2022 karta.png", "A 42687-2022")</f>
        <v/>
      </c>
      <c r="V452">
        <f>HYPERLINK("https://klasma.github.io/Logging_2482/klagomål/A 42687-2022 FSC-klagomål.docx", "A 42687-2022")</f>
        <v/>
      </c>
      <c r="W452">
        <f>HYPERLINK("https://klasma.github.io/Logging_2482/klagomålsmail/A 42687-2022 FSC-klagomål mail.docx", "A 42687-2022")</f>
        <v/>
      </c>
      <c r="X452">
        <f>HYPERLINK("https://klasma.github.io/Logging_2482/tillsyn/A 42687-2022 tillsynsbegäran.docx", "A 42687-2022")</f>
        <v/>
      </c>
      <c r="Y452">
        <f>HYPERLINK("https://klasma.github.io/Logging_2482/tillsynsmail/A 42687-2022 tillsynsbegäran mail.docx", "A 42687-2022")</f>
        <v/>
      </c>
    </row>
    <row r="453" ht="15" customHeight="1">
      <c r="A453" t="inlineStr">
        <is>
          <t>A 46088-2022</t>
        </is>
      </c>
      <c r="B453" s="1" t="n">
        <v>44845</v>
      </c>
      <c r="C453" s="1" t="n">
        <v>45357</v>
      </c>
      <c r="D453" t="inlineStr">
        <is>
          <t>VÄSTERBOTTENS LÄN</t>
        </is>
      </c>
      <c r="E453" t="inlineStr">
        <is>
          <t>SORSELE</t>
        </is>
      </c>
      <c r="G453" t="n">
        <v>3.1</v>
      </c>
      <c r="H453" t="n">
        <v>1</v>
      </c>
      <c r="I453" t="n">
        <v>0</v>
      </c>
      <c r="J453" t="n">
        <v>2</v>
      </c>
      <c r="K453" t="n">
        <v>0</v>
      </c>
      <c r="L453" t="n">
        <v>0</v>
      </c>
      <c r="M453" t="n">
        <v>0</v>
      </c>
      <c r="N453" t="n">
        <v>0</v>
      </c>
      <c r="O453" t="n">
        <v>2</v>
      </c>
      <c r="P453" t="n">
        <v>0</v>
      </c>
      <c r="Q453" t="n">
        <v>3</v>
      </c>
      <c r="R453" s="2" t="inlineStr">
        <is>
          <t>Garnlav
Granticka
Revlummer</t>
        </is>
      </c>
      <c r="S453">
        <f>HYPERLINK("https://klasma.github.io/Logging_2422/artfynd/A 46088-2022 artfynd.xlsx", "A 46088-2022")</f>
        <v/>
      </c>
      <c r="T453">
        <f>HYPERLINK("https://klasma.github.io/Logging_2422/kartor/A 46088-2022 karta.png", "A 46088-2022")</f>
        <v/>
      </c>
      <c r="V453">
        <f>HYPERLINK("https://klasma.github.io/Logging_2422/klagomål/A 46088-2022 FSC-klagomål.docx", "A 46088-2022")</f>
        <v/>
      </c>
      <c r="W453">
        <f>HYPERLINK("https://klasma.github.io/Logging_2422/klagomålsmail/A 46088-2022 FSC-klagomål mail.docx", "A 46088-2022")</f>
        <v/>
      </c>
      <c r="X453">
        <f>HYPERLINK("https://klasma.github.io/Logging_2422/tillsyn/A 46088-2022 tillsynsbegäran.docx", "A 46088-2022")</f>
        <v/>
      </c>
      <c r="Y453">
        <f>HYPERLINK("https://klasma.github.io/Logging_2422/tillsynsmail/A 46088-2022 tillsynsbegäran mail.docx", "A 46088-2022")</f>
        <v/>
      </c>
    </row>
    <row r="454" ht="15" customHeight="1">
      <c r="A454" t="inlineStr">
        <is>
          <t>A 49644-2022</t>
        </is>
      </c>
      <c r="B454" s="1" t="n">
        <v>44862</v>
      </c>
      <c r="C454" s="1" t="n">
        <v>45357</v>
      </c>
      <c r="D454" t="inlineStr">
        <is>
          <t>VÄSTERBOTTENS LÄN</t>
        </is>
      </c>
      <c r="E454" t="inlineStr">
        <is>
          <t>UMEÅ</t>
        </is>
      </c>
      <c r="F454" t="inlineStr">
        <is>
          <t>Holmen skog AB</t>
        </is>
      </c>
      <c r="G454" t="n">
        <v>4.5</v>
      </c>
      <c r="H454" t="n">
        <v>2</v>
      </c>
      <c r="I454" t="n">
        <v>0</v>
      </c>
      <c r="J454" t="n">
        <v>3</v>
      </c>
      <c r="K454" t="n">
        <v>0</v>
      </c>
      <c r="L454" t="n">
        <v>0</v>
      </c>
      <c r="M454" t="n">
        <v>0</v>
      </c>
      <c r="N454" t="n">
        <v>0</v>
      </c>
      <c r="O454" t="n">
        <v>3</v>
      </c>
      <c r="P454" t="n">
        <v>0</v>
      </c>
      <c r="Q454" t="n">
        <v>3</v>
      </c>
      <c r="R454" s="2" t="inlineStr">
        <is>
          <t>Garnlav
Talltita
Tretåig hackspett</t>
        </is>
      </c>
      <c r="S454">
        <f>HYPERLINK("https://klasma.github.io/Logging_2480/artfynd/A 49644-2022 artfynd.xlsx", "A 49644-2022")</f>
        <v/>
      </c>
      <c r="T454">
        <f>HYPERLINK("https://klasma.github.io/Logging_2480/kartor/A 49644-2022 karta.png", "A 49644-2022")</f>
        <v/>
      </c>
      <c r="V454">
        <f>HYPERLINK("https://klasma.github.io/Logging_2480/klagomål/A 49644-2022 FSC-klagomål.docx", "A 49644-2022")</f>
        <v/>
      </c>
      <c r="W454">
        <f>HYPERLINK("https://klasma.github.io/Logging_2480/klagomålsmail/A 49644-2022 FSC-klagomål mail.docx", "A 49644-2022")</f>
        <v/>
      </c>
      <c r="X454">
        <f>HYPERLINK("https://klasma.github.io/Logging_2480/tillsyn/A 49644-2022 tillsynsbegäran.docx", "A 49644-2022")</f>
        <v/>
      </c>
      <c r="Y454">
        <f>HYPERLINK("https://klasma.github.io/Logging_2480/tillsynsmail/A 49644-2022 tillsynsbegäran mail.docx", "A 49644-2022")</f>
        <v/>
      </c>
      <c r="Z454">
        <f>HYPERLINK("https://klasma.github.io/Logging_2480/fåglar/A 49644-2022 prioriterade fågelarter.docx", "A 49644-2022")</f>
        <v/>
      </c>
    </row>
    <row r="455" ht="15" customHeight="1">
      <c r="A455" t="inlineStr">
        <is>
          <t>A 51945-2022</t>
        </is>
      </c>
      <c r="B455" s="1" t="n">
        <v>44872</v>
      </c>
      <c r="C455" s="1" t="n">
        <v>45357</v>
      </c>
      <c r="D455" t="inlineStr">
        <is>
          <t>VÄSTERBOTTENS LÄN</t>
        </is>
      </c>
      <c r="E455" t="inlineStr">
        <is>
          <t>SKELLEFTEÅ</t>
        </is>
      </c>
      <c r="F455" t="inlineStr">
        <is>
          <t>Holmen skog AB</t>
        </is>
      </c>
      <c r="G455" t="n">
        <v>7.1</v>
      </c>
      <c r="H455" t="n">
        <v>2</v>
      </c>
      <c r="I455" t="n">
        <v>1</v>
      </c>
      <c r="J455" t="n">
        <v>0</v>
      </c>
      <c r="K455" t="n">
        <v>0</v>
      </c>
      <c r="L455" t="n">
        <v>0</v>
      </c>
      <c r="M455" t="n">
        <v>0</v>
      </c>
      <c r="N455" t="n">
        <v>0</v>
      </c>
      <c r="O455" t="n">
        <v>0</v>
      </c>
      <c r="P455" t="n">
        <v>0</v>
      </c>
      <c r="Q455" t="n">
        <v>3</v>
      </c>
      <c r="R455" s="2" t="inlineStr">
        <is>
          <t>Trådticka
Lopplummer
Revlummer</t>
        </is>
      </c>
      <c r="S455">
        <f>HYPERLINK("https://klasma.github.io/Logging_2482/artfynd/A 51945-2022 artfynd.xlsx", "A 51945-2022")</f>
        <v/>
      </c>
      <c r="T455">
        <f>HYPERLINK("https://klasma.github.io/Logging_2482/kartor/A 51945-2022 karta.png", "A 51945-2022")</f>
        <v/>
      </c>
      <c r="V455">
        <f>HYPERLINK("https://klasma.github.io/Logging_2482/klagomål/A 51945-2022 FSC-klagomål.docx", "A 51945-2022")</f>
        <v/>
      </c>
      <c r="W455">
        <f>HYPERLINK("https://klasma.github.io/Logging_2482/klagomålsmail/A 51945-2022 FSC-klagomål mail.docx", "A 51945-2022")</f>
        <v/>
      </c>
      <c r="X455">
        <f>HYPERLINK("https://klasma.github.io/Logging_2482/tillsyn/A 51945-2022 tillsynsbegäran.docx", "A 51945-2022")</f>
        <v/>
      </c>
      <c r="Y455">
        <f>HYPERLINK("https://klasma.github.io/Logging_2482/tillsynsmail/A 51945-2022 tillsynsbegäran mail.docx", "A 51945-2022")</f>
        <v/>
      </c>
    </row>
    <row r="456" ht="15" customHeight="1">
      <c r="A456" t="inlineStr">
        <is>
          <t>A 56519-2022</t>
        </is>
      </c>
      <c r="B456" s="1" t="n">
        <v>44893</v>
      </c>
      <c r="C456" s="1" t="n">
        <v>45357</v>
      </c>
      <c r="D456" t="inlineStr">
        <is>
          <t>VÄSTERBOTTENS LÄN</t>
        </is>
      </c>
      <c r="E456" t="inlineStr">
        <is>
          <t>LYCKSELE</t>
        </is>
      </c>
      <c r="F456" t="inlineStr">
        <is>
          <t>Sveaskog</t>
        </is>
      </c>
      <c r="G456" t="n">
        <v>18.2</v>
      </c>
      <c r="H456" t="n">
        <v>0</v>
      </c>
      <c r="I456" t="n">
        <v>2</v>
      </c>
      <c r="J456" t="n">
        <v>1</v>
      </c>
      <c r="K456" t="n">
        <v>0</v>
      </c>
      <c r="L456" t="n">
        <v>0</v>
      </c>
      <c r="M456" t="n">
        <v>0</v>
      </c>
      <c r="N456" t="n">
        <v>0</v>
      </c>
      <c r="O456" t="n">
        <v>1</v>
      </c>
      <c r="P456" t="n">
        <v>0</v>
      </c>
      <c r="Q456" t="n">
        <v>3</v>
      </c>
      <c r="R456" s="2" t="inlineStr">
        <is>
          <t>Vedflamlav
Dropptaggsvamp
Skarp dropptaggsvamp</t>
        </is>
      </c>
      <c r="S456">
        <f>HYPERLINK("https://klasma.github.io/Logging_2481/artfynd/A 56519-2022 artfynd.xlsx", "A 56519-2022")</f>
        <v/>
      </c>
      <c r="T456">
        <f>HYPERLINK("https://klasma.github.io/Logging_2481/kartor/A 56519-2022 karta.png", "A 56519-2022")</f>
        <v/>
      </c>
      <c r="V456">
        <f>HYPERLINK("https://klasma.github.io/Logging_2481/klagomål/A 56519-2022 FSC-klagomål.docx", "A 56519-2022")</f>
        <v/>
      </c>
      <c r="W456">
        <f>HYPERLINK("https://klasma.github.io/Logging_2481/klagomålsmail/A 56519-2022 FSC-klagomål mail.docx", "A 56519-2022")</f>
        <v/>
      </c>
      <c r="X456">
        <f>HYPERLINK("https://klasma.github.io/Logging_2481/tillsyn/A 56519-2022 tillsynsbegäran.docx", "A 56519-2022")</f>
        <v/>
      </c>
      <c r="Y456">
        <f>HYPERLINK("https://klasma.github.io/Logging_2481/tillsynsmail/A 56519-2022 tillsynsbegäran mail.docx", "A 56519-2022")</f>
        <v/>
      </c>
    </row>
    <row r="457" ht="15" customHeight="1">
      <c r="A457" t="inlineStr">
        <is>
          <t>A 60450-2022</t>
        </is>
      </c>
      <c r="B457" s="1" t="n">
        <v>44904</v>
      </c>
      <c r="C457" s="1" t="n">
        <v>45357</v>
      </c>
      <c r="D457" t="inlineStr">
        <is>
          <t>VÄSTERBOTTENS LÄN</t>
        </is>
      </c>
      <c r="E457" t="inlineStr">
        <is>
          <t>NORDMALING</t>
        </is>
      </c>
      <c r="G457" t="n">
        <v>3.3</v>
      </c>
      <c r="H457" t="n">
        <v>0</v>
      </c>
      <c r="I457" t="n">
        <v>0</v>
      </c>
      <c r="J457" t="n">
        <v>2</v>
      </c>
      <c r="K457" t="n">
        <v>1</v>
      </c>
      <c r="L457" t="n">
        <v>0</v>
      </c>
      <c r="M457" t="n">
        <v>0</v>
      </c>
      <c r="N457" t="n">
        <v>0</v>
      </c>
      <c r="O457" t="n">
        <v>3</v>
      </c>
      <c r="P457" t="n">
        <v>1</v>
      </c>
      <c r="Q457" t="n">
        <v>3</v>
      </c>
      <c r="R457" s="2" t="inlineStr">
        <is>
          <t>Rynkskinn
Lunglav
Ullticka</t>
        </is>
      </c>
      <c r="S457">
        <f>HYPERLINK("https://klasma.github.io/Logging_2401/artfynd/A 60450-2022 artfynd.xlsx", "A 60450-2022")</f>
        <v/>
      </c>
      <c r="T457">
        <f>HYPERLINK("https://klasma.github.io/Logging_2401/kartor/A 60450-2022 karta.png", "A 60450-2022")</f>
        <v/>
      </c>
      <c r="V457">
        <f>HYPERLINK("https://klasma.github.io/Logging_2401/klagomål/A 60450-2022 FSC-klagomål.docx", "A 60450-2022")</f>
        <v/>
      </c>
      <c r="W457">
        <f>HYPERLINK("https://klasma.github.io/Logging_2401/klagomålsmail/A 60450-2022 FSC-klagomål mail.docx", "A 60450-2022")</f>
        <v/>
      </c>
      <c r="X457">
        <f>HYPERLINK("https://klasma.github.io/Logging_2401/tillsyn/A 60450-2022 tillsynsbegäran.docx", "A 60450-2022")</f>
        <v/>
      </c>
      <c r="Y457">
        <f>HYPERLINK("https://klasma.github.io/Logging_2401/tillsynsmail/A 60450-2022 tillsynsbegäran mail.docx", "A 60450-2022")</f>
        <v/>
      </c>
    </row>
    <row r="458" ht="15" customHeight="1">
      <c r="A458" t="inlineStr">
        <is>
          <t>A 60313-2022</t>
        </is>
      </c>
      <c r="B458" s="1" t="n">
        <v>44910</v>
      </c>
      <c r="C458" s="1" t="n">
        <v>45357</v>
      </c>
      <c r="D458" t="inlineStr">
        <is>
          <t>VÄSTERBOTTENS LÄN</t>
        </is>
      </c>
      <c r="E458" t="inlineStr">
        <is>
          <t>VINDELN</t>
        </is>
      </c>
      <c r="F458" t="inlineStr">
        <is>
          <t>Sveaskog</t>
        </is>
      </c>
      <c r="G458" t="n">
        <v>5.2</v>
      </c>
      <c r="H458" t="n">
        <v>1</v>
      </c>
      <c r="I458" t="n">
        <v>1</v>
      </c>
      <c r="J458" t="n">
        <v>1</v>
      </c>
      <c r="K458" t="n">
        <v>0</v>
      </c>
      <c r="L458" t="n">
        <v>0</v>
      </c>
      <c r="M458" t="n">
        <v>0</v>
      </c>
      <c r="N458" t="n">
        <v>0</v>
      </c>
      <c r="O458" t="n">
        <v>1</v>
      </c>
      <c r="P458" t="n">
        <v>0</v>
      </c>
      <c r="Q458" t="n">
        <v>3</v>
      </c>
      <c r="R458" s="2" t="inlineStr">
        <is>
          <t>Kolflarnlav
Skarp dropptaggsvamp
Lavskrika</t>
        </is>
      </c>
      <c r="S458">
        <f>HYPERLINK("https://klasma.github.io/Logging_2404/artfynd/A 60313-2022 artfynd.xlsx", "A 60313-2022")</f>
        <v/>
      </c>
      <c r="T458">
        <f>HYPERLINK("https://klasma.github.io/Logging_2404/kartor/A 60313-2022 karta.png", "A 60313-2022")</f>
        <v/>
      </c>
      <c r="V458">
        <f>HYPERLINK("https://klasma.github.io/Logging_2404/klagomål/A 60313-2022 FSC-klagomål.docx", "A 60313-2022")</f>
        <v/>
      </c>
      <c r="W458">
        <f>HYPERLINK("https://klasma.github.io/Logging_2404/klagomålsmail/A 60313-2022 FSC-klagomål mail.docx", "A 60313-2022")</f>
        <v/>
      </c>
      <c r="X458">
        <f>HYPERLINK("https://klasma.github.io/Logging_2404/tillsyn/A 60313-2022 tillsynsbegäran.docx", "A 60313-2022")</f>
        <v/>
      </c>
      <c r="Y458">
        <f>HYPERLINK("https://klasma.github.io/Logging_2404/tillsynsmail/A 60313-2022 tillsynsbegäran mail.docx", "A 60313-2022")</f>
        <v/>
      </c>
      <c r="Z458">
        <f>HYPERLINK("https://klasma.github.io/Logging_2404/fåglar/A 60313-2022 prioriterade fågelarter.docx", "A 60313-2022")</f>
        <v/>
      </c>
    </row>
    <row r="459" ht="15" customHeight="1">
      <c r="A459" t="inlineStr">
        <is>
          <t>A 60434-2022</t>
        </is>
      </c>
      <c r="B459" s="1" t="n">
        <v>44911</v>
      </c>
      <c r="C459" s="1" t="n">
        <v>45357</v>
      </c>
      <c r="D459" t="inlineStr">
        <is>
          <t>VÄSTERBOTTENS LÄN</t>
        </is>
      </c>
      <c r="E459" t="inlineStr">
        <is>
          <t>VINDELN</t>
        </is>
      </c>
      <c r="F459" t="inlineStr">
        <is>
          <t>Sveaskog</t>
        </is>
      </c>
      <c r="G459" t="n">
        <v>5.5</v>
      </c>
      <c r="H459" t="n">
        <v>0</v>
      </c>
      <c r="I459" t="n">
        <v>1</v>
      </c>
      <c r="J459" t="n">
        <v>2</v>
      </c>
      <c r="K459" t="n">
        <v>0</v>
      </c>
      <c r="L459" t="n">
        <v>0</v>
      </c>
      <c r="M459" t="n">
        <v>0</v>
      </c>
      <c r="N459" t="n">
        <v>0</v>
      </c>
      <c r="O459" t="n">
        <v>2</v>
      </c>
      <c r="P459" t="n">
        <v>0</v>
      </c>
      <c r="Q459" t="n">
        <v>3</v>
      </c>
      <c r="R459" s="2" t="inlineStr">
        <is>
          <t>Gammelgransskål
Granticka
Luddlav</t>
        </is>
      </c>
      <c r="S459">
        <f>HYPERLINK("https://klasma.github.io/Logging_2404/artfynd/A 60434-2022 artfynd.xlsx", "A 60434-2022")</f>
        <v/>
      </c>
      <c r="T459">
        <f>HYPERLINK("https://klasma.github.io/Logging_2404/kartor/A 60434-2022 karta.png", "A 60434-2022")</f>
        <v/>
      </c>
      <c r="V459">
        <f>HYPERLINK("https://klasma.github.io/Logging_2404/klagomål/A 60434-2022 FSC-klagomål.docx", "A 60434-2022")</f>
        <v/>
      </c>
      <c r="W459">
        <f>HYPERLINK("https://klasma.github.io/Logging_2404/klagomålsmail/A 60434-2022 FSC-klagomål mail.docx", "A 60434-2022")</f>
        <v/>
      </c>
      <c r="X459">
        <f>HYPERLINK("https://klasma.github.io/Logging_2404/tillsyn/A 60434-2022 tillsynsbegäran.docx", "A 60434-2022")</f>
        <v/>
      </c>
      <c r="Y459">
        <f>HYPERLINK("https://klasma.github.io/Logging_2404/tillsynsmail/A 60434-2022 tillsynsbegäran mail.docx", "A 60434-2022")</f>
        <v/>
      </c>
    </row>
    <row r="460" ht="15" customHeight="1">
      <c r="A460" t="inlineStr">
        <is>
          <t>A 61036-2022</t>
        </is>
      </c>
      <c r="B460" s="1" t="n">
        <v>44914</v>
      </c>
      <c r="C460" s="1" t="n">
        <v>45357</v>
      </c>
      <c r="D460" t="inlineStr">
        <is>
          <t>VÄSTERBOTTENS LÄN</t>
        </is>
      </c>
      <c r="E460" t="inlineStr">
        <is>
          <t>UMEÅ</t>
        </is>
      </c>
      <c r="G460" t="n">
        <v>6</v>
      </c>
      <c r="H460" t="n">
        <v>1</v>
      </c>
      <c r="I460" t="n">
        <v>0</v>
      </c>
      <c r="J460" t="n">
        <v>3</v>
      </c>
      <c r="K460" t="n">
        <v>0</v>
      </c>
      <c r="L460" t="n">
        <v>0</v>
      </c>
      <c r="M460" t="n">
        <v>0</v>
      </c>
      <c r="N460" t="n">
        <v>0</v>
      </c>
      <c r="O460" t="n">
        <v>3</v>
      </c>
      <c r="P460" t="n">
        <v>0</v>
      </c>
      <c r="Q460" t="n">
        <v>3</v>
      </c>
      <c r="R460" s="2" t="inlineStr">
        <is>
          <t>Garnlav
Granticka
Järpe</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61824-2022</t>
        </is>
      </c>
      <c r="B461" s="1" t="n">
        <v>44917</v>
      </c>
      <c r="C461" s="1" t="n">
        <v>45357</v>
      </c>
      <c r="D461" t="inlineStr">
        <is>
          <t>VÄSTERBOTTENS LÄN</t>
        </is>
      </c>
      <c r="E461" t="inlineStr">
        <is>
          <t>VINDELN</t>
        </is>
      </c>
      <c r="G461" t="n">
        <v>4.1</v>
      </c>
      <c r="H461" t="n">
        <v>0</v>
      </c>
      <c r="I461" t="n">
        <v>1</v>
      </c>
      <c r="J461" t="n">
        <v>1</v>
      </c>
      <c r="K461" t="n">
        <v>1</v>
      </c>
      <c r="L461" t="n">
        <v>0</v>
      </c>
      <c r="M461" t="n">
        <v>0</v>
      </c>
      <c r="N461" t="n">
        <v>0</v>
      </c>
      <c r="O461" t="n">
        <v>2</v>
      </c>
      <c r="P461" t="n">
        <v>1</v>
      </c>
      <c r="Q461" t="n">
        <v>3</v>
      </c>
      <c r="R461" s="2" t="inlineStr">
        <is>
          <t>Tallgråticka
Talltaggsvamp
Mindre märgborre</t>
        </is>
      </c>
      <c r="S461">
        <f>HYPERLINK("https://klasma.github.io/Logging_2404/artfynd/A 61824-2022 artfynd.xlsx", "A 61824-2022")</f>
        <v/>
      </c>
      <c r="T461">
        <f>HYPERLINK("https://klasma.github.io/Logging_2404/kartor/A 61824-2022 karta.png", "A 61824-2022")</f>
        <v/>
      </c>
      <c r="V461">
        <f>HYPERLINK("https://klasma.github.io/Logging_2404/klagomål/A 61824-2022 FSC-klagomål.docx", "A 61824-2022")</f>
        <v/>
      </c>
      <c r="W461">
        <f>HYPERLINK("https://klasma.github.io/Logging_2404/klagomålsmail/A 61824-2022 FSC-klagomål mail.docx", "A 61824-2022")</f>
        <v/>
      </c>
      <c r="X461">
        <f>HYPERLINK("https://klasma.github.io/Logging_2404/tillsyn/A 61824-2022 tillsynsbegäran.docx", "A 61824-2022")</f>
        <v/>
      </c>
      <c r="Y461">
        <f>HYPERLINK("https://klasma.github.io/Logging_2404/tillsynsmail/A 61824-2022 tillsynsbegäran mail.docx", "A 61824-2022")</f>
        <v/>
      </c>
    </row>
    <row r="462" ht="15" customHeight="1">
      <c r="A462" t="inlineStr">
        <is>
          <t>A 684-2023</t>
        </is>
      </c>
      <c r="B462" s="1" t="n">
        <v>44925</v>
      </c>
      <c r="C462" s="1" t="n">
        <v>45357</v>
      </c>
      <c r="D462" t="inlineStr">
        <is>
          <t>VÄSTERBOTTENS LÄN</t>
        </is>
      </c>
      <c r="E462" t="inlineStr">
        <is>
          <t>UMEÅ</t>
        </is>
      </c>
      <c r="G462" t="n">
        <v>22.6</v>
      </c>
      <c r="H462" t="n">
        <v>2</v>
      </c>
      <c r="I462" t="n">
        <v>0</v>
      </c>
      <c r="J462" t="n">
        <v>3</v>
      </c>
      <c r="K462" t="n">
        <v>0</v>
      </c>
      <c r="L462" t="n">
        <v>0</v>
      </c>
      <c r="M462" t="n">
        <v>0</v>
      </c>
      <c r="N462" t="n">
        <v>0</v>
      </c>
      <c r="O462" t="n">
        <v>3</v>
      </c>
      <c r="P462" t="n">
        <v>0</v>
      </c>
      <c r="Q462" t="n">
        <v>3</v>
      </c>
      <c r="R462" s="2" t="inlineStr">
        <is>
          <t>Kolflarnlav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4479-2023</t>
        </is>
      </c>
      <c r="B463" s="1" t="n">
        <v>44956</v>
      </c>
      <c r="C463" s="1" t="n">
        <v>45357</v>
      </c>
      <c r="D463" t="inlineStr">
        <is>
          <t>VÄSTERBOTTENS LÄN</t>
        </is>
      </c>
      <c r="E463" t="inlineStr">
        <is>
          <t>VÄNNÄS</t>
        </is>
      </c>
      <c r="G463" t="n">
        <v>6.2</v>
      </c>
      <c r="H463" t="n">
        <v>2</v>
      </c>
      <c r="I463" t="n">
        <v>2</v>
      </c>
      <c r="J463" t="n">
        <v>0</v>
      </c>
      <c r="K463" t="n">
        <v>1</v>
      </c>
      <c r="L463" t="n">
        <v>0</v>
      </c>
      <c r="M463" t="n">
        <v>0</v>
      </c>
      <c r="N463" t="n">
        <v>0</v>
      </c>
      <c r="O463" t="n">
        <v>1</v>
      </c>
      <c r="P463" t="n">
        <v>1</v>
      </c>
      <c r="Q463" t="n">
        <v>3</v>
      </c>
      <c r="R463" s="2" t="inlineStr">
        <is>
          <t>Långskägg
Plattlummer
Ögonpyrola</t>
        </is>
      </c>
      <c r="S463">
        <f>HYPERLINK("https://klasma.github.io/Logging_2460/artfynd/A 4479-2023 artfynd.xlsx", "A 4479-2023")</f>
        <v/>
      </c>
      <c r="T463">
        <f>HYPERLINK("https://klasma.github.io/Logging_2460/kartor/A 4479-2023 karta.png", "A 4479-2023")</f>
        <v/>
      </c>
      <c r="V463">
        <f>HYPERLINK("https://klasma.github.io/Logging_2460/klagomål/A 4479-2023 FSC-klagomål.docx", "A 4479-2023")</f>
        <v/>
      </c>
      <c r="W463">
        <f>HYPERLINK("https://klasma.github.io/Logging_2460/klagomålsmail/A 4479-2023 FSC-klagomål mail.docx", "A 4479-2023")</f>
        <v/>
      </c>
      <c r="X463">
        <f>HYPERLINK("https://klasma.github.io/Logging_2460/tillsyn/A 4479-2023 tillsynsbegäran.docx", "A 4479-2023")</f>
        <v/>
      </c>
      <c r="Y463">
        <f>HYPERLINK("https://klasma.github.io/Logging_2460/tillsynsmail/A 4479-2023 tillsynsbegäran mail.docx", "A 4479-2023")</f>
        <v/>
      </c>
    </row>
    <row r="464" ht="15" customHeight="1">
      <c r="A464" t="inlineStr">
        <is>
          <t>A 5702-2023</t>
        </is>
      </c>
      <c r="B464" s="1" t="n">
        <v>44960</v>
      </c>
      <c r="C464" s="1" t="n">
        <v>45357</v>
      </c>
      <c r="D464" t="inlineStr">
        <is>
          <t>VÄSTERBOTTENS LÄN</t>
        </is>
      </c>
      <c r="E464" t="inlineStr">
        <is>
          <t>ÅSELE</t>
        </is>
      </c>
      <c r="F464" t="inlineStr">
        <is>
          <t>SCA</t>
        </is>
      </c>
      <c r="G464" t="n">
        <v>8</v>
      </c>
      <c r="H464" t="n">
        <v>1</v>
      </c>
      <c r="I464" t="n">
        <v>0</v>
      </c>
      <c r="J464" t="n">
        <v>2</v>
      </c>
      <c r="K464" t="n">
        <v>0</v>
      </c>
      <c r="L464" t="n">
        <v>0</v>
      </c>
      <c r="M464" t="n">
        <v>0</v>
      </c>
      <c r="N464" t="n">
        <v>0</v>
      </c>
      <c r="O464" t="n">
        <v>2</v>
      </c>
      <c r="P464" t="n">
        <v>0</v>
      </c>
      <c r="Q464" t="n">
        <v>3</v>
      </c>
      <c r="R464" s="2" t="inlineStr">
        <is>
          <t>Dvärgbägarlav
Kolflarnlav
Revlummer</t>
        </is>
      </c>
      <c r="S464">
        <f>HYPERLINK("https://klasma.github.io/Logging_2463/artfynd/A 5702-2023 artfynd.xlsx", "A 5702-2023")</f>
        <v/>
      </c>
      <c r="T464">
        <f>HYPERLINK("https://klasma.github.io/Logging_2463/kartor/A 5702-2023 karta.png", "A 5702-2023")</f>
        <v/>
      </c>
      <c r="V464">
        <f>HYPERLINK("https://klasma.github.io/Logging_2463/klagomål/A 5702-2023 FSC-klagomål.docx", "A 5702-2023")</f>
        <v/>
      </c>
      <c r="W464">
        <f>HYPERLINK("https://klasma.github.io/Logging_2463/klagomålsmail/A 5702-2023 FSC-klagomål mail.docx", "A 5702-2023")</f>
        <v/>
      </c>
      <c r="X464">
        <f>HYPERLINK("https://klasma.github.io/Logging_2463/tillsyn/A 5702-2023 tillsynsbegäran.docx", "A 5702-2023")</f>
        <v/>
      </c>
      <c r="Y464">
        <f>HYPERLINK("https://klasma.github.io/Logging_2463/tillsynsmail/A 5702-2023 tillsynsbegäran mail.docx", "A 5702-2023")</f>
        <v/>
      </c>
    </row>
    <row r="465" ht="15" customHeight="1">
      <c r="A465" t="inlineStr">
        <is>
          <t>A 9157-2023</t>
        </is>
      </c>
      <c r="B465" s="1" t="n">
        <v>44972</v>
      </c>
      <c r="C465" s="1" t="n">
        <v>45357</v>
      </c>
      <c r="D465" t="inlineStr">
        <is>
          <t>VÄSTERBOTTENS LÄN</t>
        </is>
      </c>
      <c r="E465" t="inlineStr">
        <is>
          <t>VILHELMINA</t>
        </is>
      </c>
      <c r="F465" t="inlineStr">
        <is>
          <t>Allmännings- och besparingsskogar</t>
        </is>
      </c>
      <c r="G465" t="n">
        <v>408.3</v>
      </c>
      <c r="H465" t="n">
        <v>0</v>
      </c>
      <c r="I465" t="n">
        <v>0</v>
      </c>
      <c r="J465" t="n">
        <v>3</v>
      </c>
      <c r="K465" t="n">
        <v>0</v>
      </c>
      <c r="L465" t="n">
        <v>0</v>
      </c>
      <c r="M465" t="n">
        <v>0</v>
      </c>
      <c r="N465" t="n">
        <v>0</v>
      </c>
      <c r="O465" t="n">
        <v>3</v>
      </c>
      <c r="P465" t="n">
        <v>0</v>
      </c>
      <c r="Q465" t="n">
        <v>3</v>
      </c>
      <c r="R465" s="2" t="inlineStr">
        <is>
          <t>Garnlav
Granticka
Harticka</t>
        </is>
      </c>
      <c r="S465">
        <f>HYPERLINK("https://klasma.github.io/Logging_2462/artfynd/A 9157-2023 artfynd.xlsx", "A 9157-2023")</f>
        <v/>
      </c>
      <c r="T465">
        <f>HYPERLINK("https://klasma.github.io/Logging_2462/kartor/A 9157-2023 karta.png", "A 9157-2023")</f>
        <v/>
      </c>
      <c r="V465">
        <f>HYPERLINK("https://klasma.github.io/Logging_2462/klagomål/A 9157-2023 FSC-klagomål.docx", "A 9157-2023")</f>
        <v/>
      </c>
      <c r="W465">
        <f>HYPERLINK("https://klasma.github.io/Logging_2462/klagomålsmail/A 9157-2023 FSC-klagomål mail.docx", "A 9157-2023")</f>
        <v/>
      </c>
      <c r="X465">
        <f>HYPERLINK("https://klasma.github.io/Logging_2462/tillsyn/A 9157-2023 tillsynsbegäran.docx", "A 9157-2023")</f>
        <v/>
      </c>
      <c r="Y465">
        <f>HYPERLINK("https://klasma.github.io/Logging_2462/tillsynsmail/A 9157-2023 tillsynsbegäran mail.docx", "A 9157-2023")</f>
        <v/>
      </c>
    </row>
    <row r="466" ht="15" customHeight="1">
      <c r="A466" t="inlineStr">
        <is>
          <t>A 18283-2023</t>
        </is>
      </c>
      <c r="B466" s="1" t="n">
        <v>45040</v>
      </c>
      <c r="C466" s="1" t="n">
        <v>45357</v>
      </c>
      <c r="D466" t="inlineStr">
        <is>
          <t>VÄSTERBOTTENS LÄN</t>
        </is>
      </c>
      <c r="E466" t="inlineStr">
        <is>
          <t>UMEÅ</t>
        </is>
      </c>
      <c r="G466" t="n">
        <v>13.4</v>
      </c>
      <c r="H466" t="n">
        <v>1</v>
      </c>
      <c r="I466" t="n">
        <v>0</v>
      </c>
      <c r="J466" t="n">
        <v>3</v>
      </c>
      <c r="K466" t="n">
        <v>0</v>
      </c>
      <c r="L466" t="n">
        <v>0</v>
      </c>
      <c r="M466" t="n">
        <v>0</v>
      </c>
      <c r="N466" t="n">
        <v>0</v>
      </c>
      <c r="O466" t="n">
        <v>3</v>
      </c>
      <c r="P466" t="n">
        <v>0</v>
      </c>
      <c r="Q466" t="n">
        <v>3</v>
      </c>
      <c r="R466" s="2" t="inlineStr">
        <is>
          <t>Garnlav
Järpe
Ullticka</t>
        </is>
      </c>
      <c r="S466">
        <f>HYPERLINK("https://klasma.github.io/Logging_2480/artfynd/A 18283-2023 artfynd.xlsx", "A 18283-2023")</f>
        <v/>
      </c>
      <c r="T466">
        <f>HYPERLINK("https://klasma.github.io/Logging_2480/kartor/A 18283-2023 karta.png", "A 18283-2023")</f>
        <v/>
      </c>
      <c r="V466">
        <f>HYPERLINK("https://klasma.github.io/Logging_2480/klagomål/A 18283-2023 FSC-klagomål.docx", "A 18283-2023")</f>
        <v/>
      </c>
      <c r="W466">
        <f>HYPERLINK("https://klasma.github.io/Logging_2480/klagomålsmail/A 18283-2023 FSC-klagomål mail.docx", "A 18283-2023")</f>
        <v/>
      </c>
      <c r="X466">
        <f>HYPERLINK("https://klasma.github.io/Logging_2480/tillsyn/A 18283-2023 tillsynsbegäran.docx", "A 18283-2023")</f>
        <v/>
      </c>
      <c r="Y466">
        <f>HYPERLINK("https://klasma.github.io/Logging_2480/tillsynsmail/A 18283-2023 tillsynsbegäran mail.docx", "A 18283-2023")</f>
        <v/>
      </c>
      <c r="Z466">
        <f>HYPERLINK("https://klasma.github.io/Logging_2480/fåglar/A 18283-2023 prioriterade fågelarter.docx", "A 18283-2023")</f>
        <v/>
      </c>
    </row>
    <row r="467" ht="15" customHeight="1">
      <c r="A467" t="inlineStr">
        <is>
          <t>A 18360-2023</t>
        </is>
      </c>
      <c r="B467" s="1" t="n">
        <v>45041</v>
      </c>
      <c r="C467" s="1" t="n">
        <v>45357</v>
      </c>
      <c r="D467" t="inlineStr">
        <is>
          <t>VÄSTERBOTTENS LÄN</t>
        </is>
      </c>
      <c r="E467" t="inlineStr">
        <is>
          <t>VINDELN</t>
        </is>
      </c>
      <c r="G467" t="n">
        <v>3.9</v>
      </c>
      <c r="H467" t="n">
        <v>0</v>
      </c>
      <c r="I467" t="n">
        <v>1</v>
      </c>
      <c r="J467" t="n">
        <v>0</v>
      </c>
      <c r="K467" t="n">
        <v>2</v>
      </c>
      <c r="L467" t="n">
        <v>0</v>
      </c>
      <c r="M467" t="n">
        <v>0</v>
      </c>
      <c r="N467" t="n">
        <v>0</v>
      </c>
      <c r="O467" t="n">
        <v>2</v>
      </c>
      <c r="P467" t="n">
        <v>2</v>
      </c>
      <c r="Q467" t="n">
        <v>3</v>
      </c>
      <c r="R467" s="2" t="inlineStr">
        <is>
          <t>Goliatmusseron
Tallgråticka
Skarp dropptaggsvamp</t>
        </is>
      </c>
      <c r="S467">
        <f>HYPERLINK("https://klasma.github.io/Logging_2404/artfynd/A 18360-2023 artfynd.xlsx", "A 18360-2023")</f>
        <v/>
      </c>
      <c r="T467">
        <f>HYPERLINK("https://klasma.github.io/Logging_2404/kartor/A 18360-2023 karta.png", "A 18360-2023")</f>
        <v/>
      </c>
      <c r="V467">
        <f>HYPERLINK("https://klasma.github.io/Logging_2404/klagomål/A 18360-2023 FSC-klagomål.docx", "A 18360-2023")</f>
        <v/>
      </c>
      <c r="W467">
        <f>HYPERLINK("https://klasma.github.io/Logging_2404/klagomålsmail/A 18360-2023 FSC-klagomål mail.docx", "A 18360-2023")</f>
        <v/>
      </c>
      <c r="X467">
        <f>HYPERLINK("https://klasma.github.io/Logging_2404/tillsyn/A 18360-2023 tillsynsbegäran.docx", "A 18360-2023")</f>
        <v/>
      </c>
      <c r="Y467">
        <f>HYPERLINK("https://klasma.github.io/Logging_2404/tillsynsmail/A 18360-2023 tillsynsbegäran mail.docx", "A 18360-2023")</f>
        <v/>
      </c>
    </row>
    <row r="468" ht="15" customHeight="1">
      <c r="A468" t="inlineStr">
        <is>
          <t>A 21672-2023</t>
        </is>
      </c>
      <c r="B468" s="1" t="n">
        <v>45063</v>
      </c>
      <c r="C468" s="1" t="n">
        <v>45357</v>
      </c>
      <c r="D468" t="inlineStr">
        <is>
          <t>VÄSTERBOTTENS LÄN</t>
        </is>
      </c>
      <c r="E468" t="inlineStr">
        <is>
          <t>DOROTEA</t>
        </is>
      </c>
      <c r="F468" t="inlineStr">
        <is>
          <t>SCA</t>
        </is>
      </c>
      <c r="G468" t="n">
        <v>7.4</v>
      </c>
      <c r="H468" t="n">
        <v>0</v>
      </c>
      <c r="I468" t="n">
        <v>0</v>
      </c>
      <c r="J468" t="n">
        <v>3</v>
      </c>
      <c r="K468" t="n">
        <v>0</v>
      </c>
      <c r="L468" t="n">
        <v>0</v>
      </c>
      <c r="M468" t="n">
        <v>0</v>
      </c>
      <c r="N468" t="n">
        <v>0</v>
      </c>
      <c r="O468" t="n">
        <v>3</v>
      </c>
      <c r="P468" t="n">
        <v>0</v>
      </c>
      <c r="Q468" t="n">
        <v>3</v>
      </c>
      <c r="R468" s="2" t="inlineStr">
        <is>
          <t>Doftskinn
Skrovellav
Ullticka</t>
        </is>
      </c>
      <c r="S468">
        <f>HYPERLINK("https://klasma.github.io/Logging_2425/artfynd/A 21672-2023 artfynd.xlsx", "A 21672-2023")</f>
        <v/>
      </c>
      <c r="T468">
        <f>HYPERLINK("https://klasma.github.io/Logging_2425/kartor/A 21672-2023 karta.png", "A 21672-2023")</f>
        <v/>
      </c>
      <c r="V468">
        <f>HYPERLINK("https://klasma.github.io/Logging_2425/klagomål/A 21672-2023 FSC-klagomål.docx", "A 21672-2023")</f>
        <v/>
      </c>
      <c r="W468">
        <f>HYPERLINK("https://klasma.github.io/Logging_2425/klagomålsmail/A 21672-2023 FSC-klagomål mail.docx", "A 21672-2023")</f>
        <v/>
      </c>
      <c r="X468">
        <f>HYPERLINK("https://klasma.github.io/Logging_2425/tillsyn/A 21672-2023 tillsynsbegäran.docx", "A 21672-2023")</f>
        <v/>
      </c>
      <c r="Y468">
        <f>HYPERLINK("https://klasma.github.io/Logging_2425/tillsynsmail/A 21672-2023 tillsynsbegäran mail.docx", "A 21672-2023")</f>
        <v/>
      </c>
    </row>
    <row r="469" ht="15" customHeight="1">
      <c r="A469" t="inlineStr">
        <is>
          <t>A 23338-2023</t>
        </is>
      </c>
      <c r="B469" s="1" t="n">
        <v>45076</v>
      </c>
      <c r="C469" s="1" t="n">
        <v>45357</v>
      </c>
      <c r="D469" t="inlineStr">
        <is>
          <t>VÄSTERBOTTENS LÄN</t>
        </is>
      </c>
      <c r="E469" t="inlineStr">
        <is>
          <t>ROBERTSFORS</t>
        </is>
      </c>
      <c r="F469" t="inlineStr">
        <is>
          <t>Holmen skog AB</t>
        </is>
      </c>
      <c r="G469" t="n">
        <v>8</v>
      </c>
      <c r="H469" t="n">
        <v>1</v>
      </c>
      <c r="I469" t="n">
        <v>0</v>
      </c>
      <c r="J469" t="n">
        <v>3</v>
      </c>
      <c r="K469" t="n">
        <v>0</v>
      </c>
      <c r="L469" t="n">
        <v>0</v>
      </c>
      <c r="M469" t="n">
        <v>0</v>
      </c>
      <c r="N469" t="n">
        <v>0</v>
      </c>
      <c r="O469" t="n">
        <v>3</v>
      </c>
      <c r="P469" t="n">
        <v>0</v>
      </c>
      <c r="Q469" t="n">
        <v>3</v>
      </c>
      <c r="R469" s="2" t="inlineStr">
        <is>
          <t>Gammelgransskål
Garnlav
Spillkråka</t>
        </is>
      </c>
      <c r="S469">
        <f>HYPERLINK("https://klasma.github.io/Logging_2409/artfynd/A 23338-2023 artfynd.xlsx", "A 23338-2023")</f>
        <v/>
      </c>
      <c r="T469">
        <f>HYPERLINK("https://klasma.github.io/Logging_2409/kartor/A 23338-2023 karta.png", "A 23338-2023")</f>
        <v/>
      </c>
      <c r="V469">
        <f>HYPERLINK("https://klasma.github.io/Logging_2409/klagomål/A 23338-2023 FSC-klagomål.docx", "A 23338-2023")</f>
        <v/>
      </c>
      <c r="W469">
        <f>HYPERLINK("https://klasma.github.io/Logging_2409/klagomålsmail/A 23338-2023 FSC-klagomål mail.docx", "A 23338-2023")</f>
        <v/>
      </c>
      <c r="X469">
        <f>HYPERLINK("https://klasma.github.io/Logging_2409/tillsyn/A 23338-2023 tillsynsbegäran.docx", "A 23338-2023")</f>
        <v/>
      </c>
      <c r="Y469">
        <f>HYPERLINK("https://klasma.github.io/Logging_2409/tillsynsmail/A 23338-2023 tillsynsbegäran mail.docx", "A 23338-2023")</f>
        <v/>
      </c>
      <c r="Z469">
        <f>HYPERLINK("https://klasma.github.io/Logging_2409/fåglar/A 23338-2023 prioriterade fågelarter.docx", "A 23338-2023")</f>
        <v/>
      </c>
    </row>
    <row r="470" ht="15" customHeight="1">
      <c r="A470" t="inlineStr">
        <is>
          <t>A 31199-2023</t>
        </is>
      </c>
      <c r="B470" s="1" t="n">
        <v>45113</v>
      </c>
      <c r="C470" s="1" t="n">
        <v>45357</v>
      </c>
      <c r="D470" t="inlineStr">
        <is>
          <t>VÄSTERBOTTENS LÄN</t>
        </is>
      </c>
      <c r="E470" t="inlineStr">
        <is>
          <t>VILHELMINA</t>
        </is>
      </c>
      <c r="F470" t="inlineStr">
        <is>
          <t>SCA</t>
        </is>
      </c>
      <c r="G470" t="n">
        <v>9.800000000000001</v>
      </c>
      <c r="H470" t="n">
        <v>0</v>
      </c>
      <c r="I470" t="n">
        <v>1</v>
      </c>
      <c r="J470" t="n">
        <v>2</v>
      </c>
      <c r="K470" t="n">
        <v>0</v>
      </c>
      <c r="L470" t="n">
        <v>0</v>
      </c>
      <c r="M470" t="n">
        <v>0</v>
      </c>
      <c r="N470" t="n">
        <v>0</v>
      </c>
      <c r="O470" t="n">
        <v>2</v>
      </c>
      <c r="P470" t="n">
        <v>0</v>
      </c>
      <c r="Q470" t="n">
        <v>3</v>
      </c>
      <c r="R470" s="2" t="inlineStr">
        <is>
          <t>Granticka
Vitgrynig nållav
Vedticka</t>
        </is>
      </c>
      <c r="S470">
        <f>HYPERLINK("https://klasma.github.io/Logging_2462/artfynd/A 31199-2023 artfynd.xlsx", "A 31199-2023")</f>
        <v/>
      </c>
      <c r="T470">
        <f>HYPERLINK("https://klasma.github.io/Logging_2462/kartor/A 31199-2023 karta.png", "A 31199-2023")</f>
        <v/>
      </c>
      <c r="V470">
        <f>HYPERLINK("https://klasma.github.io/Logging_2462/klagomål/A 31199-2023 FSC-klagomål.docx", "A 31199-2023")</f>
        <v/>
      </c>
      <c r="W470">
        <f>HYPERLINK("https://klasma.github.io/Logging_2462/klagomålsmail/A 31199-2023 FSC-klagomål mail.docx", "A 31199-2023")</f>
        <v/>
      </c>
      <c r="X470">
        <f>HYPERLINK("https://klasma.github.io/Logging_2462/tillsyn/A 31199-2023 tillsynsbegäran.docx", "A 31199-2023")</f>
        <v/>
      </c>
      <c r="Y470">
        <f>HYPERLINK("https://klasma.github.io/Logging_2462/tillsynsmail/A 31199-2023 tillsynsbegäran mail.docx", "A 31199-2023")</f>
        <v/>
      </c>
    </row>
    <row r="471" ht="15" customHeight="1">
      <c r="A471" t="inlineStr">
        <is>
          <t>A 39772-2023</t>
        </is>
      </c>
      <c r="B471" s="1" t="n">
        <v>45167</v>
      </c>
      <c r="C471" s="1" t="n">
        <v>45357</v>
      </c>
      <c r="D471" t="inlineStr">
        <is>
          <t>VÄSTERBOTTENS LÄN</t>
        </is>
      </c>
      <c r="E471" t="inlineStr">
        <is>
          <t>BJURHOLM</t>
        </is>
      </c>
      <c r="F471" t="inlineStr">
        <is>
          <t>Sveaskog</t>
        </is>
      </c>
      <c r="G471" t="n">
        <v>19</v>
      </c>
      <c r="H471" t="n">
        <v>0</v>
      </c>
      <c r="I471" t="n">
        <v>0</v>
      </c>
      <c r="J471" t="n">
        <v>3</v>
      </c>
      <c r="K471" t="n">
        <v>0</v>
      </c>
      <c r="L471" t="n">
        <v>0</v>
      </c>
      <c r="M471" t="n">
        <v>0</v>
      </c>
      <c r="N471" t="n">
        <v>0</v>
      </c>
      <c r="O471" t="n">
        <v>3</v>
      </c>
      <c r="P471" t="n">
        <v>0</v>
      </c>
      <c r="Q471" t="n">
        <v>3</v>
      </c>
      <c r="R471" s="2" t="inlineStr">
        <is>
          <t>Granticka
Tallticka
Ullticka</t>
        </is>
      </c>
      <c r="S471">
        <f>HYPERLINK("https://klasma.github.io/Logging_2403/artfynd/A 39772-2023 artfynd.xlsx", "A 39772-2023")</f>
        <v/>
      </c>
      <c r="T471">
        <f>HYPERLINK("https://klasma.github.io/Logging_2403/kartor/A 39772-2023 karta.png", "A 39772-2023")</f>
        <v/>
      </c>
      <c r="V471">
        <f>HYPERLINK("https://klasma.github.io/Logging_2403/klagomål/A 39772-2023 FSC-klagomål.docx", "A 39772-2023")</f>
        <v/>
      </c>
      <c r="W471">
        <f>HYPERLINK("https://klasma.github.io/Logging_2403/klagomålsmail/A 39772-2023 FSC-klagomål mail.docx", "A 39772-2023")</f>
        <v/>
      </c>
      <c r="X471">
        <f>HYPERLINK("https://klasma.github.io/Logging_2403/tillsyn/A 39772-2023 tillsynsbegäran.docx", "A 39772-2023")</f>
        <v/>
      </c>
      <c r="Y471">
        <f>HYPERLINK("https://klasma.github.io/Logging_2403/tillsynsmail/A 39772-2023 tillsynsbegäran mail.docx", "A 39772-2023")</f>
        <v/>
      </c>
    </row>
    <row r="472" ht="15" customHeight="1">
      <c r="A472" t="inlineStr">
        <is>
          <t>A 40657-2023</t>
        </is>
      </c>
      <c r="B472" s="1" t="n">
        <v>45170</v>
      </c>
      <c r="C472" s="1" t="n">
        <v>45357</v>
      </c>
      <c r="D472" t="inlineStr">
        <is>
          <t>VÄSTERBOTTENS LÄN</t>
        </is>
      </c>
      <c r="E472" t="inlineStr">
        <is>
          <t>LYCKSELE</t>
        </is>
      </c>
      <c r="F472" t="inlineStr">
        <is>
          <t>Sveaskog</t>
        </is>
      </c>
      <c r="G472" t="n">
        <v>7.1</v>
      </c>
      <c r="H472" t="n">
        <v>0</v>
      </c>
      <c r="I472" t="n">
        <v>1</v>
      </c>
      <c r="J472" t="n">
        <v>2</v>
      </c>
      <c r="K472" t="n">
        <v>0</v>
      </c>
      <c r="L472" t="n">
        <v>0</v>
      </c>
      <c r="M472" t="n">
        <v>0</v>
      </c>
      <c r="N472" t="n">
        <v>0</v>
      </c>
      <c r="O472" t="n">
        <v>2</v>
      </c>
      <c r="P472" t="n">
        <v>0</v>
      </c>
      <c r="Q472" t="n">
        <v>3</v>
      </c>
      <c r="R472" s="2" t="inlineStr">
        <is>
          <t>Lunglav
Orange taggsvamp
Dropptaggsvamp</t>
        </is>
      </c>
      <c r="S472">
        <f>HYPERLINK("https://klasma.github.io/Logging_2481/artfynd/A 40657-2023 artfynd.xlsx", "A 40657-2023")</f>
        <v/>
      </c>
      <c r="T472">
        <f>HYPERLINK("https://klasma.github.io/Logging_2481/kartor/A 40657-2023 karta.png", "A 40657-2023")</f>
        <v/>
      </c>
      <c r="V472">
        <f>HYPERLINK("https://klasma.github.io/Logging_2481/klagomål/A 40657-2023 FSC-klagomål.docx", "A 40657-2023")</f>
        <v/>
      </c>
      <c r="W472">
        <f>HYPERLINK("https://klasma.github.io/Logging_2481/klagomålsmail/A 40657-2023 FSC-klagomål mail.docx", "A 40657-2023")</f>
        <v/>
      </c>
      <c r="X472">
        <f>HYPERLINK("https://klasma.github.io/Logging_2481/tillsyn/A 40657-2023 tillsynsbegäran.docx", "A 40657-2023")</f>
        <v/>
      </c>
      <c r="Y472">
        <f>HYPERLINK("https://klasma.github.io/Logging_2481/tillsynsmail/A 40657-2023 tillsynsbegäran mail.docx", "A 40657-2023")</f>
        <v/>
      </c>
    </row>
    <row r="473" ht="15" customHeight="1">
      <c r="A473" t="inlineStr">
        <is>
          <t>A 41099-2023</t>
        </is>
      </c>
      <c r="B473" s="1" t="n">
        <v>45173</v>
      </c>
      <c r="C473" s="1" t="n">
        <v>45357</v>
      </c>
      <c r="D473" t="inlineStr">
        <is>
          <t>VÄSTERBOTTENS LÄN</t>
        </is>
      </c>
      <c r="E473" t="inlineStr">
        <is>
          <t>SKELLEFTEÅ</t>
        </is>
      </c>
      <c r="F473" t="inlineStr">
        <is>
          <t>Holmen skog AB</t>
        </is>
      </c>
      <c r="G473" t="n">
        <v>7.3</v>
      </c>
      <c r="H473" t="n">
        <v>0</v>
      </c>
      <c r="I473" t="n">
        <v>0</v>
      </c>
      <c r="J473" t="n">
        <v>3</v>
      </c>
      <c r="K473" t="n">
        <v>0</v>
      </c>
      <c r="L473" t="n">
        <v>0</v>
      </c>
      <c r="M473" t="n">
        <v>0</v>
      </c>
      <c r="N473" t="n">
        <v>0</v>
      </c>
      <c r="O473" t="n">
        <v>3</v>
      </c>
      <c r="P473" t="n">
        <v>0</v>
      </c>
      <c r="Q473" t="n">
        <v>3</v>
      </c>
      <c r="R473" s="2" t="inlineStr">
        <is>
          <t>Gammelgransskål
Garnlav
Lunglav</t>
        </is>
      </c>
      <c r="S473">
        <f>HYPERLINK("https://klasma.github.io/Logging_2482/artfynd/A 41099-2023 artfynd.xlsx", "A 41099-2023")</f>
        <v/>
      </c>
      <c r="T473">
        <f>HYPERLINK("https://klasma.github.io/Logging_2482/kartor/A 41099-2023 karta.png", "A 41099-2023")</f>
        <v/>
      </c>
      <c r="V473">
        <f>HYPERLINK("https://klasma.github.io/Logging_2482/klagomål/A 41099-2023 FSC-klagomål.docx", "A 41099-2023")</f>
        <v/>
      </c>
      <c r="W473">
        <f>HYPERLINK("https://klasma.github.io/Logging_2482/klagomålsmail/A 41099-2023 FSC-klagomål mail.docx", "A 41099-2023")</f>
        <v/>
      </c>
      <c r="X473">
        <f>HYPERLINK("https://klasma.github.io/Logging_2482/tillsyn/A 41099-2023 tillsynsbegäran.docx", "A 41099-2023")</f>
        <v/>
      </c>
      <c r="Y473">
        <f>HYPERLINK("https://klasma.github.io/Logging_2482/tillsynsmail/A 41099-2023 tillsynsbegäran mail.docx", "A 41099-2023")</f>
        <v/>
      </c>
    </row>
    <row r="474" ht="15" customHeight="1">
      <c r="A474" t="inlineStr">
        <is>
          <t>A 42472-2023</t>
        </is>
      </c>
      <c r="B474" s="1" t="n">
        <v>45180</v>
      </c>
      <c r="C474" s="1" t="n">
        <v>45357</v>
      </c>
      <c r="D474" t="inlineStr">
        <is>
          <t>VÄSTERBOTTENS LÄN</t>
        </is>
      </c>
      <c r="E474" t="inlineStr">
        <is>
          <t>MALÅ</t>
        </is>
      </c>
      <c r="G474" t="n">
        <v>94</v>
      </c>
      <c r="H474" t="n">
        <v>3</v>
      </c>
      <c r="I474" t="n">
        <v>0</v>
      </c>
      <c r="J474" t="n">
        <v>2</v>
      </c>
      <c r="K474" t="n">
        <v>0</v>
      </c>
      <c r="L474" t="n">
        <v>1</v>
      </c>
      <c r="M474" t="n">
        <v>0</v>
      </c>
      <c r="N474" t="n">
        <v>0</v>
      </c>
      <c r="O474" t="n">
        <v>3</v>
      </c>
      <c r="P474" t="n">
        <v>1</v>
      </c>
      <c r="Q474" t="n">
        <v>3</v>
      </c>
      <c r="R474" s="2" t="inlineStr">
        <is>
          <t>Grönfink
Svartvit flugsnappare
Talltita</t>
        </is>
      </c>
      <c r="S474">
        <f>HYPERLINK("https://klasma.github.io/Logging_2418/artfynd/A 42472-2023 artfynd.xlsx", "A 42472-2023")</f>
        <v/>
      </c>
      <c r="T474">
        <f>HYPERLINK("https://klasma.github.io/Logging_2418/kartor/A 42472-2023 karta.png", "A 42472-2023")</f>
        <v/>
      </c>
      <c r="V474">
        <f>HYPERLINK("https://klasma.github.io/Logging_2418/klagomål/A 42472-2023 FSC-klagomål.docx", "A 42472-2023")</f>
        <v/>
      </c>
      <c r="W474">
        <f>HYPERLINK("https://klasma.github.io/Logging_2418/klagomålsmail/A 42472-2023 FSC-klagomål mail.docx", "A 42472-2023")</f>
        <v/>
      </c>
      <c r="X474">
        <f>HYPERLINK("https://klasma.github.io/Logging_2418/tillsyn/A 42472-2023 tillsynsbegäran.docx", "A 42472-2023")</f>
        <v/>
      </c>
      <c r="Y474">
        <f>HYPERLINK("https://klasma.github.io/Logging_2418/tillsynsmail/A 42472-2023 tillsynsbegäran mail.docx", "A 42472-2023")</f>
        <v/>
      </c>
      <c r="Z474">
        <f>HYPERLINK("https://klasma.github.io/Logging_2418/fåglar/A 42472-2023 prioriterade fågelarter.docx", "A 42472-2023")</f>
        <v/>
      </c>
    </row>
    <row r="475" ht="15" customHeight="1">
      <c r="A475" t="inlineStr">
        <is>
          <t>A 42975-2023</t>
        </is>
      </c>
      <c r="B475" s="1" t="n">
        <v>45182</v>
      </c>
      <c r="C475" s="1" t="n">
        <v>45357</v>
      </c>
      <c r="D475" t="inlineStr">
        <is>
          <t>VÄSTERBOTTENS LÄN</t>
        </is>
      </c>
      <c r="E475" t="inlineStr">
        <is>
          <t>ÅSELE</t>
        </is>
      </c>
      <c r="F475" t="inlineStr">
        <is>
          <t>Sveaskog</t>
        </is>
      </c>
      <c r="G475" t="n">
        <v>15.1</v>
      </c>
      <c r="H475" t="n">
        <v>0</v>
      </c>
      <c r="I475" t="n">
        <v>0</v>
      </c>
      <c r="J475" t="n">
        <v>3</v>
      </c>
      <c r="K475" t="n">
        <v>0</v>
      </c>
      <c r="L475" t="n">
        <v>0</v>
      </c>
      <c r="M475" t="n">
        <v>0</v>
      </c>
      <c r="N475" t="n">
        <v>0</v>
      </c>
      <c r="O475" t="n">
        <v>3</v>
      </c>
      <c r="P475" t="n">
        <v>0</v>
      </c>
      <c r="Q475" t="n">
        <v>3</v>
      </c>
      <c r="R475" s="2" t="inlineStr">
        <is>
          <t>Garnlav
Granticka
Lunglav</t>
        </is>
      </c>
      <c r="S475">
        <f>HYPERLINK("https://klasma.github.io/Logging_2463/artfynd/A 42975-2023 artfynd.xlsx", "A 42975-2023")</f>
        <v/>
      </c>
      <c r="T475">
        <f>HYPERLINK("https://klasma.github.io/Logging_2463/kartor/A 42975-2023 karta.png", "A 42975-2023")</f>
        <v/>
      </c>
      <c r="V475">
        <f>HYPERLINK("https://klasma.github.io/Logging_2463/klagomål/A 42975-2023 FSC-klagomål.docx", "A 42975-2023")</f>
        <v/>
      </c>
      <c r="W475">
        <f>HYPERLINK("https://klasma.github.io/Logging_2463/klagomålsmail/A 42975-2023 FSC-klagomål mail.docx", "A 42975-2023")</f>
        <v/>
      </c>
      <c r="X475">
        <f>HYPERLINK("https://klasma.github.io/Logging_2463/tillsyn/A 42975-2023 tillsynsbegäran.docx", "A 42975-2023")</f>
        <v/>
      </c>
      <c r="Y475">
        <f>HYPERLINK("https://klasma.github.io/Logging_2463/tillsynsmail/A 42975-2023 tillsynsbegäran mail.docx", "A 42975-2023")</f>
        <v/>
      </c>
    </row>
    <row r="476" ht="15" customHeight="1">
      <c r="A476" t="inlineStr">
        <is>
          <t>A 44074-2023</t>
        </is>
      </c>
      <c r="B476" s="1" t="n">
        <v>45188</v>
      </c>
      <c r="C476" s="1" t="n">
        <v>45357</v>
      </c>
      <c r="D476" t="inlineStr">
        <is>
          <t>VÄSTERBOTTENS LÄN</t>
        </is>
      </c>
      <c r="E476" t="inlineStr">
        <is>
          <t>STORUMAN</t>
        </is>
      </c>
      <c r="G476" t="n">
        <v>5.3</v>
      </c>
      <c r="H476" t="n">
        <v>0</v>
      </c>
      <c r="I476" t="n">
        <v>3</v>
      </c>
      <c r="J476" t="n">
        <v>0</v>
      </c>
      <c r="K476" t="n">
        <v>0</v>
      </c>
      <c r="L476" t="n">
        <v>0</v>
      </c>
      <c r="M476" t="n">
        <v>0</v>
      </c>
      <c r="N476" t="n">
        <v>0</v>
      </c>
      <c r="O476" t="n">
        <v>0</v>
      </c>
      <c r="P476" t="n">
        <v>0</v>
      </c>
      <c r="Q476" t="n">
        <v>3</v>
      </c>
      <c r="R476" s="2" t="inlineStr">
        <is>
          <t>Stor aspticka
Svart trolldruva
Tibast</t>
        </is>
      </c>
      <c r="S476">
        <f>HYPERLINK("https://klasma.github.io/Logging_2421/artfynd/A 44074-2023 artfynd.xlsx", "A 44074-2023")</f>
        <v/>
      </c>
      <c r="T476">
        <f>HYPERLINK("https://klasma.github.io/Logging_2421/kartor/A 44074-2023 karta.png", "A 44074-2023")</f>
        <v/>
      </c>
      <c r="V476">
        <f>HYPERLINK("https://klasma.github.io/Logging_2421/klagomål/A 44074-2023 FSC-klagomål.docx", "A 44074-2023")</f>
        <v/>
      </c>
      <c r="W476">
        <f>HYPERLINK("https://klasma.github.io/Logging_2421/klagomålsmail/A 44074-2023 FSC-klagomål mail.docx", "A 44074-2023")</f>
        <v/>
      </c>
      <c r="X476">
        <f>HYPERLINK("https://klasma.github.io/Logging_2421/tillsyn/A 44074-2023 tillsynsbegäran.docx", "A 44074-2023")</f>
        <v/>
      </c>
      <c r="Y476">
        <f>HYPERLINK("https://klasma.github.io/Logging_2421/tillsynsmail/A 44074-2023 tillsynsbegäran mail.docx", "A 44074-2023")</f>
        <v/>
      </c>
    </row>
    <row r="477" ht="15" customHeight="1">
      <c r="A477" t="inlineStr">
        <is>
          <t>A 44152-2023</t>
        </is>
      </c>
      <c r="B477" s="1" t="n">
        <v>45188</v>
      </c>
      <c r="C477" s="1" t="n">
        <v>45357</v>
      </c>
      <c r="D477" t="inlineStr">
        <is>
          <t>VÄSTERBOTTENS LÄN</t>
        </is>
      </c>
      <c r="E477" t="inlineStr">
        <is>
          <t>SKELLEFTEÅ</t>
        </is>
      </c>
      <c r="F477" t="inlineStr">
        <is>
          <t>Holmen skog AB</t>
        </is>
      </c>
      <c r="G477" t="n">
        <v>9.199999999999999</v>
      </c>
      <c r="H477" t="n">
        <v>1</v>
      </c>
      <c r="I477" t="n">
        <v>0</v>
      </c>
      <c r="J477" t="n">
        <v>3</v>
      </c>
      <c r="K477" t="n">
        <v>0</v>
      </c>
      <c r="L477" t="n">
        <v>0</v>
      </c>
      <c r="M477" t="n">
        <v>0</v>
      </c>
      <c r="N477" t="n">
        <v>0</v>
      </c>
      <c r="O477" t="n">
        <v>3</v>
      </c>
      <c r="P477" t="n">
        <v>0</v>
      </c>
      <c r="Q477" t="n">
        <v>3</v>
      </c>
      <c r="R477" s="2" t="inlineStr">
        <is>
          <t>Gammelgransskål
Garnlav
Videsparv</t>
        </is>
      </c>
      <c r="S477">
        <f>HYPERLINK("https://klasma.github.io/Logging_2482/artfynd/A 44152-2023 artfynd.xlsx", "A 44152-2023")</f>
        <v/>
      </c>
      <c r="T477">
        <f>HYPERLINK("https://klasma.github.io/Logging_2482/kartor/A 44152-2023 karta.png", "A 44152-2023")</f>
        <v/>
      </c>
      <c r="V477">
        <f>HYPERLINK("https://klasma.github.io/Logging_2482/klagomål/A 44152-2023 FSC-klagomål.docx", "A 44152-2023")</f>
        <v/>
      </c>
      <c r="W477">
        <f>HYPERLINK("https://klasma.github.io/Logging_2482/klagomålsmail/A 44152-2023 FSC-klagomål mail.docx", "A 44152-2023")</f>
        <v/>
      </c>
      <c r="X477">
        <f>HYPERLINK("https://klasma.github.io/Logging_2482/tillsyn/A 44152-2023 tillsynsbegäran.docx", "A 44152-2023")</f>
        <v/>
      </c>
      <c r="Y477">
        <f>HYPERLINK("https://klasma.github.io/Logging_2482/tillsynsmail/A 44152-2023 tillsynsbegäran mail.docx", "A 44152-2023")</f>
        <v/>
      </c>
      <c r="Z477">
        <f>HYPERLINK("https://klasma.github.io/Logging_2482/fåglar/A 44152-2023 prioriterade fågelarter.docx", "A 44152-2023")</f>
        <v/>
      </c>
    </row>
    <row r="478" ht="15" customHeight="1">
      <c r="A478" t="inlineStr">
        <is>
          <t>A 47496-2023</t>
        </is>
      </c>
      <c r="B478" s="1" t="n">
        <v>45202</v>
      </c>
      <c r="C478" s="1" t="n">
        <v>45357</v>
      </c>
      <c r="D478" t="inlineStr">
        <is>
          <t>VÄSTERBOTTENS LÄN</t>
        </is>
      </c>
      <c r="E478" t="inlineStr">
        <is>
          <t>DOROTEA</t>
        </is>
      </c>
      <c r="F478" t="inlineStr">
        <is>
          <t>SCA</t>
        </is>
      </c>
      <c r="G478" t="n">
        <v>7.4</v>
      </c>
      <c r="H478" t="n">
        <v>1</v>
      </c>
      <c r="I478" t="n">
        <v>0</v>
      </c>
      <c r="J478" t="n">
        <v>2</v>
      </c>
      <c r="K478" t="n">
        <v>1</v>
      </c>
      <c r="L478" t="n">
        <v>0</v>
      </c>
      <c r="M478" t="n">
        <v>0</v>
      </c>
      <c r="N478" t="n">
        <v>0</v>
      </c>
      <c r="O478" t="n">
        <v>3</v>
      </c>
      <c r="P478" t="n">
        <v>1</v>
      </c>
      <c r="Q478" t="n">
        <v>3</v>
      </c>
      <c r="R478" s="2" t="inlineStr">
        <is>
          <t>Aspgelélav
Gammelgransskål
Tretåig hackspett</t>
        </is>
      </c>
      <c r="S478">
        <f>HYPERLINK("https://klasma.github.io/Logging_2425/artfynd/A 47496-2023 artfynd.xlsx", "A 47496-2023")</f>
        <v/>
      </c>
      <c r="T478">
        <f>HYPERLINK("https://klasma.github.io/Logging_2425/kartor/A 47496-2023 karta.png", "A 47496-2023")</f>
        <v/>
      </c>
      <c r="V478">
        <f>HYPERLINK("https://klasma.github.io/Logging_2425/klagomål/A 47496-2023 FSC-klagomål.docx", "A 47496-2023")</f>
        <v/>
      </c>
      <c r="W478">
        <f>HYPERLINK("https://klasma.github.io/Logging_2425/klagomålsmail/A 47496-2023 FSC-klagomål mail.docx", "A 47496-2023")</f>
        <v/>
      </c>
      <c r="X478">
        <f>HYPERLINK("https://klasma.github.io/Logging_2425/tillsyn/A 47496-2023 tillsynsbegäran.docx", "A 47496-2023")</f>
        <v/>
      </c>
      <c r="Y478">
        <f>HYPERLINK("https://klasma.github.io/Logging_2425/tillsynsmail/A 47496-2023 tillsynsbegäran mail.docx", "A 47496-2023")</f>
        <v/>
      </c>
      <c r="Z478">
        <f>HYPERLINK("https://klasma.github.io/Logging_2425/fåglar/A 47496-2023 prioriterade fågelarter.docx", "A 47496-2023")</f>
        <v/>
      </c>
    </row>
    <row r="479" ht="15" customHeight="1">
      <c r="A479" t="inlineStr">
        <is>
          <t>A 53808-2023</t>
        </is>
      </c>
      <c r="B479" s="1" t="n">
        <v>45231</v>
      </c>
      <c r="C479" s="1" t="n">
        <v>45357</v>
      </c>
      <c r="D479" t="inlineStr">
        <is>
          <t>VÄSTERBOTTENS LÄN</t>
        </is>
      </c>
      <c r="E479" t="inlineStr">
        <is>
          <t>LYCKSELE</t>
        </is>
      </c>
      <c r="F479" t="inlineStr">
        <is>
          <t>Sveaskog</t>
        </is>
      </c>
      <c r="G479" t="n">
        <v>1.8</v>
      </c>
      <c r="H479" t="n">
        <v>0</v>
      </c>
      <c r="I479" t="n">
        <v>2</v>
      </c>
      <c r="J479" t="n">
        <v>1</v>
      </c>
      <c r="K479" t="n">
        <v>0</v>
      </c>
      <c r="L479" t="n">
        <v>0</v>
      </c>
      <c r="M479" t="n">
        <v>0</v>
      </c>
      <c r="N479" t="n">
        <v>0</v>
      </c>
      <c r="O479" t="n">
        <v>1</v>
      </c>
      <c r="P479" t="n">
        <v>0</v>
      </c>
      <c r="Q479" t="n">
        <v>3</v>
      </c>
      <c r="R479" s="2" t="inlineStr">
        <is>
          <t>Vedflamlav
Brandticka
Gullgröppa</t>
        </is>
      </c>
      <c r="S479">
        <f>HYPERLINK("https://klasma.github.io/Logging_2481/artfynd/A 53808-2023 artfynd.xlsx", "A 53808-2023")</f>
        <v/>
      </c>
      <c r="T479">
        <f>HYPERLINK("https://klasma.github.io/Logging_2481/kartor/A 53808-2023 karta.png", "A 53808-2023")</f>
        <v/>
      </c>
      <c r="V479">
        <f>HYPERLINK("https://klasma.github.io/Logging_2481/klagomål/A 53808-2023 FSC-klagomål.docx", "A 53808-2023")</f>
        <v/>
      </c>
      <c r="W479">
        <f>HYPERLINK("https://klasma.github.io/Logging_2481/klagomålsmail/A 53808-2023 FSC-klagomål mail.docx", "A 53808-2023")</f>
        <v/>
      </c>
      <c r="X479">
        <f>HYPERLINK("https://klasma.github.io/Logging_2481/tillsyn/A 53808-2023 tillsynsbegäran.docx", "A 53808-2023")</f>
        <v/>
      </c>
      <c r="Y479">
        <f>HYPERLINK("https://klasma.github.io/Logging_2481/tillsynsmail/A 53808-2023 tillsynsbegäran mail.docx", "A 53808-2023")</f>
        <v/>
      </c>
    </row>
    <row r="480" ht="15" customHeight="1">
      <c r="A480" t="inlineStr">
        <is>
          <t>A 54609-2023</t>
        </is>
      </c>
      <c r="B480" s="1" t="n">
        <v>45233</v>
      </c>
      <c r="C480" s="1" t="n">
        <v>45357</v>
      </c>
      <c r="D480" t="inlineStr">
        <is>
          <t>VÄSTERBOTTENS LÄN</t>
        </is>
      </c>
      <c r="E480" t="inlineStr">
        <is>
          <t>VILHELMINA</t>
        </is>
      </c>
      <c r="F480" t="inlineStr">
        <is>
          <t>SCA</t>
        </is>
      </c>
      <c r="G480" t="n">
        <v>3.3</v>
      </c>
      <c r="H480" t="n">
        <v>3</v>
      </c>
      <c r="I480" t="n">
        <v>0</v>
      </c>
      <c r="J480" t="n">
        <v>2</v>
      </c>
      <c r="K480" t="n">
        <v>0</v>
      </c>
      <c r="L480" t="n">
        <v>0</v>
      </c>
      <c r="M480" t="n">
        <v>0</v>
      </c>
      <c r="N480" t="n">
        <v>0</v>
      </c>
      <c r="O480" t="n">
        <v>2</v>
      </c>
      <c r="P480" t="n">
        <v>0</v>
      </c>
      <c r="Q480" t="n">
        <v>3</v>
      </c>
      <c r="R480" s="2" t="inlineStr">
        <is>
          <t>Buskskvätta
Svartvit flugsnappare
Gråspett</t>
        </is>
      </c>
      <c r="S480">
        <f>HYPERLINK("https://klasma.github.io/Logging_2462/artfynd/A 54609-2023 artfynd.xlsx", "A 54609-2023")</f>
        <v/>
      </c>
      <c r="T480">
        <f>HYPERLINK("https://klasma.github.io/Logging_2462/kartor/A 54609-2023 karta.png", "A 54609-2023")</f>
        <v/>
      </c>
      <c r="V480">
        <f>HYPERLINK("https://klasma.github.io/Logging_2462/klagomål/A 54609-2023 FSC-klagomål.docx", "A 54609-2023")</f>
        <v/>
      </c>
      <c r="W480">
        <f>HYPERLINK("https://klasma.github.io/Logging_2462/klagomålsmail/A 54609-2023 FSC-klagomål mail.docx", "A 54609-2023")</f>
        <v/>
      </c>
      <c r="X480">
        <f>HYPERLINK("https://klasma.github.io/Logging_2462/tillsyn/A 54609-2023 tillsynsbegäran.docx", "A 54609-2023")</f>
        <v/>
      </c>
      <c r="Y480">
        <f>HYPERLINK("https://klasma.github.io/Logging_2462/tillsynsmail/A 54609-2023 tillsynsbegäran mail.docx", "A 54609-2023")</f>
        <v/>
      </c>
      <c r="Z480">
        <f>HYPERLINK("https://klasma.github.io/Logging_2462/fåglar/A 54609-2023 prioriterade fågelarter.docx", "A 54609-2023")</f>
        <v/>
      </c>
    </row>
    <row r="481" ht="15" customHeight="1">
      <c r="A481" t="inlineStr">
        <is>
          <t>A 56435-2023</t>
        </is>
      </c>
      <c r="B481" s="1" t="n">
        <v>45243</v>
      </c>
      <c r="C481" s="1" t="n">
        <v>45357</v>
      </c>
      <c r="D481" t="inlineStr">
        <is>
          <t>VÄSTERBOTTENS LÄN</t>
        </is>
      </c>
      <c r="E481" t="inlineStr">
        <is>
          <t>SKELLEFTEÅ</t>
        </is>
      </c>
      <c r="G481" t="n">
        <v>4.1</v>
      </c>
      <c r="H481" t="n">
        <v>0</v>
      </c>
      <c r="I481" t="n">
        <v>0</v>
      </c>
      <c r="J481" t="n">
        <v>3</v>
      </c>
      <c r="K481" t="n">
        <v>0</v>
      </c>
      <c r="L481" t="n">
        <v>0</v>
      </c>
      <c r="M481" t="n">
        <v>0</v>
      </c>
      <c r="N481" t="n">
        <v>0</v>
      </c>
      <c r="O481" t="n">
        <v>3</v>
      </c>
      <c r="P481" t="n">
        <v>0</v>
      </c>
      <c r="Q481" t="n">
        <v>3</v>
      </c>
      <c r="R481" s="2" t="inlineStr">
        <is>
          <t>Lunglav
Ullticka
Violettgrå tagellav</t>
        </is>
      </c>
      <c r="S481">
        <f>HYPERLINK("https://klasma.github.io/Logging_2482/artfynd/A 56435-2023 artfynd.xlsx", "A 56435-2023")</f>
        <v/>
      </c>
      <c r="T481">
        <f>HYPERLINK("https://klasma.github.io/Logging_2482/kartor/A 56435-2023 karta.png", "A 56435-2023")</f>
        <v/>
      </c>
      <c r="V481">
        <f>HYPERLINK("https://klasma.github.io/Logging_2482/klagomål/A 56435-2023 FSC-klagomål.docx", "A 56435-2023")</f>
        <v/>
      </c>
      <c r="W481">
        <f>HYPERLINK("https://klasma.github.io/Logging_2482/klagomålsmail/A 56435-2023 FSC-klagomål mail.docx", "A 56435-2023")</f>
        <v/>
      </c>
      <c r="X481">
        <f>HYPERLINK("https://klasma.github.io/Logging_2482/tillsyn/A 56435-2023 tillsynsbegäran.docx", "A 56435-2023")</f>
        <v/>
      </c>
      <c r="Y481">
        <f>HYPERLINK("https://klasma.github.io/Logging_2482/tillsynsmail/A 56435-2023 tillsynsbegäran mail.docx", "A 56435-2023")</f>
        <v/>
      </c>
    </row>
    <row r="482" ht="15" customHeight="1">
      <c r="A482" t="inlineStr">
        <is>
          <t>A 62346-2023</t>
        </is>
      </c>
      <c r="B482" s="1" t="n">
        <v>45267</v>
      </c>
      <c r="C482" s="1" t="n">
        <v>45357</v>
      </c>
      <c r="D482" t="inlineStr">
        <is>
          <t>VÄSTERBOTTENS LÄN</t>
        </is>
      </c>
      <c r="E482" t="inlineStr">
        <is>
          <t>SKELLEFTEÅ</t>
        </is>
      </c>
      <c r="G482" t="n">
        <v>5.1</v>
      </c>
      <c r="H482" t="n">
        <v>0</v>
      </c>
      <c r="I482" t="n">
        <v>0</v>
      </c>
      <c r="J482" t="n">
        <v>3</v>
      </c>
      <c r="K482" t="n">
        <v>0</v>
      </c>
      <c r="L482" t="n">
        <v>0</v>
      </c>
      <c r="M482" t="n">
        <v>0</v>
      </c>
      <c r="N482" t="n">
        <v>0</v>
      </c>
      <c r="O482" t="n">
        <v>3</v>
      </c>
      <c r="P482" t="n">
        <v>0</v>
      </c>
      <c r="Q482" t="n">
        <v>3</v>
      </c>
      <c r="R482" s="2" t="inlineStr">
        <is>
          <t>Garnlav
Ullticka
Violettgrå tagellav</t>
        </is>
      </c>
      <c r="S482">
        <f>HYPERLINK("https://klasma.github.io/Logging_2482/artfynd/A 62346-2023 artfynd.xlsx", "A 62346-2023")</f>
        <v/>
      </c>
      <c r="T482">
        <f>HYPERLINK("https://klasma.github.io/Logging_2482/kartor/A 62346-2023 karta.png", "A 62346-2023")</f>
        <v/>
      </c>
      <c r="V482">
        <f>HYPERLINK("https://klasma.github.io/Logging_2482/klagomål/A 62346-2023 FSC-klagomål.docx", "A 62346-2023")</f>
        <v/>
      </c>
      <c r="W482">
        <f>HYPERLINK("https://klasma.github.io/Logging_2482/klagomålsmail/A 62346-2023 FSC-klagomål mail.docx", "A 62346-2023")</f>
        <v/>
      </c>
      <c r="X482">
        <f>HYPERLINK("https://klasma.github.io/Logging_2482/tillsyn/A 62346-2023 tillsynsbegäran.docx", "A 62346-2023")</f>
        <v/>
      </c>
      <c r="Y482">
        <f>HYPERLINK("https://klasma.github.io/Logging_2482/tillsynsmail/A 62346-2023 tillsynsbegäran mail.docx", "A 62346-2023")</f>
        <v/>
      </c>
    </row>
    <row r="483" ht="15" customHeight="1">
      <c r="A483" t="inlineStr">
        <is>
          <t>A 62595-2023</t>
        </is>
      </c>
      <c r="B483" s="1" t="n">
        <v>45267</v>
      </c>
      <c r="C483" s="1" t="n">
        <v>45357</v>
      </c>
      <c r="D483" t="inlineStr">
        <is>
          <t>VÄSTERBOTTENS LÄN</t>
        </is>
      </c>
      <c r="E483" t="inlineStr">
        <is>
          <t>SKELLEFTEÅ</t>
        </is>
      </c>
      <c r="G483" t="n">
        <v>4.6</v>
      </c>
      <c r="H483" t="n">
        <v>2</v>
      </c>
      <c r="I483" t="n">
        <v>1</v>
      </c>
      <c r="J483" t="n">
        <v>1</v>
      </c>
      <c r="K483" t="n">
        <v>0</v>
      </c>
      <c r="L483" t="n">
        <v>0</v>
      </c>
      <c r="M483" t="n">
        <v>0</v>
      </c>
      <c r="N483" t="n">
        <v>0</v>
      </c>
      <c r="O483" t="n">
        <v>1</v>
      </c>
      <c r="P483" t="n">
        <v>0</v>
      </c>
      <c r="Q483" t="n">
        <v>3</v>
      </c>
      <c r="R483" s="2" t="inlineStr">
        <is>
          <t>Spillkråka
Vedticka
Fläcknycklar</t>
        </is>
      </c>
      <c r="S483">
        <f>HYPERLINK("https://klasma.github.io/Logging_2482/artfynd/A 62595-2023 artfynd.xlsx", "A 62595-2023")</f>
        <v/>
      </c>
      <c r="T483">
        <f>HYPERLINK("https://klasma.github.io/Logging_2482/kartor/A 62595-2023 karta.png", "A 62595-2023")</f>
        <v/>
      </c>
      <c r="V483">
        <f>HYPERLINK("https://klasma.github.io/Logging_2482/klagomål/A 62595-2023 FSC-klagomål.docx", "A 62595-2023")</f>
        <v/>
      </c>
      <c r="W483">
        <f>HYPERLINK("https://klasma.github.io/Logging_2482/klagomålsmail/A 62595-2023 FSC-klagomål mail.docx", "A 62595-2023")</f>
        <v/>
      </c>
      <c r="X483">
        <f>HYPERLINK("https://klasma.github.io/Logging_2482/tillsyn/A 62595-2023 tillsynsbegäran.docx", "A 62595-2023")</f>
        <v/>
      </c>
      <c r="Y483">
        <f>HYPERLINK("https://klasma.github.io/Logging_2482/tillsynsmail/A 62595-2023 tillsynsbegäran mail.docx", "A 62595-2023")</f>
        <v/>
      </c>
      <c r="Z483">
        <f>HYPERLINK("https://klasma.github.io/Logging_2482/fåglar/A 62595-2023 prioriterade fågelarter.docx", "A 62595-2023")</f>
        <v/>
      </c>
    </row>
    <row r="484" ht="15" customHeight="1">
      <c r="A484" t="inlineStr">
        <is>
          <t>A 64504-2023</t>
        </is>
      </c>
      <c r="B484" s="1" t="n">
        <v>45280</v>
      </c>
      <c r="C484" s="1" t="n">
        <v>45357</v>
      </c>
      <c r="D484" t="inlineStr">
        <is>
          <t>VÄSTERBOTTENS LÄN</t>
        </is>
      </c>
      <c r="E484" t="inlineStr">
        <is>
          <t>BJURHOLM</t>
        </is>
      </c>
      <c r="F484" t="inlineStr">
        <is>
          <t>SCA</t>
        </is>
      </c>
      <c r="G484" t="n">
        <v>3</v>
      </c>
      <c r="H484" t="n">
        <v>0</v>
      </c>
      <c r="I484" t="n">
        <v>1</v>
      </c>
      <c r="J484" t="n">
        <v>2</v>
      </c>
      <c r="K484" t="n">
        <v>0</v>
      </c>
      <c r="L484" t="n">
        <v>0</v>
      </c>
      <c r="M484" t="n">
        <v>0</v>
      </c>
      <c r="N484" t="n">
        <v>0</v>
      </c>
      <c r="O484" t="n">
        <v>2</v>
      </c>
      <c r="P484" t="n">
        <v>0</v>
      </c>
      <c r="Q484" t="n">
        <v>3</v>
      </c>
      <c r="R484" s="2" t="inlineStr">
        <is>
          <t>Lunglav
Vedskivlav
Skinnlav</t>
        </is>
      </c>
      <c r="S484">
        <f>HYPERLINK("https://klasma.github.io/Logging_2403/artfynd/A 64504-2023 artfynd.xlsx", "A 64504-2023")</f>
        <v/>
      </c>
      <c r="T484">
        <f>HYPERLINK("https://klasma.github.io/Logging_2403/kartor/A 64504-2023 karta.png", "A 64504-2023")</f>
        <v/>
      </c>
      <c r="V484">
        <f>HYPERLINK("https://klasma.github.io/Logging_2403/klagomål/A 64504-2023 FSC-klagomål.docx", "A 64504-2023")</f>
        <v/>
      </c>
      <c r="W484">
        <f>HYPERLINK("https://klasma.github.io/Logging_2403/klagomålsmail/A 64504-2023 FSC-klagomål mail.docx", "A 64504-2023")</f>
        <v/>
      </c>
      <c r="X484">
        <f>HYPERLINK("https://klasma.github.io/Logging_2403/tillsyn/A 64504-2023 tillsynsbegäran.docx", "A 64504-2023")</f>
        <v/>
      </c>
      <c r="Y484">
        <f>HYPERLINK("https://klasma.github.io/Logging_2403/tillsynsmail/A 64504-2023 tillsynsbegäran mail.docx", "A 64504-2023")</f>
        <v/>
      </c>
    </row>
    <row r="485" ht="15" customHeight="1">
      <c r="A485" t="inlineStr">
        <is>
          <t>A 64850-2023</t>
        </is>
      </c>
      <c r="B485" s="1" t="n">
        <v>45282</v>
      </c>
      <c r="C485" s="1" t="n">
        <v>45357</v>
      </c>
      <c r="D485" t="inlineStr">
        <is>
          <t>VÄSTERBOTTENS LÄN</t>
        </is>
      </c>
      <c r="E485" t="inlineStr">
        <is>
          <t>SKELLEFTEÅ</t>
        </is>
      </c>
      <c r="G485" t="n">
        <v>9.9</v>
      </c>
      <c r="H485" t="n">
        <v>0</v>
      </c>
      <c r="I485" t="n">
        <v>0</v>
      </c>
      <c r="J485" t="n">
        <v>3</v>
      </c>
      <c r="K485" t="n">
        <v>0</v>
      </c>
      <c r="L485" t="n">
        <v>0</v>
      </c>
      <c r="M485" t="n">
        <v>0</v>
      </c>
      <c r="N485" t="n">
        <v>0</v>
      </c>
      <c r="O485" t="n">
        <v>3</v>
      </c>
      <c r="P485" t="n">
        <v>0</v>
      </c>
      <c r="Q485" t="n">
        <v>3</v>
      </c>
      <c r="R485" s="2" t="inlineStr">
        <is>
          <t>Gammelgransskål
Garnlav
Ullticka</t>
        </is>
      </c>
      <c r="S485">
        <f>HYPERLINK("https://klasma.github.io/Logging_2482/artfynd/A 64850-2023 artfynd.xlsx", "A 64850-2023")</f>
        <v/>
      </c>
      <c r="T485">
        <f>HYPERLINK("https://klasma.github.io/Logging_2482/kartor/A 64850-2023 karta.png", "A 64850-2023")</f>
        <v/>
      </c>
      <c r="V485">
        <f>HYPERLINK("https://klasma.github.io/Logging_2482/klagomål/A 64850-2023 FSC-klagomål.docx", "A 64850-2023")</f>
        <v/>
      </c>
      <c r="W485">
        <f>HYPERLINK("https://klasma.github.io/Logging_2482/klagomålsmail/A 64850-2023 FSC-klagomål mail.docx", "A 64850-2023")</f>
        <v/>
      </c>
      <c r="X485">
        <f>HYPERLINK("https://klasma.github.io/Logging_2482/tillsyn/A 64850-2023 tillsynsbegäran.docx", "A 64850-2023")</f>
        <v/>
      </c>
      <c r="Y485">
        <f>HYPERLINK("https://klasma.github.io/Logging_2482/tillsynsmail/A 64850-2023 tillsynsbegäran mail.docx", "A 64850-2023")</f>
        <v/>
      </c>
    </row>
    <row r="486" ht="15" customHeight="1">
      <c r="A486" t="inlineStr">
        <is>
          <t>A 679-2024</t>
        </is>
      </c>
      <c r="B486" s="1" t="n">
        <v>45300</v>
      </c>
      <c r="C486" s="1" t="n">
        <v>45357</v>
      </c>
      <c r="D486" t="inlineStr">
        <is>
          <t>VÄSTERBOTTENS LÄN</t>
        </is>
      </c>
      <c r="E486" t="inlineStr">
        <is>
          <t>LYCKSELE</t>
        </is>
      </c>
      <c r="G486" t="n">
        <v>11.3</v>
      </c>
      <c r="H486" t="n">
        <v>0</v>
      </c>
      <c r="I486" t="n">
        <v>1</v>
      </c>
      <c r="J486" t="n">
        <v>2</v>
      </c>
      <c r="K486" t="n">
        <v>0</v>
      </c>
      <c r="L486" t="n">
        <v>0</v>
      </c>
      <c r="M486" t="n">
        <v>0</v>
      </c>
      <c r="N486" t="n">
        <v>0</v>
      </c>
      <c r="O486" t="n">
        <v>2</v>
      </c>
      <c r="P486" t="n">
        <v>0</v>
      </c>
      <c r="Q486" t="n">
        <v>3</v>
      </c>
      <c r="R486" s="2" t="inlineStr">
        <is>
          <t>Garnlav
Skrovellav
Luddlav</t>
        </is>
      </c>
      <c r="S486">
        <f>HYPERLINK("https://klasma.github.io/Logging_2481/artfynd/A 679-2024 artfynd.xlsx", "A 679-2024")</f>
        <v/>
      </c>
      <c r="T486">
        <f>HYPERLINK("https://klasma.github.io/Logging_2481/kartor/A 679-2024 karta.png", "A 679-2024")</f>
        <v/>
      </c>
      <c r="V486">
        <f>HYPERLINK("https://klasma.github.io/Logging_2481/klagomål/A 679-2024 FSC-klagomål.docx", "A 679-2024")</f>
        <v/>
      </c>
      <c r="W486">
        <f>HYPERLINK("https://klasma.github.io/Logging_2481/klagomålsmail/A 679-2024 FSC-klagomål mail.docx", "A 679-2024")</f>
        <v/>
      </c>
      <c r="X486">
        <f>HYPERLINK("https://klasma.github.io/Logging_2481/tillsyn/A 679-2024 tillsynsbegäran.docx", "A 679-2024")</f>
        <v/>
      </c>
      <c r="Y486">
        <f>HYPERLINK("https://klasma.github.io/Logging_2481/tillsynsmail/A 679-2024 tillsynsbegäran mail.docx", "A 679-2024")</f>
        <v/>
      </c>
    </row>
    <row r="487" ht="15" customHeight="1">
      <c r="A487" t="inlineStr">
        <is>
          <t>A 2057-2024</t>
        </is>
      </c>
      <c r="B487" s="1" t="n">
        <v>45308</v>
      </c>
      <c r="C487" s="1" t="n">
        <v>45357</v>
      </c>
      <c r="D487" t="inlineStr">
        <is>
          <t>VÄSTERBOTTENS LÄN</t>
        </is>
      </c>
      <c r="E487" t="inlineStr">
        <is>
          <t>SKELLEFTEÅ</t>
        </is>
      </c>
      <c r="G487" t="n">
        <v>3.5</v>
      </c>
      <c r="H487" t="n">
        <v>1</v>
      </c>
      <c r="I487" t="n">
        <v>0</v>
      </c>
      <c r="J487" t="n">
        <v>3</v>
      </c>
      <c r="K487" t="n">
        <v>0</v>
      </c>
      <c r="L487" t="n">
        <v>0</v>
      </c>
      <c r="M487" t="n">
        <v>0</v>
      </c>
      <c r="N487" t="n">
        <v>0</v>
      </c>
      <c r="O487" t="n">
        <v>3</v>
      </c>
      <c r="P487" t="n">
        <v>0</v>
      </c>
      <c r="Q487" t="n">
        <v>3</v>
      </c>
      <c r="R487" s="2" t="inlineStr">
        <is>
          <t>Blanksvart spiklav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2054-2024</t>
        </is>
      </c>
      <c r="B488" s="1" t="n">
        <v>45308</v>
      </c>
      <c r="C488" s="1" t="n">
        <v>45357</v>
      </c>
      <c r="D488" t="inlineStr">
        <is>
          <t>VÄSTERBOTTENS LÄN</t>
        </is>
      </c>
      <c r="E488" t="inlineStr">
        <is>
          <t>SKELLEFTEÅ</t>
        </is>
      </c>
      <c r="G488" t="n">
        <v>7.6</v>
      </c>
      <c r="H488" t="n">
        <v>1</v>
      </c>
      <c r="I488" t="n">
        <v>0</v>
      </c>
      <c r="J488" t="n">
        <v>3</v>
      </c>
      <c r="K488" t="n">
        <v>0</v>
      </c>
      <c r="L488" t="n">
        <v>0</v>
      </c>
      <c r="M488" t="n">
        <v>0</v>
      </c>
      <c r="N488" t="n">
        <v>0</v>
      </c>
      <c r="O488" t="n">
        <v>3</v>
      </c>
      <c r="P488" t="n">
        <v>0</v>
      </c>
      <c r="Q488" t="n">
        <v>3</v>
      </c>
      <c r="R488" s="2" t="inlineStr">
        <is>
          <t>Blå taggsvamp
Orange taggsvamp
Utter</t>
        </is>
      </c>
      <c r="S488">
        <f>HYPERLINK("https://klasma.github.io/Logging_2482/artfynd/A 2054-2024 artfynd.xlsx", "A 2054-2024")</f>
        <v/>
      </c>
      <c r="T488">
        <f>HYPERLINK("https://klasma.github.io/Logging_2482/kartor/A 2054-2024 karta.png", "A 2054-2024")</f>
        <v/>
      </c>
      <c r="V488">
        <f>HYPERLINK("https://klasma.github.io/Logging_2482/klagomål/A 2054-2024 FSC-klagomål.docx", "A 2054-2024")</f>
        <v/>
      </c>
      <c r="W488">
        <f>HYPERLINK("https://klasma.github.io/Logging_2482/klagomålsmail/A 2054-2024 FSC-klagomål mail.docx", "A 2054-2024")</f>
        <v/>
      </c>
      <c r="X488">
        <f>HYPERLINK("https://klasma.github.io/Logging_2482/tillsyn/A 2054-2024 tillsynsbegäran.docx", "A 2054-2024")</f>
        <v/>
      </c>
      <c r="Y488">
        <f>HYPERLINK("https://klasma.github.io/Logging_2482/tillsynsmail/A 2054-2024 tillsynsbegäran mail.docx", "A 2054-2024")</f>
        <v/>
      </c>
    </row>
    <row r="489" ht="15" customHeight="1">
      <c r="A489" t="inlineStr">
        <is>
          <t>A 4468-2024</t>
        </is>
      </c>
      <c r="B489" s="1" t="n">
        <v>45324</v>
      </c>
      <c r="C489" s="1" t="n">
        <v>45357</v>
      </c>
      <c r="D489" t="inlineStr">
        <is>
          <t>VÄSTERBOTTENS LÄN</t>
        </is>
      </c>
      <c r="E489" t="inlineStr">
        <is>
          <t>UMEÅ</t>
        </is>
      </c>
      <c r="G489" t="n">
        <v>1.5</v>
      </c>
      <c r="H489" t="n">
        <v>1</v>
      </c>
      <c r="I489" t="n">
        <v>0</v>
      </c>
      <c r="J489" t="n">
        <v>3</v>
      </c>
      <c r="K489" t="n">
        <v>0</v>
      </c>
      <c r="L489" t="n">
        <v>0</v>
      </c>
      <c r="M489" t="n">
        <v>0</v>
      </c>
      <c r="N489" t="n">
        <v>0</v>
      </c>
      <c r="O489" t="n">
        <v>3</v>
      </c>
      <c r="P489" t="n">
        <v>0</v>
      </c>
      <c r="Q489" t="n">
        <v>3</v>
      </c>
      <c r="R489" s="2" t="inlineStr">
        <is>
          <t>Gammelgransskål
Garnlav
Spillkråka</t>
        </is>
      </c>
      <c r="S489">
        <f>HYPERLINK("https://klasma.github.io/Logging_2480/artfynd/A 4468-2024 artfynd.xlsx", "A 4468-2024")</f>
        <v/>
      </c>
      <c r="T489">
        <f>HYPERLINK("https://klasma.github.io/Logging_2480/kartor/A 4468-2024 karta.png", "A 4468-2024")</f>
        <v/>
      </c>
      <c r="V489">
        <f>HYPERLINK("https://klasma.github.io/Logging_2480/klagomål/A 4468-2024 FSC-klagomål.docx", "A 4468-2024")</f>
        <v/>
      </c>
      <c r="W489">
        <f>HYPERLINK("https://klasma.github.io/Logging_2480/klagomålsmail/A 4468-2024 FSC-klagomål mail.docx", "A 4468-2024")</f>
        <v/>
      </c>
      <c r="X489">
        <f>HYPERLINK("https://klasma.github.io/Logging_2480/tillsyn/A 4468-2024 tillsynsbegäran.docx", "A 4468-2024")</f>
        <v/>
      </c>
      <c r="Y489">
        <f>HYPERLINK("https://klasma.github.io/Logging_2480/tillsynsmail/A 4468-2024 tillsynsbegäran mail.docx", "A 4468-2024")</f>
        <v/>
      </c>
      <c r="Z489">
        <f>HYPERLINK("https://klasma.github.io/Logging_2480/fåglar/A 4468-2024 prioriterade fågelarter.docx", "A 4468-2024")</f>
        <v/>
      </c>
    </row>
    <row r="490" ht="15" customHeight="1">
      <c r="A490" t="inlineStr">
        <is>
          <t>A 5547-2024</t>
        </is>
      </c>
      <c r="B490" s="1" t="n">
        <v>45334</v>
      </c>
      <c r="C490" s="1" t="n">
        <v>45357</v>
      </c>
      <c r="D490" t="inlineStr">
        <is>
          <t>VÄSTERBOTTENS LÄN</t>
        </is>
      </c>
      <c r="E490" t="inlineStr">
        <is>
          <t>ROBERTSFORS</t>
        </is>
      </c>
      <c r="F490" t="inlineStr">
        <is>
          <t>Holmen skog AB</t>
        </is>
      </c>
      <c r="G490" t="n">
        <v>2</v>
      </c>
      <c r="H490" t="n">
        <v>1</v>
      </c>
      <c r="I490" t="n">
        <v>1</v>
      </c>
      <c r="J490" t="n">
        <v>2</v>
      </c>
      <c r="K490" t="n">
        <v>0</v>
      </c>
      <c r="L490" t="n">
        <v>0</v>
      </c>
      <c r="M490" t="n">
        <v>0</v>
      </c>
      <c r="N490" t="n">
        <v>0</v>
      </c>
      <c r="O490" t="n">
        <v>2</v>
      </c>
      <c r="P490" t="n">
        <v>0</v>
      </c>
      <c r="Q490" t="n">
        <v>3</v>
      </c>
      <c r="R490" s="2" t="inlineStr">
        <is>
          <t>Tretåig hackspett
Ullticka
Vedticka</t>
        </is>
      </c>
      <c r="S490">
        <f>HYPERLINK("https://klasma.github.io/Logging_2409/artfynd/A 5547-2024 artfynd.xlsx", "A 5547-2024")</f>
        <v/>
      </c>
      <c r="T490">
        <f>HYPERLINK("https://klasma.github.io/Logging_2409/kartor/A 5547-2024 karta.png", "A 5547-2024")</f>
        <v/>
      </c>
      <c r="V490">
        <f>HYPERLINK("https://klasma.github.io/Logging_2409/klagomål/A 5547-2024 FSC-klagomål.docx", "A 5547-2024")</f>
        <v/>
      </c>
      <c r="W490">
        <f>HYPERLINK("https://klasma.github.io/Logging_2409/klagomålsmail/A 5547-2024 FSC-klagomål mail.docx", "A 5547-2024")</f>
        <v/>
      </c>
      <c r="X490">
        <f>HYPERLINK("https://klasma.github.io/Logging_2409/tillsyn/A 5547-2024 tillsynsbegäran.docx", "A 5547-2024")</f>
        <v/>
      </c>
      <c r="Y490">
        <f>HYPERLINK("https://klasma.github.io/Logging_2409/tillsynsmail/A 5547-2024 tillsynsbegäran mail.docx", "A 5547-2024")</f>
        <v/>
      </c>
      <c r="Z490">
        <f>HYPERLINK("https://klasma.github.io/Logging_2409/fåglar/A 5547-2024 prioriterade fågelarter.docx", "A 5547-2024")</f>
        <v/>
      </c>
    </row>
    <row r="491" ht="15" customHeight="1">
      <c r="A491" t="inlineStr">
        <is>
          <t>A 6461-2024</t>
        </is>
      </c>
      <c r="B491" s="1" t="n">
        <v>45338</v>
      </c>
      <c r="C491" s="1" t="n">
        <v>45357</v>
      </c>
      <c r="D491" t="inlineStr">
        <is>
          <t>VÄSTERBOTTENS LÄN</t>
        </is>
      </c>
      <c r="E491" t="inlineStr">
        <is>
          <t>VINDELN</t>
        </is>
      </c>
      <c r="G491" t="n">
        <v>1.8</v>
      </c>
      <c r="H491" t="n">
        <v>0</v>
      </c>
      <c r="I491" t="n">
        <v>1</v>
      </c>
      <c r="J491" t="n">
        <v>1</v>
      </c>
      <c r="K491" t="n">
        <v>1</v>
      </c>
      <c r="L491" t="n">
        <v>0</v>
      </c>
      <c r="M491" t="n">
        <v>0</v>
      </c>
      <c r="N491" t="n">
        <v>0</v>
      </c>
      <c r="O491" t="n">
        <v>2</v>
      </c>
      <c r="P491" t="n">
        <v>1</v>
      </c>
      <c r="Q491" t="n">
        <v>3</v>
      </c>
      <c r="R491" s="2" t="inlineStr">
        <is>
          <t>Goliatmusseron
Tallriska
Skarp dropptaggsvamp</t>
        </is>
      </c>
      <c r="S491">
        <f>HYPERLINK("https://klasma.github.io/Logging_2404/artfynd/A 6461-2024 artfynd.xlsx", "A 6461-2024")</f>
        <v/>
      </c>
      <c r="T491">
        <f>HYPERLINK("https://klasma.github.io/Logging_2404/kartor/A 6461-2024 karta.png", "A 6461-2024")</f>
        <v/>
      </c>
      <c r="V491">
        <f>HYPERLINK("https://klasma.github.io/Logging_2404/klagomål/A 6461-2024 FSC-klagomål.docx", "A 6461-2024")</f>
        <v/>
      </c>
      <c r="W491">
        <f>HYPERLINK("https://klasma.github.io/Logging_2404/klagomålsmail/A 6461-2024 FSC-klagomål mail.docx", "A 6461-2024")</f>
        <v/>
      </c>
      <c r="X491">
        <f>HYPERLINK("https://klasma.github.io/Logging_2404/tillsyn/A 6461-2024 tillsynsbegäran.docx", "A 6461-2024")</f>
        <v/>
      </c>
      <c r="Y491">
        <f>HYPERLINK("https://klasma.github.io/Logging_2404/tillsynsmail/A 6461-2024 tillsynsbegäran mail.docx", "A 6461-2024")</f>
        <v/>
      </c>
    </row>
    <row r="492" ht="15" customHeight="1">
      <c r="A492" t="inlineStr">
        <is>
          <t>A 40016-2018</t>
        </is>
      </c>
      <c r="B492" s="1" t="n">
        <v>43342</v>
      </c>
      <c r="C492" s="1" t="n">
        <v>45357</v>
      </c>
      <c r="D492" t="inlineStr">
        <is>
          <t>VÄSTERBOTTENS LÄN</t>
        </is>
      </c>
      <c r="E492" t="inlineStr">
        <is>
          <t>BJURHOLM</t>
        </is>
      </c>
      <c r="G492" t="n">
        <v>1.3</v>
      </c>
      <c r="H492" t="n">
        <v>0</v>
      </c>
      <c r="I492" t="n">
        <v>1</v>
      </c>
      <c r="J492" t="n">
        <v>1</v>
      </c>
      <c r="K492" t="n">
        <v>0</v>
      </c>
      <c r="L492" t="n">
        <v>0</v>
      </c>
      <c r="M492" t="n">
        <v>0</v>
      </c>
      <c r="N492" t="n">
        <v>0</v>
      </c>
      <c r="O492" t="n">
        <v>1</v>
      </c>
      <c r="P492" t="n">
        <v>0</v>
      </c>
      <c r="Q492" t="n">
        <v>2</v>
      </c>
      <c r="R492" s="2" t="inlineStr">
        <is>
          <t>Lunglav
Stuplav</t>
        </is>
      </c>
      <c r="S492">
        <f>HYPERLINK("https://klasma.github.io/Logging_2403/artfynd/A 40016-2018 artfynd.xlsx", "A 40016-2018")</f>
        <v/>
      </c>
      <c r="T492">
        <f>HYPERLINK("https://klasma.github.io/Logging_2403/kartor/A 40016-2018 karta.png", "A 40016-2018")</f>
        <v/>
      </c>
      <c r="V492">
        <f>HYPERLINK("https://klasma.github.io/Logging_2403/klagomål/A 40016-2018 FSC-klagomål.docx", "A 40016-2018")</f>
        <v/>
      </c>
      <c r="W492">
        <f>HYPERLINK("https://klasma.github.io/Logging_2403/klagomålsmail/A 40016-2018 FSC-klagomål mail.docx", "A 40016-2018")</f>
        <v/>
      </c>
      <c r="X492">
        <f>HYPERLINK("https://klasma.github.io/Logging_2403/tillsyn/A 40016-2018 tillsynsbegäran.docx", "A 40016-2018")</f>
        <v/>
      </c>
      <c r="Y492">
        <f>HYPERLINK("https://klasma.github.io/Logging_2403/tillsynsmail/A 40016-2018 tillsynsbegäran mail.docx", "A 40016-2018")</f>
        <v/>
      </c>
    </row>
    <row r="493" ht="15" customHeight="1">
      <c r="A493" t="inlineStr">
        <is>
          <t>A 46738-2018</t>
        </is>
      </c>
      <c r="B493" s="1" t="n">
        <v>43364</v>
      </c>
      <c r="C493" s="1" t="n">
        <v>45357</v>
      </c>
      <c r="D493" t="inlineStr">
        <is>
          <t>VÄSTERBOTTENS LÄN</t>
        </is>
      </c>
      <c r="E493" t="inlineStr">
        <is>
          <t>ROBERTSFORS</t>
        </is>
      </c>
      <c r="F493" t="inlineStr">
        <is>
          <t>Sveaskog</t>
        </is>
      </c>
      <c r="G493" t="n">
        <v>75.09999999999999</v>
      </c>
      <c r="H493" t="n">
        <v>0</v>
      </c>
      <c r="I493" t="n">
        <v>2</v>
      </c>
      <c r="J493" t="n">
        <v>0</v>
      </c>
      <c r="K493" t="n">
        <v>0</v>
      </c>
      <c r="L493" t="n">
        <v>0</v>
      </c>
      <c r="M493" t="n">
        <v>0</v>
      </c>
      <c r="N493" t="n">
        <v>0</v>
      </c>
      <c r="O493" t="n">
        <v>0</v>
      </c>
      <c r="P493" t="n">
        <v>0</v>
      </c>
      <c r="Q493" t="n">
        <v>2</v>
      </c>
      <c r="R493" s="2" t="inlineStr">
        <is>
          <t>Luddlav
Stuplav</t>
        </is>
      </c>
      <c r="S493">
        <f>HYPERLINK("https://klasma.github.io/Logging_2409/artfynd/A 46738-2018 artfynd.xlsx", "A 46738-2018")</f>
        <v/>
      </c>
      <c r="T493">
        <f>HYPERLINK("https://klasma.github.io/Logging_2409/kartor/A 46738-2018 karta.png", "A 46738-2018")</f>
        <v/>
      </c>
      <c r="V493">
        <f>HYPERLINK("https://klasma.github.io/Logging_2409/klagomål/A 46738-2018 FSC-klagomål.docx", "A 46738-2018")</f>
        <v/>
      </c>
      <c r="W493">
        <f>HYPERLINK("https://klasma.github.io/Logging_2409/klagomålsmail/A 46738-2018 FSC-klagomål mail.docx", "A 46738-2018")</f>
        <v/>
      </c>
      <c r="X493">
        <f>HYPERLINK("https://klasma.github.io/Logging_2409/tillsyn/A 46738-2018 tillsynsbegäran.docx", "A 46738-2018")</f>
        <v/>
      </c>
      <c r="Y493">
        <f>HYPERLINK("https://klasma.github.io/Logging_2409/tillsynsmail/A 46738-2018 tillsynsbegäran mail.docx", "A 46738-2018")</f>
        <v/>
      </c>
    </row>
    <row r="494" ht="15" customHeight="1">
      <c r="A494" t="inlineStr">
        <is>
          <t>A 61019-2018</t>
        </is>
      </c>
      <c r="B494" s="1" t="n">
        <v>43412</v>
      </c>
      <c r="C494" s="1" t="n">
        <v>45357</v>
      </c>
      <c r="D494" t="inlineStr">
        <is>
          <t>VÄSTERBOTTENS LÄN</t>
        </is>
      </c>
      <c r="E494" t="inlineStr">
        <is>
          <t>SKELLEFTEÅ</t>
        </is>
      </c>
      <c r="G494" t="n">
        <v>2.6</v>
      </c>
      <c r="H494" t="n">
        <v>2</v>
      </c>
      <c r="I494" t="n">
        <v>0</v>
      </c>
      <c r="J494" t="n">
        <v>2</v>
      </c>
      <c r="K494" t="n">
        <v>0</v>
      </c>
      <c r="L494" t="n">
        <v>0</v>
      </c>
      <c r="M494" t="n">
        <v>0</v>
      </c>
      <c r="N494" t="n">
        <v>0</v>
      </c>
      <c r="O494" t="n">
        <v>2</v>
      </c>
      <c r="P494" t="n">
        <v>0</v>
      </c>
      <c r="Q494" t="n">
        <v>2</v>
      </c>
      <c r="R494" s="2" t="inlineStr">
        <is>
          <t>Rödvingetrast
Spillkråka</t>
        </is>
      </c>
      <c r="S494">
        <f>HYPERLINK("https://klasma.github.io/Logging_2482/artfynd/A 61019-2018 artfynd.xlsx", "A 61019-2018")</f>
        <v/>
      </c>
      <c r="T494">
        <f>HYPERLINK("https://klasma.github.io/Logging_2482/kartor/A 61019-2018 karta.png", "A 61019-2018")</f>
        <v/>
      </c>
      <c r="V494">
        <f>HYPERLINK("https://klasma.github.io/Logging_2482/klagomål/A 61019-2018 FSC-klagomål.docx", "A 61019-2018")</f>
        <v/>
      </c>
      <c r="W494">
        <f>HYPERLINK("https://klasma.github.io/Logging_2482/klagomålsmail/A 61019-2018 FSC-klagomål mail.docx", "A 61019-2018")</f>
        <v/>
      </c>
      <c r="X494">
        <f>HYPERLINK("https://klasma.github.io/Logging_2482/tillsyn/A 61019-2018 tillsynsbegäran.docx", "A 61019-2018")</f>
        <v/>
      </c>
      <c r="Y494">
        <f>HYPERLINK("https://klasma.github.io/Logging_2482/tillsynsmail/A 61019-2018 tillsynsbegäran mail.docx", "A 61019-2018")</f>
        <v/>
      </c>
      <c r="Z494">
        <f>HYPERLINK("https://klasma.github.io/Logging_2482/fåglar/A 61019-2018 prioriterade fågelarter.docx", "A 61019-2018")</f>
        <v/>
      </c>
    </row>
    <row r="495" ht="15" customHeight="1">
      <c r="A495" t="inlineStr">
        <is>
          <t>A 67241-2018</t>
        </is>
      </c>
      <c r="B495" s="1" t="n">
        <v>43431</v>
      </c>
      <c r="C495" s="1" t="n">
        <v>45357</v>
      </c>
      <c r="D495" t="inlineStr">
        <is>
          <t>VÄSTERBOTTENS LÄN</t>
        </is>
      </c>
      <c r="E495" t="inlineStr">
        <is>
          <t>SKELLEFTEÅ</t>
        </is>
      </c>
      <c r="G495" t="n">
        <v>6.5</v>
      </c>
      <c r="H495" t="n">
        <v>0</v>
      </c>
      <c r="I495" t="n">
        <v>0</v>
      </c>
      <c r="J495" t="n">
        <v>1</v>
      </c>
      <c r="K495" t="n">
        <v>1</v>
      </c>
      <c r="L495" t="n">
        <v>0</v>
      </c>
      <c r="M495" t="n">
        <v>0</v>
      </c>
      <c r="N495" t="n">
        <v>0</v>
      </c>
      <c r="O495" t="n">
        <v>2</v>
      </c>
      <c r="P495" t="n">
        <v>1</v>
      </c>
      <c r="Q495" t="n">
        <v>2</v>
      </c>
      <c r="R495" s="2" t="inlineStr">
        <is>
          <t>Fläckporing
Gammelgransskål</t>
        </is>
      </c>
      <c r="S495">
        <f>HYPERLINK("https://klasma.github.io/Logging_2482/artfynd/A 67241-2018 artfynd.xlsx", "A 67241-2018")</f>
        <v/>
      </c>
      <c r="T495">
        <f>HYPERLINK("https://klasma.github.io/Logging_2482/kartor/A 67241-2018 karta.png", "A 67241-2018")</f>
        <v/>
      </c>
      <c r="V495">
        <f>HYPERLINK("https://klasma.github.io/Logging_2482/klagomål/A 67241-2018 FSC-klagomål.docx", "A 67241-2018")</f>
        <v/>
      </c>
      <c r="W495">
        <f>HYPERLINK("https://klasma.github.io/Logging_2482/klagomålsmail/A 67241-2018 FSC-klagomål mail.docx", "A 67241-2018")</f>
        <v/>
      </c>
      <c r="X495">
        <f>HYPERLINK("https://klasma.github.io/Logging_2482/tillsyn/A 67241-2018 tillsynsbegäran.docx", "A 67241-2018")</f>
        <v/>
      </c>
      <c r="Y495">
        <f>HYPERLINK("https://klasma.github.io/Logging_2482/tillsynsmail/A 67241-2018 tillsynsbegäran mail.docx", "A 67241-2018")</f>
        <v/>
      </c>
    </row>
    <row r="496" ht="15" customHeight="1">
      <c r="A496" t="inlineStr">
        <is>
          <t>A 2764-2019</t>
        </is>
      </c>
      <c r="B496" s="1" t="n">
        <v>43479</v>
      </c>
      <c r="C496" s="1" t="n">
        <v>45357</v>
      </c>
      <c r="D496" t="inlineStr">
        <is>
          <t>VÄSTERBOTTENS LÄN</t>
        </is>
      </c>
      <c r="E496" t="inlineStr">
        <is>
          <t>SKELLEFTEÅ</t>
        </is>
      </c>
      <c r="F496" t="inlineStr">
        <is>
          <t>Sveaskog</t>
        </is>
      </c>
      <c r="G496" t="n">
        <v>5.2</v>
      </c>
      <c r="H496" t="n">
        <v>0</v>
      </c>
      <c r="I496" t="n">
        <v>0</v>
      </c>
      <c r="J496" t="n">
        <v>2</v>
      </c>
      <c r="K496" t="n">
        <v>0</v>
      </c>
      <c r="L496" t="n">
        <v>0</v>
      </c>
      <c r="M496" t="n">
        <v>0</v>
      </c>
      <c r="N496" t="n">
        <v>0</v>
      </c>
      <c r="O496" t="n">
        <v>2</v>
      </c>
      <c r="P496" t="n">
        <v>0</v>
      </c>
      <c r="Q496" t="n">
        <v>2</v>
      </c>
      <c r="R496" s="2" t="inlineStr">
        <is>
          <t>Lunglav
Violettgrå tagellav</t>
        </is>
      </c>
      <c r="S496">
        <f>HYPERLINK("https://klasma.github.io/Logging_2482/artfynd/A 2764-2019 artfynd.xlsx", "A 2764-2019")</f>
        <v/>
      </c>
      <c r="T496">
        <f>HYPERLINK("https://klasma.github.io/Logging_2482/kartor/A 2764-2019 karta.png", "A 2764-2019")</f>
        <v/>
      </c>
      <c r="V496">
        <f>HYPERLINK("https://klasma.github.io/Logging_2482/klagomål/A 2764-2019 FSC-klagomål.docx", "A 2764-2019")</f>
        <v/>
      </c>
      <c r="W496">
        <f>HYPERLINK("https://klasma.github.io/Logging_2482/klagomålsmail/A 2764-2019 FSC-klagomål mail.docx", "A 2764-2019")</f>
        <v/>
      </c>
      <c r="X496">
        <f>HYPERLINK("https://klasma.github.io/Logging_2482/tillsyn/A 2764-2019 tillsynsbegäran.docx", "A 2764-2019")</f>
        <v/>
      </c>
      <c r="Y496">
        <f>HYPERLINK("https://klasma.github.io/Logging_2482/tillsynsmail/A 2764-2019 tillsynsbegäran mail.docx", "A 2764-2019")</f>
        <v/>
      </c>
    </row>
    <row r="497" ht="15" customHeight="1">
      <c r="A497" t="inlineStr">
        <is>
          <t>A 3638-2019</t>
        </is>
      </c>
      <c r="B497" s="1" t="n">
        <v>43481</v>
      </c>
      <c r="C497" s="1" t="n">
        <v>45357</v>
      </c>
      <c r="D497" t="inlineStr">
        <is>
          <t>VÄSTERBOTTENS LÄN</t>
        </is>
      </c>
      <c r="E497" t="inlineStr">
        <is>
          <t>STORUMAN</t>
        </is>
      </c>
      <c r="F497" t="inlineStr">
        <is>
          <t>Sveaskog</t>
        </is>
      </c>
      <c r="G497" t="n">
        <v>6</v>
      </c>
      <c r="H497" t="n">
        <v>0</v>
      </c>
      <c r="I497" t="n">
        <v>1</v>
      </c>
      <c r="J497" t="n">
        <v>1</v>
      </c>
      <c r="K497" t="n">
        <v>0</v>
      </c>
      <c r="L497" t="n">
        <v>0</v>
      </c>
      <c r="M497" t="n">
        <v>0</v>
      </c>
      <c r="N497" t="n">
        <v>0</v>
      </c>
      <c r="O497" t="n">
        <v>1</v>
      </c>
      <c r="P497" t="n">
        <v>0</v>
      </c>
      <c r="Q497" t="n">
        <v>2</v>
      </c>
      <c r="R497" s="2" t="inlineStr">
        <is>
          <t>Granticka
Mörk husmossa</t>
        </is>
      </c>
      <c r="S497">
        <f>HYPERLINK("https://klasma.github.io/Logging_2421/artfynd/A 3638-2019 artfynd.xlsx", "A 3638-2019")</f>
        <v/>
      </c>
      <c r="T497">
        <f>HYPERLINK("https://klasma.github.io/Logging_2421/kartor/A 3638-2019 karta.png", "A 3638-2019")</f>
        <v/>
      </c>
      <c r="V497">
        <f>HYPERLINK("https://klasma.github.io/Logging_2421/klagomål/A 3638-2019 FSC-klagomål.docx", "A 3638-2019")</f>
        <v/>
      </c>
      <c r="W497">
        <f>HYPERLINK("https://klasma.github.io/Logging_2421/klagomålsmail/A 3638-2019 FSC-klagomål mail.docx", "A 3638-2019")</f>
        <v/>
      </c>
      <c r="X497">
        <f>HYPERLINK("https://klasma.github.io/Logging_2421/tillsyn/A 3638-2019 tillsynsbegäran.docx", "A 3638-2019")</f>
        <v/>
      </c>
      <c r="Y497">
        <f>HYPERLINK("https://klasma.github.io/Logging_2421/tillsynsmail/A 3638-2019 tillsynsbegäran mail.docx", "A 3638-2019")</f>
        <v/>
      </c>
    </row>
    <row r="498" ht="15" customHeight="1">
      <c r="A498" t="inlineStr">
        <is>
          <t>A 4374-2019</t>
        </is>
      </c>
      <c r="B498" s="1" t="n">
        <v>43483</v>
      </c>
      <c r="C498" s="1" t="n">
        <v>45357</v>
      </c>
      <c r="D498" t="inlineStr">
        <is>
          <t>VÄSTERBOTTENS LÄN</t>
        </is>
      </c>
      <c r="E498" t="inlineStr">
        <is>
          <t>UMEÅ</t>
        </is>
      </c>
      <c r="G498" t="n">
        <v>6.7</v>
      </c>
      <c r="H498" t="n">
        <v>0</v>
      </c>
      <c r="I498" t="n">
        <v>0</v>
      </c>
      <c r="J498" t="n">
        <v>1</v>
      </c>
      <c r="K498" t="n">
        <v>1</v>
      </c>
      <c r="L498" t="n">
        <v>0</v>
      </c>
      <c r="M498" t="n">
        <v>0</v>
      </c>
      <c r="N498" t="n">
        <v>0</v>
      </c>
      <c r="O498" t="n">
        <v>2</v>
      </c>
      <c r="P498" t="n">
        <v>1</v>
      </c>
      <c r="Q498" t="n">
        <v>2</v>
      </c>
      <c r="R498" s="2" t="inlineStr">
        <is>
          <t>Rynkskinn
Ullticka</t>
        </is>
      </c>
      <c r="S498">
        <f>HYPERLINK("https://klasma.github.io/Logging_2480/artfynd/A 4374-2019 artfynd.xlsx", "A 4374-2019")</f>
        <v/>
      </c>
      <c r="T498">
        <f>HYPERLINK("https://klasma.github.io/Logging_2480/kartor/A 4374-2019 karta.png", "A 4374-2019")</f>
        <v/>
      </c>
      <c r="V498">
        <f>HYPERLINK("https://klasma.github.io/Logging_2480/klagomål/A 4374-2019 FSC-klagomål.docx", "A 4374-2019")</f>
        <v/>
      </c>
      <c r="W498">
        <f>HYPERLINK("https://klasma.github.io/Logging_2480/klagomålsmail/A 4374-2019 FSC-klagomål mail.docx", "A 4374-2019")</f>
        <v/>
      </c>
      <c r="X498">
        <f>HYPERLINK("https://klasma.github.io/Logging_2480/tillsyn/A 4374-2019 tillsynsbegäran.docx", "A 4374-2019")</f>
        <v/>
      </c>
      <c r="Y498">
        <f>HYPERLINK("https://klasma.github.io/Logging_2480/tillsynsmail/A 4374-2019 tillsynsbegäran mail.docx", "A 4374-2019")</f>
        <v/>
      </c>
    </row>
    <row r="499" ht="15" customHeight="1">
      <c r="A499" t="inlineStr">
        <is>
          <t>A 4756-2019</t>
        </is>
      </c>
      <c r="B499" s="1" t="n">
        <v>43486</v>
      </c>
      <c r="C499" s="1" t="n">
        <v>45357</v>
      </c>
      <c r="D499" t="inlineStr">
        <is>
          <t>VÄSTERBOTTENS LÄN</t>
        </is>
      </c>
      <c r="E499" t="inlineStr">
        <is>
          <t>SKELLEFTEÅ</t>
        </is>
      </c>
      <c r="G499" t="n">
        <v>7.6</v>
      </c>
      <c r="H499" t="n">
        <v>0</v>
      </c>
      <c r="I499" t="n">
        <v>0</v>
      </c>
      <c r="J499" t="n">
        <v>2</v>
      </c>
      <c r="K499" t="n">
        <v>0</v>
      </c>
      <c r="L499" t="n">
        <v>0</v>
      </c>
      <c r="M499" t="n">
        <v>0</v>
      </c>
      <c r="N499" t="n">
        <v>0</v>
      </c>
      <c r="O499" t="n">
        <v>2</v>
      </c>
      <c r="P499" t="n">
        <v>0</v>
      </c>
      <c r="Q499" t="n">
        <v>2</v>
      </c>
      <c r="R499" s="2" t="inlineStr">
        <is>
          <t>Garnlav
Granticka</t>
        </is>
      </c>
      <c r="S499">
        <f>HYPERLINK("https://klasma.github.io/Logging_2482/artfynd/A 4756-2019 artfynd.xlsx", "A 4756-2019")</f>
        <v/>
      </c>
      <c r="T499">
        <f>HYPERLINK("https://klasma.github.io/Logging_2482/kartor/A 4756-2019 karta.png", "A 4756-2019")</f>
        <v/>
      </c>
      <c r="V499">
        <f>HYPERLINK("https://klasma.github.io/Logging_2482/klagomål/A 4756-2019 FSC-klagomål.docx", "A 4756-2019")</f>
        <v/>
      </c>
      <c r="W499">
        <f>HYPERLINK("https://klasma.github.io/Logging_2482/klagomålsmail/A 4756-2019 FSC-klagomål mail.docx", "A 4756-2019")</f>
        <v/>
      </c>
      <c r="X499">
        <f>HYPERLINK("https://klasma.github.io/Logging_2482/tillsyn/A 4756-2019 tillsynsbegäran.docx", "A 4756-2019")</f>
        <v/>
      </c>
      <c r="Y499">
        <f>HYPERLINK("https://klasma.github.io/Logging_2482/tillsynsmail/A 4756-2019 tillsynsbegäran mail.docx", "A 4756-2019")</f>
        <v/>
      </c>
    </row>
    <row r="500" ht="15" customHeight="1">
      <c r="A500" t="inlineStr">
        <is>
          <t>A 9403-2019</t>
        </is>
      </c>
      <c r="B500" s="1" t="n">
        <v>43507</v>
      </c>
      <c r="C500" s="1" t="n">
        <v>45357</v>
      </c>
      <c r="D500" t="inlineStr">
        <is>
          <t>VÄSTERBOTTENS LÄN</t>
        </is>
      </c>
      <c r="E500" t="inlineStr">
        <is>
          <t>SKELLEFTEÅ</t>
        </is>
      </c>
      <c r="G500" t="n">
        <v>0.8</v>
      </c>
      <c r="H500" t="n">
        <v>1</v>
      </c>
      <c r="I500" t="n">
        <v>0</v>
      </c>
      <c r="J500" t="n">
        <v>1</v>
      </c>
      <c r="K500" t="n">
        <v>1</v>
      </c>
      <c r="L500" t="n">
        <v>0</v>
      </c>
      <c r="M500" t="n">
        <v>0</v>
      </c>
      <c r="N500" t="n">
        <v>0</v>
      </c>
      <c r="O500" t="n">
        <v>2</v>
      </c>
      <c r="P500" t="n">
        <v>1</v>
      </c>
      <c r="Q500" t="n">
        <v>2</v>
      </c>
      <c r="R500" s="2" t="inlineStr">
        <is>
          <t>Knärot
Ullticka</t>
        </is>
      </c>
      <c r="S500">
        <f>HYPERLINK("https://klasma.github.io/Logging_2482/artfynd/A 9403-2019 artfynd.xlsx", "A 9403-2019")</f>
        <v/>
      </c>
      <c r="T500">
        <f>HYPERLINK("https://klasma.github.io/Logging_2482/kartor/A 9403-2019 karta.png", "A 9403-2019")</f>
        <v/>
      </c>
      <c r="U500">
        <f>HYPERLINK("https://klasma.github.io/Logging_2482/knärot/A 9403-2019 karta knärot.png", "A 9403-2019")</f>
        <v/>
      </c>
      <c r="V500">
        <f>HYPERLINK("https://klasma.github.io/Logging_2482/klagomål/A 9403-2019 FSC-klagomål.docx", "A 9403-2019")</f>
        <v/>
      </c>
      <c r="W500">
        <f>HYPERLINK("https://klasma.github.io/Logging_2482/klagomålsmail/A 9403-2019 FSC-klagomål mail.docx", "A 9403-2019")</f>
        <v/>
      </c>
      <c r="X500">
        <f>HYPERLINK("https://klasma.github.io/Logging_2482/tillsyn/A 9403-2019 tillsynsbegäran.docx", "A 9403-2019")</f>
        <v/>
      </c>
      <c r="Y500">
        <f>HYPERLINK("https://klasma.github.io/Logging_2482/tillsynsmail/A 9403-2019 tillsynsbegäran mail.docx", "A 9403-2019")</f>
        <v/>
      </c>
    </row>
    <row r="501" ht="15" customHeight="1">
      <c r="A501" t="inlineStr">
        <is>
          <t>A 12533-2019</t>
        </is>
      </c>
      <c r="B501" s="1" t="n">
        <v>43523</v>
      </c>
      <c r="C501" s="1" t="n">
        <v>45357</v>
      </c>
      <c r="D501" t="inlineStr">
        <is>
          <t>VÄSTERBOTTENS LÄN</t>
        </is>
      </c>
      <c r="E501" t="inlineStr">
        <is>
          <t>VILHELMINA</t>
        </is>
      </c>
      <c r="F501" t="inlineStr">
        <is>
          <t>Allmännings- och besparingsskogar</t>
        </is>
      </c>
      <c r="G501" t="n">
        <v>15</v>
      </c>
      <c r="H501" t="n">
        <v>0</v>
      </c>
      <c r="I501" t="n">
        <v>0</v>
      </c>
      <c r="J501" t="n">
        <v>1</v>
      </c>
      <c r="K501" t="n">
        <v>1</v>
      </c>
      <c r="L501" t="n">
        <v>0</v>
      </c>
      <c r="M501" t="n">
        <v>0</v>
      </c>
      <c r="N501" t="n">
        <v>0</v>
      </c>
      <c r="O501" t="n">
        <v>2</v>
      </c>
      <c r="P501" t="n">
        <v>1</v>
      </c>
      <c r="Q501" t="n">
        <v>2</v>
      </c>
      <c r="R501" s="2" t="inlineStr">
        <is>
          <t>Grantickeporing
Granticka</t>
        </is>
      </c>
      <c r="S501">
        <f>HYPERLINK("https://klasma.github.io/Logging_2462/artfynd/A 12533-2019 artfynd.xlsx", "A 12533-2019")</f>
        <v/>
      </c>
      <c r="T501">
        <f>HYPERLINK("https://klasma.github.io/Logging_2462/kartor/A 12533-2019 karta.png", "A 12533-2019")</f>
        <v/>
      </c>
      <c r="V501">
        <f>HYPERLINK("https://klasma.github.io/Logging_2462/klagomål/A 12533-2019 FSC-klagomål.docx", "A 12533-2019")</f>
        <v/>
      </c>
      <c r="W501">
        <f>HYPERLINK("https://klasma.github.io/Logging_2462/klagomålsmail/A 12533-2019 FSC-klagomål mail.docx", "A 12533-2019")</f>
        <v/>
      </c>
      <c r="X501">
        <f>HYPERLINK("https://klasma.github.io/Logging_2462/tillsyn/A 12533-2019 tillsynsbegäran.docx", "A 12533-2019")</f>
        <v/>
      </c>
      <c r="Y501">
        <f>HYPERLINK("https://klasma.github.io/Logging_2462/tillsynsmail/A 12533-2019 tillsynsbegäran mail.docx", "A 12533-2019")</f>
        <v/>
      </c>
    </row>
    <row r="502" ht="15" customHeight="1">
      <c r="A502" t="inlineStr">
        <is>
          <t>A 13681-2019</t>
        </is>
      </c>
      <c r="B502" s="1" t="n">
        <v>43530</v>
      </c>
      <c r="C502" s="1" t="n">
        <v>45357</v>
      </c>
      <c r="D502" t="inlineStr">
        <is>
          <t>VÄSTERBOTTENS LÄN</t>
        </is>
      </c>
      <c r="E502" t="inlineStr">
        <is>
          <t>MALÅ</t>
        </is>
      </c>
      <c r="F502" t="inlineStr">
        <is>
          <t>SCA</t>
        </is>
      </c>
      <c r="G502" t="n">
        <v>3.5</v>
      </c>
      <c r="H502" t="n">
        <v>1</v>
      </c>
      <c r="I502" t="n">
        <v>0</v>
      </c>
      <c r="J502" t="n">
        <v>2</v>
      </c>
      <c r="K502" t="n">
        <v>0</v>
      </c>
      <c r="L502" t="n">
        <v>0</v>
      </c>
      <c r="M502" t="n">
        <v>0</v>
      </c>
      <c r="N502" t="n">
        <v>0</v>
      </c>
      <c r="O502" t="n">
        <v>2</v>
      </c>
      <c r="P502" t="n">
        <v>0</v>
      </c>
      <c r="Q502" t="n">
        <v>2</v>
      </c>
      <c r="R502" s="2" t="inlineStr">
        <is>
          <t>Granticka
Tretåig hackspett</t>
        </is>
      </c>
      <c r="S502">
        <f>HYPERLINK("https://klasma.github.io/Logging_2418/artfynd/A 13681-2019 artfynd.xlsx", "A 13681-2019")</f>
        <v/>
      </c>
      <c r="T502">
        <f>HYPERLINK("https://klasma.github.io/Logging_2418/kartor/A 13681-2019 karta.png", "A 13681-2019")</f>
        <v/>
      </c>
      <c r="V502">
        <f>HYPERLINK("https://klasma.github.io/Logging_2418/klagomål/A 13681-2019 FSC-klagomål.docx", "A 13681-2019")</f>
        <v/>
      </c>
      <c r="W502">
        <f>HYPERLINK("https://klasma.github.io/Logging_2418/klagomålsmail/A 13681-2019 FSC-klagomål mail.docx", "A 13681-2019")</f>
        <v/>
      </c>
      <c r="X502">
        <f>HYPERLINK("https://klasma.github.io/Logging_2418/tillsyn/A 13681-2019 tillsynsbegäran.docx", "A 13681-2019")</f>
        <v/>
      </c>
      <c r="Y502">
        <f>HYPERLINK("https://klasma.github.io/Logging_2418/tillsynsmail/A 13681-2019 tillsynsbegäran mail.docx", "A 13681-2019")</f>
        <v/>
      </c>
      <c r="Z502">
        <f>HYPERLINK("https://klasma.github.io/Logging_2418/fåglar/A 13681-2019 prioriterade fågelarter.docx", "A 13681-2019")</f>
        <v/>
      </c>
    </row>
    <row r="503" ht="15" customHeight="1">
      <c r="A503" t="inlineStr">
        <is>
          <t>A 14561-2019</t>
        </is>
      </c>
      <c r="B503" s="1" t="n">
        <v>43535</v>
      </c>
      <c r="C503" s="1" t="n">
        <v>45357</v>
      </c>
      <c r="D503" t="inlineStr">
        <is>
          <t>VÄSTERBOTTENS LÄN</t>
        </is>
      </c>
      <c r="E503" t="inlineStr">
        <is>
          <t>SKELLEFTEÅ</t>
        </is>
      </c>
      <c r="G503" t="n">
        <v>3.2</v>
      </c>
      <c r="H503" t="n">
        <v>0</v>
      </c>
      <c r="I503" t="n">
        <v>0</v>
      </c>
      <c r="J503" t="n">
        <v>2</v>
      </c>
      <c r="K503" t="n">
        <v>0</v>
      </c>
      <c r="L503" t="n">
        <v>0</v>
      </c>
      <c r="M503" t="n">
        <v>0</v>
      </c>
      <c r="N503" t="n">
        <v>0</v>
      </c>
      <c r="O503" t="n">
        <v>2</v>
      </c>
      <c r="P503" t="n">
        <v>0</v>
      </c>
      <c r="Q503" t="n">
        <v>2</v>
      </c>
      <c r="R503" s="2" t="inlineStr">
        <is>
          <t>Gammelgransskål
Granticka</t>
        </is>
      </c>
      <c r="S503">
        <f>HYPERLINK("https://klasma.github.io/Logging_2482/artfynd/A 14561-2019 artfynd.xlsx", "A 14561-2019")</f>
        <v/>
      </c>
      <c r="T503">
        <f>HYPERLINK("https://klasma.github.io/Logging_2482/kartor/A 14561-2019 karta.png", "A 14561-2019")</f>
        <v/>
      </c>
      <c r="V503">
        <f>HYPERLINK("https://klasma.github.io/Logging_2482/klagomål/A 14561-2019 FSC-klagomål.docx", "A 14561-2019")</f>
        <v/>
      </c>
      <c r="W503">
        <f>HYPERLINK("https://klasma.github.io/Logging_2482/klagomålsmail/A 14561-2019 FSC-klagomål mail.docx", "A 14561-2019")</f>
        <v/>
      </c>
      <c r="X503">
        <f>HYPERLINK("https://klasma.github.io/Logging_2482/tillsyn/A 14561-2019 tillsynsbegäran.docx", "A 14561-2019")</f>
        <v/>
      </c>
      <c r="Y503">
        <f>HYPERLINK("https://klasma.github.io/Logging_2482/tillsynsmail/A 14561-2019 tillsynsbegäran mail.docx", "A 14561-2019")</f>
        <v/>
      </c>
    </row>
    <row r="504" ht="15" customHeight="1">
      <c r="A504" t="inlineStr">
        <is>
          <t>A 17998-2019</t>
        </is>
      </c>
      <c r="B504" s="1" t="n">
        <v>43556</v>
      </c>
      <c r="C504" s="1" t="n">
        <v>45357</v>
      </c>
      <c r="D504" t="inlineStr">
        <is>
          <t>VÄSTERBOTTENS LÄN</t>
        </is>
      </c>
      <c r="E504" t="inlineStr">
        <is>
          <t>NORDMALING</t>
        </is>
      </c>
      <c r="G504" t="n">
        <v>6</v>
      </c>
      <c r="H504" t="n">
        <v>0</v>
      </c>
      <c r="I504" t="n">
        <v>0</v>
      </c>
      <c r="J504" t="n">
        <v>2</v>
      </c>
      <c r="K504" t="n">
        <v>0</v>
      </c>
      <c r="L504" t="n">
        <v>0</v>
      </c>
      <c r="M504" t="n">
        <v>0</v>
      </c>
      <c r="N504" t="n">
        <v>0</v>
      </c>
      <c r="O504" t="n">
        <v>2</v>
      </c>
      <c r="P504" t="n">
        <v>0</v>
      </c>
      <c r="Q504" t="n">
        <v>2</v>
      </c>
      <c r="R504" s="2" t="inlineStr">
        <is>
          <t>Granticka
Rosenticka</t>
        </is>
      </c>
      <c r="S504">
        <f>HYPERLINK("https://klasma.github.io/Logging_2401/artfynd/A 17998-2019 artfynd.xlsx", "A 17998-2019")</f>
        <v/>
      </c>
      <c r="T504">
        <f>HYPERLINK("https://klasma.github.io/Logging_2401/kartor/A 17998-2019 karta.png", "A 17998-2019")</f>
        <v/>
      </c>
      <c r="V504">
        <f>HYPERLINK("https://klasma.github.io/Logging_2401/klagomål/A 17998-2019 FSC-klagomål.docx", "A 17998-2019")</f>
        <v/>
      </c>
      <c r="W504">
        <f>HYPERLINK("https://klasma.github.io/Logging_2401/klagomålsmail/A 17998-2019 FSC-klagomål mail.docx", "A 17998-2019")</f>
        <v/>
      </c>
      <c r="X504">
        <f>HYPERLINK("https://klasma.github.io/Logging_2401/tillsyn/A 17998-2019 tillsynsbegäran.docx", "A 17998-2019")</f>
        <v/>
      </c>
      <c r="Y504">
        <f>HYPERLINK("https://klasma.github.io/Logging_2401/tillsynsmail/A 17998-2019 tillsynsbegäran mail.docx", "A 17998-2019")</f>
        <v/>
      </c>
    </row>
    <row r="505" ht="15" customHeight="1">
      <c r="A505" t="inlineStr">
        <is>
          <t>A 18882-2019</t>
        </is>
      </c>
      <c r="B505" s="1" t="n">
        <v>43563</v>
      </c>
      <c r="C505" s="1" t="n">
        <v>45357</v>
      </c>
      <c r="D505" t="inlineStr">
        <is>
          <t>VÄSTERBOTTENS LÄN</t>
        </is>
      </c>
      <c r="E505" t="inlineStr">
        <is>
          <t>SKELLEFTEÅ</t>
        </is>
      </c>
      <c r="F505" t="inlineStr">
        <is>
          <t>Kommuner</t>
        </is>
      </c>
      <c r="G505" t="n">
        <v>33.1</v>
      </c>
      <c r="H505" t="n">
        <v>2</v>
      </c>
      <c r="I505" t="n">
        <v>1</v>
      </c>
      <c r="J505" t="n">
        <v>0</v>
      </c>
      <c r="K505" t="n">
        <v>0</v>
      </c>
      <c r="L505" t="n">
        <v>0</v>
      </c>
      <c r="M505" t="n">
        <v>0</v>
      </c>
      <c r="N505" t="n">
        <v>0</v>
      </c>
      <c r="O505" t="n">
        <v>0</v>
      </c>
      <c r="P505" t="n">
        <v>0</v>
      </c>
      <c r="Q505" t="n">
        <v>2</v>
      </c>
      <c r="R505" s="2" t="inlineStr">
        <is>
          <t>Plattlummer
Revlummer</t>
        </is>
      </c>
      <c r="S505">
        <f>HYPERLINK("https://klasma.github.io/Logging_2482/artfynd/A 18882-2019 artfynd.xlsx", "A 18882-2019")</f>
        <v/>
      </c>
      <c r="T505">
        <f>HYPERLINK("https://klasma.github.io/Logging_2482/kartor/A 18882-2019 karta.png", "A 18882-2019")</f>
        <v/>
      </c>
      <c r="V505">
        <f>HYPERLINK("https://klasma.github.io/Logging_2482/klagomål/A 18882-2019 FSC-klagomål.docx", "A 18882-2019")</f>
        <v/>
      </c>
      <c r="W505">
        <f>HYPERLINK("https://klasma.github.io/Logging_2482/klagomålsmail/A 18882-2019 FSC-klagomål mail.docx", "A 18882-2019")</f>
        <v/>
      </c>
      <c r="X505">
        <f>HYPERLINK("https://klasma.github.io/Logging_2482/tillsyn/A 18882-2019 tillsynsbegäran.docx", "A 18882-2019")</f>
        <v/>
      </c>
      <c r="Y505">
        <f>HYPERLINK("https://klasma.github.io/Logging_2482/tillsynsmail/A 18882-2019 tillsynsbegäran mail.docx", "A 18882-2019")</f>
        <v/>
      </c>
    </row>
    <row r="506" ht="15" customHeight="1">
      <c r="A506" t="inlineStr">
        <is>
          <t>A 29514-2019</t>
        </is>
      </c>
      <c r="B506" s="1" t="n">
        <v>43627</v>
      </c>
      <c r="C506" s="1" t="n">
        <v>45357</v>
      </c>
      <c r="D506" t="inlineStr">
        <is>
          <t>VÄSTERBOTTENS LÄN</t>
        </is>
      </c>
      <c r="E506" t="inlineStr">
        <is>
          <t>SKELLEFTEÅ</t>
        </is>
      </c>
      <c r="G506" t="n">
        <v>9.5</v>
      </c>
      <c r="H506" t="n">
        <v>1</v>
      </c>
      <c r="I506" t="n">
        <v>1</v>
      </c>
      <c r="J506" t="n">
        <v>1</v>
      </c>
      <c r="K506" t="n">
        <v>0</v>
      </c>
      <c r="L506" t="n">
        <v>0</v>
      </c>
      <c r="M506" t="n">
        <v>0</v>
      </c>
      <c r="N506" t="n">
        <v>0</v>
      </c>
      <c r="O506" t="n">
        <v>1</v>
      </c>
      <c r="P506" t="n">
        <v>0</v>
      </c>
      <c r="Q506" t="n">
        <v>2</v>
      </c>
      <c r="R506" s="2" t="inlineStr">
        <is>
          <t>Ullticka
Lappranunkel</t>
        </is>
      </c>
      <c r="S506">
        <f>HYPERLINK("https://klasma.github.io/Logging_2482/artfynd/A 29514-2019 artfynd.xlsx", "A 29514-2019")</f>
        <v/>
      </c>
      <c r="T506">
        <f>HYPERLINK("https://klasma.github.io/Logging_2482/kartor/A 29514-2019 karta.png", "A 29514-2019")</f>
        <v/>
      </c>
      <c r="V506">
        <f>HYPERLINK("https://klasma.github.io/Logging_2482/klagomål/A 29514-2019 FSC-klagomål.docx", "A 29514-2019")</f>
        <v/>
      </c>
      <c r="W506">
        <f>HYPERLINK("https://klasma.github.io/Logging_2482/klagomålsmail/A 29514-2019 FSC-klagomål mail.docx", "A 29514-2019")</f>
        <v/>
      </c>
      <c r="X506">
        <f>HYPERLINK("https://klasma.github.io/Logging_2482/tillsyn/A 29514-2019 tillsynsbegäran.docx", "A 29514-2019")</f>
        <v/>
      </c>
      <c r="Y506">
        <f>HYPERLINK("https://klasma.github.io/Logging_2482/tillsynsmail/A 29514-2019 tillsynsbegäran mail.docx", "A 29514-2019")</f>
        <v/>
      </c>
    </row>
    <row r="507" ht="15" customHeight="1">
      <c r="A507" t="inlineStr">
        <is>
          <t>A 29824-2019</t>
        </is>
      </c>
      <c r="B507" s="1" t="n">
        <v>43629</v>
      </c>
      <c r="C507" s="1" t="n">
        <v>45357</v>
      </c>
      <c r="D507" t="inlineStr">
        <is>
          <t>VÄSTERBOTTENS LÄN</t>
        </is>
      </c>
      <c r="E507" t="inlineStr">
        <is>
          <t>NORDMALING</t>
        </is>
      </c>
      <c r="G507" t="n">
        <v>2.9</v>
      </c>
      <c r="H507" t="n">
        <v>0</v>
      </c>
      <c r="I507" t="n">
        <v>0</v>
      </c>
      <c r="J507" t="n">
        <v>1</v>
      </c>
      <c r="K507" t="n">
        <v>1</v>
      </c>
      <c r="L507" t="n">
        <v>0</v>
      </c>
      <c r="M507" t="n">
        <v>0</v>
      </c>
      <c r="N507" t="n">
        <v>0</v>
      </c>
      <c r="O507" t="n">
        <v>2</v>
      </c>
      <c r="P507" t="n">
        <v>1</v>
      </c>
      <c r="Q507" t="n">
        <v>2</v>
      </c>
      <c r="R507" s="2" t="inlineStr">
        <is>
          <t>Rynkskinn
Ullticka</t>
        </is>
      </c>
      <c r="S507">
        <f>HYPERLINK("https://klasma.github.io/Logging_2401/artfynd/A 29824-2019 artfynd.xlsx", "A 29824-2019")</f>
        <v/>
      </c>
      <c r="T507">
        <f>HYPERLINK("https://klasma.github.io/Logging_2401/kartor/A 29824-2019 karta.png", "A 29824-2019")</f>
        <v/>
      </c>
      <c r="V507">
        <f>HYPERLINK("https://klasma.github.io/Logging_2401/klagomål/A 29824-2019 FSC-klagomål.docx", "A 29824-2019")</f>
        <v/>
      </c>
      <c r="W507">
        <f>HYPERLINK("https://klasma.github.io/Logging_2401/klagomålsmail/A 29824-2019 FSC-klagomål mail.docx", "A 29824-2019")</f>
        <v/>
      </c>
      <c r="X507">
        <f>HYPERLINK("https://klasma.github.io/Logging_2401/tillsyn/A 29824-2019 tillsynsbegäran.docx", "A 29824-2019")</f>
        <v/>
      </c>
      <c r="Y507">
        <f>HYPERLINK("https://klasma.github.io/Logging_2401/tillsynsmail/A 29824-2019 tillsynsbegäran mail.docx", "A 29824-2019")</f>
        <v/>
      </c>
    </row>
    <row r="508" ht="15" customHeight="1">
      <c r="A508" t="inlineStr">
        <is>
          <t>A 34784-2019</t>
        </is>
      </c>
      <c r="B508" s="1" t="n">
        <v>43658</v>
      </c>
      <c r="C508" s="1" t="n">
        <v>45357</v>
      </c>
      <c r="D508" t="inlineStr">
        <is>
          <t>VÄSTERBOTTENS LÄN</t>
        </is>
      </c>
      <c r="E508" t="inlineStr">
        <is>
          <t>VILHELMINA</t>
        </is>
      </c>
      <c r="F508" t="inlineStr">
        <is>
          <t>Sveaskog</t>
        </is>
      </c>
      <c r="G508" t="n">
        <v>1.8</v>
      </c>
      <c r="H508" t="n">
        <v>0</v>
      </c>
      <c r="I508" t="n">
        <v>0</v>
      </c>
      <c r="J508" t="n">
        <v>2</v>
      </c>
      <c r="K508" t="n">
        <v>0</v>
      </c>
      <c r="L508" t="n">
        <v>0</v>
      </c>
      <c r="M508" t="n">
        <v>0</v>
      </c>
      <c r="N508" t="n">
        <v>0</v>
      </c>
      <c r="O508" t="n">
        <v>2</v>
      </c>
      <c r="P508" t="n">
        <v>0</v>
      </c>
      <c r="Q508" t="n">
        <v>2</v>
      </c>
      <c r="R508" s="2" t="inlineStr">
        <is>
          <t>Granticka
Tallticka</t>
        </is>
      </c>
      <c r="S508">
        <f>HYPERLINK("https://klasma.github.io/Logging_2462/artfynd/A 34784-2019 artfynd.xlsx", "A 34784-2019")</f>
        <v/>
      </c>
      <c r="T508">
        <f>HYPERLINK("https://klasma.github.io/Logging_2462/kartor/A 34784-2019 karta.png", "A 34784-2019")</f>
        <v/>
      </c>
      <c r="V508">
        <f>HYPERLINK("https://klasma.github.io/Logging_2462/klagomål/A 34784-2019 FSC-klagomål.docx", "A 34784-2019")</f>
        <v/>
      </c>
      <c r="W508">
        <f>HYPERLINK("https://klasma.github.io/Logging_2462/klagomålsmail/A 34784-2019 FSC-klagomål mail.docx", "A 34784-2019")</f>
        <v/>
      </c>
      <c r="X508">
        <f>HYPERLINK("https://klasma.github.io/Logging_2462/tillsyn/A 34784-2019 tillsynsbegäran.docx", "A 34784-2019")</f>
        <v/>
      </c>
      <c r="Y508">
        <f>HYPERLINK("https://klasma.github.io/Logging_2462/tillsynsmail/A 34784-2019 tillsynsbegäran mail.docx", "A 34784-2019")</f>
        <v/>
      </c>
    </row>
    <row r="509" ht="15" customHeight="1">
      <c r="A509" t="inlineStr">
        <is>
          <t>A 35097-2019</t>
        </is>
      </c>
      <c r="B509" s="1" t="n">
        <v>43661</v>
      </c>
      <c r="C509" s="1" t="n">
        <v>45357</v>
      </c>
      <c r="D509" t="inlineStr">
        <is>
          <t>VÄSTERBOTTENS LÄN</t>
        </is>
      </c>
      <c r="E509" t="inlineStr">
        <is>
          <t>SKELLEFTEÅ</t>
        </is>
      </c>
      <c r="F509" t="inlineStr">
        <is>
          <t>Sveaskog</t>
        </is>
      </c>
      <c r="G509" t="n">
        <v>19.2</v>
      </c>
      <c r="H509" t="n">
        <v>0</v>
      </c>
      <c r="I509" t="n">
        <v>1</v>
      </c>
      <c r="J509" t="n">
        <v>1</v>
      </c>
      <c r="K509" t="n">
        <v>0</v>
      </c>
      <c r="L509" t="n">
        <v>0</v>
      </c>
      <c r="M509" t="n">
        <v>0</v>
      </c>
      <c r="N509" t="n">
        <v>0</v>
      </c>
      <c r="O509" t="n">
        <v>1</v>
      </c>
      <c r="P509" t="n">
        <v>0</v>
      </c>
      <c r="Q509" t="n">
        <v>2</v>
      </c>
      <c r="R509" s="2" t="inlineStr">
        <is>
          <t>Grönhjon
Bronshjon</t>
        </is>
      </c>
      <c r="S509">
        <f>HYPERLINK("https://klasma.github.io/Logging_2482/artfynd/A 35097-2019 artfynd.xlsx", "A 35097-2019")</f>
        <v/>
      </c>
      <c r="T509">
        <f>HYPERLINK("https://klasma.github.io/Logging_2482/kartor/A 35097-2019 karta.png", "A 35097-2019")</f>
        <v/>
      </c>
      <c r="V509">
        <f>HYPERLINK("https://klasma.github.io/Logging_2482/klagomål/A 35097-2019 FSC-klagomål.docx", "A 35097-2019")</f>
        <v/>
      </c>
      <c r="W509">
        <f>HYPERLINK("https://klasma.github.io/Logging_2482/klagomålsmail/A 35097-2019 FSC-klagomål mail.docx", "A 35097-2019")</f>
        <v/>
      </c>
      <c r="X509">
        <f>HYPERLINK("https://klasma.github.io/Logging_2482/tillsyn/A 35097-2019 tillsynsbegäran.docx", "A 35097-2019")</f>
        <v/>
      </c>
      <c r="Y509">
        <f>HYPERLINK("https://klasma.github.io/Logging_2482/tillsynsmail/A 35097-2019 tillsynsbegäran mail.docx", "A 35097-2019")</f>
        <v/>
      </c>
    </row>
    <row r="510" ht="15" customHeight="1">
      <c r="A510" t="inlineStr">
        <is>
          <t>A 42000-2019</t>
        </is>
      </c>
      <c r="B510" s="1" t="n">
        <v>43700</v>
      </c>
      <c r="C510" s="1" t="n">
        <v>45357</v>
      </c>
      <c r="D510" t="inlineStr">
        <is>
          <t>VÄSTERBOTTENS LÄN</t>
        </is>
      </c>
      <c r="E510" t="inlineStr">
        <is>
          <t>STORUMAN</t>
        </is>
      </c>
      <c r="F510" t="inlineStr">
        <is>
          <t>Holmen skog AB</t>
        </is>
      </c>
      <c r="G510" t="n">
        <v>18.4</v>
      </c>
      <c r="H510" t="n">
        <v>0</v>
      </c>
      <c r="I510" t="n">
        <v>0</v>
      </c>
      <c r="J510" t="n">
        <v>0</v>
      </c>
      <c r="K510" t="n">
        <v>2</v>
      </c>
      <c r="L510" t="n">
        <v>0</v>
      </c>
      <c r="M510" t="n">
        <v>0</v>
      </c>
      <c r="N510" t="n">
        <v>0</v>
      </c>
      <c r="O510" t="n">
        <v>2</v>
      </c>
      <c r="P510" t="n">
        <v>2</v>
      </c>
      <c r="Q510" t="n">
        <v>2</v>
      </c>
      <c r="R510" s="2" t="inlineStr">
        <is>
          <t>Liten sotlav
Ostticka</t>
        </is>
      </c>
      <c r="S510">
        <f>HYPERLINK("https://klasma.github.io/Logging_2421/artfynd/A 42000-2019 artfynd.xlsx", "A 42000-2019")</f>
        <v/>
      </c>
      <c r="T510">
        <f>HYPERLINK("https://klasma.github.io/Logging_2421/kartor/A 42000-2019 karta.png", "A 42000-2019")</f>
        <v/>
      </c>
      <c r="V510">
        <f>HYPERLINK("https://klasma.github.io/Logging_2421/klagomål/A 42000-2019 FSC-klagomål.docx", "A 42000-2019")</f>
        <v/>
      </c>
      <c r="W510">
        <f>HYPERLINK("https://klasma.github.io/Logging_2421/klagomålsmail/A 42000-2019 FSC-klagomål mail.docx", "A 42000-2019")</f>
        <v/>
      </c>
      <c r="X510">
        <f>HYPERLINK("https://klasma.github.io/Logging_2421/tillsyn/A 42000-2019 tillsynsbegäran.docx", "A 42000-2019")</f>
        <v/>
      </c>
      <c r="Y510">
        <f>HYPERLINK("https://klasma.github.io/Logging_2421/tillsynsmail/A 42000-2019 tillsynsbegäran mail.docx", "A 42000-2019")</f>
        <v/>
      </c>
    </row>
    <row r="511" ht="15" customHeight="1">
      <c r="A511" t="inlineStr">
        <is>
          <t>A 46354-2019</t>
        </is>
      </c>
      <c r="B511" s="1" t="n">
        <v>43718</v>
      </c>
      <c r="C511" s="1" t="n">
        <v>45357</v>
      </c>
      <c r="D511" t="inlineStr">
        <is>
          <t>VÄSTERBOTTENS LÄN</t>
        </is>
      </c>
      <c r="E511" t="inlineStr">
        <is>
          <t>SKELLEFTEÅ</t>
        </is>
      </c>
      <c r="F511" t="inlineStr">
        <is>
          <t>SCA</t>
        </is>
      </c>
      <c r="G511" t="n">
        <v>5.5</v>
      </c>
      <c r="H511" t="n">
        <v>2</v>
      </c>
      <c r="I511" t="n">
        <v>0</v>
      </c>
      <c r="J511" t="n">
        <v>0</v>
      </c>
      <c r="K511" t="n">
        <v>0</v>
      </c>
      <c r="L511" t="n">
        <v>0</v>
      </c>
      <c r="M511" t="n">
        <v>0</v>
      </c>
      <c r="N511" t="n">
        <v>0</v>
      </c>
      <c r="O511" t="n">
        <v>0</v>
      </c>
      <c r="P511" t="n">
        <v>0</v>
      </c>
      <c r="Q511" t="n">
        <v>2</v>
      </c>
      <c r="R511" s="2" t="inlineStr">
        <is>
          <t>Vanlig groda
Revlummer</t>
        </is>
      </c>
      <c r="S511">
        <f>HYPERLINK("https://klasma.github.io/Logging_2482/artfynd/A 46354-2019 artfynd.xlsx", "A 46354-2019")</f>
        <v/>
      </c>
      <c r="T511">
        <f>HYPERLINK("https://klasma.github.io/Logging_2482/kartor/A 46354-2019 karta.png", "A 46354-2019")</f>
        <v/>
      </c>
      <c r="V511">
        <f>HYPERLINK("https://klasma.github.io/Logging_2482/klagomål/A 46354-2019 FSC-klagomål.docx", "A 46354-2019")</f>
        <v/>
      </c>
      <c r="W511">
        <f>HYPERLINK("https://klasma.github.io/Logging_2482/klagomålsmail/A 46354-2019 FSC-klagomål mail.docx", "A 46354-2019")</f>
        <v/>
      </c>
      <c r="X511">
        <f>HYPERLINK("https://klasma.github.io/Logging_2482/tillsyn/A 46354-2019 tillsynsbegäran.docx", "A 46354-2019")</f>
        <v/>
      </c>
      <c r="Y511">
        <f>HYPERLINK("https://klasma.github.io/Logging_2482/tillsynsmail/A 46354-2019 tillsynsbegäran mail.docx", "A 46354-2019")</f>
        <v/>
      </c>
    </row>
    <row r="512" ht="15" customHeight="1">
      <c r="A512" t="inlineStr">
        <is>
          <t>A 47994-2019</t>
        </is>
      </c>
      <c r="B512" s="1" t="n">
        <v>43725</v>
      </c>
      <c r="C512" s="1" t="n">
        <v>45357</v>
      </c>
      <c r="D512" t="inlineStr">
        <is>
          <t>VÄSTERBOTTENS LÄN</t>
        </is>
      </c>
      <c r="E512" t="inlineStr">
        <is>
          <t>STORUMAN</t>
        </is>
      </c>
      <c r="G512" t="n">
        <v>22.2</v>
      </c>
      <c r="H512" t="n">
        <v>0</v>
      </c>
      <c r="I512" t="n">
        <v>0</v>
      </c>
      <c r="J512" t="n">
        <v>2</v>
      </c>
      <c r="K512" t="n">
        <v>0</v>
      </c>
      <c r="L512" t="n">
        <v>0</v>
      </c>
      <c r="M512" t="n">
        <v>0</v>
      </c>
      <c r="N512" t="n">
        <v>0</v>
      </c>
      <c r="O512" t="n">
        <v>2</v>
      </c>
      <c r="P512" t="n">
        <v>0</v>
      </c>
      <c r="Q512" t="n">
        <v>2</v>
      </c>
      <c r="R512" s="2" t="inlineStr">
        <is>
          <t>Harticka
Violettkantad guldvinge</t>
        </is>
      </c>
      <c r="S512">
        <f>HYPERLINK("https://klasma.github.io/Logging_2421/artfynd/A 47994-2019 artfynd.xlsx", "A 47994-2019")</f>
        <v/>
      </c>
      <c r="T512">
        <f>HYPERLINK("https://klasma.github.io/Logging_2421/kartor/A 47994-2019 karta.png", "A 47994-2019")</f>
        <v/>
      </c>
      <c r="V512">
        <f>HYPERLINK("https://klasma.github.io/Logging_2421/klagomål/A 47994-2019 FSC-klagomål.docx", "A 47994-2019")</f>
        <v/>
      </c>
      <c r="W512">
        <f>HYPERLINK("https://klasma.github.io/Logging_2421/klagomålsmail/A 47994-2019 FSC-klagomål mail.docx", "A 47994-2019")</f>
        <v/>
      </c>
      <c r="X512">
        <f>HYPERLINK("https://klasma.github.io/Logging_2421/tillsyn/A 47994-2019 tillsynsbegäran.docx", "A 47994-2019")</f>
        <v/>
      </c>
      <c r="Y512">
        <f>HYPERLINK("https://klasma.github.io/Logging_2421/tillsynsmail/A 47994-2019 tillsynsbegäran mail.docx", "A 47994-2019")</f>
        <v/>
      </c>
    </row>
    <row r="513" ht="15" customHeight="1">
      <c r="A513" t="inlineStr">
        <is>
          <t>A 50020-2019</t>
        </is>
      </c>
      <c r="B513" s="1" t="n">
        <v>43731</v>
      </c>
      <c r="C513" s="1" t="n">
        <v>45357</v>
      </c>
      <c r="D513" t="inlineStr">
        <is>
          <t>VÄSTERBOTTENS LÄN</t>
        </is>
      </c>
      <c r="E513" t="inlineStr">
        <is>
          <t>VILHELMINA</t>
        </is>
      </c>
      <c r="F513" t="inlineStr">
        <is>
          <t>Allmännings- och besparingsskogar</t>
        </is>
      </c>
      <c r="G513" t="n">
        <v>4</v>
      </c>
      <c r="H513" t="n">
        <v>0</v>
      </c>
      <c r="I513" t="n">
        <v>0</v>
      </c>
      <c r="J513" t="n">
        <v>2</v>
      </c>
      <c r="K513" t="n">
        <v>0</v>
      </c>
      <c r="L513" t="n">
        <v>0</v>
      </c>
      <c r="M513" t="n">
        <v>0</v>
      </c>
      <c r="N513" t="n">
        <v>0</v>
      </c>
      <c r="O513" t="n">
        <v>2</v>
      </c>
      <c r="P513" t="n">
        <v>0</v>
      </c>
      <c r="Q513" t="n">
        <v>2</v>
      </c>
      <c r="R513" s="2" t="inlineStr">
        <is>
          <t>Harticka
Rödbrun blekspik</t>
        </is>
      </c>
      <c r="S513">
        <f>HYPERLINK("https://klasma.github.io/Logging_2462/artfynd/A 50020-2019 artfynd.xlsx", "A 50020-2019")</f>
        <v/>
      </c>
      <c r="T513">
        <f>HYPERLINK("https://klasma.github.io/Logging_2462/kartor/A 50020-2019 karta.png", "A 50020-2019")</f>
        <v/>
      </c>
      <c r="V513">
        <f>HYPERLINK("https://klasma.github.io/Logging_2462/klagomål/A 50020-2019 FSC-klagomål.docx", "A 50020-2019")</f>
        <v/>
      </c>
      <c r="W513">
        <f>HYPERLINK("https://klasma.github.io/Logging_2462/klagomålsmail/A 50020-2019 FSC-klagomål mail.docx", "A 50020-2019")</f>
        <v/>
      </c>
      <c r="X513">
        <f>HYPERLINK("https://klasma.github.io/Logging_2462/tillsyn/A 50020-2019 tillsynsbegäran.docx", "A 50020-2019")</f>
        <v/>
      </c>
      <c r="Y513">
        <f>HYPERLINK("https://klasma.github.io/Logging_2462/tillsynsmail/A 50020-2019 tillsynsbegäran mail.docx", "A 50020-2019")</f>
        <v/>
      </c>
    </row>
    <row r="514" ht="15" customHeight="1">
      <c r="A514" t="inlineStr">
        <is>
          <t>A 51539-2019</t>
        </is>
      </c>
      <c r="B514" s="1" t="n">
        <v>43740</v>
      </c>
      <c r="C514" s="1" t="n">
        <v>45357</v>
      </c>
      <c r="D514" t="inlineStr">
        <is>
          <t>VÄSTERBOTTENS LÄN</t>
        </is>
      </c>
      <c r="E514" t="inlineStr">
        <is>
          <t>ROBERTSFORS</t>
        </is>
      </c>
      <c r="G514" t="n">
        <v>5</v>
      </c>
      <c r="H514" t="n">
        <v>0</v>
      </c>
      <c r="I514" t="n">
        <v>0</v>
      </c>
      <c r="J514" t="n">
        <v>2</v>
      </c>
      <c r="K514" t="n">
        <v>0</v>
      </c>
      <c r="L514" t="n">
        <v>0</v>
      </c>
      <c r="M514" t="n">
        <v>0</v>
      </c>
      <c r="N514" t="n">
        <v>0</v>
      </c>
      <c r="O514" t="n">
        <v>2</v>
      </c>
      <c r="P514" t="n">
        <v>0</v>
      </c>
      <c r="Q514" t="n">
        <v>2</v>
      </c>
      <c r="R514" s="2" t="inlineStr">
        <is>
          <t>Granticka
Stjärntagging</t>
        </is>
      </c>
      <c r="S514">
        <f>HYPERLINK("https://klasma.github.io/Logging_2409/artfynd/A 51539-2019 artfynd.xlsx", "A 51539-2019")</f>
        <v/>
      </c>
      <c r="T514">
        <f>HYPERLINK("https://klasma.github.io/Logging_2409/kartor/A 51539-2019 karta.png", "A 51539-2019")</f>
        <v/>
      </c>
      <c r="V514">
        <f>HYPERLINK("https://klasma.github.io/Logging_2409/klagomål/A 51539-2019 FSC-klagomål.docx", "A 51539-2019")</f>
        <v/>
      </c>
      <c r="W514">
        <f>HYPERLINK("https://klasma.github.io/Logging_2409/klagomålsmail/A 51539-2019 FSC-klagomål mail.docx", "A 51539-2019")</f>
        <v/>
      </c>
      <c r="X514">
        <f>HYPERLINK("https://klasma.github.io/Logging_2409/tillsyn/A 51539-2019 tillsynsbegäran.docx", "A 51539-2019")</f>
        <v/>
      </c>
      <c r="Y514">
        <f>HYPERLINK("https://klasma.github.io/Logging_2409/tillsynsmail/A 51539-2019 tillsynsbegäran mail.docx", "A 51539-2019")</f>
        <v/>
      </c>
    </row>
    <row r="515" ht="15" customHeight="1">
      <c r="A515" t="inlineStr">
        <is>
          <t>A 53694-2019</t>
        </is>
      </c>
      <c r="B515" s="1" t="n">
        <v>43749</v>
      </c>
      <c r="C515" s="1" t="n">
        <v>45357</v>
      </c>
      <c r="D515" t="inlineStr">
        <is>
          <t>VÄSTERBOTTENS LÄN</t>
        </is>
      </c>
      <c r="E515" t="inlineStr">
        <is>
          <t>NORSJÖ</t>
        </is>
      </c>
      <c r="F515" t="inlineStr">
        <is>
          <t>Holmen skog AB</t>
        </is>
      </c>
      <c r="G515" t="n">
        <v>1.8</v>
      </c>
      <c r="H515" t="n">
        <v>0</v>
      </c>
      <c r="I515" t="n">
        <v>0</v>
      </c>
      <c r="J515" t="n">
        <v>2</v>
      </c>
      <c r="K515" t="n">
        <v>0</v>
      </c>
      <c r="L515" t="n">
        <v>0</v>
      </c>
      <c r="M515" t="n">
        <v>0</v>
      </c>
      <c r="N515" t="n">
        <v>0</v>
      </c>
      <c r="O515" t="n">
        <v>2</v>
      </c>
      <c r="P515" t="n">
        <v>0</v>
      </c>
      <c r="Q515" t="n">
        <v>2</v>
      </c>
      <c r="R515" s="2" t="inlineStr">
        <is>
          <t>Granticka
Harticka</t>
        </is>
      </c>
      <c r="S515">
        <f>HYPERLINK("https://klasma.github.io/Logging_2417/artfynd/A 53694-2019 artfynd.xlsx", "A 53694-2019")</f>
        <v/>
      </c>
      <c r="T515">
        <f>HYPERLINK("https://klasma.github.io/Logging_2417/kartor/A 53694-2019 karta.png", "A 53694-2019")</f>
        <v/>
      </c>
      <c r="V515">
        <f>HYPERLINK("https://klasma.github.io/Logging_2417/klagomål/A 53694-2019 FSC-klagomål.docx", "A 53694-2019")</f>
        <v/>
      </c>
      <c r="W515">
        <f>HYPERLINK("https://klasma.github.io/Logging_2417/klagomålsmail/A 53694-2019 FSC-klagomål mail.docx", "A 53694-2019")</f>
        <v/>
      </c>
      <c r="X515">
        <f>HYPERLINK("https://klasma.github.io/Logging_2417/tillsyn/A 53694-2019 tillsynsbegäran.docx", "A 53694-2019")</f>
        <v/>
      </c>
      <c r="Y515">
        <f>HYPERLINK("https://klasma.github.io/Logging_2417/tillsynsmail/A 53694-2019 tillsynsbegäran mail.docx", "A 53694-2019")</f>
        <v/>
      </c>
    </row>
    <row r="516" ht="15" customHeight="1">
      <c r="A516" t="inlineStr">
        <is>
          <t>A 58398-2019</t>
        </is>
      </c>
      <c r="B516" s="1" t="n">
        <v>43772</v>
      </c>
      <c r="C516" s="1" t="n">
        <v>45357</v>
      </c>
      <c r="D516" t="inlineStr">
        <is>
          <t>VÄSTERBOTTENS LÄN</t>
        </is>
      </c>
      <c r="E516" t="inlineStr">
        <is>
          <t>BJURHOLM</t>
        </is>
      </c>
      <c r="G516" t="n">
        <v>13.8</v>
      </c>
      <c r="H516" t="n">
        <v>0</v>
      </c>
      <c r="I516" t="n">
        <v>0</v>
      </c>
      <c r="J516" t="n">
        <v>2</v>
      </c>
      <c r="K516" t="n">
        <v>0</v>
      </c>
      <c r="L516" t="n">
        <v>0</v>
      </c>
      <c r="M516" t="n">
        <v>0</v>
      </c>
      <c r="N516" t="n">
        <v>0</v>
      </c>
      <c r="O516" t="n">
        <v>2</v>
      </c>
      <c r="P516" t="n">
        <v>0</v>
      </c>
      <c r="Q516" t="n">
        <v>2</v>
      </c>
      <c r="R516" s="2" t="inlineStr">
        <is>
          <t>Granticka
Tallticka</t>
        </is>
      </c>
      <c r="S516">
        <f>HYPERLINK("https://klasma.github.io/Logging_2403/artfynd/A 58398-2019 artfynd.xlsx", "A 58398-2019")</f>
        <v/>
      </c>
      <c r="T516">
        <f>HYPERLINK("https://klasma.github.io/Logging_2403/kartor/A 58398-2019 karta.png", "A 58398-2019")</f>
        <v/>
      </c>
      <c r="V516">
        <f>HYPERLINK("https://klasma.github.io/Logging_2403/klagomål/A 58398-2019 FSC-klagomål.docx", "A 58398-2019")</f>
        <v/>
      </c>
      <c r="W516">
        <f>HYPERLINK("https://klasma.github.io/Logging_2403/klagomålsmail/A 58398-2019 FSC-klagomål mail.docx", "A 58398-2019")</f>
        <v/>
      </c>
      <c r="X516">
        <f>HYPERLINK("https://klasma.github.io/Logging_2403/tillsyn/A 58398-2019 tillsynsbegäran.docx", "A 58398-2019")</f>
        <v/>
      </c>
      <c r="Y516">
        <f>HYPERLINK("https://klasma.github.io/Logging_2403/tillsynsmail/A 58398-2019 tillsynsbegäran mail.docx", "A 58398-2019")</f>
        <v/>
      </c>
    </row>
    <row r="517" ht="15" customHeight="1">
      <c r="A517" t="inlineStr">
        <is>
          <t>A 63593-2019</t>
        </is>
      </c>
      <c r="B517" s="1" t="n">
        <v>43780</v>
      </c>
      <c r="C517" s="1" t="n">
        <v>45357</v>
      </c>
      <c r="D517" t="inlineStr">
        <is>
          <t>VÄSTERBOTTENS LÄN</t>
        </is>
      </c>
      <c r="E517" t="inlineStr">
        <is>
          <t>SKELLEFTEÅ</t>
        </is>
      </c>
      <c r="G517" t="n">
        <v>37.6</v>
      </c>
      <c r="H517" t="n">
        <v>1</v>
      </c>
      <c r="I517" t="n">
        <v>0</v>
      </c>
      <c r="J517" t="n">
        <v>0</v>
      </c>
      <c r="K517" t="n">
        <v>1</v>
      </c>
      <c r="L517" t="n">
        <v>0</v>
      </c>
      <c r="M517" t="n">
        <v>0</v>
      </c>
      <c r="N517" t="n">
        <v>0</v>
      </c>
      <c r="O517" t="n">
        <v>1</v>
      </c>
      <c r="P517" t="n">
        <v>1</v>
      </c>
      <c r="Q517" t="n">
        <v>2</v>
      </c>
      <c r="R517" s="2" t="inlineStr">
        <is>
          <t>Grenlav
Revlummer</t>
        </is>
      </c>
      <c r="S517">
        <f>HYPERLINK("https://klasma.github.io/Logging_2482/artfynd/A 63593-2019 artfynd.xlsx", "A 63593-2019")</f>
        <v/>
      </c>
      <c r="T517">
        <f>HYPERLINK("https://klasma.github.io/Logging_2482/kartor/A 63593-2019 karta.png", "A 63593-2019")</f>
        <v/>
      </c>
      <c r="V517">
        <f>HYPERLINK("https://klasma.github.io/Logging_2482/klagomål/A 63593-2019 FSC-klagomål.docx", "A 63593-2019")</f>
        <v/>
      </c>
      <c r="W517">
        <f>HYPERLINK("https://klasma.github.io/Logging_2482/klagomålsmail/A 63593-2019 FSC-klagomål mail.docx", "A 63593-2019")</f>
        <v/>
      </c>
      <c r="X517">
        <f>HYPERLINK("https://klasma.github.io/Logging_2482/tillsyn/A 63593-2019 tillsynsbegäran.docx", "A 63593-2019")</f>
        <v/>
      </c>
      <c r="Y517">
        <f>HYPERLINK("https://klasma.github.io/Logging_2482/tillsynsmail/A 63593-2019 tillsynsbegäran mail.docx", "A 63593-2019")</f>
        <v/>
      </c>
    </row>
    <row r="518" ht="15" customHeight="1">
      <c r="A518" t="inlineStr">
        <is>
          <t>A 63400-2019</t>
        </is>
      </c>
      <c r="B518" s="1" t="n">
        <v>43787</v>
      </c>
      <c r="C518" s="1" t="n">
        <v>45357</v>
      </c>
      <c r="D518" t="inlineStr">
        <is>
          <t>VÄSTERBOTTENS LÄN</t>
        </is>
      </c>
      <c r="E518" t="inlineStr">
        <is>
          <t>ROBERTSFORS</t>
        </is>
      </c>
      <c r="F518" t="inlineStr">
        <is>
          <t>SCA</t>
        </is>
      </c>
      <c r="G518" t="n">
        <v>2.1</v>
      </c>
      <c r="H518" t="n">
        <v>0</v>
      </c>
      <c r="I518" t="n">
        <v>0</v>
      </c>
      <c r="J518" t="n">
        <v>2</v>
      </c>
      <c r="K518" t="n">
        <v>0</v>
      </c>
      <c r="L518" t="n">
        <v>0</v>
      </c>
      <c r="M518" t="n">
        <v>0</v>
      </c>
      <c r="N518" t="n">
        <v>0</v>
      </c>
      <c r="O518" t="n">
        <v>2</v>
      </c>
      <c r="P518" t="n">
        <v>0</v>
      </c>
      <c r="Q518" t="n">
        <v>2</v>
      </c>
      <c r="R518" s="2" t="inlineStr">
        <is>
          <t>Nordtagging
Vaddporing</t>
        </is>
      </c>
      <c r="S518">
        <f>HYPERLINK("https://klasma.github.io/Logging_2409/artfynd/A 63400-2019 artfynd.xlsx", "A 63400-2019")</f>
        <v/>
      </c>
      <c r="T518">
        <f>HYPERLINK("https://klasma.github.io/Logging_2409/kartor/A 63400-2019 karta.png", "A 63400-2019")</f>
        <v/>
      </c>
      <c r="V518">
        <f>HYPERLINK("https://klasma.github.io/Logging_2409/klagomål/A 63400-2019 FSC-klagomål.docx", "A 63400-2019")</f>
        <v/>
      </c>
      <c r="W518">
        <f>HYPERLINK("https://klasma.github.io/Logging_2409/klagomålsmail/A 63400-2019 FSC-klagomål mail.docx", "A 63400-2019")</f>
        <v/>
      </c>
      <c r="X518">
        <f>HYPERLINK("https://klasma.github.io/Logging_2409/tillsyn/A 63400-2019 tillsynsbegäran.docx", "A 63400-2019")</f>
        <v/>
      </c>
      <c r="Y518">
        <f>HYPERLINK("https://klasma.github.io/Logging_2409/tillsynsmail/A 63400-2019 tillsynsbegäran mail.docx", "A 63400-2019")</f>
        <v/>
      </c>
    </row>
    <row r="519" ht="15" customHeight="1">
      <c r="A519" t="inlineStr">
        <is>
          <t>A 65569-2019</t>
        </is>
      </c>
      <c r="B519" s="1" t="n">
        <v>43803</v>
      </c>
      <c r="C519" s="1" t="n">
        <v>45357</v>
      </c>
      <c r="D519" t="inlineStr">
        <is>
          <t>VÄSTERBOTTENS LÄN</t>
        </is>
      </c>
      <c r="E519" t="inlineStr">
        <is>
          <t>DOROTEA</t>
        </is>
      </c>
      <c r="F519" t="inlineStr">
        <is>
          <t>SCA</t>
        </is>
      </c>
      <c r="G519" t="n">
        <v>5.1</v>
      </c>
      <c r="H519" t="n">
        <v>0</v>
      </c>
      <c r="I519" t="n">
        <v>0</v>
      </c>
      <c r="J519" t="n">
        <v>1</v>
      </c>
      <c r="K519" t="n">
        <v>0</v>
      </c>
      <c r="L519" t="n">
        <v>1</v>
      </c>
      <c r="M519" t="n">
        <v>0</v>
      </c>
      <c r="N519" t="n">
        <v>0</v>
      </c>
      <c r="O519" t="n">
        <v>2</v>
      </c>
      <c r="P519" t="n">
        <v>1</v>
      </c>
      <c r="Q519" t="n">
        <v>2</v>
      </c>
      <c r="R519" s="2" t="inlineStr">
        <is>
          <t>Raggtaggsvamp
Knottrig blåslav</t>
        </is>
      </c>
      <c r="S519">
        <f>HYPERLINK("https://klasma.github.io/Logging_2425/artfynd/A 65569-2019 artfynd.xlsx", "A 65569-2019")</f>
        <v/>
      </c>
      <c r="T519">
        <f>HYPERLINK("https://klasma.github.io/Logging_2425/kartor/A 65569-2019 karta.png", "A 65569-2019")</f>
        <v/>
      </c>
      <c r="V519">
        <f>HYPERLINK("https://klasma.github.io/Logging_2425/klagomål/A 65569-2019 FSC-klagomål.docx", "A 65569-2019")</f>
        <v/>
      </c>
      <c r="W519">
        <f>HYPERLINK("https://klasma.github.io/Logging_2425/klagomålsmail/A 65569-2019 FSC-klagomål mail.docx", "A 65569-2019")</f>
        <v/>
      </c>
      <c r="X519">
        <f>HYPERLINK("https://klasma.github.io/Logging_2425/tillsyn/A 65569-2019 tillsynsbegäran.docx", "A 65569-2019")</f>
        <v/>
      </c>
      <c r="Y519">
        <f>HYPERLINK("https://klasma.github.io/Logging_2425/tillsynsmail/A 65569-2019 tillsynsbegäran mail.docx", "A 65569-2019")</f>
        <v/>
      </c>
    </row>
    <row r="520" ht="15" customHeight="1">
      <c r="A520" t="inlineStr">
        <is>
          <t>A 65564-2019</t>
        </is>
      </c>
      <c r="B520" s="1" t="n">
        <v>43803</v>
      </c>
      <c r="C520" s="1" t="n">
        <v>45357</v>
      </c>
      <c r="D520" t="inlineStr">
        <is>
          <t>VÄSTERBOTTENS LÄN</t>
        </is>
      </c>
      <c r="E520" t="inlineStr">
        <is>
          <t>DOROTEA</t>
        </is>
      </c>
      <c r="F520" t="inlineStr">
        <is>
          <t>SCA</t>
        </is>
      </c>
      <c r="G520" t="n">
        <v>6.6</v>
      </c>
      <c r="H520" t="n">
        <v>0</v>
      </c>
      <c r="I520" t="n">
        <v>0</v>
      </c>
      <c r="J520" t="n">
        <v>2</v>
      </c>
      <c r="K520" t="n">
        <v>0</v>
      </c>
      <c r="L520" t="n">
        <v>0</v>
      </c>
      <c r="M520" t="n">
        <v>0</v>
      </c>
      <c r="N520" t="n">
        <v>0</v>
      </c>
      <c r="O520" t="n">
        <v>2</v>
      </c>
      <c r="P520" t="n">
        <v>0</v>
      </c>
      <c r="Q520" t="n">
        <v>2</v>
      </c>
      <c r="R520" s="2" t="inlineStr">
        <is>
          <t>Doftskinn
Knottrig blåslav</t>
        </is>
      </c>
      <c r="S520">
        <f>HYPERLINK("https://klasma.github.io/Logging_2425/artfynd/A 65564-2019 artfynd.xlsx", "A 65564-2019")</f>
        <v/>
      </c>
      <c r="T520">
        <f>HYPERLINK("https://klasma.github.io/Logging_2425/kartor/A 65564-2019 karta.png", "A 65564-2019")</f>
        <v/>
      </c>
      <c r="V520">
        <f>HYPERLINK("https://klasma.github.io/Logging_2425/klagomål/A 65564-2019 FSC-klagomål.docx", "A 65564-2019")</f>
        <v/>
      </c>
      <c r="W520">
        <f>HYPERLINK("https://klasma.github.io/Logging_2425/klagomålsmail/A 65564-2019 FSC-klagomål mail.docx", "A 65564-2019")</f>
        <v/>
      </c>
      <c r="X520">
        <f>HYPERLINK("https://klasma.github.io/Logging_2425/tillsyn/A 65564-2019 tillsynsbegäran.docx", "A 65564-2019")</f>
        <v/>
      </c>
      <c r="Y520">
        <f>HYPERLINK("https://klasma.github.io/Logging_2425/tillsynsmail/A 65564-2019 tillsynsbegäran mail.docx", "A 65564-2019")</f>
        <v/>
      </c>
    </row>
    <row r="521" ht="15" customHeight="1">
      <c r="A521" t="inlineStr">
        <is>
          <t>A 65623-2019</t>
        </is>
      </c>
      <c r="B521" s="1" t="n">
        <v>43804</v>
      </c>
      <c r="C521" s="1" t="n">
        <v>45357</v>
      </c>
      <c r="D521" t="inlineStr">
        <is>
          <t>VÄSTERBOTTENS LÄN</t>
        </is>
      </c>
      <c r="E521" t="inlineStr">
        <is>
          <t>SKELLEFTEÅ</t>
        </is>
      </c>
      <c r="G521" t="n">
        <v>1.2</v>
      </c>
      <c r="H521" t="n">
        <v>0</v>
      </c>
      <c r="I521" t="n">
        <v>1</v>
      </c>
      <c r="J521" t="n">
        <v>1</v>
      </c>
      <c r="K521" t="n">
        <v>0</v>
      </c>
      <c r="L521" t="n">
        <v>0</v>
      </c>
      <c r="M521" t="n">
        <v>0</v>
      </c>
      <c r="N521" t="n">
        <v>0</v>
      </c>
      <c r="O521" t="n">
        <v>1</v>
      </c>
      <c r="P521" t="n">
        <v>0</v>
      </c>
      <c r="Q521" t="n">
        <v>2</v>
      </c>
      <c r="R521" s="2" t="inlineStr">
        <is>
          <t>Granticka
Vedticka</t>
        </is>
      </c>
      <c r="S521">
        <f>HYPERLINK("https://klasma.github.io/Logging_2482/artfynd/A 65623-2019 artfynd.xlsx", "A 65623-2019")</f>
        <v/>
      </c>
      <c r="T521">
        <f>HYPERLINK("https://klasma.github.io/Logging_2482/kartor/A 65623-2019 karta.png", "A 65623-2019")</f>
        <v/>
      </c>
      <c r="V521">
        <f>HYPERLINK("https://klasma.github.io/Logging_2482/klagomål/A 65623-2019 FSC-klagomål.docx", "A 65623-2019")</f>
        <v/>
      </c>
      <c r="W521">
        <f>HYPERLINK("https://klasma.github.io/Logging_2482/klagomålsmail/A 65623-2019 FSC-klagomål mail.docx", "A 65623-2019")</f>
        <v/>
      </c>
      <c r="X521">
        <f>HYPERLINK("https://klasma.github.io/Logging_2482/tillsyn/A 65623-2019 tillsynsbegäran.docx", "A 65623-2019")</f>
        <v/>
      </c>
      <c r="Y521">
        <f>HYPERLINK("https://klasma.github.io/Logging_2482/tillsynsmail/A 65623-2019 tillsynsbegäran mail.docx", "A 65623-2019")</f>
        <v/>
      </c>
    </row>
    <row r="522" ht="15" customHeight="1">
      <c r="A522" t="inlineStr">
        <is>
          <t>A 3124-2020</t>
        </is>
      </c>
      <c r="B522" s="1" t="n">
        <v>43843</v>
      </c>
      <c r="C522" s="1" t="n">
        <v>45357</v>
      </c>
      <c r="D522" t="inlineStr">
        <is>
          <t>VÄSTERBOTTENS LÄN</t>
        </is>
      </c>
      <c r="E522" t="inlineStr">
        <is>
          <t>NORDMALING</t>
        </is>
      </c>
      <c r="G522" t="n">
        <v>2</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HYPERLINK("https://klasma.github.io/Logging_2401/artfynd/A 3124-2020 artfynd.xlsx", "A 3124-2020")</f>
        <v/>
      </c>
      <c r="T522">
        <f>HYPERLINK("https://klasma.github.io/Logging_2401/kartor/A 3124-2020 karta.png", "A 3124-2020")</f>
        <v/>
      </c>
      <c r="V522">
        <f>HYPERLINK("https://klasma.github.io/Logging_2401/klagomål/A 3124-2020 FSC-klagomål.docx", "A 3124-2020")</f>
        <v/>
      </c>
      <c r="W522">
        <f>HYPERLINK("https://klasma.github.io/Logging_2401/klagomålsmail/A 3124-2020 FSC-klagomål mail.docx", "A 3124-2020")</f>
        <v/>
      </c>
      <c r="X522">
        <f>HYPERLINK("https://klasma.github.io/Logging_2401/tillsyn/A 3124-2020 tillsynsbegäran.docx", "A 3124-2020")</f>
        <v/>
      </c>
      <c r="Y522">
        <f>HYPERLINK("https://klasma.github.io/Logging_2401/tillsynsmail/A 3124-2020 tillsynsbegäran mail.docx", "A 3124-2020")</f>
        <v/>
      </c>
    </row>
    <row r="523" ht="15" customHeight="1">
      <c r="A523" t="inlineStr">
        <is>
          <t>A 17776-2020</t>
        </is>
      </c>
      <c r="B523" s="1" t="n">
        <v>43923</v>
      </c>
      <c r="C523" s="1" t="n">
        <v>45357</v>
      </c>
      <c r="D523" t="inlineStr">
        <is>
          <t>VÄSTERBOTTENS LÄN</t>
        </is>
      </c>
      <c r="E523" t="inlineStr">
        <is>
          <t>VILHELMINA</t>
        </is>
      </c>
      <c r="F523" t="inlineStr">
        <is>
          <t>Allmännings- och besparingsskogar</t>
        </is>
      </c>
      <c r="G523" t="n">
        <v>1</v>
      </c>
      <c r="H523" t="n">
        <v>0</v>
      </c>
      <c r="I523" t="n">
        <v>0</v>
      </c>
      <c r="J523" t="n">
        <v>2</v>
      </c>
      <c r="K523" t="n">
        <v>0</v>
      </c>
      <c r="L523" t="n">
        <v>0</v>
      </c>
      <c r="M523" t="n">
        <v>0</v>
      </c>
      <c r="N523" t="n">
        <v>0</v>
      </c>
      <c r="O523" t="n">
        <v>2</v>
      </c>
      <c r="P523" t="n">
        <v>0</v>
      </c>
      <c r="Q523" t="n">
        <v>2</v>
      </c>
      <c r="R523" s="2" t="inlineStr">
        <is>
          <t>Lunglav
Skrovellav</t>
        </is>
      </c>
      <c r="S523">
        <f>HYPERLINK("https://klasma.github.io/Logging_2462/artfynd/A 17776-2020 artfynd.xlsx", "A 17776-2020")</f>
        <v/>
      </c>
      <c r="T523">
        <f>HYPERLINK("https://klasma.github.io/Logging_2462/kartor/A 17776-2020 karta.png", "A 17776-2020")</f>
        <v/>
      </c>
      <c r="V523">
        <f>HYPERLINK("https://klasma.github.io/Logging_2462/klagomål/A 17776-2020 FSC-klagomål.docx", "A 17776-2020")</f>
        <v/>
      </c>
      <c r="W523">
        <f>HYPERLINK("https://klasma.github.io/Logging_2462/klagomålsmail/A 17776-2020 FSC-klagomål mail.docx", "A 17776-2020")</f>
        <v/>
      </c>
      <c r="X523">
        <f>HYPERLINK("https://klasma.github.io/Logging_2462/tillsyn/A 17776-2020 tillsynsbegäran.docx", "A 17776-2020")</f>
        <v/>
      </c>
      <c r="Y523">
        <f>HYPERLINK("https://klasma.github.io/Logging_2462/tillsynsmail/A 17776-2020 tillsynsbegäran mail.docx", "A 17776-2020")</f>
        <v/>
      </c>
    </row>
    <row r="524" ht="15" customHeight="1">
      <c r="A524" t="inlineStr">
        <is>
          <t>A 17910-2020</t>
        </is>
      </c>
      <c r="B524" s="1" t="n">
        <v>43924</v>
      </c>
      <c r="C524" s="1" t="n">
        <v>45357</v>
      </c>
      <c r="D524" t="inlineStr">
        <is>
          <t>VÄSTERBOTTENS LÄN</t>
        </is>
      </c>
      <c r="E524" t="inlineStr">
        <is>
          <t>VILHELMINA</t>
        </is>
      </c>
      <c r="F524" t="inlineStr">
        <is>
          <t>SCA</t>
        </is>
      </c>
      <c r="G524" t="n">
        <v>6.8</v>
      </c>
      <c r="H524" t="n">
        <v>0</v>
      </c>
      <c r="I524" t="n">
        <v>0</v>
      </c>
      <c r="J524" t="n">
        <v>2</v>
      </c>
      <c r="K524" t="n">
        <v>0</v>
      </c>
      <c r="L524" t="n">
        <v>0</v>
      </c>
      <c r="M524" t="n">
        <v>0</v>
      </c>
      <c r="N524" t="n">
        <v>0</v>
      </c>
      <c r="O524" t="n">
        <v>2</v>
      </c>
      <c r="P524" t="n">
        <v>0</v>
      </c>
      <c r="Q524" t="n">
        <v>2</v>
      </c>
      <c r="R524" s="2" t="inlineStr">
        <is>
          <t>Lunglav
Skrovellav</t>
        </is>
      </c>
      <c r="S524">
        <f>HYPERLINK("https://klasma.github.io/Logging_2462/artfynd/A 17910-2020 artfynd.xlsx", "A 17910-2020")</f>
        <v/>
      </c>
      <c r="T524">
        <f>HYPERLINK("https://klasma.github.io/Logging_2462/kartor/A 17910-2020 karta.png", "A 17910-2020")</f>
        <v/>
      </c>
      <c r="V524">
        <f>HYPERLINK("https://klasma.github.io/Logging_2462/klagomål/A 17910-2020 FSC-klagomål.docx", "A 17910-2020")</f>
        <v/>
      </c>
      <c r="W524">
        <f>HYPERLINK("https://klasma.github.io/Logging_2462/klagomålsmail/A 17910-2020 FSC-klagomål mail.docx", "A 17910-2020")</f>
        <v/>
      </c>
      <c r="X524">
        <f>HYPERLINK("https://klasma.github.io/Logging_2462/tillsyn/A 17910-2020 tillsynsbegäran.docx", "A 17910-2020")</f>
        <v/>
      </c>
      <c r="Y524">
        <f>HYPERLINK("https://klasma.github.io/Logging_2462/tillsynsmail/A 17910-2020 tillsynsbegäran mail.docx", "A 17910-2020")</f>
        <v/>
      </c>
    </row>
    <row r="525" ht="15" customHeight="1">
      <c r="A525" t="inlineStr">
        <is>
          <t>A 20878-2020</t>
        </is>
      </c>
      <c r="B525" s="1" t="n">
        <v>43949</v>
      </c>
      <c r="C525" s="1" t="n">
        <v>45357</v>
      </c>
      <c r="D525" t="inlineStr">
        <is>
          <t>VÄSTERBOTTENS LÄN</t>
        </is>
      </c>
      <c r="E525" t="inlineStr">
        <is>
          <t>DOROTEA</t>
        </is>
      </c>
      <c r="G525" t="n">
        <v>8.800000000000001</v>
      </c>
      <c r="H525" t="n">
        <v>0</v>
      </c>
      <c r="I525" t="n">
        <v>0</v>
      </c>
      <c r="J525" t="n">
        <v>2</v>
      </c>
      <c r="K525" t="n">
        <v>0</v>
      </c>
      <c r="L525" t="n">
        <v>0</v>
      </c>
      <c r="M525" t="n">
        <v>0</v>
      </c>
      <c r="N525" t="n">
        <v>0</v>
      </c>
      <c r="O525" t="n">
        <v>2</v>
      </c>
      <c r="P525" t="n">
        <v>0</v>
      </c>
      <c r="Q525" t="n">
        <v>2</v>
      </c>
      <c r="R525" s="2" t="inlineStr">
        <is>
          <t>Garnlav
Granticka</t>
        </is>
      </c>
      <c r="S525">
        <f>HYPERLINK("https://klasma.github.io/Logging_2425/artfynd/A 20878-2020 artfynd.xlsx", "A 20878-2020")</f>
        <v/>
      </c>
      <c r="T525">
        <f>HYPERLINK("https://klasma.github.io/Logging_2425/kartor/A 20878-2020 karta.png", "A 20878-2020")</f>
        <v/>
      </c>
      <c r="V525">
        <f>HYPERLINK("https://klasma.github.io/Logging_2425/klagomål/A 20878-2020 FSC-klagomål.docx", "A 20878-2020")</f>
        <v/>
      </c>
      <c r="W525">
        <f>HYPERLINK("https://klasma.github.io/Logging_2425/klagomålsmail/A 20878-2020 FSC-klagomål mail.docx", "A 20878-2020")</f>
        <v/>
      </c>
      <c r="X525">
        <f>HYPERLINK("https://klasma.github.io/Logging_2425/tillsyn/A 20878-2020 tillsynsbegäran.docx", "A 20878-2020")</f>
        <v/>
      </c>
      <c r="Y525">
        <f>HYPERLINK("https://klasma.github.io/Logging_2425/tillsynsmail/A 20878-2020 tillsynsbegäran mail.docx", "A 20878-2020")</f>
        <v/>
      </c>
    </row>
    <row r="526" ht="15" customHeight="1">
      <c r="A526" t="inlineStr">
        <is>
          <t>A 25026-2020</t>
        </is>
      </c>
      <c r="B526" s="1" t="n">
        <v>43979</v>
      </c>
      <c r="C526" s="1" t="n">
        <v>45357</v>
      </c>
      <c r="D526" t="inlineStr">
        <is>
          <t>VÄSTERBOTTENS LÄN</t>
        </is>
      </c>
      <c r="E526" t="inlineStr">
        <is>
          <t>MALÅ</t>
        </is>
      </c>
      <c r="F526" t="inlineStr">
        <is>
          <t>Sveaskog</t>
        </is>
      </c>
      <c r="G526" t="n">
        <v>14.3</v>
      </c>
      <c r="H526" t="n">
        <v>0</v>
      </c>
      <c r="I526" t="n">
        <v>0</v>
      </c>
      <c r="J526" t="n">
        <v>2</v>
      </c>
      <c r="K526" t="n">
        <v>0</v>
      </c>
      <c r="L526" t="n">
        <v>0</v>
      </c>
      <c r="M526" t="n">
        <v>0</v>
      </c>
      <c r="N526" t="n">
        <v>0</v>
      </c>
      <c r="O526" t="n">
        <v>2</v>
      </c>
      <c r="P526" t="n">
        <v>0</v>
      </c>
      <c r="Q526" t="n">
        <v>2</v>
      </c>
      <c r="R526" s="2" t="inlineStr">
        <is>
          <t>Nepachys cardiacae
Slät tallkapuschongbagge</t>
        </is>
      </c>
      <c r="S526">
        <f>HYPERLINK("https://klasma.github.io/Logging_2418/artfynd/A 25026-2020 artfynd.xlsx", "A 25026-2020")</f>
        <v/>
      </c>
      <c r="T526">
        <f>HYPERLINK("https://klasma.github.io/Logging_2418/kartor/A 25026-2020 karta.png", "A 25026-2020")</f>
        <v/>
      </c>
      <c r="V526">
        <f>HYPERLINK("https://klasma.github.io/Logging_2418/klagomål/A 25026-2020 FSC-klagomål.docx", "A 25026-2020")</f>
        <v/>
      </c>
      <c r="W526">
        <f>HYPERLINK("https://klasma.github.io/Logging_2418/klagomålsmail/A 25026-2020 FSC-klagomål mail.docx", "A 25026-2020")</f>
        <v/>
      </c>
      <c r="X526">
        <f>HYPERLINK("https://klasma.github.io/Logging_2418/tillsyn/A 25026-2020 tillsynsbegäran.docx", "A 25026-2020")</f>
        <v/>
      </c>
      <c r="Y526">
        <f>HYPERLINK("https://klasma.github.io/Logging_2418/tillsynsmail/A 25026-2020 tillsynsbegäran mail.docx", "A 25026-2020")</f>
        <v/>
      </c>
    </row>
    <row r="527" ht="15" customHeight="1">
      <c r="A527" t="inlineStr">
        <is>
          <t>A 32445-2020</t>
        </is>
      </c>
      <c r="B527" s="1" t="n">
        <v>44015</v>
      </c>
      <c r="C527" s="1" t="n">
        <v>45357</v>
      </c>
      <c r="D527" t="inlineStr">
        <is>
          <t>VÄSTERBOTTENS LÄN</t>
        </is>
      </c>
      <c r="E527" t="inlineStr">
        <is>
          <t>ÅSELE</t>
        </is>
      </c>
      <c r="G527" t="n">
        <v>2.5</v>
      </c>
      <c r="H527" t="n">
        <v>0</v>
      </c>
      <c r="I527" t="n">
        <v>0</v>
      </c>
      <c r="J527" t="n">
        <v>2</v>
      </c>
      <c r="K527" t="n">
        <v>0</v>
      </c>
      <c r="L527" t="n">
        <v>0</v>
      </c>
      <c r="M527" t="n">
        <v>0</v>
      </c>
      <c r="N527" t="n">
        <v>0</v>
      </c>
      <c r="O527" t="n">
        <v>2</v>
      </c>
      <c r="P527" t="n">
        <v>0</v>
      </c>
      <c r="Q527" t="n">
        <v>2</v>
      </c>
      <c r="R527" s="2" t="inlineStr">
        <is>
          <t>Dvärgbägarlav
Ullticka</t>
        </is>
      </c>
      <c r="S527">
        <f>HYPERLINK("https://klasma.github.io/Logging_2463/artfynd/A 32445-2020 artfynd.xlsx", "A 32445-2020")</f>
        <v/>
      </c>
      <c r="T527">
        <f>HYPERLINK("https://klasma.github.io/Logging_2463/kartor/A 32445-2020 karta.png", "A 32445-2020")</f>
        <v/>
      </c>
      <c r="V527">
        <f>HYPERLINK("https://klasma.github.io/Logging_2463/klagomål/A 32445-2020 FSC-klagomål.docx", "A 32445-2020")</f>
        <v/>
      </c>
      <c r="W527">
        <f>HYPERLINK("https://klasma.github.io/Logging_2463/klagomålsmail/A 32445-2020 FSC-klagomål mail.docx", "A 32445-2020")</f>
        <v/>
      </c>
      <c r="X527">
        <f>HYPERLINK("https://klasma.github.io/Logging_2463/tillsyn/A 32445-2020 tillsynsbegäran.docx", "A 32445-2020")</f>
        <v/>
      </c>
      <c r="Y527">
        <f>HYPERLINK("https://klasma.github.io/Logging_2463/tillsynsmail/A 32445-2020 tillsynsbegäran mail.docx", "A 32445-2020")</f>
        <v/>
      </c>
    </row>
    <row r="528" ht="15" customHeight="1">
      <c r="A528" t="inlineStr">
        <is>
          <t>A 34276-2020</t>
        </is>
      </c>
      <c r="B528" s="1" t="n">
        <v>44029</v>
      </c>
      <c r="C528" s="1" t="n">
        <v>45357</v>
      </c>
      <c r="D528" t="inlineStr">
        <is>
          <t>VÄSTERBOTTENS LÄN</t>
        </is>
      </c>
      <c r="E528" t="inlineStr">
        <is>
          <t>STORUMAN</t>
        </is>
      </c>
      <c r="F528" t="inlineStr">
        <is>
          <t>SCA</t>
        </is>
      </c>
      <c r="G528" t="n">
        <v>3.5</v>
      </c>
      <c r="H528" t="n">
        <v>1</v>
      </c>
      <c r="I528" t="n">
        <v>0</v>
      </c>
      <c r="J528" t="n">
        <v>1</v>
      </c>
      <c r="K528" t="n">
        <v>1</v>
      </c>
      <c r="L528" t="n">
        <v>0</v>
      </c>
      <c r="M528" t="n">
        <v>0</v>
      </c>
      <c r="N528" t="n">
        <v>0</v>
      </c>
      <c r="O528" t="n">
        <v>2</v>
      </c>
      <c r="P528" t="n">
        <v>1</v>
      </c>
      <c r="Q528" t="n">
        <v>2</v>
      </c>
      <c r="R528" s="2" t="inlineStr">
        <is>
          <t>Goliatmusseron
Duvhök</t>
        </is>
      </c>
      <c r="S528">
        <f>HYPERLINK("https://klasma.github.io/Logging_2421/artfynd/A 34276-2020 artfynd.xlsx", "A 34276-2020")</f>
        <v/>
      </c>
      <c r="T528">
        <f>HYPERLINK("https://klasma.github.io/Logging_2421/kartor/A 34276-2020 karta.png", "A 34276-2020")</f>
        <v/>
      </c>
      <c r="V528">
        <f>HYPERLINK("https://klasma.github.io/Logging_2421/klagomål/A 34276-2020 FSC-klagomål.docx", "A 34276-2020")</f>
        <v/>
      </c>
      <c r="W528">
        <f>HYPERLINK("https://klasma.github.io/Logging_2421/klagomålsmail/A 34276-2020 FSC-klagomål mail.docx", "A 34276-2020")</f>
        <v/>
      </c>
      <c r="X528">
        <f>HYPERLINK("https://klasma.github.io/Logging_2421/tillsyn/A 34276-2020 tillsynsbegäran.docx", "A 34276-2020")</f>
        <v/>
      </c>
      <c r="Y528">
        <f>HYPERLINK("https://klasma.github.io/Logging_2421/tillsynsmail/A 34276-2020 tillsynsbegäran mail.docx", "A 34276-2020")</f>
        <v/>
      </c>
    </row>
    <row r="529" ht="15" customHeight="1">
      <c r="A529" t="inlineStr">
        <is>
          <t>A 36344-2020</t>
        </is>
      </c>
      <c r="B529" s="1" t="n">
        <v>44049</v>
      </c>
      <c r="C529" s="1" t="n">
        <v>45357</v>
      </c>
      <c r="D529" t="inlineStr">
        <is>
          <t>VÄSTERBOTTENS LÄN</t>
        </is>
      </c>
      <c r="E529" t="inlineStr">
        <is>
          <t>SORSELE</t>
        </is>
      </c>
      <c r="G529" t="n">
        <v>5.4</v>
      </c>
      <c r="H529" t="n">
        <v>0</v>
      </c>
      <c r="I529" t="n">
        <v>0</v>
      </c>
      <c r="J529" t="n">
        <v>2</v>
      </c>
      <c r="K529" t="n">
        <v>0</v>
      </c>
      <c r="L529" t="n">
        <v>0</v>
      </c>
      <c r="M529" t="n">
        <v>0</v>
      </c>
      <c r="N529" t="n">
        <v>0</v>
      </c>
      <c r="O529" t="n">
        <v>2</v>
      </c>
      <c r="P529" t="n">
        <v>0</v>
      </c>
      <c r="Q529" t="n">
        <v>2</v>
      </c>
      <c r="R529" s="2" t="inlineStr">
        <is>
          <t>Garnlav
Rödbrun blekspik</t>
        </is>
      </c>
      <c r="S529">
        <f>HYPERLINK("https://klasma.github.io/Logging_2422/artfynd/A 36344-2020 artfynd.xlsx", "A 36344-2020")</f>
        <v/>
      </c>
      <c r="T529">
        <f>HYPERLINK("https://klasma.github.io/Logging_2422/kartor/A 36344-2020 karta.png", "A 36344-2020")</f>
        <v/>
      </c>
      <c r="V529">
        <f>HYPERLINK("https://klasma.github.io/Logging_2422/klagomål/A 36344-2020 FSC-klagomål.docx", "A 36344-2020")</f>
        <v/>
      </c>
      <c r="W529">
        <f>HYPERLINK("https://klasma.github.io/Logging_2422/klagomålsmail/A 36344-2020 FSC-klagomål mail.docx", "A 36344-2020")</f>
        <v/>
      </c>
      <c r="X529">
        <f>HYPERLINK("https://klasma.github.io/Logging_2422/tillsyn/A 36344-2020 tillsynsbegäran.docx", "A 36344-2020")</f>
        <v/>
      </c>
      <c r="Y529">
        <f>HYPERLINK("https://klasma.github.io/Logging_2422/tillsynsmail/A 36344-2020 tillsynsbegäran mail.docx", "A 36344-2020")</f>
        <v/>
      </c>
    </row>
    <row r="530" ht="15" customHeight="1">
      <c r="A530" t="inlineStr">
        <is>
          <t>A 40134-2020</t>
        </is>
      </c>
      <c r="B530" s="1" t="n">
        <v>44067</v>
      </c>
      <c r="C530" s="1" t="n">
        <v>45357</v>
      </c>
      <c r="D530" t="inlineStr">
        <is>
          <t>VÄSTERBOTTENS LÄN</t>
        </is>
      </c>
      <c r="E530" t="inlineStr">
        <is>
          <t>SKELLEFTEÅ</t>
        </is>
      </c>
      <c r="G530" t="n">
        <v>6.1</v>
      </c>
      <c r="H530" t="n">
        <v>0</v>
      </c>
      <c r="I530" t="n">
        <v>1</v>
      </c>
      <c r="J530" t="n">
        <v>0</v>
      </c>
      <c r="K530" t="n">
        <v>0</v>
      </c>
      <c r="L530" t="n">
        <v>1</v>
      </c>
      <c r="M530" t="n">
        <v>0</v>
      </c>
      <c r="N530" t="n">
        <v>0</v>
      </c>
      <c r="O530" t="n">
        <v>1</v>
      </c>
      <c r="P530" t="n">
        <v>1</v>
      </c>
      <c r="Q530" t="n">
        <v>2</v>
      </c>
      <c r="R530" s="2" t="inlineStr">
        <is>
          <t>Större svartbagge
Stekelbock</t>
        </is>
      </c>
      <c r="S530">
        <f>HYPERLINK("https://klasma.github.io/Logging_2482/artfynd/A 40134-2020 artfynd.xlsx", "A 40134-2020")</f>
        <v/>
      </c>
      <c r="T530">
        <f>HYPERLINK("https://klasma.github.io/Logging_2482/kartor/A 40134-2020 karta.png", "A 40134-2020")</f>
        <v/>
      </c>
      <c r="V530">
        <f>HYPERLINK("https://klasma.github.io/Logging_2482/klagomål/A 40134-2020 FSC-klagomål.docx", "A 40134-2020")</f>
        <v/>
      </c>
      <c r="W530">
        <f>HYPERLINK("https://klasma.github.io/Logging_2482/klagomålsmail/A 40134-2020 FSC-klagomål mail.docx", "A 40134-2020")</f>
        <v/>
      </c>
      <c r="X530">
        <f>HYPERLINK("https://klasma.github.io/Logging_2482/tillsyn/A 40134-2020 tillsynsbegäran.docx", "A 40134-2020")</f>
        <v/>
      </c>
      <c r="Y530">
        <f>HYPERLINK("https://klasma.github.io/Logging_2482/tillsynsmail/A 40134-2020 tillsynsbegäran mail.docx", "A 40134-2020")</f>
        <v/>
      </c>
    </row>
    <row r="531" ht="15" customHeight="1">
      <c r="A531" t="inlineStr">
        <is>
          <t>A 40420-2020</t>
        </is>
      </c>
      <c r="B531" s="1" t="n">
        <v>44068</v>
      </c>
      <c r="C531" s="1" t="n">
        <v>45357</v>
      </c>
      <c r="D531" t="inlineStr">
        <is>
          <t>VÄSTERBOTTENS LÄN</t>
        </is>
      </c>
      <c r="E531" t="inlineStr">
        <is>
          <t>UMEÅ</t>
        </is>
      </c>
      <c r="F531" t="inlineStr">
        <is>
          <t>Kommuner</t>
        </is>
      </c>
      <c r="G531" t="n">
        <v>4.1</v>
      </c>
      <c r="H531" t="n">
        <v>1</v>
      </c>
      <c r="I531" t="n">
        <v>0</v>
      </c>
      <c r="J531" t="n">
        <v>2</v>
      </c>
      <c r="K531" t="n">
        <v>0</v>
      </c>
      <c r="L531" t="n">
        <v>0</v>
      </c>
      <c r="M531" t="n">
        <v>0</v>
      </c>
      <c r="N531" t="n">
        <v>0</v>
      </c>
      <c r="O531" t="n">
        <v>2</v>
      </c>
      <c r="P531" t="n">
        <v>0</v>
      </c>
      <c r="Q531" t="n">
        <v>2</v>
      </c>
      <c r="R531" s="2" t="inlineStr">
        <is>
          <t>Leptoporus mollis
Tretåig hackspett</t>
        </is>
      </c>
      <c r="S531">
        <f>HYPERLINK("https://klasma.github.io/Logging_2480/artfynd/A 40420-2020 artfynd.xlsx", "A 40420-2020")</f>
        <v/>
      </c>
      <c r="T531">
        <f>HYPERLINK("https://klasma.github.io/Logging_2480/kartor/A 40420-2020 karta.png", "A 40420-2020")</f>
        <v/>
      </c>
      <c r="V531">
        <f>HYPERLINK("https://klasma.github.io/Logging_2480/klagomål/A 40420-2020 FSC-klagomål.docx", "A 40420-2020")</f>
        <v/>
      </c>
      <c r="W531">
        <f>HYPERLINK("https://klasma.github.io/Logging_2480/klagomålsmail/A 40420-2020 FSC-klagomål mail.docx", "A 40420-2020")</f>
        <v/>
      </c>
      <c r="X531">
        <f>HYPERLINK("https://klasma.github.io/Logging_2480/tillsyn/A 40420-2020 tillsynsbegäran.docx", "A 40420-2020")</f>
        <v/>
      </c>
      <c r="Y531">
        <f>HYPERLINK("https://klasma.github.io/Logging_2480/tillsynsmail/A 40420-2020 tillsynsbegäran mail.docx", "A 40420-2020")</f>
        <v/>
      </c>
      <c r="Z531">
        <f>HYPERLINK("https://klasma.github.io/Logging_2480/fåglar/A 40420-2020 prioriterade fågelarter.docx", "A 40420-2020")</f>
        <v/>
      </c>
    </row>
    <row r="532" ht="15" customHeight="1">
      <c r="A532" t="inlineStr">
        <is>
          <t>A 40914-2020</t>
        </is>
      </c>
      <c r="B532" s="1" t="n">
        <v>44068</v>
      </c>
      <c r="C532" s="1" t="n">
        <v>45357</v>
      </c>
      <c r="D532" t="inlineStr">
        <is>
          <t>VÄSTERBOTTENS LÄN</t>
        </is>
      </c>
      <c r="E532" t="inlineStr">
        <is>
          <t>NORDMALING</t>
        </is>
      </c>
      <c r="G532" t="n">
        <v>1.2</v>
      </c>
      <c r="H532" t="n">
        <v>0</v>
      </c>
      <c r="I532" t="n">
        <v>1</v>
      </c>
      <c r="J532" t="n">
        <v>1</v>
      </c>
      <c r="K532" t="n">
        <v>0</v>
      </c>
      <c r="L532" t="n">
        <v>0</v>
      </c>
      <c r="M532" t="n">
        <v>0</v>
      </c>
      <c r="N532" t="n">
        <v>0</v>
      </c>
      <c r="O532" t="n">
        <v>1</v>
      </c>
      <c r="P532" t="n">
        <v>0</v>
      </c>
      <c r="Q532" t="n">
        <v>2</v>
      </c>
      <c r="R532" s="2" t="inlineStr">
        <is>
          <t>Asppraktbagge
Stekelbock</t>
        </is>
      </c>
      <c r="S532">
        <f>HYPERLINK("https://klasma.github.io/Logging_2401/artfynd/A 40914-2020 artfynd.xlsx", "A 40914-2020")</f>
        <v/>
      </c>
      <c r="T532">
        <f>HYPERLINK("https://klasma.github.io/Logging_2401/kartor/A 40914-2020 karta.png", "A 40914-2020")</f>
        <v/>
      </c>
      <c r="V532">
        <f>HYPERLINK("https://klasma.github.io/Logging_2401/klagomål/A 40914-2020 FSC-klagomål.docx", "A 40914-2020")</f>
        <v/>
      </c>
      <c r="W532">
        <f>HYPERLINK("https://klasma.github.io/Logging_2401/klagomålsmail/A 40914-2020 FSC-klagomål mail.docx", "A 40914-2020")</f>
        <v/>
      </c>
      <c r="X532">
        <f>HYPERLINK("https://klasma.github.io/Logging_2401/tillsyn/A 40914-2020 tillsynsbegäran.docx", "A 40914-2020")</f>
        <v/>
      </c>
      <c r="Y532">
        <f>HYPERLINK("https://klasma.github.io/Logging_2401/tillsynsmail/A 40914-2020 tillsynsbegäran mail.docx", "A 40914-2020")</f>
        <v/>
      </c>
    </row>
    <row r="533" ht="15" customHeight="1">
      <c r="A533" t="inlineStr">
        <is>
          <t>A 41578-2020</t>
        </is>
      </c>
      <c r="B533" s="1" t="n">
        <v>44074</v>
      </c>
      <c r="C533" s="1" t="n">
        <v>45357</v>
      </c>
      <c r="D533" t="inlineStr">
        <is>
          <t>VÄSTERBOTTENS LÄN</t>
        </is>
      </c>
      <c r="E533" t="inlineStr">
        <is>
          <t>VINDELN</t>
        </is>
      </c>
      <c r="F533" t="inlineStr">
        <is>
          <t>Sveaskog</t>
        </is>
      </c>
      <c r="G533" t="n">
        <v>6.8</v>
      </c>
      <c r="H533" t="n">
        <v>0</v>
      </c>
      <c r="I533" t="n">
        <v>1</v>
      </c>
      <c r="J533" t="n">
        <v>1</v>
      </c>
      <c r="K533" t="n">
        <v>0</v>
      </c>
      <c r="L533" t="n">
        <v>0</v>
      </c>
      <c r="M533" t="n">
        <v>0</v>
      </c>
      <c r="N533" t="n">
        <v>0</v>
      </c>
      <c r="O533" t="n">
        <v>1</v>
      </c>
      <c r="P533" t="n">
        <v>0</v>
      </c>
      <c r="Q533" t="n">
        <v>2</v>
      </c>
      <c r="R533" s="2" t="inlineStr">
        <is>
          <t>Stiftgelélav
Skinnlav</t>
        </is>
      </c>
      <c r="S533">
        <f>HYPERLINK("https://klasma.github.io/Logging_2404/artfynd/A 41578-2020 artfynd.xlsx", "A 41578-2020")</f>
        <v/>
      </c>
      <c r="T533">
        <f>HYPERLINK("https://klasma.github.io/Logging_2404/kartor/A 41578-2020 karta.png", "A 41578-2020")</f>
        <v/>
      </c>
      <c r="V533">
        <f>HYPERLINK("https://klasma.github.io/Logging_2404/klagomål/A 41578-2020 FSC-klagomål.docx", "A 41578-2020")</f>
        <v/>
      </c>
      <c r="W533">
        <f>HYPERLINK("https://klasma.github.io/Logging_2404/klagomålsmail/A 41578-2020 FSC-klagomål mail.docx", "A 41578-2020")</f>
        <v/>
      </c>
      <c r="X533">
        <f>HYPERLINK("https://klasma.github.io/Logging_2404/tillsyn/A 41578-2020 tillsynsbegäran.docx", "A 41578-2020")</f>
        <v/>
      </c>
      <c r="Y533">
        <f>HYPERLINK("https://klasma.github.io/Logging_2404/tillsynsmail/A 41578-2020 tillsynsbegäran mail.docx", "A 41578-2020")</f>
        <v/>
      </c>
    </row>
    <row r="534" ht="15" customHeight="1">
      <c r="A534" t="inlineStr">
        <is>
          <t>A 42118-2020</t>
        </is>
      </c>
      <c r="B534" s="1" t="n">
        <v>44075</v>
      </c>
      <c r="C534" s="1" t="n">
        <v>45357</v>
      </c>
      <c r="D534" t="inlineStr">
        <is>
          <t>VÄSTERBOTTENS LÄN</t>
        </is>
      </c>
      <c r="E534" t="inlineStr">
        <is>
          <t>SORSELE</t>
        </is>
      </c>
      <c r="F534" t="inlineStr">
        <is>
          <t>Sveaskog</t>
        </is>
      </c>
      <c r="G534" t="n">
        <v>6.2</v>
      </c>
      <c r="H534" t="n">
        <v>0</v>
      </c>
      <c r="I534" t="n">
        <v>0</v>
      </c>
      <c r="J534" t="n">
        <v>1</v>
      </c>
      <c r="K534" t="n">
        <v>1</v>
      </c>
      <c r="L534" t="n">
        <v>0</v>
      </c>
      <c r="M534" t="n">
        <v>0</v>
      </c>
      <c r="N534" t="n">
        <v>0</v>
      </c>
      <c r="O534" t="n">
        <v>2</v>
      </c>
      <c r="P534" t="n">
        <v>1</v>
      </c>
      <c r="Q534" t="n">
        <v>2</v>
      </c>
      <c r="R534" s="2" t="inlineStr">
        <is>
          <t>Torrmusseron
Blå taggsvamp</t>
        </is>
      </c>
      <c r="S534">
        <f>HYPERLINK("https://klasma.github.io/Logging_2422/artfynd/A 42118-2020 artfynd.xlsx", "A 42118-2020")</f>
        <v/>
      </c>
      <c r="T534">
        <f>HYPERLINK("https://klasma.github.io/Logging_2422/kartor/A 42118-2020 karta.png", "A 42118-2020")</f>
        <v/>
      </c>
      <c r="V534">
        <f>HYPERLINK("https://klasma.github.io/Logging_2422/klagomål/A 42118-2020 FSC-klagomål.docx", "A 42118-2020")</f>
        <v/>
      </c>
      <c r="W534">
        <f>HYPERLINK("https://klasma.github.io/Logging_2422/klagomålsmail/A 42118-2020 FSC-klagomål mail.docx", "A 42118-2020")</f>
        <v/>
      </c>
      <c r="X534">
        <f>HYPERLINK("https://klasma.github.io/Logging_2422/tillsyn/A 42118-2020 tillsynsbegäran.docx", "A 42118-2020")</f>
        <v/>
      </c>
      <c r="Y534">
        <f>HYPERLINK("https://klasma.github.io/Logging_2422/tillsynsmail/A 42118-2020 tillsynsbegäran mail.docx", "A 42118-2020")</f>
        <v/>
      </c>
    </row>
    <row r="535" ht="15" customHeight="1">
      <c r="A535" t="inlineStr">
        <is>
          <t>A 43940-2020</t>
        </is>
      </c>
      <c r="B535" s="1" t="n">
        <v>44078</v>
      </c>
      <c r="C535" s="1" t="n">
        <v>45357</v>
      </c>
      <c r="D535" t="inlineStr">
        <is>
          <t>VÄSTERBOTTENS LÄN</t>
        </is>
      </c>
      <c r="E535" t="inlineStr">
        <is>
          <t>SORSELE</t>
        </is>
      </c>
      <c r="F535" t="inlineStr">
        <is>
          <t>Allmännings- och besparingsskogar</t>
        </is>
      </c>
      <c r="G535" t="n">
        <v>126.6</v>
      </c>
      <c r="H535" t="n">
        <v>0</v>
      </c>
      <c r="I535" t="n">
        <v>0</v>
      </c>
      <c r="J535" t="n">
        <v>1</v>
      </c>
      <c r="K535" t="n">
        <v>1</v>
      </c>
      <c r="L535" t="n">
        <v>0</v>
      </c>
      <c r="M535" t="n">
        <v>0</v>
      </c>
      <c r="N535" t="n">
        <v>0</v>
      </c>
      <c r="O535" t="n">
        <v>2</v>
      </c>
      <c r="P535" t="n">
        <v>1</v>
      </c>
      <c r="Q535" t="n">
        <v>2</v>
      </c>
      <c r="R535" s="2" t="inlineStr">
        <is>
          <t>Tajgaskinn
Dvärgbägarlav</t>
        </is>
      </c>
      <c r="S535">
        <f>HYPERLINK("https://klasma.github.io/Logging_2422/artfynd/A 43940-2020 artfynd.xlsx", "A 43940-2020")</f>
        <v/>
      </c>
      <c r="T535">
        <f>HYPERLINK("https://klasma.github.io/Logging_2422/kartor/A 43940-2020 karta.png", "A 43940-2020")</f>
        <v/>
      </c>
      <c r="V535">
        <f>HYPERLINK("https://klasma.github.io/Logging_2422/klagomål/A 43940-2020 FSC-klagomål.docx", "A 43940-2020")</f>
        <v/>
      </c>
      <c r="W535">
        <f>HYPERLINK("https://klasma.github.io/Logging_2422/klagomålsmail/A 43940-2020 FSC-klagomål mail.docx", "A 43940-2020")</f>
        <v/>
      </c>
      <c r="X535">
        <f>HYPERLINK("https://klasma.github.io/Logging_2422/tillsyn/A 43940-2020 tillsynsbegäran.docx", "A 43940-2020")</f>
        <v/>
      </c>
      <c r="Y535">
        <f>HYPERLINK("https://klasma.github.io/Logging_2422/tillsynsmail/A 43940-2020 tillsynsbegäran mail.docx", "A 43940-2020")</f>
        <v/>
      </c>
    </row>
    <row r="536" ht="15" customHeight="1">
      <c r="A536" t="inlineStr">
        <is>
          <t>A 53541-2020</t>
        </is>
      </c>
      <c r="B536" s="1" t="n">
        <v>44124</v>
      </c>
      <c r="C536" s="1" t="n">
        <v>45357</v>
      </c>
      <c r="D536" t="inlineStr">
        <is>
          <t>VÄSTERBOTTENS LÄN</t>
        </is>
      </c>
      <c r="E536" t="inlineStr">
        <is>
          <t>SKELLEFTEÅ</t>
        </is>
      </c>
      <c r="F536" t="inlineStr">
        <is>
          <t>Sveaskog</t>
        </is>
      </c>
      <c r="G536" t="n">
        <v>4.4</v>
      </c>
      <c r="H536" t="n">
        <v>0</v>
      </c>
      <c r="I536" t="n">
        <v>1</v>
      </c>
      <c r="J536" t="n">
        <v>1</v>
      </c>
      <c r="K536" t="n">
        <v>0</v>
      </c>
      <c r="L536" t="n">
        <v>0</v>
      </c>
      <c r="M536" t="n">
        <v>0</v>
      </c>
      <c r="N536" t="n">
        <v>0</v>
      </c>
      <c r="O536" t="n">
        <v>1</v>
      </c>
      <c r="P536" t="n">
        <v>0</v>
      </c>
      <c r="Q536" t="n">
        <v>2</v>
      </c>
      <c r="R536" s="2" t="inlineStr">
        <is>
          <t>Motaggsvamp
Dropptaggsvamp</t>
        </is>
      </c>
      <c r="S536">
        <f>HYPERLINK("https://klasma.github.io/Logging_2482/artfynd/A 53541-2020 artfynd.xlsx", "A 53541-2020")</f>
        <v/>
      </c>
      <c r="T536">
        <f>HYPERLINK("https://klasma.github.io/Logging_2482/kartor/A 53541-2020 karta.png", "A 53541-2020")</f>
        <v/>
      </c>
      <c r="V536">
        <f>HYPERLINK("https://klasma.github.io/Logging_2482/klagomål/A 53541-2020 FSC-klagomål.docx", "A 53541-2020")</f>
        <v/>
      </c>
      <c r="W536">
        <f>HYPERLINK("https://klasma.github.io/Logging_2482/klagomålsmail/A 53541-2020 FSC-klagomål mail.docx", "A 53541-2020")</f>
        <v/>
      </c>
      <c r="X536">
        <f>HYPERLINK("https://klasma.github.io/Logging_2482/tillsyn/A 53541-2020 tillsynsbegäran.docx", "A 53541-2020")</f>
        <v/>
      </c>
      <c r="Y536">
        <f>HYPERLINK("https://klasma.github.io/Logging_2482/tillsynsmail/A 53541-2020 tillsynsbegäran mail.docx", "A 53541-2020")</f>
        <v/>
      </c>
    </row>
    <row r="537" ht="15" customHeight="1">
      <c r="A537" t="inlineStr">
        <is>
          <t>A 54504-2020</t>
        </is>
      </c>
      <c r="B537" s="1" t="n">
        <v>44126</v>
      </c>
      <c r="C537" s="1" t="n">
        <v>45357</v>
      </c>
      <c r="D537" t="inlineStr">
        <is>
          <t>VÄSTERBOTTENS LÄN</t>
        </is>
      </c>
      <c r="E537" t="inlineStr">
        <is>
          <t>ROBERTSFORS</t>
        </is>
      </c>
      <c r="F537" t="inlineStr">
        <is>
          <t>Holmen skog AB</t>
        </is>
      </c>
      <c r="G537" t="n">
        <v>6.4</v>
      </c>
      <c r="H537" t="n">
        <v>2</v>
      </c>
      <c r="I537" t="n">
        <v>0</v>
      </c>
      <c r="J537" t="n">
        <v>2</v>
      </c>
      <c r="K537" t="n">
        <v>0</v>
      </c>
      <c r="L537" t="n">
        <v>0</v>
      </c>
      <c r="M537" t="n">
        <v>0</v>
      </c>
      <c r="N537" t="n">
        <v>0</v>
      </c>
      <c r="O537" t="n">
        <v>2</v>
      </c>
      <c r="P537" t="n">
        <v>0</v>
      </c>
      <c r="Q537" t="n">
        <v>2</v>
      </c>
      <c r="R537" s="2" t="inlineStr">
        <is>
          <t>Svartvit flugsnappare
Talltita</t>
        </is>
      </c>
      <c r="S537">
        <f>HYPERLINK("https://klasma.github.io/Logging_2409/artfynd/A 54504-2020 artfynd.xlsx", "A 54504-2020")</f>
        <v/>
      </c>
      <c r="T537">
        <f>HYPERLINK("https://klasma.github.io/Logging_2409/kartor/A 54504-2020 karta.png", "A 54504-2020")</f>
        <v/>
      </c>
      <c r="V537">
        <f>HYPERLINK("https://klasma.github.io/Logging_2409/klagomål/A 54504-2020 FSC-klagomål.docx", "A 54504-2020")</f>
        <v/>
      </c>
      <c r="W537">
        <f>HYPERLINK("https://klasma.github.io/Logging_2409/klagomålsmail/A 54504-2020 FSC-klagomål mail.docx", "A 54504-2020")</f>
        <v/>
      </c>
      <c r="X537">
        <f>HYPERLINK("https://klasma.github.io/Logging_2409/tillsyn/A 54504-2020 tillsynsbegäran.docx", "A 54504-2020")</f>
        <v/>
      </c>
      <c r="Y537">
        <f>HYPERLINK("https://klasma.github.io/Logging_2409/tillsynsmail/A 54504-2020 tillsynsbegäran mail.docx", "A 54504-2020")</f>
        <v/>
      </c>
      <c r="Z537">
        <f>HYPERLINK("https://klasma.github.io/Logging_2409/fåglar/A 54504-2020 prioriterade fågelarter.docx", "A 54504-2020")</f>
        <v/>
      </c>
    </row>
    <row r="538" ht="15" customHeight="1">
      <c r="A538" t="inlineStr">
        <is>
          <t>A 55809-2020</t>
        </is>
      </c>
      <c r="B538" s="1" t="n">
        <v>44132</v>
      </c>
      <c r="C538" s="1" t="n">
        <v>45357</v>
      </c>
      <c r="D538" t="inlineStr">
        <is>
          <t>VÄSTERBOTTENS LÄN</t>
        </is>
      </c>
      <c r="E538" t="inlineStr">
        <is>
          <t>SKELLEFTEÅ</t>
        </is>
      </c>
      <c r="F538" t="inlineStr">
        <is>
          <t>Sveaskog</t>
        </is>
      </c>
      <c r="G538" t="n">
        <v>9.9</v>
      </c>
      <c r="H538" t="n">
        <v>2</v>
      </c>
      <c r="I538" t="n">
        <v>0</v>
      </c>
      <c r="J538" t="n">
        <v>1</v>
      </c>
      <c r="K538" t="n">
        <v>0</v>
      </c>
      <c r="L538" t="n">
        <v>0</v>
      </c>
      <c r="M538" t="n">
        <v>0</v>
      </c>
      <c r="N538" t="n">
        <v>0</v>
      </c>
      <c r="O538" t="n">
        <v>1</v>
      </c>
      <c r="P538" t="n">
        <v>0</v>
      </c>
      <c r="Q538" t="n">
        <v>2</v>
      </c>
      <c r="R538" s="2" t="inlineStr">
        <is>
          <t>Nordfladdermus
Fläcknycklar</t>
        </is>
      </c>
      <c r="S538">
        <f>HYPERLINK("https://klasma.github.io/Logging_2482/artfynd/A 55809-2020 artfynd.xlsx", "A 55809-2020")</f>
        <v/>
      </c>
      <c r="T538">
        <f>HYPERLINK("https://klasma.github.io/Logging_2482/kartor/A 55809-2020 karta.png", "A 55809-2020")</f>
        <v/>
      </c>
      <c r="V538">
        <f>HYPERLINK("https://klasma.github.io/Logging_2482/klagomål/A 55809-2020 FSC-klagomål.docx", "A 55809-2020")</f>
        <v/>
      </c>
      <c r="W538">
        <f>HYPERLINK("https://klasma.github.io/Logging_2482/klagomålsmail/A 55809-2020 FSC-klagomål mail.docx", "A 55809-2020")</f>
        <v/>
      </c>
      <c r="X538">
        <f>HYPERLINK("https://klasma.github.io/Logging_2482/tillsyn/A 55809-2020 tillsynsbegäran.docx", "A 55809-2020")</f>
        <v/>
      </c>
      <c r="Y538">
        <f>HYPERLINK("https://klasma.github.io/Logging_2482/tillsynsmail/A 55809-2020 tillsynsbegäran mail.docx", "A 55809-2020")</f>
        <v/>
      </c>
    </row>
    <row r="539" ht="15" customHeight="1">
      <c r="A539" t="inlineStr">
        <is>
          <t>A 57315-2020</t>
        </is>
      </c>
      <c r="B539" s="1" t="n">
        <v>44139</v>
      </c>
      <c r="C539" s="1" t="n">
        <v>45357</v>
      </c>
      <c r="D539" t="inlineStr">
        <is>
          <t>VÄSTERBOTTENS LÄN</t>
        </is>
      </c>
      <c r="E539" t="inlineStr">
        <is>
          <t>ÅSELE</t>
        </is>
      </c>
      <c r="G539" t="n">
        <v>10.7</v>
      </c>
      <c r="H539" t="n">
        <v>0</v>
      </c>
      <c r="I539" t="n">
        <v>0</v>
      </c>
      <c r="J539" t="n">
        <v>2</v>
      </c>
      <c r="K539" t="n">
        <v>0</v>
      </c>
      <c r="L539" t="n">
        <v>0</v>
      </c>
      <c r="M539" t="n">
        <v>0</v>
      </c>
      <c r="N539" t="n">
        <v>0</v>
      </c>
      <c r="O539" t="n">
        <v>2</v>
      </c>
      <c r="P539" t="n">
        <v>0</v>
      </c>
      <c r="Q539" t="n">
        <v>2</v>
      </c>
      <c r="R539" s="2" t="inlineStr">
        <is>
          <t>Gammelgransskål
Skrovellav</t>
        </is>
      </c>
      <c r="S539">
        <f>HYPERLINK("https://klasma.github.io/Logging_2463/artfynd/A 57315-2020 artfynd.xlsx", "A 57315-2020")</f>
        <v/>
      </c>
      <c r="T539">
        <f>HYPERLINK("https://klasma.github.io/Logging_2463/kartor/A 57315-2020 karta.png", "A 57315-2020")</f>
        <v/>
      </c>
      <c r="V539">
        <f>HYPERLINK("https://klasma.github.io/Logging_2463/klagomål/A 57315-2020 FSC-klagomål.docx", "A 57315-2020")</f>
        <v/>
      </c>
      <c r="W539">
        <f>HYPERLINK("https://klasma.github.io/Logging_2463/klagomålsmail/A 57315-2020 FSC-klagomål mail.docx", "A 57315-2020")</f>
        <v/>
      </c>
      <c r="X539">
        <f>HYPERLINK("https://klasma.github.io/Logging_2463/tillsyn/A 57315-2020 tillsynsbegäran.docx", "A 57315-2020")</f>
        <v/>
      </c>
      <c r="Y539">
        <f>HYPERLINK("https://klasma.github.io/Logging_2463/tillsynsmail/A 57315-2020 tillsynsbegäran mail.docx", "A 57315-2020")</f>
        <v/>
      </c>
    </row>
    <row r="540" ht="15" customHeight="1">
      <c r="A540" t="inlineStr">
        <is>
          <t>A 63236-2020</t>
        </is>
      </c>
      <c r="B540" s="1" t="n">
        <v>44163</v>
      </c>
      <c r="C540" s="1" t="n">
        <v>45357</v>
      </c>
      <c r="D540" t="inlineStr">
        <is>
          <t>VÄSTERBOTTENS LÄN</t>
        </is>
      </c>
      <c r="E540" t="inlineStr">
        <is>
          <t>ROBERTSFORS</t>
        </is>
      </c>
      <c r="F540" t="inlineStr">
        <is>
          <t>Sveaskog</t>
        </is>
      </c>
      <c r="G540" t="n">
        <v>0.7</v>
      </c>
      <c r="H540" t="n">
        <v>0</v>
      </c>
      <c r="I540" t="n">
        <v>0</v>
      </c>
      <c r="J540" t="n">
        <v>2</v>
      </c>
      <c r="K540" t="n">
        <v>0</v>
      </c>
      <c r="L540" t="n">
        <v>0</v>
      </c>
      <c r="M540" t="n">
        <v>0</v>
      </c>
      <c r="N540" t="n">
        <v>0</v>
      </c>
      <c r="O540" t="n">
        <v>2</v>
      </c>
      <c r="P540" t="n">
        <v>0</v>
      </c>
      <c r="Q540" t="n">
        <v>2</v>
      </c>
      <c r="R540" s="2" t="inlineStr">
        <is>
          <t>Gammelgransskål
Garnlav</t>
        </is>
      </c>
      <c r="S540">
        <f>HYPERLINK("https://klasma.github.io/Logging_2409/artfynd/A 63236-2020 artfynd.xlsx", "A 63236-2020")</f>
        <v/>
      </c>
      <c r="T540">
        <f>HYPERLINK("https://klasma.github.io/Logging_2409/kartor/A 63236-2020 karta.png", "A 63236-2020")</f>
        <v/>
      </c>
      <c r="V540">
        <f>HYPERLINK("https://klasma.github.io/Logging_2409/klagomål/A 63236-2020 FSC-klagomål.docx", "A 63236-2020")</f>
        <v/>
      </c>
      <c r="W540">
        <f>HYPERLINK("https://klasma.github.io/Logging_2409/klagomålsmail/A 63236-2020 FSC-klagomål mail.docx", "A 63236-2020")</f>
        <v/>
      </c>
      <c r="X540">
        <f>HYPERLINK("https://klasma.github.io/Logging_2409/tillsyn/A 63236-2020 tillsynsbegäran.docx", "A 63236-2020")</f>
        <v/>
      </c>
      <c r="Y540">
        <f>HYPERLINK("https://klasma.github.io/Logging_2409/tillsynsmail/A 63236-2020 tillsynsbegäran mail.docx", "A 63236-2020")</f>
        <v/>
      </c>
    </row>
    <row r="541" ht="15" customHeight="1">
      <c r="A541" t="inlineStr">
        <is>
          <t>A 64203-2020</t>
        </is>
      </c>
      <c r="B541" s="1" t="n">
        <v>44167</v>
      </c>
      <c r="C541" s="1" t="n">
        <v>45357</v>
      </c>
      <c r="D541" t="inlineStr">
        <is>
          <t>VÄSTERBOTTENS LÄN</t>
        </is>
      </c>
      <c r="E541" t="inlineStr">
        <is>
          <t>SKELLEFTEÅ</t>
        </is>
      </c>
      <c r="G541" t="n">
        <v>9.800000000000001</v>
      </c>
      <c r="H541" t="n">
        <v>2</v>
      </c>
      <c r="I541" t="n">
        <v>0</v>
      </c>
      <c r="J541" t="n">
        <v>0</v>
      </c>
      <c r="K541" t="n">
        <v>0</v>
      </c>
      <c r="L541" t="n">
        <v>0</v>
      </c>
      <c r="M541" t="n">
        <v>0</v>
      </c>
      <c r="N541" t="n">
        <v>0</v>
      </c>
      <c r="O541" t="n">
        <v>0</v>
      </c>
      <c r="P541" t="n">
        <v>0</v>
      </c>
      <c r="Q541" t="n">
        <v>2</v>
      </c>
      <c r="R541" s="2" t="inlineStr">
        <is>
          <t>Brudsporre
Fläcknycklar</t>
        </is>
      </c>
      <c r="S541">
        <f>HYPERLINK("https://klasma.github.io/Logging_2482/artfynd/A 64203-2020 artfynd.xlsx", "A 64203-2020")</f>
        <v/>
      </c>
      <c r="T541">
        <f>HYPERLINK("https://klasma.github.io/Logging_2482/kartor/A 64203-2020 karta.png", "A 64203-2020")</f>
        <v/>
      </c>
      <c r="V541">
        <f>HYPERLINK("https://klasma.github.io/Logging_2482/klagomål/A 64203-2020 FSC-klagomål.docx", "A 64203-2020")</f>
        <v/>
      </c>
      <c r="W541">
        <f>HYPERLINK("https://klasma.github.io/Logging_2482/klagomålsmail/A 64203-2020 FSC-klagomål mail.docx", "A 64203-2020")</f>
        <v/>
      </c>
      <c r="X541">
        <f>HYPERLINK("https://klasma.github.io/Logging_2482/tillsyn/A 64203-2020 tillsynsbegäran.docx", "A 64203-2020")</f>
        <v/>
      </c>
      <c r="Y541">
        <f>HYPERLINK("https://klasma.github.io/Logging_2482/tillsynsmail/A 64203-2020 tillsynsbegäran mail.docx", "A 64203-2020")</f>
        <v/>
      </c>
    </row>
    <row r="542" ht="15" customHeight="1">
      <c r="A542" t="inlineStr">
        <is>
          <t>A 69626-2020</t>
        </is>
      </c>
      <c r="B542" s="1" t="n">
        <v>44195</v>
      </c>
      <c r="C542" s="1" t="n">
        <v>45357</v>
      </c>
      <c r="D542" t="inlineStr">
        <is>
          <t>VÄSTERBOTTENS LÄN</t>
        </is>
      </c>
      <c r="E542" t="inlineStr">
        <is>
          <t>VILHELMINA</t>
        </is>
      </c>
      <c r="G542" t="n">
        <v>10.2</v>
      </c>
      <c r="H542" t="n">
        <v>2</v>
      </c>
      <c r="I542" t="n">
        <v>0</v>
      </c>
      <c r="J542" t="n">
        <v>2</v>
      </c>
      <c r="K542" t="n">
        <v>0</v>
      </c>
      <c r="L542" t="n">
        <v>0</v>
      </c>
      <c r="M542" t="n">
        <v>0</v>
      </c>
      <c r="N542" t="n">
        <v>0</v>
      </c>
      <c r="O542" t="n">
        <v>2</v>
      </c>
      <c r="P542" t="n">
        <v>0</v>
      </c>
      <c r="Q542" t="n">
        <v>2</v>
      </c>
      <c r="R542" s="2" t="inlineStr">
        <is>
          <t>Duvhök
Tretåig hackspett</t>
        </is>
      </c>
      <c r="S542">
        <f>HYPERLINK("https://klasma.github.io/Logging_2462/artfynd/A 69626-2020 artfynd.xlsx", "A 69626-2020")</f>
        <v/>
      </c>
      <c r="T542">
        <f>HYPERLINK("https://klasma.github.io/Logging_2462/kartor/A 69626-2020 karta.png", "A 69626-2020")</f>
        <v/>
      </c>
      <c r="V542">
        <f>HYPERLINK("https://klasma.github.io/Logging_2462/klagomål/A 69626-2020 FSC-klagomål.docx", "A 69626-2020")</f>
        <v/>
      </c>
      <c r="W542">
        <f>HYPERLINK("https://klasma.github.io/Logging_2462/klagomålsmail/A 69626-2020 FSC-klagomål mail.docx", "A 69626-2020")</f>
        <v/>
      </c>
      <c r="X542">
        <f>HYPERLINK("https://klasma.github.io/Logging_2462/tillsyn/A 69626-2020 tillsynsbegäran.docx", "A 69626-2020")</f>
        <v/>
      </c>
      <c r="Y542">
        <f>HYPERLINK("https://klasma.github.io/Logging_2462/tillsynsmail/A 69626-2020 tillsynsbegäran mail.docx", "A 69626-2020")</f>
        <v/>
      </c>
      <c r="Z542">
        <f>HYPERLINK("https://klasma.github.io/Logging_2462/fåglar/A 69626-2020 prioriterade fågelarter.docx", "A 69626-2020")</f>
        <v/>
      </c>
    </row>
    <row r="543" ht="15" customHeight="1">
      <c r="A543" t="inlineStr">
        <is>
          <t>A 1148-2021</t>
        </is>
      </c>
      <c r="B543" s="1" t="n">
        <v>44207</v>
      </c>
      <c r="C543" s="1" t="n">
        <v>45357</v>
      </c>
      <c r="D543" t="inlineStr">
        <is>
          <t>VÄSTERBOTTENS LÄN</t>
        </is>
      </c>
      <c r="E543" t="inlineStr">
        <is>
          <t>NORDMALING</t>
        </is>
      </c>
      <c r="G543" t="n">
        <v>6.8</v>
      </c>
      <c r="H543" t="n">
        <v>1</v>
      </c>
      <c r="I543" t="n">
        <v>0</v>
      </c>
      <c r="J543" t="n">
        <v>2</v>
      </c>
      <c r="K543" t="n">
        <v>0</v>
      </c>
      <c r="L543" t="n">
        <v>0</v>
      </c>
      <c r="M543" t="n">
        <v>0</v>
      </c>
      <c r="N543" t="n">
        <v>0</v>
      </c>
      <c r="O543" t="n">
        <v>2</v>
      </c>
      <c r="P543" t="n">
        <v>0</v>
      </c>
      <c r="Q543" t="n">
        <v>2</v>
      </c>
      <c r="R543" s="2" t="inlineStr">
        <is>
          <t>Spillkråka
Violettgrå tagellav</t>
        </is>
      </c>
      <c r="S543">
        <f>HYPERLINK("https://klasma.github.io/Logging_2401/artfynd/A 1148-2021 artfynd.xlsx", "A 1148-2021")</f>
        <v/>
      </c>
      <c r="T543">
        <f>HYPERLINK("https://klasma.github.io/Logging_2401/kartor/A 1148-2021 karta.png", "A 1148-2021")</f>
        <v/>
      </c>
      <c r="V543">
        <f>HYPERLINK("https://klasma.github.io/Logging_2401/klagomål/A 1148-2021 FSC-klagomål.docx", "A 1148-2021")</f>
        <v/>
      </c>
      <c r="W543">
        <f>HYPERLINK("https://klasma.github.io/Logging_2401/klagomålsmail/A 1148-2021 FSC-klagomål mail.docx", "A 1148-2021")</f>
        <v/>
      </c>
      <c r="X543">
        <f>HYPERLINK("https://klasma.github.io/Logging_2401/tillsyn/A 1148-2021 tillsynsbegäran.docx", "A 1148-2021")</f>
        <v/>
      </c>
      <c r="Y543">
        <f>HYPERLINK("https://klasma.github.io/Logging_2401/tillsynsmail/A 1148-2021 tillsynsbegäran mail.docx", "A 1148-2021")</f>
        <v/>
      </c>
      <c r="Z543">
        <f>HYPERLINK("https://klasma.github.io/Logging_2401/fåglar/A 1148-2021 prioriterade fågelarter.docx", "A 1148-2021")</f>
        <v/>
      </c>
    </row>
    <row r="544" ht="15" customHeight="1">
      <c r="A544" t="inlineStr">
        <is>
          <t>A 6704-2021</t>
        </is>
      </c>
      <c r="B544" s="1" t="n">
        <v>44235</v>
      </c>
      <c r="C544" s="1" t="n">
        <v>45357</v>
      </c>
      <c r="D544" t="inlineStr">
        <is>
          <t>VÄSTERBOTTENS LÄN</t>
        </is>
      </c>
      <c r="E544" t="inlineStr">
        <is>
          <t>VILHELMINA</t>
        </is>
      </c>
      <c r="G544" t="n">
        <v>14.5</v>
      </c>
      <c r="H544" t="n">
        <v>1</v>
      </c>
      <c r="I544" t="n">
        <v>1</v>
      </c>
      <c r="J544" t="n">
        <v>1</v>
      </c>
      <c r="K544" t="n">
        <v>0</v>
      </c>
      <c r="L544" t="n">
        <v>0</v>
      </c>
      <c r="M544" t="n">
        <v>0</v>
      </c>
      <c r="N544" t="n">
        <v>0</v>
      </c>
      <c r="O544" t="n">
        <v>1</v>
      </c>
      <c r="P544" t="n">
        <v>0</v>
      </c>
      <c r="Q544" t="n">
        <v>2</v>
      </c>
      <c r="R544" s="2" t="inlineStr">
        <is>
          <t>Tretåig hackspett
Trådticka</t>
        </is>
      </c>
      <c r="S544">
        <f>HYPERLINK("https://klasma.github.io/Logging_2462/artfynd/A 6704-2021 artfynd.xlsx", "A 6704-2021")</f>
        <v/>
      </c>
      <c r="T544">
        <f>HYPERLINK("https://klasma.github.io/Logging_2462/kartor/A 6704-2021 karta.png", "A 6704-2021")</f>
        <v/>
      </c>
      <c r="V544">
        <f>HYPERLINK("https://klasma.github.io/Logging_2462/klagomål/A 6704-2021 FSC-klagomål.docx", "A 6704-2021")</f>
        <v/>
      </c>
      <c r="W544">
        <f>HYPERLINK("https://klasma.github.io/Logging_2462/klagomålsmail/A 6704-2021 FSC-klagomål mail.docx", "A 6704-2021")</f>
        <v/>
      </c>
      <c r="X544">
        <f>HYPERLINK("https://klasma.github.io/Logging_2462/tillsyn/A 6704-2021 tillsynsbegäran.docx", "A 6704-2021")</f>
        <v/>
      </c>
      <c r="Y544">
        <f>HYPERLINK("https://klasma.github.io/Logging_2462/tillsynsmail/A 6704-2021 tillsynsbegäran mail.docx", "A 6704-2021")</f>
        <v/>
      </c>
      <c r="Z544">
        <f>HYPERLINK("https://klasma.github.io/Logging_2462/fåglar/A 6704-2021 prioriterade fågelarter.docx", "A 6704-2021")</f>
        <v/>
      </c>
    </row>
    <row r="545" ht="15" customHeight="1">
      <c r="A545" t="inlineStr">
        <is>
          <t>A 15662-2021</t>
        </is>
      </c>
      <c r="B545" s="1" t="n">
        <v>44286</v>
      </c>
      <c r="C545" s="1" t="n">
        <v>45357</v>
      </c>
      <c r="D545" t="inlineStr">
        <is>
          <t>VÄSTERBOTTENS LÄN</t>
        </is>
      </c>
      <c r="E545" t="inlineStr">
        <is>
          <t>LYCKSELE</t>
        </is>
      </c>
      <c r="F545" t="inlineStr">
        <is>
          <t>Sveaskog</t>
        </is>
      </c>
      <c r="G545" t="n">
        <v>3.4</v>
      </c>
      <c r="H545" t="n">
        <v>0</v>
      </c>
      <c r="I545" t="n">
        <v>0</v>
      </c>
      <c r="J545" t="n">
        <v>2</v>
      </c>
      <c r="K545" t="n">
        <v>0</v>
      </c>
      <c r="L545" t="n">
        <v>0</v>
      </c>
      <c r="M545" t="n">
        <v>0</v>
      </c>
      <c r="N545" t="n">
        <v>0</v>
      </c>
      <c r="O545" t="n">
        <v>2</v>
      </c>
      <c r="P545" t="n">
        <v>0</v>
      </c>
      <c r="Q545" t="n">
        <v>2</v>
      </c>
      <c r="R545" s="2" t="inlineStr">
        <is>
          <t>Lunglav
Reliktbock</t>
        </is>
      </c>
      <c r="S545">
        <f>HYPERLINK("https://klasma.github.io/Logging_2481/artfynd/A 15662-2021 artfynd.xlsx", "A 15662-2021")</f>
        <v/>
      </c>
      <c r="T545">
        <f>HYPERLINK("https://klasma.github.io/Logging_2481/kartor/A 15662-2021 karta.png", "A 15662-2021")</f>
        <v/>
      </c>
      <c r="V545">
        <f>HYPERLINK("https://klasma.github.io/Logging_2481/klagomål/A 15662-2021 FSC-klagomål.docx", "A 15662-2021")</f>
        <v/>
      </c>
      <c r="W545">
        <f>HYPERLINK("https://klasma.github.io/Logging_2481/klagomålsmail/A 15662-2021 FSC-klagomål mail.docx", "A 15662-2021")</f>
        <v/>
      </c>
      <c r="X545">
        <f>HYPERLINK("https://klasma.github.io/Logging_2481/tillsyn/A 15662-2021 tillsynsbegäran.docx", "A 15662-2021")</f>
        <v/>
      </c>
      <c r="Y545">
        <f>HYPERLINK("https://klasma.github.io/Logging_2481/tillsynsmail/A 15662-2021 tillsynsbegäran mail.docx", "A 15662-2021")</f>
        <v/>
      </c>
    </row>
    <row r="546" ht="15" customHeight="1">
      <c r="A546" t="inlineStr">
        <is>
          <t>A 19234-2021</t>
        </is>
      </c>
      <c r="B546" s="1" t="n">
        <v>44309</v>
      </c>
      <c r="C546" s="1" t="n">
        <v>45357</v>
      </c>
      <c r="D546" t="inlineStr">
        <is>
          <t>VÄSTERBOTTENS LÄN</t>
        </is>
      </c>
      <c r="E546" t="inlineStr">
        <is>
          <t>VILHELMINA</t>
        </is>
      </c>
      <c r="F546" t="inlineStr">
        <is>
          <t>Övriga Aktiebolag</t>
        </is>
      </c>
      <c r="G546" t="n">
        <v>12</v>
      </c>
      <c r="H546" t="n">
        <v>0</v>
      </c>
      <c r="I546" t="n">
        <v>0</v>
      </c>
      <c r="J546" t="n">
        <v>2</v>
      </c>
      <c r="K546" t="n">
        <v>0</v>
      </c>
      <c r="L546" t="n">
        <v>0</v>
      </c>
      <c r="M546" t="n">
        <v>0</v>
      </c>
      <c r="N546" t="n">
        <v>0</v>
      </c>
      <c r="O546" t="n">
        <v>2</v>
      </c>
      <c r="P546" t="n">
        <v>0</v>
      </c>
      <c r="Q546" t="n">
        <v>2</v>
      </c>
      <c r="R546" s="2" t="inlineStr">
        <is>
          <t>Granticka
Harticka</t>
        </is>
      </c>
      <c r="S546">
        <f>HYPERLINK("https://klasma.github.io/Logging_2462/artfynd/A 19234-2021 artfynd.xlsx", "A 19234-2021")</f>
        <v/>
      </c>
      <c r="T546">
        <f>HYPERLINK("https://klasma.github.io/Logging_2462/kartor/A 19234-2021 karta.png", "A 19234-2021")</f>
        <v/>
      </c>
      <c r="V546">
        <f>HYPERLINK("https://klasma.github.io/Logging_2462/klagomål/A 19234-2021 FSC-klagomål.docx", "A 19234-2021")</f>
        <v/>
      </c>
      <c r="W546">
        <f>HYPERLINK("https://klasma.github.io/Logging_2462/klagomålsmail/A 19234-2021 FSC-klagomål mail.docx", "A 19234-2021")</f>
        <v/>
      </c>
      <c r="X546">
        <f>HYPERLINK("https://klasma.github.io/Logging_2462/tillsyn/A 19234-2021 tillsynsbegäran.docx", "A 19234-2021")</f>
        <v/>
      </c>
      <c r="Y546">
        <f>HYPERLINK("https://klasma.github.io/Logging_2462/tillsynsmail/A 19234-2021 tillsynsbegäran mail.docx", "A 19234-2021")</f>
        <v/>
      </c>
    </row>
    <row r="547" ht="15" customHeight="1">
      <c r="A547" t="inlineStr">
        <is>
          <t>A 29352-2021</t>
        </is>
      </c>
      <c r="B547" s="1" t="n">
        <v>44361</v>
      </c>
      <c r="C547" s="1" t="n">
        <v>45357</v>
      </c>
      <c r="D547" t="inlineStr">
        <is>
          <t>VÄSTERBOTTENS LÄN</t>
        </is>
      </c>
      <c r="E547" t="inlineStr">
        <is>
          <t>STORUMAN</t>
        </is>
      </c>
      <c r="F547" t="inlineStr">
        <is>
          <t>Sveaskog</t>
        </is>
      </c>
      <c r="G547" t="n">
        <v>5.4</v>
      </c>
      <c r="H547" t="n">
        <v>0</v>
      </c>
      <c r="I547" t="n">
        <v>1</v>
      </c>
      <c r="J547" t="n">
        <v>1</v>
      </c>
      <c r="K547" t="n">
        <v>0</v>
      </c>
      <c r="L547" t="n">
        <v>0</v>
      </c>
      <c r="M547" t="n">
        <v>0</v>
      </c>
      <c r="N547" t="n">
        <v>0</v>
      </c>
      <c r="O547" t="n">
        <v>1</v>
      </c>
      <c r="P547" t="n">
        <v>0</v>
      </c>
      <c r="Q547" t="n">
        <v>2</v>
      </c>
      <c r="R547" s="2" t="inlineStr">
        <is>
          <t>Lunglav
Stuplav</t>
        </is>
      </c>
      <c r="S547">
        <f>HYPERLINK("https://klasma.github.io/Logging_2421/artfynd/A 29352-2021 artfynd.xlsx", "A 29352-2021")</f>
        <v/>
      </c>
      <c r="T547">
        <f>HYPERLINK("https://klasma.github.io/Logging_2421/kartor/A 29352-2021 karta.png", "A 29352-2021")</f>
        <v/>
      </c>
      <c r="V547">
        <f>HYPERLINK("https://klasma.github.io/Logging_2421/klagomål/A 29352-2021 FSC-klagomål.docx", "A 29352-2021")</f>
        <v/>
      </c>
      <c r="W547">
        <f>HYPERLINK("https://klasma.github.io/Logging_2421/klagomålsmail/A 29352-2021 FSC-klagomål mail.docx", "A 29352-2021")</f>
        <v/>
      </c>
      <c r="X547">
        <f>HYPERLINK("https://klasma.github.io/Logging_2421/tillsyn/A 29352-2021 tillsynsbegäran.docx", "A 29352-2021")</f>
        <v/>
      </c>
      <c r="Y547">
        <f>HYPERLINK("https://klasma.github.io/Logging_2421/tillsynsmail/A 29352-2021 tillsynsbegäran mail.docx", "A 29352-2021")</f>
        <v/>
      </c>
    </row>
    <row r="548" ht="15" customHeight="1">
      <c r="A548" t="inlineStr">
        <is>
          <t>A 35297-2021</t>
        </is>
      </c>
      <c r="B548" s="1" t="n">
        <v>44384</v>
      </c>
      <c r="C548" s="1" t="n">
        <v>45357</v>
      </c>
      <c r="D548" t="inlineStr">
        <is>
          <t>VÄSTERBOTTENS LÄN</t>
        </is>
      </c>
      <c r="E548" t="inlineStr">
        <is>
          <t>UMEÅ</t>
        </is>
      </c>
      <c r="G548" t="n">
        <v>8</v>
      </c>
      <c r="H548" t="n">
        <v>0</v>
      </c>
      <c r="I548" t="n">
        <v>1</v>
      </c>
      <c r="J548" t="n">
        <v>0</v>
      </c>
      <c r="K548" t="n">
        <v>1</v>
      </c>
      <c r="L548" t="n">
        <v>0</v>
      </c>
      <c r="M548" t="n">
        <v>0</v>
      </c>
      <c r="N548" t="n">
        <v>0</v>
      </c>
      <c r="O548" t="n">
        <v>1</v>
      </c>
      <c r="P548" t="n">
        <v>1</v>
      </c>
      <c r="Q548" t="n">
        <v>2</v>
      </c>
      <c r="R548" s="2" t="inlineStr">
        <is>
          <t>Aspgelélav
Stuplav</t>
        </is>
      </c>
      <c r="S548">
        <f>HYPERLINK("https://klasma.github.io/Logging_2480/artfynd/A 35297-2021 artfynd.xlsx", "A 35297-2021")</f>
        <v/>
      </c>
      <c r="T548">
        <f>HYPERLINK("https://klasma.github.io/Logging_2480/kartor/A 35297-2021 karta.png", "A 35297-2021")</f>
        <v/>
      </c>
      <c r="V548">
        <f>HYPERLINK("https://klasma.github.io/Logging_2480/klagomål/A 35297-2021 FSC-klagomål.docx", "A 35297-2021")</f>
        <v/>
      </c>
      <c r="W548">
        <f>HYPERLINK("https://klasma.github.io/Logging_2480/klagomålsmail/A 35297-2021 FSC-klagomål mail.docx", "A 35297-2021")</f>
        <v/>
      </c>
      <c r="X548">
        <f>HYPERLINK("https://klasma.github.io/Logging_2480/tillsyn/A 35297-2021 tillsynsbegäran.docx", "A 35297-2021")</f>
        <v/>
      </c>
      <c r="Y548">
        <f>HYPERLINK("https://klasma.github.io/Logging_2480/tillsynsmail/A 35297-2021 tillsynsbegäran mail.docx", "A 35297-2021")</f>
        <v/>
      </c>
    </row>
    <row r="549" ht="15" customHeight="1">
      <c r="A549" t="inlineStr">
        <is>
          <t>A 35733-2021</t>
        </is>
      </c>
      <c r="B549" s="1" t="n">
        <v>44385</v>
      </c>
      <c r="C549" s="1" t="n">
        <v>45357</v>
      </c>
      <c r="D549" t="inlineStr">
        <is>
          <t>VÄSTERBOTTENS LÄN</t>
        </is>
      </c>
      <c r="E549" t="inlineStr">
        <is>
          <t>SKELLEFTEÅ</t>
        </is>
      </c>
      <c r="G549" t="n">
        <v>0.9</v>
      </c>
      <c r="H549" t="n">
        <v>2</v>
      </c>
      <c r="I549" t="n">
        <v>0</v>
      </c>
      <c r="J549" t="n">
        <v>1</v>
      </c>
      <c r="K549" t="n">
        <v>0</v>
      </c>
      <c r="L549" t="n">
        <v>0</v>
      </c>
      <c r="M549" t="n">
        <v>0</v>
      </c>
      <c r="N549" t="n">
        <v>0</v>
      </c>
      <c r="O549" t="n">
        <v>1</v>
      </c>
      <c r="P549" t="n">
        <v>0</v>
      </c>
      <c r="Q549" t="n">
        <v>2</v>
      </c>
      <c r="R549" s="2" t="inlineStr">
        <is>
          <t>Spillkråka
Tjäder</t>
        </is>
      </c>
      <c r="S549">
        <f>HYPERLINK("https://klasma.github.io/Logging_2482/artfynd/A 35733-2021 artfynd.xlsx", "A 35733-2021")</f>
        <v/>
      </c>
      <c r="T549">
        <f>HYPERLINK("https://klasma.github.io/Logging_2482/kartor/A 35733-2021 karta.png", "A 35733-2021")</f>
        <v/>
      </c>
      <c r="V549">
        <f>HYPERLINK("https://klasma.github.io/Logging_2482/klagomål/A 35733-2021 FSC-klagomål.docx", "A 35733-2021")</f>
        <v/>
      </c>
      <c r="W549">
        <f>HYPERLINK("https://klasma.github.io/Logging_2482/klagomålsmail/A 35733-2021 FSC-klagomål mail.docx", "A 35733-2021")</f>
        <v/>
      </c>
      <c r="X549">
        <f>HYPERLINK("https://klasma.github.io/Logging_2482/tillsyn/A 35733-2021 tillsynsbegäran.docx", "A 35733-2021")</f>
        <v/>
      </c>
      <c r="Y549">
        <f>HYPERLINK("https://klasma.github.io/Logging_2482/tillsynsmail/A 35733-2021 tillsynsbegäran mail.docx", "A 35733-2021")</f>
        <v/>
      </c>
      <c r="Z549">
        <f>HYPERLINK("https://klasma.github.io/Logging_2482/fåglar/A 35733-2021 prioriterade fågelarter.docx", "A 35733-2021")</f>
        <v/>
      </c>
    </row>
    <row r="550" ht="15" customHeight="1">
      <c r="A550" t="inlineStr">
        <is>
          <t>A 35585-2021</t>
        </is>
      </c>
      <c r="B550" s="1" t="n">
        <v>44386</v>
      </c>
      <c r="C550" s="1" t="n">
        <v>45357</v>
      </c>
      <c r="D550" t="inlineStr">
        <is>
          <t>VÄSTERBOTTENS LÄN</t>
        </is>
      </c>
      <c r="E550" t="inlineStr">
        <is>
          <t>SKELLEFTEÅ</t>
        </is>
      </c>
      <c r="F550" t="inlineStr">
        <is>
          <t>Holmen skog AB</t>
        </is>
      </c>
      <c r="G550" t="n">
        <v>8.4</v>
      </c>
      <c r="H550" t="n">
        <v>0</v>
      </c>
      <c r="I550" t="n">
        <v>0</v>
      </c>
      <c r="J550" t="n">
        <v>2</v>
      </c>
      <c r="K550" t="n">
        <v>0</v>
      </c>
      <c r="L550" t="n">
        <v>0</v>
      </c>
      <c r="M550" t="n">
        <v>0</v>
      </c>
      <c r="N550" t="n">
        <v>0</v>
      </c>
      <c r="O550" t="n">
        <v>2</v>
      </c>
      <c r="P550" t="n">
        <v>0</v>
      </c>
      <c r="Q550" t="n">
        <v>2</v>
      </c>
      <c r="R550" s="2" t="inlineStr">
        <is>
          <t>Garnlav
Ullticka</t>
        </is>
      </c>
      <c r="S550">
        <f>HYPERLINK("https://klasma.github.io/Logging_2482/artfynd/A 35585-2021 artfynd.xlsx", "A 35585-2021")</f>
        <v/>
      </c>
      <c r="T550">
        <f>HYPERLINK("https://klasma.github.io/Logging_2482/kartor/A 35585-2021 karta.png", "A 35585-2021")</f>
        <v/>
      </c>
      <c r="V550">
        <f>HYPERLINK("https://klasma.github.io/Logging_2482/klagomål/A 35585-2021 FSC-klagomål.docx", "A 35585-2021")</f>
        <v/>
      </c>
      <c r="W550">
        <f>HYPERLINK("https://klasma.github.io/Logging_2482/klagomålsmail/A 35585-2021 FSC-klagomål mail.docx", "A 35585-2021")</f>
        <v/>
      </c>
      <c r="X550">
        <f>HYPERLINK("https://klasma.github.io/Logging_2482/tillsyn/A 35585-2021 tillsynsbegäran.docx", "A 35585-2021")</f>
        <v/>
      </c>
      <c r="Y550">
        <f>HYPERLINK("https://klasma.github.io/Logging_2482/tillsynsmail/A 35585-2021 tillsynsbegäran mail.docx", "A 35585-2021")</f>
        <v/>
      </c>
    </row>
    <row r="551" ht="15" customHeight="1">
      <c r="A551" t="inlineStr">
        <is>
          <t>A 37593-2021</t>
        </is>
      </c>
      <c r="B551" s="1" t="n">
        <v>44399</v>
      </c>
      <c r="C551" s="1" t="n">
        <v>45357</v>
      </c>
      <c r="D551" t="inlineStr">
        <is>
          <t>VÄSTERBOTTENS LÄN</t>
        </is>
      </c>
      <c r="E551" t="inlineStr">
        <is>
          <t>LYCKSELE</t>
        </is>
      </c>
      <c r="F551" t="inlineStr">
        <is>
          <t>Holmen skog AB</t>
        </is>
      </c>
      <c r="G551" t="n">
        <v>10.5</v>
      </c>
      <c r="H551" t="n">
        <v>2</v>
      </c>
      <c r="I551" t="n">
        <v>0</v>
      </c>
      <c r="J551" t="n">
        <v>2</v>
      </c>
      <c r="K551" t="n">
        <v>0</v>
      </c>
      <c r="L551" t="n">
        <v>0</v>
      </c>
      <c r="M551" t="n">
        <v>0</v>
      </c>
      <c r="N551" t="n">
        <v>0</v>
      </c>
      <c r="O551" t="n">
        <v>2</v>
      </c>
      <c r="P551" t="n">
        <v>0</v>
      </c>
      <c r="Q551" t="n">
        <v>2</v>
      </c>
      <c r="R551" s="2" t="inlineStr">
        <is>
          <t>Järpe
Tretåig hackspett</t>
        </is>
      </c>
      <c r="S551">
        <f>HYPERLINK("https://klasma.github.io/Logging_2481/artfynd/A 37593-2021 artfynd.xlsx", "A 37593-2021")</f>
        <v/>
      </c>
      <c r="T551">
        <f>HYPERLINK("https://klasma.github.io/Logging_2481/kartor/A 37593-2021 karta.png", "A 37593-2021")</f>
        <v/>
      </c>
      <c r="V551">
        <f>HYPERLINK("https://klasma.github.io/Logging_2481/klagomål/A 37593-2021 FSC-klagomål.docx", "A 37593-2021")</f>
        <v/>
      </c>
      <c r="W551">
        <f>HYPERLINK("https://klasma.github.io/Logging_2481/klagomålsmail/A 37593-2021 FSC-klagomål mail.docx", "A 37593-2021")</f>
        <v/>
      </c>
      <c r="X551">
        <f>HYPERLINK("https://klasma.github.io/Logging_2481/tillsyn/A 37593-2021 tillsynsbegäran.docx", "A 37593-2021")</f>
        <v/>
      </c>
      <c r="Y551">
        <f>HYPERLINK("https://klasma.github.io/Logging_2481/tillsynsmail/A 37593-2021 tillsynsbegäran mail.docx", "A 37593-2021")</f>
        <v/>
      </c>
      <c r="Z551">
        <f>HYPERLINK("https://klasma.github.io/Logging_2481/fåglar/A 37593-2021 prioriterade fågelarter.docx", "A 37593-2021")</f>
        <v/>
      </c>
    </row>
    <row r="552" ht="15" customHeight="1">
      <c r="A552" t="inlineStr">
        <is>
          <t>A 37785-2021</t>
        </is>
      </c>
      <c r="B552" s="1" t="n">
        <v>44401</v>
      </c>
      <c r="C552" s="1" t="n">
        <v>45357</v>
      </c>
      <c r="D552" t="inlineStr">
        <is>
          <t>VÄSTERBOTTENS LÄN</t>
        </is>
      </c>
      <c r="E552" t="inlineStr">
        <is>
          <t>VILHELMINA</t>
        </is>
      </c>
      <c r="G552" t="n">
        <v>51.5</v>
      </c>
      <c r="H552" t="n">
        <v>1</v>
      </c>
      <c r="I552" t="n">
        <v>0</v>
      </c>
      <c r="J552" t="n">
        <v>1</v>
      </c>
      <c r="K552" t="n">
        <v>0</v>
      </c>
      <c r="L552" t="n">
        <v>0</v>
      </c>
      <c r="M552" t="n">
        <v>0</v>
      </c>
      <c r="N552" t="n">
        <v>0</v>
      </c>
      <c r="O552" t="n">
        <v>1</v>
      </c>
      <c r="P552" t="n">
        <v>0</v>
      </c>
      <c r="Q552" t="n">
        <v>2</v>
      </c>
      <c r="R552" s="2" t="inlineStr">
        <is>
          <t>Ullticka
Fläcknycklar</t>
        </is>
      </c>
      <c r="S552">
        <f>HYPERLINK("https://klasma.github.io/Logging_2462/artfynd/A 37785-2021 artfynd.xlsx", "A 37785-2021")</f>
        <v/>
      </c>
      <c r="T552">
        <f>HYPERLINK("https://klasma.github.io/Logging_2462/kartor/A 37785-2021 karta.png", "A 37785-2021")</f>
        <v/>
      </c>
      <c r="V552">
        <f>HYPERLINK("https://klasma.github.io/Logging_2462/klagomål/A 37785-2021 FSC-klagomål.docx", "A 37785-2021")</f>
        <v/>
      </c>
      <c r="W552">
        <f>HYPERLINK("https://klasma.github.io/Logging_2462/klagomålsmail/A 37785-2021 FSC-klagomål mail.docx", "A 37785-2021")</f>
        <v/>
      </c>
      <c r="X552">
        <f>HYPERLINK("https://klasma.github.io/Logging_2462/tillsyn/A 37785-2021 tillsynsbegäran.docx", "A 37785-2021")</f>
        <v/>
      </c>
      <c r="Y552">
        <f>HYPERLINK("https://klasma.github.io/Logging_2462/tillsynsmail/A 37785-2021 tillsynsbegäran mail.docx", "A 37785-2021")</f>
        <v/>
      </c>
    </row>
    <row r="553" ht="15" customHeight="1">
      <c r="A553" t="inlineStr">
        <is>
          <t>A 38400-2021</t>
        </is>
      </c>
      <c r="B553" s="1" t="n">
        <v>44406</v>
      </c>
      <c r="C553" s="1" t="n">
        <v>45357</v>
      </c>
      <c r="D553" t="inlineStr">
        <is>
          <t>VÄSTERBOTTENS LÄN</t>
        </is>
      </c>
      <c r="E553" t="inlineStr">
        <is>
          <t>UMEÅ</t>
        </is>
      </c>
      <c r="F553" t="inlineStr">
        <is>
          <t>Kommuner</t>
        </is>
      </c>
      <c r="G553" t="n">
        <v>2.5</v>
      </c>
      <c r="H553" t="n">
        <v>0</v>
      </c>
      <c r="I553" t="n">
        <v>0</v>
      </c>
      <c r="J553" t="n">
        <v>2</v>
      </c>
      <c r="K553" t="n">
        <v>0</v>
      </c>
      <c r="L553" t="n">
        <v>0</v>
      </c>
      <c r="M553" t="n">
        <v>0</v>
      </c>
      <c r="N553" t="n">
        <v>0</v>
      </c>
      <c r="O553" t="n">
        <v>2</v>
      </c>
      <c r="P553" t="n">
        <v>0</v>
      </c>
      <c r="Q553" t="n">
        <v>2</v>
      </c>
      <c r="R553" s="2" t="inlineStr">
        <is>
          <t>Epuraea oblonga
Gulbandad brunbagge</t>
        </is>
      </c>
      <c r="S553">
        <f>HYPERLINK("https://klasma.github.io/Logging_2480/artfynd/A 38400-2021 artfynd.xlsx", "A 38400-2021")</f>
        <v/>
      </c>
      <c r="T553">
        <f>HYPERLINK("https://klasma.github.io/Logging_2480/kartor/A 38400-2021 karta.png", "A 38400-2021")</f>
        <v/>
      </c>
      <c r="V553">
        <f>HYPERLINK("https://klasma.github.io/Logging_2480/klagomål/A 38400-2021 FSC-klagomål.docx", "A 38400-2021")</f>
        <v/>
      </c>
      <c r="W553">
        <f>HYPERLINK("https://klasma.github.io/Logging_2480/klagomålsmail/A 38400-2021 FSC-klagomål mail.docx", "A 38400-2021")</f>
        <v/>
      </c>
      <c r="X553">
        <f>HYPERLINK("https://klasma.github.io/Logging_2480/tillsyn/A 38400-2021 tillsynsbegäran.docx", "A 38400-2021")</f>
        <v/>
      </c>
      <c r="Y553">
        <f>HYPERLINK("https://klasma.github.io/Logging_2480/tillsynsmail/A 38400-2021 tillsynsbegäran mail.docx", "A 38400-2021")</f>
        <v/>
      </c>
    </row>
    <row r="554" ht="15" customHeight="1">
      <c r="A554" t="inlineStr">
        <is>
          <t>A 38440-2021</t>
        </is>
      </c>
      <c r="B554" s="1" t="n">
        <v>44406</v>
      </c>
      <c r="C554" s="1" t="n">
        <v>45357</v>
      </c>
      <c r="D554" t="inlineStr">
        <is>
          <t>VÄSTERBOTTENS LÄN</t>
        </is>
      </c>
      <c r="E554" t="inlineStr">
        <is>
          <t>UMEÅ</t>
        </is>
      </c>
      <c r="F554" t="inlineStr">
        <is>
          <t>Kommuner</t>
        </is>
      </c>
      <c r="G554" t="n">
        <v>2.6</v>
      </c>
      <c r="H554" t="n">
        <v>2</v>
      </c>
      <c r="I554" t="n">
        <v>0</v>
      </c>
      <c r="J554" t="n">
        <v>1</v>
      </c>
      <c r="K554" t="n">
        <v>0</v>
      </c>
      <c r="L554" t="n">
        <v>0</v>
      </c>
      <c r="M554" t="n">
        <v>0</v>
      </c>
      <c r="N554" t="n">
        <v>0</v>
      </c>
      <c r="O554" t="n">
        <v>1</v>
      </c>
      <c r="P554" t="n">
        <v>0</v>
      </c>
      <c r="Q554" t="n">
        <v>2</v>
      </c>
      <c r="R554" s="2" t="inlineStr">
        <is>
          <t>Nordfladdermus
Vattenfladdermus</t>
        </is>
      </c>
      <c r="S554">
        <f>HYPERLINK("https://klasma.github.io/Logging_2480/artfynd/A 38440-2021 artfynd.xlsx", "A 38440-2021")</f>
        <v/>
      </c>
      <c r="T554">
        <f>HYPERLINK("https://klasma.github.io/Logging_2480/kartor/A 38440-2021 karta.png", "A 38440-2021")</f>
        <v/>
      </c>
      <c r="V554">
        <f>HYPERLINK("https://klasma.github.io/Logging_2480/klagomål/A 38440-2021 FSC-klagomål.docx", "A 38440-2021")</f>
        <v/>
      </c>
      <c r="W554">
        <f>HYPERLINK("https://klasma.github.io/Logging_2480/klagomålsmail/A 38440-2021 FSC-klagomål mail.docx", "A 38440-2021")</f>
        <v/>
      </c>
      <c r="X554">
        <f>HYPERLINK("https://klasma.github.io/Logging_2480/tillsyn/A 38440-2021 tillsynsbegäran.docx", "A 38440-2021")</f>
        <v/>
      </c>
      <c r="Y554">
        <f>HYPERLINK("https://klasma.github.io/Logging_2480/tillsynsmail/A 38440-2021 tillsynsbegäran mail.docx", "A 38440-2021")</f>
        <v/>
      </c>
    </row>
    <row r="555" ht="15" customHeight="1">
      <c r="A555" t="inlineStr">
        <is>
          <t>A 38443-2021</t>
        </is>
      </c>
      <c r="B555" s="1" t="n">
        <v>44406</v>
      </c>
      <c r="C555" s="1" t="n">
        <v>45357</v>
      </c>
      <c r="D555" t="inlineStr">
        <is>
          <t>VÄSTERBOTTENS LÄN</t>
        </is>
      </c>
      <c r="E555" t="inlineStr">
        <is>
          <t>UMEÅ</t>
        </is>
      </c>
      <c r="F555" t="inlineStr">
        <is>
          <t>Kommuner</t>
        </is>
      </c>
      <c r="G555" t="n">
        <v>2.8</v>
      </c>
      <c r="H555" t="n">
        <v>0</v>
      </c>
      <c r="I555" t="n">
        <v>1</v>
      </c>
      <c r="J555" t="n">
        <v>1</v>
      </c>
      <c r="K555" t="n">
        <v>0</v>
      </c>
      <c r="L555" t="n">
        <v>0</v>
      </c>
      <c r="M555" t="n">
        <v>0</v>
      </c>
      <c r="N555" t="n">
        <v>0</v>
      </c>
      <c r="O555" t="n">
        <v>1</v>
      </c>
      <c r="P555" t="n">
        <v>0</v>
      </c>
      <c r="Q555" t="n">
        <v>2</v>
      </c>
      <c r="R555" s="2" t="inlineStr">
        <is>
          <t>Motaggsvamp
Skarp dropptaggsvamp</t>
        </is>
      </c>
      <c r="S555">
        <f>HYPERLINK("https://klasma.github.io/Logging_2480/artfynd/A 38443-2021 artfynd.xlsx", "A 38443-2021")</f>
        <v/>
      </c>
      <c r="T555">
        <f>HYPERLINK("https://klasma.github.io/Logging_2480/kartor/A 38443-2021 karta.png", "A 38443-2021")</f>
        <v/>
      </c>
      <c r="V555">
        <f>HYPERLINK("https://klasma.github.io/Logging_2480/klagomål/A 38443-2021 FSC-klagomål.docx", "A 38443-2021")</f>
        <v/>
      </c>
      <c r="W555">
        <f>HYPERLINK("https://klasma.github.io/Logging_2480/klagomålsmail/A 38443-2021 FSC-klagomål mail.docx", "A 38443-2021")</f>
        <v/>
      </c>
      <c r="X555">
        <f>HYPERLINK("https://klasma.github.io/Logging_2480/tillsyn/A 38443-2021 tillsynsbegäran.docx", "A 38443-2021")</f>
        <v/>
      </c>
      <c r="Y555">
        <f>HYPERLINK("https://klasma.github.io/Logging_2480/tillsynsmail/A 38443-2021 tillsynsbegäran mail.docx", "A 38443-2021")</f>
        <v/>
      </c>
    </row>
    <row r="556" ht="15" customHeight="1">
      <c r="A556" t="inlineStr">
        <is>
          <t>A 38689-2021</t>
        </is>
      </c>
      <c r="B556" s="1" t="n">
        <v>44407</v>
      </c>
      <c r="C556" s="1" t="n">
        <v>45357</v>
      </c>
      <c r="D556" t="inlineStr">
        <is>
          <t>VÄSTERBOTTENS LÄN</t>
        </is>
      </c>
      <c r="E556" t="inlineStr">
        <is>
          <t>UMEÅ</t>
        </is>
      </c>
      <c r="F556" t="inlineStr">
        <is>
          <t>Kommuner</t>
        </is>
      </c>
      <c r="G556" t="n">
        <v>1.4</v>
      </c>
      <c r="H556" t="n">
        <v>0</v>
      </c>
      <c r="I556" t="n">
        <v>0</v>
      </c>
      <c r="J556" t="n">
        <v>2</v>
      </c>
      <c r="K556" t="n">
        <v>0</v>
      </c>
      <c r="L556" t="n">
        <v>0</v>
      </c>
      <c r="M556" t="n">
        <v>0</v>
      </c>
      <c r="N556" t="n">
        <v>0</v>
      </c>
      <c r="O556" t="n">
        <v>2</v>
      </c>
      <c r="P556" t="n">
        <v>0</v>
      </c>
      <c r="Q556" t="n">
        <v>2</v>
      </c>
      <c r="R556" s="2" t="inlineStr">
        <is>
          <t>Gulbandad brunbagge
Rödhalsad vedsvampbagge</t>
        </is>
      </c>
      <c r="S556">
        <f>HYPERLINK("https://klasma.github.io/Logging_2480/artfynd/A 38689-2021 artfynd.xlsx", "A 38689-2021")</f>
        <v/>
      </c>
      <c r="T556">
        <f>HYPERLINK("https://klasma.github.io/Logging_2480/kartor/A 38689-2021 karta.png", "A 38689-2021")</f>
        <v/>
      </c>
      <c r="V556">
        <f>HYPERLINK("https://klasma.github.io/Logging_2480/klagomål/A 38689-2021 FSC-klagomål.docx", "A 38689-2021")</f>
        <v/>
      </c>
      <c r="W556">
        <f>HYPERLINK("https://klasma.github.io/Logging_2480/klagomålsmail/A 38689-2021 FSC-klagomål mail.docx", "A 38689-2021")</f>
        <v/>
      </c>
      <c r="X556">
        <f>HYPERLINK("https://klasma.github.io/Logging_2480/tillsyn/A 38689-2021 tillsynsbegäran.docx", "A 38689-2021")</f>
        <v/>
      </c>
      <c r="Y556">
        <f>HYPERLINK("https://klasma.github.io/Logging_2480/tillsynsmail/A 38689-2021 tillsynsbegäran mail.docx", "A 38689-2021")</f>
        <v/>
      </c>
    </row>
    <row r="557" ht="15" customHeight="1">
      <c r="A557" t="inlineStr">
        <is>
          <t>A 40652-2021</t>
        </is>
      </c>
      <c r="B557" s="1" t="n">
        <v>44420</v>
      </c>
      <c r="C557" s="1" t="n">
        <v>45357</v>
      </c>
      <c r="D557" t="inlineStr">
        <is>
          <t>VÄSTERBOTTENS LÄN</t>
        </is>
      </c>
      <c r="E557" t="inlineStr">
        <is>
          <t>STORUMAN</t>
        </is>
      </c>
      <c r="G557" t="n">
        <v>10</v>
      </c>
      <c r="H557" t="n">
        <v>2</v>
      </c>
      <c r="I557" t="n">
        <v>0</v>
      </c>
      <c r="J557" t="n">
        <v>1</v>
      </c>
      <c r="K557" t="n">
        <v>1</v>
      </c>
      <c r="L557" t="n">
        <v>0</v>
      </c>
      <c r="M557" t="n">
        <v>0</v>
      </c>
      <c r="N557" t="n">
        <v>0</v>
      </c>
      <c r="O557" t="n">
        <v>2</v>
      </c>
      <c r="P557" t="n">
        <v>1</v>
      </c>
      <c r="Q557" t="n">
        <v>2</v>
      </c>
      <c r="R557" s="2" t="inlineStr">
        <is>
          <t>Knärot
Tretåig hackspett</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40939-2021</t>
        </is>
      </c>
      <c r="B558" s="1" t="n">
        <v>44421</v>
      </c>
      <c r="C558" s="1" t="n">
        <v>45357</v>
      </c>
      <c r="D558" t="inlineStr">
        <is>
          <t>VÄSTERBOTTENS LÄN</t>
        </is>
      </c>
      <c r="E558" t="inlineStr">
        <is>
          <t>STORUMAN</t>
        </is>
      </c>
      <c r="G558" t="n">
        <v>4.8</v>
      </c>
      <c r="H558" t="n">
        <v>1</v>
      </c>
      <c r="I558" t="n">
        <v>0</v>
      </c>
      <c r="J558" t="n">
        <v>1</v>
      </c>
      <c r="K558" t="n">
        <v>1</v>
      </c>
      <c r="L558" t="n">
        <v>0</v>
      </c>
      <c r="M558" t="n">
        <v>0</v>
      </c>
      <c r="N558" t="n">
        <v>0</v>
      </c>
      <c r="O558" t="n">
        <v>2</v>
      </c>
      <c r="P558" t="n">
        <v>1</v>
      </c>
      <c r="Q558" t="n">
        <v>2</v>
      </c>
      <c r="R558" s="2" t="inlineStr">
        <is>
          <t>Knärot
Lunglav</t>
        </is>
      </c>
      <c r="S558">
        <f>HYPERLINK("https://klasma.github.io/Logging_2421/artfynd/A 40939-2021 artfynd.xlsx", "A 40939-2021")</f>
        <v/>
      </c>
      <c r="T558">
        <f>HYPERLINK("https://klasma.github.io/Logging_2421/kartor/A 40939-2021 karta.png", "A 40939-2021")</f>
        <v/>
      </c>
      <c r="U558">
        <f>HYPERLINK("https://klasma.github.io/Logging_2421/knärot/A 40939-2021 karta knärot.png", "A 40939-2021")</f>
        <v/>
      </c>
      <c r="V558">
        <f>HYPERLINK("https://klasma.github.io/Logging_2421/klagomål/A 40939-2021 FSC-klagomål.docx", "A 40939-2021")</f>
        <v/>
      </c>
      <c r="W558">
        <f>HYPERLINK("https://klasma.github.io/Logging_2421/klagomålsmail/A 40939-2021 FSC-klagomål mail.docx", "A 40939-2021")</f>
        <v/>
      </c>
      <c r="X558">
        <f>HYPERLINK("https://klasma.github.io/Logging_2421/tillsyn/A 40939-2021 tillsynsbegäran.docx", "A 40939-2021")</f>
        <v/>
      </c>
      <c r="Y558">
        <f>HYPERLINK("https://klasma.github.io/Logging_2421/tillsynsmail/A 40939-2021 tillsynsbegäran mail.docx", "A 40939-2021")</f>
        <v/>
      </c>
    </row>
    <row r="559" ht="15" customHeight="1">
      <c r="A559" t="inlineStr">
        <is>
          <t>A 43265-2021</t>
        </is>
      </c>
      <c r="B559" s="1" t="n">
        <v>44432</v>
      </c>
      <c r="C559" s="1" t="n">
        <v>45357</v>
      </c>
      <c r="D559" t="inlineStr">
        <is>
          <t>VÄSTERBOTTENS LÄN</t>
        </is>
      </c>
      <c r="E559" t="inlineStr">
        <is>
          <t>SORSELE</t>
        </is>
      </c>
      <c r="G559" t="n">
        <v>38.3</v>
      </c>
      <c r="H559" t="n">
        <v>1</v>
      </c>
      <c r="I559" t="n">
        <v>0</v>
      </c>
      <c r="J559" t="n">
        <v>1</v>
      </c>
      <c r="K559" t="n">
        <v>0</v>
      </c>
      <c r="L559" t="n">
        <v>0</v>
      </c>
      <c r="M559" t="n">
        <v>0</v>
      </c>
      <c r="N559" t="n">
        <v>0</v>
      </c>
      <c r="O559" t="n">
        <v>1</v>
      </c>
      <c r="P559" t="n">
        <v>0</v>
      </c>
      <c r="Q559" t="n">
        <v>2</v>
      </c>
      <c r="R559" s="2" t="inlineStr">
        <is>
          <t>Garnlav
Fläcknycklar</t>
        </is>
      </c>
      <c r="S559">
        <f>HYPERLINK("https://klasma.github.io/Logging_2422/artfynd/A 43265-2021 artfynd.xlsx", "A 43265-2021")</f>
        <v/>
      </c>
      <c r="T559">
        <f>HYPERLINK("https://klasma.github.io/Logging_2422/kartor/A 43265-2021 karta.png", "A 43265-2021")</f>
        <v/>
      </c>
      <c r="V559">
        <f>HYPERLINK("https://klasma.github.io/Logging_2422/klagomål/A 43265-2021 FSC-klagomål.docx", "A 43265-2021")</f>
        <v/>
      </c>
      <c r="W559">
        <f>HYPERLINK("https://klasma.github.io/Logging_2422/klagomålsmail/A 43265-2021 FSC-klagomål mail.docx", "A 43265-2021")</f>
        <v/>
      </c>
      <c r="X559">
        <f>HYPERLINK("https://klasma.github.io/Logging_2422/tillsyn/A 43265-2021 tillsynsbegäran.docx", "A 43265-2021")</f>
        <v/>
      </c>
      <c r="Y559">
        <f>HYPERLINK("https://klasma.github.io/Logging_2422/tillsynsmail/A 43265-2021 tillsynsbegäran mail.docx", "A 43265-2021")</f>
        <v/>
      </c>
    </row>
    <row r="560" ht="15" customHeight="1">
      <c r="A560" t="inlineStr">
        <is>
          <t>A 52101-2021</t>
        </is>
      </c>
      <c r="B560" s="1" t="n">
        <v>44463</v>
      </c>
      <c r="C560" s="1" t="n">
        <v>45357</v>
      </c>
      <c r="D560" t="inlineStr">
        <is>
          <t>VÄSTERBOTTENS LÄN</t>
        </is>
      </c>
      <c r="E560" t="inlineStr">
        <is>
          <t>VINDELN</t>
        </is>
      </c>
      <c r="F560" t="inlineStr">
        <is>
          <t>Sveaskog</t>
        </is>
      </c>
      <c r="G560" t="n">
        <v>12.9</v>
      </c>
      <c r="H560" t="n">
        <v>0</v>
      </c>
      <c r="I560" t="n">
        <v>1</v>
      </c>
      <c r="J560" t="n">
        <v>1</v>
      </c>
      <c r="K560" t="n">
        <v>0</v>
      </c>
      <c r="L560" t="n">
        <v>0</v>
      </c>
      <c r="M560" t="n">
        <v>0</v>
      </c>
      <c r="N560" t="n">
        <v>0</v>
      </c>
      <c r="O560" t="n">
        <v>1</v>
      </c>
      <c r="P560" t="n">
        <v>0</v>
      </c>
      <c r="Q560" t="n">
        <v>2</v>
      </c>
      <c r="R560" s="2" t="inlineStr">
        <is>
          <t>Vaddporing
Dropptaggsvamp</t>
        </is>
      </c>
      <c r="S560">
        <f>HYPERLINK("https://klasma.github.io/Logging_2404/artfynd/A 52101-2021 artfynd.xlsx", "A 52101-2021")</f>
        <v/>
      </c>
      <c r="T560">
        <f>HYPERLINK("https://klasma.github.io/Logging_2404/kartor/A 52101-2021 karta.png", "A 52101-2021")</f>
        <v/>
      </c>
      <c r="V560">
        <f>HYPERLINK("https://klasma.github.io/Logging_2404/klagomål/A 52101-2021 FSC-klagomål.docx", "A 52101-2021")</f>
        <v/>
      </c>
      <c r="W560">
        <f>HYPERLINK("https://klasma.github.io/Logging_2404/klagomålsmail/A 52101-2021 FSC-klagomål mail.docx", "A 52101-2021")</f>
        <v/>
      </c>
      <c r="X560">
        <f>HYPERLINK("https://klasma.github.io/Logging_2404/tillsyn/A 52101-2021 tillsynsbegäran.docx", "A 52101-2021")</f>
        <v/>
      </c>
      <c r="Y560">
        <f>HYPERLINK("https://klasma.github.io/Logging_2404/tillsynsmail/A 52101-2021 tillsynsbegäran mail.docx", "A 52101-2021")</f>
        <v/>
      </c>
    </row>
    <row r="561" ht="15" customHeight="1">
      <c r="A561" t="inlineStr">
        <is>
          <t>A 55745-2021</t>
        </is>
      </c>
      <c r="B561" s="1" t="n">
        <v>44476</v>
      </c>
      <c r="C561" s="1" t="n">
        <v>45357</v>
      </c>
      <c r="D561" t="inlineStr">
        <is>
          <t>VÄSTERBOTTENS LÄN</t>
        </is>
      </c>
      <c r="E561" t="inlineStr">
        <is>
          <t>NORSJÖ</t>
        </is>
      </c>
      <c r="F561" t="inlineStr">
        <is>
          <t>Sveaskog</t>
        </is>
      </c>
      <c r="G561" t="n">
        <v>21.5</v>
      </c>
      <c r="H561" t="n">
        <v>0</v>
      </c>
      <c r="I561" t="n">
        <v>0</v>
      </c>
      <c r="J561" t="n">
        <v>2</v>
      </c>
      <c r="K561" t="n">
        <v>0</v>
      </c>
      <c r="L561" t="n">
        <v>0</v>
      </c>
      <c r="M561" t="n">
        <v>0</v>
      </c>
      <c r="N561" t="n">
        <v>0</v>
      </c>
      <c r="O561" t="n">
        <v>2</v>
      </c>
      <c r="P561" t="n">
        <v>0</v>
      </c>
      <c r="Q561" t="n">
        <v>2</v>
      </c>
      <c r="R561" s="2" t="inlineStr">
        <is>
          <t>Lunglav
Vitgrynig nållav</t>
        </is>
      </c>
      <c r="S561">
        <f>HYPERLINK("https://klasma.github.io/Logging_2417/artfynd/A 55745-2021 artfynd.xlsx", "A 55745-2021")</f>
        <v/>
      </c>
      <c r="T561">
        <f>HYPERLINK("https://klasma.github.io/Logging_2417/kartor/A 55745-2021 karta.png", "A 55745-2021")</f>
        <v/>
      </c>
      <c r="V561">
        <f>HYPERLINK("https://klasma.github.io/Logging_2417/klagomål/A 55745-2021 FSC-klagomål.docx", "A 55745-2021")</f>
        <v/>
      </c>
      <c r="W561">
        <f>HYPERLINK("https://klasma.github.io/Logging_2417/klagomålsmail/A 55745-2021 FSC-klagomål mail.docx", "A 55745-2021")</f>
        <v/>
      </c>
      <c r="X561">
        <f>HYPERLINK("https://klasma.github.io/Logging_2417/tillsyn/A 55745-2021 tillsynsbegäran.docx", "A 55745-2021")</f>
        <v/>
      </c>
      <c r="Y561">
        <f>HYPERLINK("https://klasma.github.io/Logging_2417/tillsynsmail/A 55745-2021 tillsynsbegäran mail.docx", "A 55745-2021")</f>
        <v/>
      </c>
    </row>
    <row r="562" ht="15" customHeight="1">
      <c r="A562" t="inlineStr">
        <is>
          <t>A 58661-2021</t>
        </is>
      </c>
      <c r="B562" s="1" t="n">
        <v>44489</v>
      </c>
      <c r="C562" s="1" t="n">
        <v>45357</v>
      </c>
      <c r="D562" t="inlineStr">
        <is>
          <t>VÄSTERBOTTENS LÄN</t>
        </is>
      </c>
      <c r="E562" t="inlineStr">
        <is>
          <t>SKELLEFTEÅ</t>
        </is>
      </c>
      <c r="F562" t="inlineStr">
        <is>
          <t>Sveaskog</t>
        </is>
      </c>
      <c r="G562" t="n">
        <v>3.2</v>
      </c>
      <c r="H562" t="n">
        <v>0</v>
      </c>
      <c r="I562" t="n">
        <v>1</v>
      </c>
      <c r="J562" t="n">
        <v>1</v>
      </c>
      <c r="K562" t="n">
        <v>0</v>
      </c>
      <c r="L562" t="n">
        <v>0</v>
      </c>
      <c r="M562" t="n">
        <v>0</v>
      </c>
      <c r="N562" t="n">
        <v>0</v>
      </c>
      <c r="O562" t="n">
        <v>1</v>
      </c>
      <c r="P562" t="n">
        <v>0</v>
      </c>
      <c r="Q562" t="n">
        <v>2</v>
      </c>
      <c r="R562" s="2" t="inlineStr">
        <is>
          <t>Vedskivlav
Bronshjon</t>
        </is>
      </c>
      <c r="S562">
        <f>HYPERLINK("https://klasma.github.io/Logging_2482/artfynd/A 58661-2021 artfynd.xlsx", "A 58661-2021")</f>
        <v/>
      </c>
      <c r="T562">
        <f>HYPERLINK("https://klasma.github.io/Logging_2482/kartor/A 58661-2021 karta.png", "A 58661-2021")</f>
        <v/>
      </c>
      <c r="V562">
        <f>HYPERLINK("https://klasma.github.io/Logging_2482/klagomål/A 58661-2021 FSC-klagomål.docx", "A 58661-2021")</f>
        <v/>
      </c>
      <c r="W562">
        <f>HYPERLINK("https://klasma.github.io/Logging_2482/klagomålsmail/A 58661-2021 FSC-klagomål mail.docx", "A 58661-2021")</f>
        <v/>
      </c>
      <c r="X562">
        <f>HYPERLINK("https://klasma.github.io/Logging_2482/tillsyn/A 58661-2021 tillsynsbegäran.docx", "A 58661-2021")</f>
        <v/>
      </c>
      <c r="Y562">
        <f>HYPERLINK("https://klasma.github.io/Logging_2482/tillsynsmail/A 58661-2021 tillsynsbegäran mail.docx", "A 58661-2021")</f>
        <v/>
      </c>
    </row>
    <row r="563" ht="15" customHeight="1">
      <c r="A563" t="inlineStr">
        <is>
          <t>A 58885-2021</t>
        </is>
      </c>
      <c r="B563" s="1" t="n">
        <v>44489</v>
      </c>
      <c r="C563" s="1" t="n">
        <v>45357</v>
      </c>
      <c r="D563" t="inlineStr">
        <is>
          <t>VÄSTERBOTTENS LÄN</t>
        </is>
      </c>
      <c r="E563" t="inlineStr">
        <is>
          <t>SKELLEFTEÅ</t>
        </is>
      </c>
      <c r="F563" t="inlineStr">
        <is>
          <t>Sveaskog</t>
        </is>
      </c>
      <c r="G563" t="n">
        <v>13.7</v>
      </c>
      <c r="H563" t="n">
        <v>0</v>
      </c>
      <c r="I563" t="n">
        <v>1</v>
      </c>
      <c r="J563" t="n">
        <v>1</v>
      </c>
      <c r="K563" t="n">
        <v>0</v>
      </c>
      <c r="L563" t="n">
        <v>0</v>
      </c>
      <c r="M563" t="n">
        <v>0</v>
      </c>
      <c r="N563" t="n">
        <v>0</v>
      </c>
      <c r="O563" t="n">
        <v>1</v>
      </c>
      <c r="P563" t="n">
        <v>0</v>
      </c>
      <c r="Q563" t="n">
        <v>2</v>
      </c>
      <c r="R563" s="2" t="inlineStr">
        <is>
          <t>Lunglav
Stuplav</t>
        </is>
      </c>
      <c r="S563">
        <f>HYPERLINK("https://klasma.github.io/Logging_2482/artfynd/A 58885-2021 artfynd.xlsx", "A 58885-2021")</f>
        <v/>
      </c>
      <c r="T563">
        <f>HYPERLINK("https://klasma.github.io/Logging_2482/kartor/A 58885-2021 karta.png", "A 58885-2021")</f>
        <v/>
      </c>
      <c r="V563">
        <f>HYPERLINK("https://klasma.github.io/Logging_2482/klagomål/A 58885-2021 FSC-klagomål.docx", "A 58885-2021")</f>
        <v/>
      </c>
      <c r="W563">
        <f>HYPERLINK("https://klasma.github.io/Logging_2482/klagomålsmail/A 58885-2021 FSC-klagomål mail.docx", "A 58885-2021")</f>
        <v/>
      </c>
      <c r="X563">
        <f>HYPERLINK("https://klasma.github.io/Logging_2482/tillsyn/A 58885-2021 tillsynsbegäran.docx", "A 58885-2021")</f>
        <v/>
      </c>
      <c r="Y563">
        <f>HYPERLINK("https://klasma.github.io/Logging_2482/tillsynsmail/A 58885-2021 tillsynsbegäran mail.docx", "A 58885-2021")</f>
        <v/>
      </c>
    </row>
    <row r="564" ht="15" customHeight="1">
      <c r="A564" t="inlineStr">
        <is>
          <t>A 59706-2021</t>
        </is>
      </c>
      <c r="B564" s="1" t="n">
        <v>44494</v>
      </c>
      <c r="C564" s="1" t="n">
        <v>45357</v>
      </c>
      <c r="D564" t="inlineStr">
        <is>
          <t>VÄSTERBOTTENS LÄN</t>
        </is>
      </c>
      <c r="E564" t="inlineStr">
        <is>
          <t>SKELLEFTEÅ</t>
        </is>
      </c>
      <c r="F564" t="inlineStr">
        <is>
          <t>Sveaskog</t>
        </is>
      </c>
      <c r="G564" t="n">
        <v>2.5</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HYPERLINK("https://klasma.github.io/Logging_2482/artfynd/A 59706-2021 artfynd.xlsx", "A 59706-2021")</f>
        <v/>
      </c>
      <c r="T564">
        <f>HYPERLINK("https://klasma.github.io/Logging_2482/kartor/A 59706-2021 karta.png", "A 59706-2021")</f>
        <v/>
      </c>
      <c r="V564">
        <f>HYPERLINK("https://klasma.github.io/Logging_2482/klagomål/A 59706-2021 FSC-klagomål.docx", "A 59706-2021")</f>
        <v/>
      </c>
      <c r="W564">
        <f>HYPERLINK("https://klasma.github.io/Logging_2482/klagomålsmail/A 59706-2021 FSC-klagomål mail.docx", "A 59706-2021")</f>
        <v/>
      </c>
      <c r="X564">
        <f>HYPERLINK("https://klasma.github.io/Logging_2482/tillsyn/A 59706-2021 tillsynsbegäran.docx", "A 59706-2021")</f>
        <v/>
      </c>
      <c r="Y564">
        <f>HYPERLINK("https://klasma.github.io/Logging_2482/tillsynsmail/A 59706-2021 tillsynsbegäran mail.docx", "A 59706-2021")</f>
        <v/>
      </c>
    </row>
    <row r="565" ht="15" customHeight="1">
      <c r="A565" t="inlineStr">
        <is>
          <t>A 61497-2021</t>
        </is>
      </c>
      <c r="B565" s="1" t="n">
        <v>44501</v>
      </c>
      <c r="C565" s="1" t="n">
        <v>45357</v>
      </c>
      <c r="D565" t="inlineStr">
        <is>
          <t>VÄSTERBOTTENS LÄN</t>
        </is>
      </c>
      <c r="E565" t="inlineStr">
        <is>
          <t>LYCKSELE</t>
        </is>
      </c>
      <c r="F565" t="inlineStr">
        <is>
          <t>Sveaskog</t>
        </is>
      </c>
      <c r="G565" t="n">
        <v>8</v>
      </c>
      <c r="H565" t="n">
        <v>0</v>
      </c>
      <c r="I565" t="n">
        <v>0</v>
      </c>
      <c r="J565" t="n">
        <v>2</v>
      </c>
      <c r="K565" t="n">
        <v>0</v>
      </c>
      <c r="L565" t="n">
        <v>0</v>
      </c>
      <c r="M565" t="n">
        <v>0</v>
      </c>
      <c r="N565" t="n">
        <v>0</v>
      </c>
      <c r="O565" t="n">
        <v>2</v>
      </c>
      <c r="P565" t="n">
        <v>0</v>
      </c>
      <c r="Q565" t="n">
        <v>2</v>
      </c>
      <c r="R565" s="2" t="inlineStr">
        <is>
          <t>Dvärgbägarlav
Vaddporing</t>
        </is>
      </c>
      <c r="S565">
        <f>HYPERLINK("https://klasma.github.io/Logging_2481/artfynd/A 61497-2021 artfynd.xlsx", "A 61497-2021")</f>
        <v/>
      </c>
      <c r="T565">
        <f>HYPERLINK("https://klasma.github.io/Logging_2481/kartor/A 61497-2021 karta.png", "A 61497-2021")</f>
        <v/>
      </c>
      <c r="V565">
        <f>HYPERLINK("https://klasma.github.io/Logging_2481/klagomål/A 61497-2021 FSC-klagomål.docx", "A 61497-2021")</f>
        <v/>
      </c>
      <c r="W565">
        <f>HYPERLINK("https://klasma.github.io/Logging_2481/klagomålsmail/A 61497-2021 FSC-klagomål mail.docx", "A 61497-2021")</f>
        <v/>
      </c>
      <c r="X565">
        <f>HYPERLINK("https://klasma.github.io/Logging_2481/tillsyn/A 61497-2021 tillsynsbegäran.docx", "A 61497-2021")</f>
        <v/>
      </c>
      <c r="Y565">
        <f>HYPERLINK("https://klasma.github.io/Logging_2481/tillsynsmail/A 61497-2021 tillsynsbegäran mail.docx", "A 61497-2021")</f>
        <v/>
      </c>
    </row>
    <row r="566" ht="15" customHeight="1">
      <c r="A566" t="inlineStr">
        <is>
          <t>A 65586-2021</t>
        </is>
      </c>
      <c r="B566" s="1" t="n">
        <v>44518</v>
      </c>
      <c r="C566" s="1" t="n">
        <v>45357</v>
      </c>
      <c r="D566" t="inlineStr">
        <is>
          <t>VÄSTERBOTTENS LÄN</t>
        </is>
      </c>
      <c r="E566" t="inlineStr">
        <is>
          <t>VILHELMINA</t>
        </is>
      </c>
      <c r="G566" t="n">
        <v>38</v>
      </c>
      <c r="H566" t="n">
        <v>2</v>
      </c>
      <c r="I566" t="n">
        <v>0</v>
      </c>
      <c r="J566" t="n">
        <v>1</v>
      </c>
      <c r="K566" t="n">
        <v>1</v>
      </c>
      <c r="L566" t="n">
        <v>0</v>
      </c>
      <c r="M566" t="n">
        <v>0</v>
      </c>
      <c r="N566" t="n">
        <v>0</v>
      </c>
      <c r="O566" t="n">
        <v>2</v>
      </c>
      <c r="P566" t="n">
        <v>1</v>
      </c>
      <c r="Q566" t="n">
        <v>2</v>
      </c>
      <c r="R566" s="2" t="inlineStr">
        <is>
          <t>Lappuggla
Tretåig hackspett</t>
        </is>
      </c>
      <c r="S566">
        <f>HYPERLINK("https://klasma.github.io/Logging_2462/artfynd/A 65586-2021 artfynd.xlsx", "A 65586-2021")</f>
        <v/>
      </c>
      <c r="T566">
        <f>HYPERLINK("https://klasma.github.io/Logging_2462/kartor/A 65586-2021 karta.png", "A 65586-2021")</f>
        <v/>
      </c>
      <c r="V566">
        <f>HYPERLINK("https://klasma.github.io/Logging_2462/klagomål/A 65586-2021 FSC-klagomål.docx", "A 65586-2021")</f>
        <v/>
      </c>
      <c r="W566">
        <f>HYPERLINK("https://klasma.github.io/Logging_2462/klagomålsmail/A 65586-2021 FSC-klagomål mail.docx", "A 65586-2021")</f>
        <v/>
      </c>
      <c r="X566">
        <f>HYPERLINK("https://klasma.github.io/Logging_2462/tillsyn/A 65586-2021 tillsynsbegäran.docx", "A 65586-2021")</f>
        <v/>
      </c>
      <c r="Y566">
        <f>HYPERLINK("https://klasma.github.io/Logging_2462/tillsynsmail/A 65586-2021 tillsynsbegäran mail.docx", "A 65586-2021")</f>
        <v/>
      </c>
      <c r="Z566">
        <f>HYPERLINK("https://klasma.github.io/Logging_2462/fåglar/A 65586-2021 prioriterade fågelarter.docx", "A 65586-2021")</f>
        <v/>
      </c>
    </row>
    <row r="567" ht="15" customHeight="1">
      <c r="A567" t="inlineStr">
        <is>
          <t>A 67790-2021</t>
        </is>
      </c>
      <c r="B567" s="1" t="n">
        <v>44526</v>
      </c>
      <c r="C567" s="1" t="n">
        <v>45357</v>
      </c>
      <c r="D567" t="inlineStr">
        <is>
          <t>VÄSTERBOTTENS LÄN</t>
        </is>
      </c>
      <c r="E567" t="inlineStr">
        <is>
          <t>DOROTEA</t>
        </is>
      </c>
      <c r="F567" t="inlineStr">
        <is>
          <t>Övriga statliga verk och myndigheter</t>
        </is>
      </c>
      <c r="G567" t="n">
        <v>3.2</v>
      </c>
      <c r="H567" t="n">
        <v>2</v>
      </c>
      <c r="I567" t="n">
        <v>0</v>
      </c>
      <c r="J567" t="n">
        <v>1</v>
      </c>
      <c r="K567" t="n">
        <v>0</v>
      </c>
      <c r="L567" t="n">
        <v>0</v>
      </c>
      <c r="M567" t="n">
        <v>0</v>
      </c>
      <c r="N567" t="n">
        <v>0</v>
      </c>
      <c r="O567" t="n">
        <v>1</v>
      </c>
      <c r="P567" t="n">
        <v>0</v>
      </c>
      <c r="Q567" t="n">
        <v>2</v>
      </c>
      <c r="R567" s="2" t="inlineStr">
        <is>
          <t>Tretåig hackspett
Lopplummer</t>
        </is>
      </c>
      <c r="S567">
        <f>HYPERLINK("https://klasma.github.io/Logging_2425/artfynd/A 67790-2021 artfynd.xlsx", "A 67790-2021")</f>
        <v/>
      </c>
      <c r="T567">
        <f>HYPERLINK("https://klasma.github.io/Logging_2425/kartor/A 67790-2021 karta.png", "A 67790-2021")</f>
        <v/>
      </c>
      <c r="V567">
        <f>HYPERLINK("https://klasma.github.io/Logging_2425/klagomål/A 67790-2021 FSC-klagomål.docx", "A 67790-2021")</f>
        <v/>
      </c>
      <c r="W567">
        <f>HYPERLINK("https://klasma.github.io/Logging_2425/klagomålsmail/A 67790-2021 FSC-klagomål mail.docx", "A 67790-2021")</f>
        <v/>
      </c>
      <c r="X567">
        <f>HYPERLINK("https://klasma.github.io/Logging_2425/tillsyn/A 67790-2021 tillsynsbegäran.docx", "A 67790-2021")</f>
        <v/>
      </c>
      <c r="Y567">
        <f>HYPERLINK("https://klasma.github.io/Logging_2425/tillsynsmail/A 67790-2021 tillsynsbegäran mail.docx", "A 67790-2021")</f>
        <v/>
      </c>
      <c r="Z567">
        <f>HYPERLINK("https://klasma.github.io/Logging_2425/fåglar/A 67790-2021 prioriterade fågelarter.docx", "A 67790-2021")</f>
        <v/>
      </c>
    </row>
    <row r="568" ht="15" customHeight="1">
      <c r="A568" t="inlineStr">
        <is>
          <t>A 70179-2021</t>
        </is>
      </c>
      <c r="B568" s="1" t="n">
        <v>44533</v>
      </c>
      <c r="C568" s="1" t="n">
        <v>45357</v>
      </c>
      <c r="D568" t="inlineStr">
        <is>
          <t>VÄSTERBOTTENS LÄN</t>
        </is>
      </c>
      <c r="E568" t="inlineStr">
        <is>
          <t>LYCKSELE</t>
        </is>
      </c>
      <c r="G568" t="n">
        <v>5.2</v>
      </c>
      <c r="H568" t="n">
        <v>0</v>
      </c>
      <c r="I568" t="n">
        <v>0</v>
      </c>
      <c r="J568" t="n">
        <v>2</v>
      </c>
      <c r="K568" t="n">
        <v>0</v>
      </c>
      <c r="L568" t="n">
        <v>0</v>
      </c>
      <c r="M568" t="n">
        <v>0</v>
      </c>
      <c r="N568" t="n">
        <v>0</v>
      </c>
      <c r="O568" t="n">
        <v>2</v>
      </c>
      <c r="P568" t="n">
        <v>0</v>
      </c>
      <c r="Q568" t="n">
        <v>2</v>
      </c>
      <c r="R568" s="2" t="inlineStr">
        <is>
          <t>Blanksvart spiklav
Vedflamlav</t>
        </is>
      </c>
      <c r="S568">
        <f>HYPERLINK("https://klasma.github.io/Logging_2481/artfynd/A 70179-2021 artfynd.xlsx", "A 70179-2021")</f>
        <v/>
      </c>
      <c r="T568">
        <f>HYPERLINK("https://klasma.github.io/Logging_2481/kartor/A 70179-2021 karta.png", "A 70179-2021")</f>
        <v/>
      </c>
      <c r="V568">
        <f>HYPERLINK("https://klasma.github.io/Logging_2481/klagomål/A 70179-2021 FSC-klagomål.docx", "A 70179-2021")</f>
        <v/>
      </c>
      <c r="W568">
        <f>HYPERLINK("https://klasma.github.io/Logging_2481/klagomålsmail/A 70179-2021 FSC-klagomål mail.docx", "A 70179-2021")</f>
        <v/>
      </c>
      <c r="X568">
        <f>HYPERLINK("https://klasma.github.io/Logging_2481/tillsyn/A 70179-2021 tillsynsbegäran.docx", "A 70179-2021")</f>
        <v/>
      </c>
      <c r="Y568">
        <f>HYPERLINK("https://klasma.github.io/Logging_2481/tillsynsmail/A 70179-2021 tillsynsbegäran mail.docx", "A 70179-2021")</f>
        <v/>
      </c>
    </row>
    <row r="569" ht="15" customHeight="1">
      <c r="A569" t="inlineStr">
        <is>
          <t>A 6526-2022</t>
        </is>
      </c>
      <c r="B569" s="1" t="n">
        <v>44601</v>
      </c>
      <c r="C569" s="1" t="n">
        <v>45357</v>
      </c>
      <c r="D569" t="inlineStr">
        <is>
          <t>VÄSTERBOTTENS LÄN</t>
        </is>
      </c>
      <c r="E569" t="inlineStr">
        <is>
          <t>LYCKSELE</t>
        </is>
      </c>
      <c r="F569" t="inlineStr">
        <is>
          <t>Sveaskog</t>
        </is>
      </c>
      <c r="G569" t="n">
        <v>6.7</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HYPERLINK("https://klasma.github.io/Logging_2481/artfynd/A 6526-2022 artfynd.xlsx", "A 6526-2022")</f>
        <v/>
      </c>
      <c r="T569">
        <f>HYPERLINK("https://klasma.github.io/Logging_2481/kartor/A 6526-2022 karta.png", "A 6526-2022")</f>
        <v/>
      </c>
      <c r="V569">
        <f>HYPERLINK("https://klasma.github.io/Logging_2481/klagomål/A 6526-2022 FSC-klagomål.docx", "A 6526-2022")</f>
        <v/>
      </c>
      <c r="W569">
        <f>HYPERLINK("https://klasma.github.io/Logging_2481/klagomålsmail/A 6526-2022 FSC-klagomål mail.docx", "A 6526-2022")</f>
        <v/>
      </c>
      <c r="X569">
        <f>HYPERLINK("https://klasma.github.io/Logging_2481/tillsyn/A 6526-2022 tillsynsbegäran.docx", "A 6526-2022")</f>
        <v/>
      </c>
      <c r="Y569">
        <f>HYPERLINK("https://klasma.github.io/Logging_2481/tillsynsmail/A 6526-2022 tillsynsbegäran mail.docx", "A 6526-2022")</f>
        <v/>
      </c>
    </row>
    <row r="570" ht="15" customHeight="1">
      <c r="A570" t="inlineStr">
        <is>
          <t>A 9771-2022</t>
        </is>
      </c>
      <c r="B570" s="1" t="n">
        <v>44619</v>
      </c>
      <c r="C570" s="1" t="n">
        <v>45357</v>
      </c>
      <c r="D570" t="inlineStr">
        <is>
          <t>VÄSTERBOTTENS LÄN</t>
        </is>
      </c>
      <c r="E570" t="inlineStr">
        <is>
          <t>UMEÅ</t>
        </is>
      </c>
      <c r="G570" t="n">
        <v>39.1</v>
      </c>
      <c r="H570" t="n">
        <v>0</v>
      </c>
      <c r="I570" t="n">
        <v>1</v>
      </c>
      <c r="J570" t="n">
        <v>1</v>
      </c>
      <c r="K570" t="n">
        <v>0</v>
      </c>
      <c r="L570" t="n">
        <v>0</v>
      </c>
      <c r="M570" t="n">
        <v>0</v>
      </c>
      <c r="N570" t="n">
        <v>0</v>
      </c>
      <c r="O570" t="n">
        <v>1</v>
      </c>
      <c r="P570" t="n">
        <v>0</v>
      </c>
      <c r="Q570" t="n">
        <v>2</v>
      </c>
      <c r="R570" s="2" t="inlineStr">
        <is>
          <t>Blå taggsvamp
Dropptaggsvamp</t>
        </is>
      </c>
      <c r="S570">
        <f>HYPERLINK("https://klasma.github.io/Logging_2480/artfynd/A 9771-2022 artfynd.xlsx", "A 9771-2022")</f>
        <v/>
      </c>
      <c r="T570">
        <f>HYPERLINK("https://klasma.github.io/Logging_2480/kartor/A 9771-2022 karta.png", "A 9771-2022")</f>
        <v/>
      </c>
      <c r="V570">
        <f>HYPERLINK("https://klasma.github.io/Logging_2480/klagomål/A 9771-2022 FSC-klagomål.docx", "A 9771-2022")</f>
        <v/>
      </c>
      <c r="W570">
        <f>HYPERLINK("https://klasma.github.io/Logging_2480/klagomålsmail/A 9771-2022 FSC-klagomål mail.docx", "A 9771-2022")</f>
        <v/>
      </c>
      <c r="X570">
        <f>HYPERLINK("https://klasma.github.io/Logging_2480/tillsyn/A 9771-2022 tillsynsbegäran.docx", "A 9771-2022")</f>
        <v/>
      </c>
      <c r="Y570">
        <f>HYPERLINK("https://klasma.github.io/Logging_2480/tillsynsmail/A 9771-2022 tillsynsbegäran mail.docx", "A 9771-2022")</f>
        <v/>
      </c>
    </row>
    <row r="571" ht="15" customHeight="1">
      <c r="A571" t="inlineStr">
        <is>
          <t>A 13604-2022</t>
        </is>
      </c>
      <c r="B571" s="1" t="n">
        <v>44648</v>
      </c>
      <c r="C571" s="1" t="n">
        <v>45357</v>
      </c>
      <c r="D571" t="inlineStr">
        <is>
          <t>VÄSTERBOTTENS LÄN</t>
        </is>
      </c>
      <c r="E571" t="inlineStr">
        <is>
          <t>VILHELMINA</t>
        </is>
      </c>
      <c r="G571" t="n">
        <v>17.4</v>
      </c>
      <c r="H571" t="n">
        <v>1</v>
      </c>
      <c r="I571" t="n">
        <v>1</v>
      </c>
      <c r="J571" t="n">
        <v>0</v>
      </c>
      <c r="K571" t="n">
        <v>0</v>
      </c>
      <c r="L571" t="n">
        <v>0</v>
      </c>
      <c r="M571" t="n">
        <v>0</v>
      </c>
      <c r="N571" t="n">
        <v>0</v>
      </c>
      <c r="O571" t="n">
        <v>0</v>
      </c>
      <c r="P571" t="n">
        <v>0</v>
      </c>
      <c r="Q571" t="n">
        <v>2</v>
      </c>
      <c r="R571" s="2" t="inlineStr">
        <is>
          <t>Maskfingersvamp
Fläcknycklar</t>
        </is>
      </c>
      <c r="S571">
        <f>HYPERLINK("https://klasma.github.io/Logging_2462/artfynd/A 13604-2022 artfynd.xlsx", "A 13604-2022")</f>
        <v/>
      </c>
      <c r="T571">
        <f>HYPERLINK("https://klasma.github.io/Logging_2462/kartor/A 13604-2022 karta.png", "A 13604-2022")</f>
        <v/>
      </c>
      <c r="V571">
        <f>HYPERLINK("https://klasma.github.io/Logging_2462/klagomål/A 13604-2022 FSC-klagomål.docx", "A 13604-2022")</f>
        <v/>
      </c>
      <c r="W571">
        <f>HYPERLINK("https://klasma.github.io/Logging_2462/klagomålsmail/A 13604-2022 FSC-klagomål mail.docx", "A 13604-2022")</f>
        <v/>
      </c>
      <c r="X571">
        <f>HYPERLINK("https://klasma.github.io/Logging_2462/tillsyn/A 13604-2022 tillsynsbegäran.docx", "A 13604-2022")</f>
        <v/>
      </c>
      <c r="Y571">
        <f>HYPERLINK("https://klasma.github.io/Logging_2462/tillsynsmail/A 13604-2022 tillsynsbegäran mail.docx", "A 13604-2022")</f>
        <v/>
      </c>
    </row>
    <row r="572" ht="15" customHeight="1">
      <c r="A572" t="inlineStr">
        <is>
          <t>A 14070-2022</t>
        </is>
      </c>
      <c r="B572" s="1" t="n">
        <v>44650</v>
      </c>
      <c r="C572" s="1" t="n">
        <v>45357</v>
      </c>
      <c r="D572" t="inlineStr">
        <is>
          <t>VÄSTERBOTTENS LÄN</t>
        </is>
      </c>
      <c r="E572" t="inlineStr">
        <is>
          <t>STORUMAN</t>
        </is>
      </c>
      <c r="F572" t="inlineStr">
        <is>
          <t>Övriga statliga verk och myndigheter</t>
        </is>
      </c>
      <c r="G572" t="n">
        <v>14.1</v>
      </c>
      <c r="H572" t="n">
        <v>1</v>
      </c>
      <c r="I572" t="n">
        <v>0</v>
      </c>
      <c r="J572" t="n">
        <v>2</v>
      </c>
      <c r="K572" t="n">
        <v>0</v>
      </c>
      <c r="L572" t="n">
        <v>0</v>
      </c>
      <c r="M572" t="n">
        <v>0</v>
      </c>
      <c r="N572" t="n">
        <v>0</v>
      </c>
      <c r="O572" t="n">
        <v>2</v>
      </c>
      <c r="P572" t="n">
        <v>0</v>
      </c>
      <c r="Q572" t="n">
        <v>2</v>
      </c>
      <c r="R572" s="2" t="inlineStr">
        <is>
          <t>Granticka
Järpe</t>
        </is>
      </c>
      <c r="S572">
        <f>HYPERLINK("https://klasma.github.io/Logging_2421/artfynd/A 14070-2022 artfynd.xlsx", "A 14070-2022")</f>
        <v/>
      </c>
      <c r="T572">
        <f>HYPERLINK("https://klasma.github.io/Logging_2421/kartor/A 14070-2022 karta.png", "A 14070-2022")</f>
        <v/>
      </c>
      <c r="V572">
        <f>HYPERLINK("https://klasma.github.io/Logging_2421/klagomål/A 14070-2022 FSC-klagomål.docx", "A 14070-2022")</f>
        <v/>
      </c>
      <c r="W572">
        <f>HYPERLINK("https://klasma.github.io/Logging_2421/klagomålsmail/A 14070-2022 FSC-klagomål mail.docx", "A 14070-2022")</f>
        <v/>
      </c>
      <c r="X572">
        <f>HYPERLINK("https://klasma.github.io/Logging_2421/tillsyn/A 14070-2022 tillsynsbegäran.docx", "A 14070-2022")</f>
        <v/>
      </c>
      <c r="Y572">
        <f>HYPERLINK("https://klasma.github.io/Logging_2421/tillsynsmail/A 14070-2022 tillsynsbegäran mail.docx", "A 14070-2022")</f>
        <v/>
      </c>
      <c r="Z572">
        <f>HYPERLINK("https://klasma.github.io/Logging_2421/fåglar/A 14070-2022 prioriterade fågelarter.docx", "A 14070-2022")</f>
        <v/>
      </c>
    </row>
    <row r="573" ht="15" customHeight="1">
      <c r="A573" t="inlineStr">
        <is>
          <t>A 21668-2022</t>
        </is>
      </c>
      <c r="B573" s="1" t="n">
        <v>44706</v>
      </c>
      <c r="C573" s="1" t="n">
        <v>45357</v>
      </c>
      <c r="D573" t="inlineStr">
        <is>
          <t>VÄSTERBOTTENS LÄN</t>
        </is>
      </c>
      <c r="E573" t="inlineStr">
        <is>
          <t>LYCKSELE</t>
        </is>
      </c>
      <c r="F573" t="inlineStr">
        <is>
          <t>SCA</t>
        </is>
      </c>
      <c r="G573" t="n">
        <v>1</v>
      </c>
      <c r="H573" t="n">
        <v>0</v>
      </c>
      <c r="I573" t="n">
        <v>0</v>
      </c>
      <c r="J573" t="n">
        <v>2</v>
      </c>
      <c r="K573" t="n">
        <v>0</v>
      </c>
      <c r="L573" t="n">
        <v>0</v>
      </c>
      <c r="M573" t="n">
        <v>0</v>
      </c>
      <c r="N573" t="n">
        <v>0</v>
      </c>
      <c r="O573" t="n">
        <v>2</v>
      </c>
      <c r="P573" t="n">
        <v>0</v>
      </c>
      <c r="Q573" t="n">
        <v>2</v>
      </c>
      <c r="R573" s="2" t="inlineStr">
        <is>
          <t>Gammelgransskål
Granticka</t>
        </is>
      </c>
      <c r="S573">
        <f>HYPERLINK("https://klasma.github.io/Logging_2481/artfynd/A 21668-2022 artfynd.xlsx", "A 21668-2022")</f>
        <v/>
      </c>
      <c r="T573">
        <f>HYPERLINK("https://klasma.github.io/Logging_2481/kartor/A 21668-2022 karta.png", "A 21668-2022")</f>
        <v/>
      </c>
      <c r="V573">
        <f>HYPERLINK("https://klasma.github.io/Logging_2481/klagomål/A 21668-2022 FSC-klagomål.docx", "A 21668-2022")</f>
        <v/>
      </c>
      <c r="W573">
        <f>HYPERLINK("https://klasma.github.io/Logging_2481/klagomålsmail/A 21668-2022 FSC-klagomål mail.docx", "A 21668-2022")</f>
        <v/>
      </c>
      <c r="X573">
        <f>HYPERLINK("https://klasma.github.io/Logging_2481/tillsyn/A 21668-2022 tillsynsbegäran.docx", "A 21668-2022")</f>
        <v/>
      </c>
      <c r="Y573">
        <f>HYPERLINK("https://klasma.github.io/Logging_2481/tillsynsmail/A 21668-2022 tillsynsbegäran mail.docx", "A 21668-2022")</f>
        <v/>
      </c>
    </row>
    <row r="574" ht="15" customHeight="1">
      <c r="A574" t="inlineStr">
        <is>
          <t>A 25524-2022</t>
        </is>
      </c>
      <c r="B574" s="1" t="n">
        <v>44732</v>
      </c>
      <c r="C574" s="1" t="n">
        <v>45357</v>
      </c>
      <c r="D574" t="inlineStr">
        <is>
          <t>VÄSTERBOTTENS LÄN</t>
        </is>
      </c>
      <c r="E574" t="inlineStr">
        <is>
          <t>STORUMAN</t>
        </is>
      </c>
      <c r="F574" t="inlineStr">
        <is>
          <t>Sveaskog</t>
        </is>
      </c>
      <c r="G574" t="n">
        <v>3.8</v>
      </c>
      <c r="H574" t="n">
        <v>0</v>
      </c>
      <c r="I574" t="n">
        <v>0</v>
      </c>
      <c r="J574" t="n">
        <v>1</v>
      </c>
      <c r="K574" t="n">
        <v>1</v>
      </c>
      <c r="L574" t="n">
        <v>0</v>
      </c>
      <c r="M574" t="n">
        <v>0</v>
      </c>
      <c r="N574" t="n">
        <v>0</v>
      </c>
      <c r="O574" t="n">
        <v>2</v>
      </c>
      <c r="P574" t="n">
        <v>1</v>
      </c>
      <c r="Q574" t="n">
        <v>2</v>
      </c>
      <c r="R574" s="2" t="inlineStr">
        <is>
          <t>Grantickeporing
Granticka</t>
        </is>
      </c>
      <c r="S574">
        <f>HYPERLINK("https://klasma.github.io/Logging_2421/artfynd/A 25524-2022 artfynd.xlsx", "A 25524-2022")</f>
        <v/>
      </c>
      <c r="T574">
        <f>HYPERLINK("https://klasma.github.io/Logging_2421/kartor/A 25524-2022 karta.png", "A 25524-2022")</f>
        <v/>
      </c>
      <c r="V574">
        <f>HYPERLINK("https://klasma.github.io/Logging_2421/klagomål/A 25524-2022 FSC-klagomål.docx", "A 25524-2022")</f>
        <v/>
      </c>
      <c r="W574">
        <f>HYPERLINK("https://klasma.github.io/Logging_2421/klagomålsmail/A 25524-2022 FSC-klagomål mail.docx", "A 25524-2022")</f>
        <v/>
      </c>
      <c r="X574">
        <f>HYPERLINK("https://klasma.github.io/Logging_2421/tillsyn/A 25524-2022 tillsynsbegäran.docx", "A 25524-2022")</f>
        <v/>
      </c>
      <c r="Y574">
        <f>HYPERLINK("https://klasma.github.io/Logging_2421/tillsynsmail/A 25524-2022 tillsynsbegäran mail.docx", "A 25524-2022")</f>
        <v/>
      </c>
    </row>
    <row r="575" ht="15" customHeight="1">
      <c r="A575" t="inlineStr">
        <is>
          <t>A 32253-2022</t>
        </is>
      </c>
      <c r="B575" s="1" t="n">
        <v>44781</v>
      </c>
      <c r="C575" s="1" t="n">
        <v>45357</v>
      </c>
      <c r="D575" t="inlineStr">
        <is>
          <t>VÄSTERBOTTENS LÄN</t>
        </is>
      </c>
      <c r="E575" t="inlineStr">
        <is>
          <t>VILHELMINA</t>
        </is>
      </c>
      <c r="G575" t="n">
        <v>10.8</v>
      </c>
      <c r="H575" t="n">
        <v>0</v>
      </c>
      <c r="I575" t="n">
        <v>0</v>
      </c>
      <c r="J575" t="n">
        <v>1</v>
      </c>
      <c r="K575" t="n">
        <v>1</v>
      </c>
      <c r="L575" t="n">
        <v>0</v>
      </c>
      <c r="M575" t="n">
        <v>0</v>
      </c>
      <c r="N575" t="n">
        <v>0</v>
      </c>
      <c r="O575" t="n">
        <v>2</v>
      </c>
      <c r="P575" t="n">
        <v>1</v>
      </c>
      <c r="Q575" t="n">
        <v>2</v>
      </c>
      <c r="R575" s="2" t="inlineStr">
        <is>
          <t>Ostticka
Garnlav</t>
        </is>
      </c>
      <c r="S575">
        <f>HYPERLINK("https://klasma.github.io/Logging_2462/artfynd/A 32253-2022 artfynd.xlsx", "A 32253-2022")</f>
        <v/>
      </c>
      <c r="T575">
        <f>HYPERLINK("https://klasma.github.io/Logging_2462/kartor/A 32253-2022 karta.png", "A 32253-2022")</f>
        <v/>
      </c>
      <c r="V575">
        <f>HYPERLINK("https://klasma.github.io/Logging_2462/klagomål/A 32253-2022 FSC-klagomål.docx", "A 32253-2022")</f>
        <v/>
      </c>
      <c r="W575">
        <f>HYPERLINK("https://klasma.github.io/Logging_2462/klagomålsmail/A 32253-2022 FSC-klagomål mail.docx", "A 32253-2022")</f>
        <v/>
      </c>
      <c r="X575">
        <f>HYPERLINK("https://klasma.github.io/Logging_2462/tillsyn/A 32253-2022 tillsynsbegäran.docx", "A 32253-2022")</f>
        <v/>
      </c>
      <c r="Y575">
        <f>HYPERLINK("https://klasma.github.io/Logging_2462/tillsynsmail/A 32253-2022 tillsynsbegäran mail.docx", "A 32253-2022")</f>
        <v/>
      </c>
    </row>
    <row r="576" ht="15" customHeight="1">
      <c r="A576" t="inlineStr">
        <is>
          <t>A 42694-2022</t>
        </is>
      </c>
      <c r="B576" s="1" t="n">
        <v>44831</v>
      </c>
      <c r="C576" s="1" t="n">
        <v>45357</v>
      </c>
      <c r="D576" t="inlineStr">
        <is>
          <t>VÄSTERBOTTENS LÄN</t>
        </is>
      </c>
      <c r="E576" t="inlineStr">
        <is>
          <t>SKELLEFTEÅ</t>
        </is>
      </c>
      <c r="G576" t="n">
        <v>5.6</v>
      </c>
      <c r="H576" t="n">
        <v>0</v>
      </c>
      <c r="I576" t="n">
        <v>1</v>
      </c>
      <c r="J576" t="n">
        <v>1</v>
      </c>
      <c r="K576" t="n">
        <v>0</v>
      </c>
      <c r="L576" t="n">
        <v>0</v>
      </c>
      <c r="M576" t="n">
        <v>0</v>
      </c>
      <c r="N576" t="n">
        <v>0</v>
      </c>
      <c r="O576" t="n">
        <v>1</v>
      </c>
      <c r="P576" t="n">
        <v>0</v>
      </c>
      <c r="Q576" t="n">
        <v>2</v>
      </c>
      <c r="R576" s="2" t="inlineStr">
        <is>
          <t>Granticka
Vedticka</t>
        </is>
      </c>
      <c r="S576">
        <f>HYPERLINK("https://klasma.github.io/Logging_2482/artfynd/A 42694-2022 artfynd.xlsx", "A 42694-2022")</f>
        <v/>
      </c>
      <c r="T576">
        <f>HYPERLINK("https://klasma.github.io/Logging_2482/kartor/A 42694-2022 karta.png", "A 42694-2022")</f>
        <v/>
      </c>
      <c r="V576">
        <f>HYPERLINK("https://klasma.github.io/Logging_2482/klagomål/A 42694-2022 FSC-klagomål.docx", "A 42694-2022")</f>
        <v/>
      </c>
      <c r="W576">
        <f>HYPERLINK("https://klasma.github.io/Logging_2482/klagomålsmail/A 42694-2022 FSC-klagomål mail.docx", "A 42694-2022")</f>
        <v/>
      </c>
      <c r="X576">
        <f>HYPERLINK("https://klasma.github.io/Logging_2482/tillsyn/A 42694-2022 tillsynsbegäran.docx", "A 42694-2022")</f>
        <v/>
      </c>
      <c r="Y576">
        <f>HYPERLINK("https://klasma.github.io/Logging_2482/tillsynsmail/A 42694-2022 tillsynsbegäran mail.docx", "A 42694-2022")</f>
        <v/>
      </c>
    </row>
    <row r="577" ht="15" customHeight="1">
      <c r="A577" t="inlineStr">
        <is>
          <t>A 44687-2022</t>
        </is>
      </c>
      <c r="B577" s="1" t="n">
        <v>44839</v>
      </c>
      <c r="C577" s="1" t="n">
        <v>45357</v>
      </c>
      <c r="D577" t="inlineStr">
        <is>
          <t>VÄSTERBOTTENS LÄN</t>
        </is>
      </c>
      <c r="E577" t="inlineStr">
        <is>
          <t>UMEÅ</t>
        </is>
      </c>
      <c r="G577" t="n">
        <v>2.3</v>
      </c>
      <c r="H577" t="n">
        <v>0</v>
      </c>
      <c r="I577" t="n">
        <v>0</v>
      </c>
      <c r="J577" t="n">
        <v>2</v>
      </c>
      <c r="K577" t="n">
        <v>0</v>
      </c>
      <c r="L577" t="n">
        <v>0</v>
      </c>
      <c r="M577" t="n">
        <v>0</v>
      </c>
      <c r="N577" t="n">
        <v>0</v>
      </c>
      <c r="O577" t="n">
        <v>2</v>
      </c>
      <c r="P577" t="n">
        <v>0</v>
      </c>
      <c r="Q577" t="n">
        <v>2</v>
      </c>
      <c r="R577" s="2" t="inlineStr">
        <is>
          <t>Granticka
Ullticka</t>
        </is>
      </c>
      <c r="S577">
        <f>HYPERLINK("https://klasma.github.io/Logging_2480/artfynd/A 44687-2022 artfynd.xlsx", "A 44687-2022")</f>
        <v/>
      </c>
      <c r="T577">
        <f>HYPERLINK("https://klasma.github.io/Logging_2480/kartor/A 44687-2022 karta.png", "A 44687-2022")</f>
        <v/>
      </c>
      <c r="V577">
        <f>HYPERLINK("https://klasma.github.io/Logging_2480/klagomål/A 44687-2022 FSC-klagomål.docx", "A 44687-2022")</f>
        <v/>
      </c>
      <c r="W577">
        <f>HYPERLINK("https://klasma.github.io/Logging_2480/klagomålsmail/A 44687-2022 FSC-klagomål mail.docx", "A 44687-2022")</f>
        <v/>
      </c>
      <c r="X577">
        <f>HYPERLINK("https://klasma.github.io/Logging_2480/tillsyn/A 44687-2022 tillsynsbegäran.docx", "A 44687-2022")</f>
        <v/>
      </c>
      <c r="Y577">
        <f>HYPERLINK("https://klasma.github.io/Logging_2480/tillsynsmail/A 44687-2022 tillsynsbegäran mail.docx", "A 44687-2022")</f>
        <v/>
      </c>
    </row>
    <row r="578" ht="15" customHeight="1">
      <c r="A578" t="inlineStr">
        <is>
          <t>A 45569-2022</t>
        </is>
      </c>
      <c r="B578" s="1" t="n">
        <v>44841</v>
      </c>
      <c r="C578" s="1" t="n">
        <v>45357</v>
      </c>
      <c r="D578" t="inlineStr">
        <is>
          <t>VÄSTERBOTTENS LÄN</t>
        </is>
      </c>
      <c r="E578" t="inlineStr">
        <is>
          <t>SORSELE</t>
        </is>
      </c>
      <c r="G578" t="n">
        <v>55.7</v>
      </c>
      <c r="H578" t="n">
        <v>0</v>
      </c>
      <c r="I578" t="n">
        <v>0</v>
      </c>
      <c r="J578" t="n">
        <v>2</v>
      </c>
      <c r="K578" t="n">
        <v>0</v>
      </c>
      <c r="L578" t="n">
        <v>0</v>
      </c>
      <c r="M578" t="n">
        <v>0</v>
      </c>
      <c r="N578" t="n">
        <v>0</v>
      </c>
      <c r="O578" t="n">
        <v>2</v>
      </c>
      <c r="P578" t="n">
        <v>0</v>
      </c>
      <c r="Q578" t="n">
        <v>2</v>
      </c>
      <c r="R578" s="2" t="inlineStr">
        <is>
          <t>Gränsticka
Harticka</t>
        </is>
      </c>
      <c r="S578">
        <f>HYPERLINK("https://klasma.github.io/Logging_2422/artfynd/A 45569-2022 artfynd.xlsx", "A 45569-2022")</f>
        <v/>
      </c>
      <c r="T578">
        <f>HYPERLINK("https://klasma.github.io/Logging_2422/kartor/A 45569-2022 karta.png", "A 45569-2022")</f>
        <v/>
      </c>
      <c r="V578">
        <f>HYPERLINK("https://klasma.github.io/Logging_2422/klagomål/A 45569-2022 FSC-klagomål.docx", "A 45569-2022")</f>
        <v/>
      </c>
      <c r="W578">
        <f>HYPERLINK("https://klasma.github.io/Logging_2422/klagomålsmail/A 45569-2022 FSC-klagomål mail.docx", "A 45569-2022")</f>
        <v/>
      </c>
      <c r="X578">
        <f>HYPERLINK("https://klasma.github.io/Logging_2422/tillsyn/A 45569-2022 tillsynsbegäran.docx", "A 45569-2022")</f>
        <v/>
      </c>
      <c r="Y578">
        <f>HYPERLINK("https://klasma.github.io/Logging_2422/tillsynsmail/A 45569-2022 tillsynsbegäran mail.docx", "A 45569-2022")</f>
        <v/>
      </c>
    </row>
    <row r="579" ht="15" customHeight="1">
      <c r="A579" t="inlineStr">
        <is>
          <t>A 45356-2022</t>
        </is>
      </c>
      <c r="B579" s="1" t="n">
        <v>44844</v>
      </c>
      <c r="C579" s="1" t="n">
        <v>45357</v>
      </c>
      <c r="D579" t="inlineStr">
        <is>
          <t>VÄSTERBOTTENS LÄN</t>
        </is>
      </c>
      <c r="E579" t="inlineStr">
        <is>
          <t>NORDMALING</t>
        </is>
      </c>
      <c r="G579" t="n">
        <v>2.1</v>
      </c>
      <c r="H579" t="n">
        <v>0</v>
      </c>
      <c r="I579" t="n">
        <v>1</v>
      </c>
      <c r="J579" t="n">
        <v>1</v>
      </c>
      <c r="K579" t="n">
        <v>0</v>
      </c>
      <c r="L579" t="n">
        <v>0</v>
      </c>
      <c r="M579" t="n">
        <v>0</v>
      </c>
      <c r="N579" t="n">
        <v>0</v>
      </c>
      <c r="O579" t="n">
        <v>1</v>
      </c>
      <c r="P579" t="n">
        <v>0</v>
      </c>
      <c r="Q579" t="n">
        <v>2</v>
      </c>
      <c r="R579" s="2" t="inlineStr">
        <is>
          <t>Garnlav
Skinnlav</t>
        </is>
      </c>
      <c r="S579">
        <f>HYPERLINK("https://klasma.github.io/Logging_2401/artfynd/A 45356-2022 artfynd.xlsx", "A 45356-2022")</f>
        <v/>
      </c>
      <c r="T579">
        <f>HYPERLINK("https://klasma.github.io/Logging_2401/kartor/A 45356-2022 karta.png", "A 45356-2022")</f>
        <v/>
      </c>
      <c r="V579">
        <f>HYPERLINK("https://klasma.github.io/Logging_2401/klagomål/A 45356-2022 FSC-klagomål.docx", "A 45356-2022")</f>
        <v/>
      </c>
      <c r="W579">
        <f>HYPERLINK("https://klasma.github.io/Logging_2401/klagomålsmail/A 45356-2022 FSC-klagomål mail.docx", "A 45356-2022")</f>
        <v/>
      </c>
      <c r="X579">
        <f>HYPERLINK("https://klasma.github.io/Logging_2401/tillsyn/A 45356-2022 tillsynsbegäran.docx", "A 45356-2022")</f>
        <v/>
      </c>
      <c r="Y579">
        <f>HYPERLINK("https://klasma.github.io/Logging_2401/tillsynsmail/A 45356-2022 tillsynsbegäran mail.docx", "A 45356-2022")</f>
        <v/>
      </c>
    </row>
    <row r="580" ht="15" customHeight="1">
      <c r="A580" t="inlineStr">
        <is>
          <t>A 47362-2022</t>
        </is>
      </c>
      <c r="B580" s="1" t="n">
        <v>44853</v>
      </c>
      <c r="C580" s="1" t="n">
        <v>45357</v>
      </c>
      <c r="D580" t="inlineStr">
        <is>
          <t>VÄSTERBOTTENS LÄN</t>
        </is>
      </c>
      <c r="E580" t="inlineStr">
        <is>
          <t>NORSJÖ</t>
        </is>
      </c>
      <c r="G580" t="n">
        <v>1.4</v>
      </c>
      <c r="H580" t="n">
        <v>0</v>
      </c>
      <c r="I580" t="n">
        <v>0</v>
      </c>
      <c r="J580" t="n">
        <v>2</v>
      </c>
      <c r="K580" t="n">
        <v>0</v>
      </c>
      <c r="L580" t="n">
        <v>0</v>
      </c>
      <c r="M580" t="n">
        <v>0</v>
      </c>
      <c r="N580" t="n">
        <v>0</v>
      </c>
      <c r="O580" t="n">
        <v>2</v>
      </c>
      <c r="P580" t="n">
        <v>0</v>
      </c>
      <c r="Q580" t="n">
        <v>2</v>
      </c>
      <c r="R580" s="2" t="inlineStr">
        <is>
          <t>Lunglav
Ullticka</t>
        </is>
      </c>
      <c r="S580">
        <f>HYPERLINK("https://klasma.github.io/Logging_2417/artfynd/A 47362-2022 artfynd.xlsx", "A 47362-2022")</f>
        <v/>
      </c>
      <c r="T580">
        <f>HYPERLINK("https://klasma.github.io/Logging_2417/kartor/A 47362-2022 karta.png", "A 47362-2022")</f>
        <v/>
      </c>
      <c r="V580">
        <f>HYPERLINK("https://klasma.github.io/Logging_2417/klagomål/A 47362-2022 FSC-klagomål.docx", "A 47362-2022")</f>
        <v/>
      </c>
      <c r="W580">
        <f>HYPERLINK("https://klasma.github.io/Logging_2417/klagomålsmail/A 47362-2022 FSC-klagomål mail.docx", "A 47362-2022")</f>
        <v/>
      </c>
      <c r="X580">
        <f>HYPERLINK("https://klasma.github.io/Logging_2417/tillsyn/A 47362-2022 tillsynsbegäran.docx", "A 47362-2022")</f>
        <v/>
      </c>
      <c r="Y580">
        <f>HYPERLINK("https://klasma.github.io/Logging_2417/tillsynsmail/A 47362-2022 tillsynsbegäran mail.docx", "A 47362-2022")</f>
        <v/>
      </c>
    </row>
    <row r="581" ht="15" customHeight="1">
      <c r="A581" t="inlineStr">
        <is>
          <t>A 48951-2022</t>
        </is>
      </c>
      <c r="B581" s="1" t="n">
        <v>44860</v>
      </c>
      <c r="C581" s="1" t="n">
        <v>45357</v>
      </c>
      <c r="D581" t="inlineStr">
        <is>
          <t>VÄSTERBOTTENS LÄN</t>
        </is>
      </c>
      <c r="E581" t="inlineStr">
        <is>
          <t>NORDMALING</t>
        </is>
      </c>
      <c r="F581" t="inlineStr">
        <is>
          <t>SCA</t>
        </is>
      </c>
      <c r="G581" t="n">
        <v>2.6</v>
      </c>
      <c r="H581" t="n">
        <v>0</v>
      </c>
      <c r="I581" t="n">
        <v>0</v>
      </c>
      <c r="J581" t="n">
        <v>2</v>
      </c>
      <c r="K581" t="n">
        <v>0</v>
      </c>
      <c r="L581" t="n">
        <v>0</v>
      </c>
      <c r="M581" t="n">
        <v>0</v>
      </c>
      <c r="N581" t="n">
        <v>0</v>
      </c>
      <c r="O581" t="n">
        <v>2</v>
      </c>
      <c r="P581" t="n">
        <v>0</v>
      </c>
      <c r="Q581" t="n">
        <v>2</v>
      </c>
      <c r="R581" s="2" t="inlineStr">
        <is>
          <t>Gammelgransskål
Ullticka</t>
        </is>
      </c>
      <c r="S581">
        <f>HYPERLINK("https://klasma.github.io/Logging_2401/artfynd/A 48951-2022 artfynd.xlsx", "A 48951-2022")</f>
        <v/>
      </c>
      <c r="T581">
        <f>HYPERLINK("https://klasma.github.io/Logging_2401/kartor/A 48951-2022 karta.png", "A 48951-2022")</f>
        <v/>
      </c>
      <c r="V581">
        <f>HYPERLINK("https://klasma.github.io/Logging_2401/klagomål/A 48951-2022 FSC-klagomål.docx", "A 48951-2022")</f>
        <v/>
      </c>
      <c r="W581">
        <f>HYPERLINK("https://klasma.github.io/Logging_2401/klagomålsmail/A 48951-2022 FSC-klagomål mail.docx", "A 48951-2022")</f>
        <v/>
      </c>
      <c r="X581">
        <f>HYPERLINK("https://klasma.github.io/Logging_2401/tillsyn/A 48951-2022 tillsynsbegäran.docx", "A 48951-2022")</f>
        <v/>
      </c>
      <c r="Y581">
        <f>HYPERLINK("https://klasma.github.io/Logging_2401/tillsynsmail/A 48951-2022 tillsynsbegäran mail.docx", "A 48951-2022")</f>
        <v/>
      </c>
    </row>
    <row r="582" ht="15" customHeight="1">
      <c r="A582" t="inlineStr">
        <is>
          <t>A 49440-2022</t>
        </is>
      </c>
      <c r="B582" s="1" t="n">
        <v>44859</v>
      </c>
      <c r="C582" s="1" t="n">
        <v>45357</v>
      </c>
      <c r="D582" t="inlineStr">
        <is>
          <t>VÄSTERBOTTENS LÄN</t>
        </is>
      </c>
      <c r="E582" t="inlineStr">
        <is>
          <t>SKELLEFTEÅ</t>
        </is>
      </c>
      <c r="G582" t="n">
        <v>1.5</v>
      </c>
      <c r="H582" t="n">
        <v>0</v>
      </c>
      <c r="I582" t="n">
        <v>0</v>
      </c>
      <c r="J582" t="n">
        <v>2</v>
      </c>
      <c r="K582" t="n">
        <v>0</v>
      </c>
      <c r="L582" t="n">
        <v>0</v>
      </c>
      <c r="M582" t="n">
        <v>0</v>
      </c>
      <c r="N582" t="n">
        <v>0</v>
      </c>
      <c r="O582" t="n">
        <v>2</v>
      </c>
      <c r="P582" t="n">
        <v>0</v>
      </c>
      <c r="Q582" t="n">
        <v>2</v>
      </c>
      <c r="R582" s="2" t="inlineStr">
        <is>
          <t>Gränsticka
Ullticka</t>
        </is>
      </c>
      <c r="S582">
        <f>HYPERLINK("https://klasma.github.io/Logging_2482/artfynd/A 49440-2022 artfynd.xlsx", "A 49440-2022")</f>
        <v/>
      </c>
      <c r="T582">
        <f>HYPERLINK("https://klasma.github.io/Logging_2482/kartor/A 49440-2022 karta.png", "A 49440-2022")</f>
        <v/>
      </c>
      <c r="V582">
        <f>HYPERLINK("https://klasma.github.io/Logging_2482/klagomål/A 49440-2022 FSC-klagomål.docx", "A 49440-2022")</f>
        <v/>
      </c>
      <c r="W582">
        <f>HYPERLINK("https://klasma.github.io/Logging_2482/klagomålsmail/A 49440-2022 FSC-klagomål mail.docx", "A 49440-2022")</f>
        <v/>
      </c>
      <c r="X582">
        <f>HYPERLINK("https://klasma.github.io/Logging_2482/tillsyn/A 49440-2022 tillsynsbegäran.docx", "A 49440-2022")</f>
        <v/>
      </c>
      <c r="Y582">
        <f>HYPERLINK("https://klasma.github.io/Logging_2482/tillsynsmail/A 49440-2022 tillsynsbegäran mail.docx", "A 49440-2022")</f>
        <v/>
      </c>
    </row>
    <row r="583" ht="15" customHeight="1">
      <c r="A583" t="inlineStr">
        <is>
          <t>A 49064-2022</t>
        </is>
      </c>
      <c r="B583" s="1" t="n">
        <v>44860</v>
      </c>
      <c r="C583" s="1" t="n">
        <v>45357</v>
      </c>
      <c r="D583" t="inlineStr">
        <is>
          <t>VÄSTERBOTTENS LÄN</t>
        </is>
      </c>
      <c r="E583" t="inlineStr">
        <is>
          <t>ÅSELE</t>
        </is>
      </c>
      <c r="F583" t="inlineStr">
        <is>
          <t>Sveaskog</t>
        </is>
      </c>
      <c r="G583" t="n">
        <v>15.4</v>
      </c>
      <c r="H583" t="n">
        <v>0</v>
      </c>
      <c r="I583" t="n">
        <v>1</v>
      </c>
      <c r="J583" t="n">
        <v>1</v>
      </c>
      <c r="K583" t="n">
        <v>0</v>
      </c>
      <c r="L583" t="n">
        <v>0</v>
      </c>
      <c r="M583" t="n">
        <v>0</v>
      </c>
      <c r="N583" t="n">
        <v>0</v>
      </c>
      <c r="O583" t="n">
        <v>1</v>
      </c>
      <c r="P583" t="n">
        <v>0</v>
      </c>
      <c r="Q583" t="n">
        <v>2</v>
      </c>
      <c r="R583" s="2" t="inlineStr">
        <is>
          <t>Granticka
Dropptaggsvamp</t>
        </is>
      </c>
      <c r="S583">
        <f>HYPERLINK("https://klasma.github.io/Logging_2463/artfynd/A 49064-2022 artfynd.xlsx", "A 49064-2022")</f>
        <v/>
      </c>
      <c r="T583">
        <f>HYPERLINK("https://klasma.github.io/Logging_2463/kartor/A 49064-2022 karta.png", "A 49064-2022")</f>
        <v/>
      </c>
      <c r="V583">
        <f>HYPERLINK("https://klasma.github.io/Logging_2463/klagomål/A 49064-2022 FSC-klagomål.docx", "A 49064-2022")</f>
        <v/>
      </c>
      <c r="W583">
        <f>HYPERLINK("https://klasma.github.io/Logging_2463/klagomålsmail/A 49064-2022 FSC-klagomål mail.docx", "A 49064-2022")</f>
        <v/>
      </c>
      <c r="X583">
        <f>HYPERLINK("https://klasma.github.io/Logging_2463/tillsyn/A 49064-2022 tillsynsbegäran.docx", "A 49064-2022")</f>
        <v/>
      </c>
      <c r="Y583">
        <f>HYPERLINK("https://klasma.github.io/Logging_2463/tillsynsmail/A 49064-2022 tillsynsbegäran mail.docx", "A 49064-2022")</f>
        <v/>
      </c>
    </row>
    <row r="584" ht="15" customHeight="1">
      <c r="A584" t="inlineStr">
        <is>
          <t>A 52635-2022</t>
        </is>
      </c>
      <c r="B584" s="1" t="n">
        <v>44874</v>
      </c>
      <c r="C584" s="1" t="n">
        <v>45357</v>
      </c>
      <c r="D584" t="inlineStr">
        <is>
          <t>VÄSTERBOTTENS LÄN</t>
        </is>
      </c>
      <c r="E584" t="inlineStr">
        <is>
          <t>UMEÅ</t>
        </is>
      </c>
      <c r="G584" t="n">
        <v>3.1</v>
      </c>
      <c r="H584" t="n">
        <v>0</v>
      </c>
      <c r="I584" t="n">
        <v>1</v>
      </c>
      <c r="J584" t="n">
        <v>1</v>
      </c>
      <c r="K584" t="n">
        <v>0</v>
      </c>
      <c r="L584" t="n">
        <v>0</v>
      </c>
      <c r="M584" t="n">
        <v>0</v>
      </c>
      <c r="N584" t="n">
        <v>0</v>
      </c>
      <c r="O584" t="n">
        <v>1</v>
      </c>
      <c r="P584" t="n">
        <v>0</v>
      </c>
      <c r="Q584" t="n">
        <v>2</v>
      </c>
      <c r="R584" s="2" t="inlineStr">
        <is>
          <t>Garnlav
Vågbandad barkbock</t>
        </is>
      </c>
      <c r="S584">
        <f>HYPERLINK("https://klasma.github.io/Logging_2480/artfynd/A 52635-2022 artfynd.xlsx", "A 52635-2022")</f>
        <v/>
      </c>
      <c r="T584">
        <f>HYPERLINK("https://klasma.github.io/Logging_2480/kartor/A 52635-2022 karta.png", "A 52635-2022")</f>
        <v/>
      </c>
      <c r="V584">
        <f>HYPERLINK("https://klasma.github.io/Logging_2480/klagomål/A 52635-2022 FSC-klagomål.docx", "A 52635-2022")</f>
        <v/>
      </c>
      <c r="W584">
        <f>HYPERLINK("https://klasma.github.io/Logging_2480/klagomålsmail/A 52635-2022 FSC-klagomål mail.docx", "A 52635-2022")</f>
        <v/>
      </c>
      <c r="X584">
        <f>HYPERLINK("https://klasma.github.io/Logging_2480/tillsyn/A 52635-2022 tillsynsbegäran.docx", "A 52635-2022")</f>
        <v/>
      </c>
      <c r="Y584">
        <f>HYPERLINK("https://klasma.github.io/Logging_2480/tillsynsmail/A 52635-2022 tillsynsbegäran mail.docx", "A 52635-2022")</f>
        <v/>
      </c>
    </row>
    <row r="585" ht="15" customHeight="1">
      <c r="A585" t="inlineStr">
        <is>
          <t>A 54823-2022</t>
        </is>
      </c>
      <c r="B585" s="1" t="n">
        <v>44883</v>
      </c>
      <c r="C585" s="1" t="n">
        <v>45357</v>
      </c>
      <c r="D585" t="inlineStr">
        <is>
          <t>VÄSTERBOTTENS LÄN</t>
        </is>
      </c>
      <c r="E585" t="inlineStr">
        <is>
          <t>BJURHOLM</t>
        </is>
      </c>
      <c r="G585" t="n">
        <v>1.6</v>
      </c>
      <c r="H585" t="n">
        <v>0</v>
      </c>
      <c r="I585" t="n">
        <v>0</v>
      </c>
      <c r="J585" t="n">
        <v>2</v>
      </c>
      <c r="K585" t="n">
        <v>0</v>
      </c>
      <c r="L585" t="n">
        <v>0</v>
      </c>
      <c r="M585" t="n">
        <v>0</v>
      </c>
      <c r="N585" t="n">
        <v>0</v>
      </c>
      <c r="O585" t="n">
        <v>2</v>
      </c>
      <c r="P585" t="n">
        <v>0</v>
      </c>
      <c r="Q585" t="n">
        <v>2</v>
      </c>
      <c r="R585" s="2" t="inlineStr">
        <is>
          <t>Garnlav
Violettgrå tagellav</t>
        </is>
      </c>
      <c r="S585">
        <f>HYPERLINK("https://klasma.github.io/Logging_2403/artfynd/A 54823-2022 artfynd.xlsx", "A 54823-2022")</f>
        <v/>
      </c>
      <c r="T585">
        <f>HYPERLINK("https://klasma.github.io/Logging_2403/kartor/A 54823-2022 karta.png", "A 54823-2022")</f>
        <v/>
      </c>
      <c r="V585">
        <f>HYPERLINK("https://klasma.github.io/Logging_2403/klagomål/A 54823-2022 FSC-klagomål.docx", "A 54823-2022")</f>
        <v/>
      </c>
      <c r="W585">
        <f>HYPERLINK("https://klasma.github.io/Logging_2403/klagomålsmail/A 54823-2022 FSC-klagomål mail.docx", "A 54823-2022")</f>
        <v/>
      </c>
      <c r="X585">
        <f>HYPERLINK("https://klasma.github.io/Logging_2403/tillsyn/A 54823-2022 tillsynsbegäran.docx", "A 54823-2022")</f>
        <v/>
      </c>
      <c r="Y585">
        <f>HYPERLINK("https://klasma.github.io/Logging_2403/tillsynsmail/A 54823-2022 tillsynsbegäran mail.docx", "A 54823-2022")</f>
        <v/>
      </c>
    </row>
    <row r="586" ht="15" customHeight="1">
      <c r="A586" t="inlineStr">
        <is>
          <t>A 56157-2022</t>
        </is>
      </c>
      <c r="B586" s="1" t="n">
        <v>44889</v>
      </c>
      <c r="C586" s="1" t="n">
        <v>45357</v>
      </c>
      <c r="D586" t="inlineStr">
        <is>
          <t>VÄSTERBOTTENS LÄN</t>
        </is>
      </c>
      <c r="E586" t="inlineStr">
        <is>
          <t>SKELLEFTEÅ</t>
        </is>
      </c>
      <c r="G586" t="n">
        <v>3.9</v>
      </c>
      <c r="H586" t="n">
        <v>2</v>
      </c>
      <c r="I586" t="n">
        <v>0</v>
      </c>
      <c r="J586" t="n">
        <v>0</v>
      </c>
      <c r="K586" t="n">
        <v>0</v>
      </c>
      <c r="L586" t="n">
        <v>0</v>
      </c>
      <c r="M586" t="n">
        <v>0</v>
      </c>
      <c r="N586" t="n">
        <v>0</v>
      </c>
      <c r="O586" t="n">
        <v>0</v>
      </c>
      <c r="P586" t="n">
        <v>0</v>
      </c>
      <c r="Q586" t="n">
        <v>2</v>
      </c>
      <c r="R586" s="2" t="inlineStr">
        <is>
          <t>Fläcknycklar
Revlummer</t>
        </is>
      </c>
      <c r="S586">
        <f>HYPERLINK("https://klasma.github.io/Logging_2482/artfynd/A 56157-2022 artfynd.xlsx", "A 56157-2022")</f>
        <v/>
      </c>
      <c r="T586">
        <f>HYPERLINK("https://klasma.github.io/Logging_2482/kartor/A 56157-2022 karta.png", "A 56157-2022")</f>
        <v/>
      </c>
      <c r="V586">
        <f>HYPERLINK("https://klasma.github.io/Logging_2482/klagomål/A 56157-2022 FSC-klagomål.docx", "A 56157-2022")</f>
        <v/>
      </c>
      <c r="W586">
        <f>HYPERLINK("https://klasma.github.io/Logging_2482/klagomålsmail/A 56157-2022 FSC-klagomål mail.docx", "A 56157-2022")</f>
        <v/>
      </c>
      <c r="X586">
        <f>HYPERLINK("https://klasma.github.io/Logging_2482/tillsyn/A 56157-2022 tillsynsbegäran.docx", "A 56157-2022")</f>
        <v/>
      </c>
      <c r="Y586">
        <f>HYPERLINK("https://klasma.github.io/Logging_2482/tillsynsmail/A 56157-2022 tillsynsbegäran mail.docx", "A 56157-2022")</f>
        <v/>
      </c>
    </row>
    <row r="587" ht="15" customHeight="1">
      <c r="A587" t="inlineStr">
        <is>
          <t>A 57634-2022</t>
        </is>
      </c>
      <c r="B587" s="1" t="n">
        <v>44897</v>
      </c>
      <c r="C587" s="1" t="n">
        <v>45357</v>
      </c>
      <c r="D587" t="inlineStr">
        <is>
          <t>VÄSTERBOTTENS LÄN</t>
        </is>
      </c>
      <c r="E587" t="inlineStr">
        <is>
          <t>BJURHOLM</t>
        </is>
      </c>
      <c r="F587" t="inlineStr">
        <is>
          <t>Holmen skog AB</t>
        </is>
      </c>
      <c r="G587" t="n">
        <v>4.1</v>
      </c>
      <c r="H587" t="n">
        <v>0</v>
      </c>
      <c r="I587" t="n">
        <v>0</v>
      </c>
      <c r="J587" t="n">
        <v>2</v>
      </c>
      <c r="K587" t="n">
        <v>0</v>
      </c>
      <c r="L587" t="n">
        <v>0</v>
      </c>
      <c r="M587" t="n">
        <v>0</v>
      </c>
      <c r="N587" t="n">
        <v>0</v>
      </c>
      <c r="O587" t="n">
        <v>2</v>
      </c>
      <c r="P587" t="n">
        <v>0</v>
      </c>
      <c r="Q587" t="n">
        <v>2</v>
      </c>
      <c r="R587" s="2" t="inlineStr">
        <is>
          <t>Granticka
Lunglav</t>
        </is>
      </c>
      <c r="S587">
        <f>HYPERLINK("https://klasma.github.io/Logging_2403/artfynd/A 57634-2022 artfynd.xlsx", "A 57634-2022")</f>
        <v/>
      </c>
      <c r="T587">
        <f>HYPERLINK("https://klasma.github.io/Logging_2403/kartor/A 57634-2022 karta.png", "A 57634-2022")</f>
        <v/>
      </c>
      <c r="V587">
        <f>HYPERLINK("https://klasma.github.io/Logging_2403/klagomål/A 57634-2022 FSC-klagomål.docx", "A 57634-2022")</f>
        <v/>
      </c>
      <c r="W587">
        <f>HYPERLINK("https://klasma.github.io/Logging_2403/klagomålsmail/A 57634-2022 FSC-klagomål mail.docx", "A 57634-2022")</f>
        <v/>
      </c>
      <c r="X587">
        <f>HYPERLINK("https://klasma.github.io/Logging_2403/tillsyn/A 57634-2022 tillsynsbegäran.docx", "A 57634-2022")</f>
        <v/>
      </c>
      <c r="Y587">
        <f>HYPERLINK("https://klasma.github.io/Logging_2403/tillsynsmail/A 57634-2022 tillsynsbegäran mail.docx", "A 57634-2022")</f>
        <v/>
      </c>
    </row>
    <row r="588" ht="15" customHeight="1">
      <c r="A588" t="inlineStr">
        <is>
          <t>A 58624-2022</t>
        </is>
      </c>
      <c r="B588" s="1" t="n">
        <v>44902</v>
      </c>
      <c r="C588" s="1" t="n">
        <v>45357</v>
      </c>
      <c r="D588" t="inlineStr">
        <is>
          <t>VÄSTERBOTTENS LÄN</t>
        </is>
      </c>
      <c r="E588" t="inlineStr">
        <is>
          <t>LYCKSELE</t>
        </is>
      </c>
      <c r="F588" t="inlineStr">
        <is>
          <t>Sveaskog</t>
        </is>
      </c>
      <c r="G588" t="n">
        <v>3.2</v>
      </c>
      <c r="H588" t="n">
        <v>0</v>
      </c>
      <c r="I588" t="n">
        <v>0</v>
      </c>
      <c r="J588" t="n">
        <v>2</v>
      </c>
      <c r="K588" t="n">
        <v>0</v>
      </c>
      <c r="L588" t="n">
        <v>0</v>
      </c>
      <c r="M588" t="n">
        <v>0</v>
      </c>
      <c r="N588" t="n">
        <v>0</v>
      </c>
      <c r="O588" t="n">
        <v>2</v>
      </c>
      <c r="P588" t="n">
        <v>0</v>
      </c>
      <c r="Q588" t="n">
        <v>2</v>
      </c>
      <c r="R588" s="2" t="inlineStr">
        <is>
          <t>Blanksvart spiklav
Vedflamlav</t>
        </is>
      </c>
      <c r="S588">
        <f>HYPERLINK("https://klasma.github.io/Logging_2481/artfynd/A 58624-2022 artfynd.xlsx", "A 58624-2022")</f>
        <v/>
      </c>
      <c r="T588">
        <f>HYPERLINK("https://klasma.github.io/Logging_2481/kartor/A 58624-2022 karta.png", "A 58624-2022")</f>
        <v/>
      </c>
      <c r="V588">
        <f>HYPERLINK("https://klasma.github.io/Logging_2481/klagomål/A 58624-2022 FSC-klagomål.docx", "A 58624-2022")</f>
        <v/>
      </c>
      <c r="W588">
        <f>HYPERLINK("https://klasma.github.io/Logging_2481/klagomålsmail/A 58624-2022 FSC-klagomål mail.docx", "A 58624-2022")</f>
        <v/>
      </c>
      <c r="X588">
        <f>HYPERLINK("https://klasma.github.io/Logging_2481/tillsyn/A 58624-2022 tillsynsbegäran.docx", "A 58624-2022")</f>
        <v/>
      </c>
      <c r="Y588">
        <f>HYPERLINK("https://klasma.github.io/Logging_2481/tillsynsmail/A 58624-2022 tillsynsbegäran mail.docx", "A 58624-2022")</f>
        <v/>
      </c>
    </row>
    <row r="589" ht="15" customHeight="1">
      <c r="A589" t="inlineStr">
        <is>
          <t>A 58736-2022</t>
        </is>
      </c>
      <c r="B589" s="1" t="n">
        <v>44902</v>
      </c>
      <c r="C589" s="1" t="n">
        <v>45357</v>
      </c>
      <c r="D589" t="inlineStr">
        <is>
          <t>VÄSTERBOTTENS LÄN</t>
        </is>
      </c>
      <c r="E589" t="inlineStr">
        <is>
          <t>DOROTEA</t>
        </is>
      </c>
      <c r="F589" t="inlineStr">
        <is>
          <t>SCA</t>
        </is>
      </c>
      <c r="G589" t="n">
        <v>3.4</v>
      </c>
      <c r="H589" t="n">
        <v>0</v>
      </c>
      <c r="I589" t="n">
        <v>0</v>
      </c>
      <c r="J589" t="n">
        <v>2</v>
      </c>
      <c r="K589" t="n">
        <v>0</v>
      </c>
      <c r="L589" t="n">
        <v>0</v>
      </c>
      <c r="M589" t="n">
        <v>0</v>
      </c>
      <c r="N589" t="n">
        <v>0</v>
      </c>
      <c r="O589" t="n">
        <v>2</v>
      </c>
      <c r="P589" t="n">
        <v>0</v>
      </c>
      <c r="Q589" t="n">
        <v>2</v>
      </c>
      <c r="R589" s="2" t="inlineStr">
        <is>
          <t>Lunglav
Skrovellav</t>
        </is>
      </c>
      <c r="S589">
        <f>HYPERLINK("https://klasma.github.io/Logging_2425/artfynd/A 58736-2022 artfynd.xlsx", "A 58736-2022")</f>
        <v/>
      </c>
      <c r="T589">
        <f>HYPERLINK("https://klasma.github.io/Logging_2425/kartor/A 58736-2022 karta.png", "A 58736-2022")</f>
        <v/>
      </c>
      <c r="V589">
        <f>HYPERLINK("https://klasma.github.io/Logging_2425/klagomål/A 58736-2022 FSC-klagomål.docx", "A 58736-2022")</f>
        <v/>
      </c>
      <c r="W589">
        <f>HYPERLINK("https://klasma.github.io/Logging_2425/klagomålsmail/A 58736-2022 FSC-klagomål mail.docx", "A 58736-2022")</f>
        <v/>
      </c>
      <c r="X589">
        <f>HYPERLINK("https://klasma.github.io/Logging_2425/tillsyn/A 58736-2022 tillsynsbegäran.docx", "A 58736-2022")</f>
        <v/>
      </c>
      <c r="Y589">
        <f>HYPERLINK("https://klasma.github.io/Logging_2425/tillsynsmail/A 58736-2022 tillsynsbegäran mail.docx", "A 58736-2022")</f>
        <v/>
      </c>
    </row>
    <row r="590" ht="15" customHeight="1">
      <c r="A590" t="inlineStr">
        <is>
          <t>A 60688-2022</t>
        </is>
      </c>
      <c r="B590" s="1" t="n">
        <v>44911</v>
      </c>
      <c r="C590" s="1" t="n">
        <v>45357</v>
      </c>
      <c r="D590" t="inlineStr">
        <is>
          <t>VÄSTERBOTTENS LÄN</t>
        </is>
      </c>
      <c r="E590" t="inlineStr">
        <is>
          <t>BJURHOLM</t>
        </is>
      </c>
      <c r="G590" t="n">
        <v>1.8</v>
      </c>
      <c r="H590" t="n">
        <v>0</v>
      </c>
      <c r="I590" t="n">
        <v>1</v>
      </c>
      <c r="J590" t="n">
        <v>1</v>
      </c>
      <c r="K590" t="n">
        <v>0</v>
      </c>
      <c r="L590" t="n">
        <v>0</v>
      </c>
      <c r="M590" t="n">
        <v>0</v>
      </c>
      <c r="N590" t="n">
        <v>0</v>
      </c>
      <c r="O590" t="n">
        <v>1</v>
      </c>
      <c r="P590" t="n">
        <v>0</v>
      </c>
      <c r="Q590" t="n">
        <v>2</v>
      </c>
      <c r="R590" s="2" t="inlineStr">
        <is>
          <t>Talltaggsvamp
Stuplav</t>
        </is>
      </c>
      <c r="S590">
        <f>HYPERLINK("https://klasma.github.io/Logging_2403/artfynd/A 60688-2022 artfynd.xlsx", "A 60688-2022")</f>
        <v/>
      </c>
      <c r="T590">
        <f>HYPERLINK("https://klasma.github.io/Logging_2403/kartor/A 60688-2022 karta.png", "A 60688-2022")</f>
        <v/>
      </c>
      <c r="V590">
        <f>HYPERLINK("https://klasma.github.io/Logging_2403/klagomål/A 60688-2022 FSC-klagomål.docx", "A 60688-2022")</f>
        <v/>
      </c>
      <c r="W590">
        <f>HYPERLINK("https://klasma.github.io/Logging_2403/klagomålsmail/A 60688-2022 FSC-klagomål mail.docx", "A 60688-2022")</f>
        <v/>
      </c>
      <c r="X590">
        <f>HYPERLINK("https://klasma.github.io/Logging_2403/tillsyn/A 60688-2022 tillsynsbegäran.docx", "A 60688-2022")</f>
        <v/>
      </c>
      <c r="Y590">
        <f>HYPERLINK("https://klasma.github.io/Logging_2403/tillsynsmail/A 60688-2022 tillsynsbegäran mail.docx", "A 60688-2022")</f>
        <v/>
      </c>
    </row>
    <row r="591" ht="15" customHeight="1">
      <c r="A591" t="inlineStr">
        <is>
          <t>A 469-2023</t>
        </is>
      </c>
      <c r="B591" s="1" t="n">
        <v>44929</v>
      </c>
      <c r="C591" s="1" t="n">
        <v>45357</v>
      </c>
      <c r="D591" t="inlineStr">
        <is>
          <t>VÄSTERBOTTENS LÄN</t>
        </is>
      </c>
      <c r="E591" t="inlineStr">
        <is>
          <t>ROBERTSFORS</t>
        </is>
      </c>
      <c r="G591" t="n">
        <v>13.8</v>
      </c>
      <c r="H591" t="n">
        <v>0</v>
      </c>
      <c r="I591" t="n">
        <v>0</v>
      </c>
      <c r="J591" t="n">
        <v>2</v>
      </c>
      <c r="K591" t="n">
        <v>0</v>
      </c>
      <c r="L591" t="n">
        <v>0</v>
      </c>
      <c r="M591" t="n">
        <v>0</v>
      </c>
      <c r="N591" t="n">
        <v>0</v>
      </c>
      <c r="O591" t="n">
        <v>2</v>
      </c>
      <c r="P591" t="n">
        <v>0</v>
      </c>
      <c r="Q591" t="n">
        <v>2</v>
      </c>
      <c r="R591" s="2" t="inlineStr">
        <is>
          <t>Gammelgransskål
Garnlav</t>
        </is>
      </c>
      <c r="S591">
        <f>HYPERLINK("https://klasma.github.io/Logging_2409/artfynd/A 469-2023 artfynd.xlsx", "A 469-2023")</f>
        <v/>
      </c>
      <c r="T591">
        <f>HYPERLINK("https://klasma.github.io/Logging_2409/kartor/A 469-2023 karta.png", "A 469-2023")</f>
        <v/>
      </c>
      <c r="V591">
        <f>HYPERLINK("https://klasma.github.io/Logging_2409/klagomål/A 469-2023 FSC-klagomål.docx", "A 469-2023")</f>
        <v/>
      </c>
      <c r="W591">
        <f>HYPERLINK("https://klasma.github.io/Logging_2409/klagomålsmail/A 469-2023 FSC-klagomål mail.docx", "A 469-2023")</f>
        <v/>
      </c>
      <c r="X591">
        <f>HYPERLINK("https://klasma.github.io/Logging_2409/tillsyn/A 469-2023 tillsynsbegäran.docx", "A 469-2023")</f>
        <v/>
      </c>
      <c r="Y591">
        <f>HYPERLINK("https://klasma.github.io/Logging_2409/tillsynsmail/A 469-2023 tillsynsbegäran mail.docx", "A 469-2023")</f>
        <v/>
      </c>
    </row>
    <row r="592" ht="15" customHeight="1">
      <c r="A592" t="inlineStr">
        <is>
          <t>A 787-2023</t>
        </is>
      </c>
      <c r="B592" s="1" t="n">
        <v>44931</v>
      </c>
      <c r="C592" s="1" t="n">
        <v>45357</v>
      </c>
      <c r="D592" t="inlineStr">
        <is>
          <t>VÄSTERBOTTENS LÄN</t>
        </is>
      </c>
      <c r="E592" t="inlineStr">
        <is>
          <t>SKELLEFTEÅ</t>
        </is>
      </c>
      <c r="G592" t="n">
        <v>13.9</v>
      </c>
      <c r="H592" t="n">
        <v>0</v>
      </c>
      <c r="I592" t="n">
        <v>1</v>
      </c>
      <c r="J592" t="n">
        <v>1</v>
      </c>
      <c r="K592" t="n">
        <v>0</v>
      </c>
      <c r="L592" t="n">
        <v>0</v>
      </c>
      <c r="M592" t="n">
        <v>0</v>
      </c>
      <c r="N592" t="n">
        <v>0</v>
      </c>
      <c r="O592" t="n">
        <v>1</v>
      </c>
      <c r="P592" t="n">
        <v>0</v>
      </c>
      <c r="Q592" t="n">
        <v>2</v>
      </c>
      <c r="R592" s="2" t="inlineStr">
        <is>
          <t>Storgröe
Ögonpyrola</t>
        </is>
      </c>
      <c r="S592">
        <f>HYPERLINK("https://klasma.github.io/Logging_2482/artfynd/A 787-2023 artfynd.xlsx", "A 787-2023")</f>
        <v/>
      </c>
      <c r="T592">
        <f>HYPERLINK("https://klasma.github.io/Logging_2482/kartor/A 787-2023 karta.png", "A 787-2023")</f>
        <v/>
      </c>
      <c r="V592">
        <f>HYPERLINK("https://klasma.github.io/Logging_2482/klagomål/A 787-2023 FSC-klagomål.docx", "A 787-2023")</f>
        <v/>
      </c>
      <c r="W592">
        <f>HYPERLINK("https://klasma.github.io/Logging_2482/klagomålsmail/A 787-2023 FSC-klagomål mail.docx", "A 787-2023")</f>
        <v/>
      </c>
      <c r="X592">
        <f>HYPERLINK("https://klasma.github.io/Logging_2482/tillsyn/A 787-2023 tillsynsbegäran.docx", "A 787-2023")</f>
        <v/>
      </c>
      <c r="Y592">
        <f>HYPERLINK("https://klasma.github.io/Logging_2482/tillsynsmail/A 787-2023 tillsynsbegäran mail.docx", "A 787-2023")</f>
        <v/>
      </c>
    </row>
    <row r="593" ht="15" customHeight="1">
      <c r="A593" t="inlineStr">
        <is>
          <t>A 2893-2023</t>
        </is>
      </c>
      <c r="B593" s="1" t="n">
        <v>44945</v>
      </c>
      <c r="C593" s="1" t="n">
        <v>45357</v>
      </c>
      <c r="D593" t="inlineStr">
        <is>
          <t>VÄSTERBOTTENS LÄN</t>
        </is>
      </c>
      <c r="E593" t="inlineStr">
        <is>
          <t>LYCKSELE</t>
        </is>
      </c>
      <c r="F593" t="inlineStr">
        <is>
          <t>Kyrkan</t>
        </is>
      </c>
      <c r="G593" t="n">
        <v>3.5</v>
      </c>
      <c r="H593" t="n">
        <v>0</v>
      </c>
      <c r="I593" t="n">
        <v>1</v>
      </c>
      <c r="J593" t="n">
        <v>1</v>
      </c>
      <c r="K593" t="n">
        <v>0</v>
      </c>
      <c r="L593" t="n">
        <v>0</v>
      </c>
      <c r="M593" t="n">
        <v>0</v>
      </c>
      <c r="N593" t="n">
        <v>0</v>
      </c>
      <c r="O593" t="n">
        <v>1</v>
      </c>
      <c r="P593" t="n">
        <v>0</v>
      </c>
      <c r="Q593" t="n">
        <v>2</v>
      </c>
      <c r="R593" s="2" t="inlineStr">
        <is>
          <t>Garnlav
Dropptaggsvamp</t>
        </is>
      </c>
      <c r="S593">
        <f>HYPERLINK("https://klasma.github.io/Logging_2481/artfynd/A 2893-2023 artfynd.xlsx", "A 2893-2023")</f>
        <v/>
      </c>
      <c r="T593">
        <f>HYPERLINK("https://klasma.github.io/Logging_2481/kartor/A 2893-2023 karta.png", "A 2893-2023")</f>
        <v/>
      </c>
      <c r="V593">
        <f>HYPERLINK("https://klasma.github.io/Logging_2481/klagomål/A 2893-2023 FSC-klagomål.docx", "A 2893-2023")</f>
        <v/>
      </c>
      <c r="W593">
        <f>HYPERLINK("https://klasma.github.io/Logging_2481/klagomålsmail/A 2893-2023 FSC-klagomål mail.docx", "A 2893-2023")</f>
        <v/>
      </c>
      <c r="X593">
        <f>HYPERLINK("https://klasma.github.io/Logging_2481/tillsyn/A 2893-2023 tillsynsbegäran.docx", "A 2893-2023")</f>
        <v/>
      </c>
      <c r="Y593">
        <f>HYPERLINK("https://klasma.github.io/Logging_2481/tillsynsmail/A 2893-2023 tillsynsbegäran mail.docx", "A 2893-2023")</f>
        <v/>
      </c>
    </row>
    <row r="594" ht="15" customHeight="1">
      <c r="A594" t="inlineStr">
        <is>
          <t>A 3896-2023</t>
        </is>
      </c>
      <c r="B594" s="1" t="n">
        <v>44951</v>
      </c>
      <c r="C594" s="1" t="n">
        <v>45357</v>
      </c>
      <c r="D594" t="inlineStr">
        <is>
          <t>VÄSTERBOTTENS LÄN</t>
        </is>
      </c>
      <c r="E594" t="inlineStr">
        <is>
          <t>ÅSELE</t>
        </is>
      </c>
      <c r="F594" t="inlineStr">
        <is>
          <t>SCA</t>
        </is>
      </c>
      <c r="G594" t="n">
        <v>8</v>
      </c>
      <c r="H594" t="n">
        <v>0</v>
      </c>
      <c r="I594" t="n">
        <v>0</v>
      </c>
      <c r="J594" t="n">
        <v>2</v>
      </c>
      <c r="K594" t="n">
        <v>0</v>
      </c>
      <c r="L594" t="n">
        <v>0</v>
      </c>
      <c r="M594" t="n">
        <v>0</v>
      </c>
      <c r="N594" t="n">
        <v>0</v>
      </c>
      <c r="O594" t="n">
        <v>2</v>
      </c>
      <c r="P594" t="n">
        <v>0</v>
      </c>
      <c r="Q594" t="n">
        <v>2</v>
      </c>
      <c r="R594" s="2" t="inlineStr">
        <is>
          <t>Garnlav
Vedskivlav</t>
        </is>
      </c>
      <c r="S594">
        <f>HYPERLINK("https://klasma.github.io/Logging_2463/artfynd/A 3896-2023 artfynd.xlsx", "A 3896-2023")</f>
        <v/>
      </c>
      <c r="T594">
        <f>HYPERLINK("https://klasma.github.io/Logging_2463/kartor/A 3896-2023 karta.png", "A 3896-2023")</f>
        <v/>
      </c>
      <c r="V594">
        <f>HYPERLINK("https://klasma.github.io/Logging_2463/klagomål/A 3896-2023 FSC-klagomål.docx", "A 3896-2023")</f>
        <v/>
      </c>
      <c r="W594">
        <f>HYPERLINK("https://klasma.github.io/Logging_2463/klagomålsmail/A 3896-2023 FSC-klagomål mail.docx", "A 3896-2023")</f>
        <v/>
      </c>
      <c r="X594">
        <f>HYPERLINK("https://klasma.github.io/Logging_2463/tillsyn/A 3896-2023 tillsynsbegäran.docx", "A 3896-2023")</f>
        <v/>
      </c>
      <c r="Y594">
        <f>HYPERLINK("https://klasma.github.io/Logging_2463/tillsynsmail/A 3896-2023 tillsynsbegäran mail.docx", "A 3896-2023")</f>
        <v/>
      </c>
    </row>
    <row r="595" ht="15" customHeight="1">
      <c r="A595" t="inlineStr">
        <is>
          <t>A 3893-2023</t>
        </is>
      </c>
      <c r="B595" s="1" t="n">
        <v>44951</v>
      </c>
      <c r="C595" s="1" t="n">
        <v>45357</v>
      </c>
      <c r="D595" t="inlineStr">
        <is>
          <t>VÄSTERBOTTENS LÄN</t>
        </is>
      </c>
      <c r="E595" t="inlineStr">
        <is>
          <t>STORUMAN</t>
        </is>
      </c>
      <c r="F595" t="inlineStr">
        <is>
          <t>SCA</t>
        </is>
      </c>
      <c r="G595" t="n">
        <v>2.1</v>
      </c>
      <c r="H595" t="n">
        <v>0</v>
      </c>
      <c r="I595" t="n">
        <v>1</v>
      </c>
      <c r="J595" t="n">
        <v>1</v>
      </c>
      <c r="K595" t="n">
        <v>0</v>
      </c>
      <c r="L595" t="n">
        <v>0</v>
      </c>
      <c r="M595" t="n">
        <v>0</v>
      </c>
      <c r="N595" t="n">
        <v>0</v>
      </c>
      <c r="O595" t="n">
        <v>1</v>
      </c>
      <c r="P595" t="n">
        <v>0</v>
      </c>
      <c r="Q595" t="n">
        <v>2</v>
      </c>
      <c r="R595" s="2" t="inlineStr">
        <is>
          <t>Talltaggsvamp
Skarp dropptaggsvamp</t>
        </is>
      </c>
      <c r="S595">
        <f>HYPERLINK("https://klasma.github.io/Logging_2421/artfynd/A 3893-2023 artfynd.xlsx", "A 3893-2023")</f>
        <v/>
      </c>
      <c r="T595">
        <f>HYPERLINK("https://klasma.github.io/Logging_2421/kartor/A 3893-2023 karta.png", "A 3893-2023")</f>
        <v/>
      </c>
      <c r="V595">
        <f>HYPERLINK("https://klasma.github.io/Logging_2421/klagomål/A 3893-2023 FSC-klagomål.docx", "A 3893-2023")</f>
        <v/>
      </c>
      <c r="W595">
        <f>HYPERLINK("https://klasma.github.io/Logging_2421/klagomålsmail/A 3893-2023 FSC-klagomål mail.docx", "A 3893-2023")</f>
        <v/>
      </c>
      <c r="X595">
        <f>HYPERLINK("https://klasma.github.io/Logging_2421/tillsyn/A 3893-2023 tillsynsbegäran.docx", "A 3893-2023")</f>
        <v/>
      </c>
      <c r="Y595">
        <f>HYPERLINK("https://klasma.github.io/Logging_2421/tillsynsmail/A 3893-2023 tillsynsbegäran mail.docx", "A 3893-2023")</f>
        <v/>
      </c>
    </row>
    <row r="596" ht="15" customHeight="1">
      <c r="A596" t="inlineStr">
        <is>
          <t>A 5450-2023</t>
        </is>
      </c>
      <c r="B596" s="1" t="n">
        <v>44959</v>
      </c>
      <c r="C596" s="1" t="n">
        <v>45357</v>
      </c>
      <c r="D596" t="inlineStr">
        <is>
          <t>VÄSTERBOTTENS LÄN</t>
        </is>
      </c>
      <c r="E596" t="inlineStr">
        <is>
          <t>STORUMAN</t>
        </is>
      </c>
      <c r="F596" t="inlineStr">
        <is>
          <t>SCA</t>
        </is>
      </c>
      <c r="G596" t="n">
        <v>8.4</v>
      </c>
      <c r="H596" t="n">
        <v>2</v>
      </c>
      <c r="I596" t="n">
        <v>0</v>
      </c>
      <c r="J596" t="n">
        <v>1</v>
      </c>
      <c r="K596" t="n">
        <v>1</v>
      </c>
      <c r="L596" t="n">
        <v>0</v>
      </c>
      <c r="M596" t="n">
        <v>0</v>
      </c>
      <c r="N596" t="n">
        <v>0</v>
      </c>
      <c r="O596" t="n">
        <v>2</v>
      </c>
      <c r="P596" t="n">
        <v>1</v>
      </c>
      <c r="Q596" t="n">
        <v>2</v>
      </c>
      <c r="R596" s="2" t="inlineStr">
        <is>
          <t>Knärot
Tretåig hackspett</t>
        </is>
      </c>
      <c r="S596">
        <f>HYPERLINK("https://klasma.github.io/Logging_2421/artfynd/A 5450-2023 artfynd.xlsx", "A 5450-2023")</f>
        <v/>
      </c>
      <c r="T596">
        <f>HYPERLINK("https://klasma.github.io/Logging_2421/kartor/A 5450-2023 karta.png", "A 5450-2023")</f>
        <v/>
      </c>
      <c r="U596">
        <f>HYPERLINK("https://klasma.github.io/Logging_2421/knärot/A 5450-2023 karta knärot.png", "A 5450-2023")</f>
        <v/>
      </c>
      <c r="V596">
        <f>HYPERLINK("https://klasma.github.io/Logging_2421/klagomål/A 5450-2023 FSC-klagomål.docx", "A 5450-2023")</f>
        <v/>
      </c>
      <c r="W596">
        <f>HYPERLINK("https://klasma.github.io/Logging_2421/klagomålsmail/A 5450-2023 FSC-klagomål mail.docx", "A 5450-2023")</f>
        <v/>
      </c>
      <c r="X596">
        <f>HYPERLINK("https://klasma.github.io/Logging_2421/tillsyn/A 5450-2023 tillsynsbegäran.docx", "A 5450-2023")</f>
        <v/>
      </c>
      <c r="Y596">
        <f>HYPERLINK("https://klasma.github.io/Logging_2421/tillsynsmail/A 5450-2023 tillsynsbegäran mail.docx", "A 5450-2023")</f>
        <v/>
      </c>
      <c r="Z596">
        <f>HYPERLINK("https://klasma.github.io/Logging_2421/fåglar/A 5450-2023 prioriterade fågelarter.docx", "A 5450-2023")</f>
        <v/>
      </c>
    </row>
    <row r="597" ht="15" customHeight="1">
      <c r="A597" t="inlineStr">
        <is>
          <t>A 6002-2023</t>
        </is>
      </c>
      <c r="B597" s="1" t="n">
        <v>44964</v>
      </c>
      <c r="C597" s="1" t="n">
        <v>45357</v>
      </c>
      <c r="D597" t="inlineStr">
        <is>
          <t>VÄSTERBOTTENS LÄN</t>
        </is>
      </c>
      <c r="E597" t="inlineStr">
        <is>
          <t>LYCKSELE</t>
        </is>
      </c>
      <c r="F597" t="inlineStr">
        <is>
          <t>Kyrkan</t>
        </is>
      </c>
      <c r="G597" t="n">
        <v>15.7</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HYPERLINK("https://klasma.github.io/Logging_2481/artfynd/A 6002-2023 artfynd.xlsx", "A 6002-2023")</f>
        <v/>
      </c>
      <c r="T597">
        <f>HYPERLINK("https://klasma.github.io/Logging_2481/kartor/A 6002-2023 karta.png", "A 6002-2023")</f>
        <v/>
      </c>
      <c r="V597">
        <f>HYPERLINK("https://klasma.github.io/Logging_2481/klagomål/A 6002-2023 FSC-klagomål.docx", "A 6002-2023")</f>
        <v/>
      </c>
      <c r="W597">
        <f>HYPERLINK("https://klasma.github.io/Logging_2481/klagomålsmail/A 6002-2023 FSC-klagomål mail.docx", "A 6002-2023")</f>
        <v/>
      </c>
      <c r="X597">
        <f>HYPERLINK("https://klasma.github.io/Logging_2481/tillsyn/A 6002-2023 tillsynsbegäran.docx", "A 6002-2023")</f>
        <v/>
      </c>
      <c r="Y597">
        <f>HYPERLINK("https://klasma.github.io/Logging_2481/tillsynsmail/A 6002-2023 tillsynsbegäran mail.docx", "A 6002-2023")</f>
        <v/>
      </c>
    </row>
    <row r="598" ht="15" customHeight="1">
      <c r="A598" t="inlineStr">
        <is>
          <t>A 7670-2023</t>
        </is>
      </c>
      <c r="B598" s="1" t="n">
        <v>44972</v>
      </c>
      <c r="C598" s="1" t="n">
        <v>45357</v>
      </c>
      <c r="D598" t="inlineStr">
        <is>
          <t>VÄSTERBOTTENS LÄN</t>
        </is>
      </c>
      <c r="E598" t="inlineStr">
        <is>
          <t>LYCKSELE</t>
        </is>
      </c>
      <c r="F598" t="inlineStr">
        <is>
          <t>Sveaskog</t>
        </is>
      </c>
      <c r="G598" t="n">
        <v>0.8</v>
      </c>
      <c r="H598" t="n">
        <v>0</v>
      </c>
      <c r="I598" t="n">
        <v>1</v>
      </c>
      <c r="J598" t="n">
        <v>1</v>
      </c>
      <c r="K598" t="n">
        <v>0</v>
      </c>
      <c r="L598" t="n">
        <v>0</v>
      </c>
      <c r="M598" t="n">
        <v>0</v>
      </c>
      <c r="N598" t="n">
        <v>0</v>
      </c>
      <c r="O598" t="n">
        <v>1</v>
      </c>
      <c r="P598" t="n">
        <v>0</v>
      </c>
      <c r="Q598" t="n">
        <v>2</v>
      </c>
      <c r="R598" s="2" t="inlineStr">
        <is>
          <t>Lunglav
Dropptaggsvamp</t>
        </is>
      </c>
      <c r="S598">
        <f>HYPERLINK("https://klasma.github.io/Logging_2481/artfynd/A 7670-2023 artfynd.xlsx", "A 7670-2023")</f>
        <v/>
      </c>
      <c r="T598">
        <f>HYPERLINK("https://klasma.github.io/Logging_2481/kartor/A 7670-2023 karta.png", "A 7670-2023")</f>
        <v/>
      </c>
      <c r="V598">
        <f>HYPERLINK("https://klasma.github.io/Logging_2481/klagomål/A 7670-2023 FSC-klagomål.docx", "A 7670-2023")</f>
        <v/>
      </c>
      <c r="W598">
        <f>HYPERLINK("https://klasma.github.io/Logging_2481/klagomålsmail/A 7670-2023 FSC-klagomål mail.docx", "A 7670-2023")</f>
        <v/>
      </c>
      <c r="X598">
        <f>HYPERLINK("https://klasma.github.io/Logging_2481/tillsyn/A 7670-2023 tillsynsbegäran.docx", "A 7670-2023")</f>
        <v/>
      </c>
      <c r="Y598">
        <f>HYPERLINK("https://klasma.github.io/Logging_2481/tillsynsmail/A 7670-2023 tillsynsbegäran mail.docx", "A 7670-2023")</f>
        <v/>
      </c>
    </row>
    <row r="599" ht="15" customHeight="1">
      <c r="A599" t="inlineStr">
        <is>
          <t>A 10292-2023</t>
        </is>
      </c>
      <c r="B599" s="1" t="n">
        <v>44986</v>
      </c>
      <c r="C599" s="1" t="n">
        <v>45357</v>
      </c>
      <c r="D599" t="inlineStr">
        <is>
          <t>VÄSTERBOTTENS LÄN</t>
        </is>
      </c>
      <c r="E599" t="inlineStr">
        <is>
          <t>ÅSELE</t>
        </is>
      </c>
      <c r="F599" t="inlineStr">
        <is>
          <t>SCA</t>
        </is>
      </c>
      <c r="G599" t="n">
        <v>22.4</v>
      </c>
      <c r="H599" t="n">
        <v>0</v>
      </c>
      <c r="I599" t="n">
        <v>0</v>
      </c>
      <c r="J599" t="n">
        <v>2</v>
      </c>
      <c r="K599" t="n">
        <v>0</v>
      </c>
      <c r="L599" t="n">
        <v>0</v>
      </c>
      <c r="M599" t="n">
        <v>0</v>
      </c>
      <c r="N599" t="n">
        <v>0</v>
      </c>
      <c r="O599" t="n">
        <v>2</v>
      </c>
      <c r="P599" t="n">
        <v>0</v>
      </c>
      <c r="Q599" t="n">
        <v>2</v>
      </c>
      <c r="R599" s="2" t="inlineStr">
        <is>
          <t>Granticka
Lunglav</t>
        </is>
      </c>
      <c r="S599">
        <f>HYPERLINK("https://klasma.github.io/Logging_2463/artfynd/A 10292-2023 artfynd.xlsx", "A 10292-2023")</f>
        <v/>
      </c>
      <c r="T599">
        <f>HYPERLINK("https://klasma.github.io/Logging_2463/kartor/A 10292-2023 karta.png", "A 10292-2023")</f>
        <v/>
      </c>
      <c r="V599">
        <f>HYPERLINK("https://klasma.github.io/Logging_2463/klagomål/A 10292-2023 FSC-klagomål.docx", "A 10292-2023")</f>
        <v/>
      </c>
      <c r="W599">
        <f>HYPERLINK("https://klasma.github.io/Logging_2463/klagomålsmail/A 10292-2023 FSC-klagomål mail.docx", "A 10292-2023")</f>
        <v/>
      </c>
      <c r="X599">
        <f>HYPERLINK("https://klasma.github.io/Logging_2463/tillsyn/A 10292-2023 tillsynsbegäran.docx", "A 10292-2023")</f>
        <v/>
      </c>
      <c r="Y599">
        <f>HYPERLINK("https://klasma.github.io/Logging_2463/tillsynsmail/A 10292-2023 tillsynsbegäran mail.docx", "A 10292-2023")</f>
        <v/>
      </c>
    </row>
    <row r="600" ht="15" customHeight="1">
      <c r="A600" t="inlineStr">
        <is>
          <t>A 10546-2023</t>
        </is>
      </c>
      <c r="B600" s="1" t="n">
        <v>44987</v>
      </c>
      <c r="C600" s="1" t="n">
        <v>45357</v>
      </c>
      <c r="D600" t="inlineStr">
        <is>
          <t>VÄSTERBOTTENS LÄN</t>
        </is>
      </c>
      <c r="E600" t="inlineStr">
        <is>
          <t>ÅSELE</t>
        </is>
      </c>
      <c r="F600" t="inlineStr">
        <is>
          <t>SCA</t>
        </is>
      </c>
      <c r="G600" t="n">
        <v>11.5</v>
      </c>
      <c r="H600" t="n">
        <v>0</v>
      </c>
      <c r="I600" t="n">
        <v>0</v>
      </c>
      <c r="J600" t="n">
        <v>2</v>
      </c>
      <c r="K600" t="n">
        <v>0</v>
      </c>
      <c r="L600" t="n">
        <v>0</v>
      </c>
      <c r="M600" t="n">
        <v>0</v>
      </c>
      <c r="N600" t="n">
        <v>0</v>
      </c>
      <c r="O600" t="n">
        <v>2</v>
      </c>
      <c r="P600" t="n">
        <v>0</v>
      </c>
      <c r="Q600" t="n">
        <v>2</v>
      </c>
      <c r="R600" s="2" t="inlineStr">
        <is>
          <t>Gammelgransskål
Lunglav</t>
        </is>
      </c>
      <c r="S600">
        <f>HYPERLINK("https://klasma.github.io/Logging_2463/artfynd/A 10546-2023 artfynd.xlsx", "A 10546-2023")</f>
        <v/>
      </c>
      <c r="T600">
        <f>HYPERLINK("https://klasma.github.io/Logging_2463/kartor/A 10546-2023 karta.png", "A 10546-2023")</f>
        <v/>
      </c>
      <c r="V600">
        <f>HYPERLINK("https://klasma.github.io/Logging_2463/klagomål/A 10546-2023 FSC-klagomål.docx", "A 10546-2023")</f>
        <v/>
      </c>
      <c r="W600">
        <f>HYPERLINK("https://klasma.github.io/Logging_2463/klagomålsmail/A 10546-2023 FSC-klagomål mail.docx", "A 10546-2023")</f>
        <v/>
      </c>
      <c r="X600">
        <f>HYPERLINK("https://klasma.github.io/Logging_2463/tillsyn/A 10546-2023 tillsynsbegäran.docx", "A 10546-2023")</f>
        <v/>
      </c>
      <c r="Y600">
        <f>HYPERLINK("https://klasma.github.io/Logging_2463/tillsynsmail/A 10546-2023 tillsynsbegäran mail.docx", "A 10546-2023")</f>
        <v/>
      </c>
    </row>
    <row r="601" ht="15" customHeight="1">
      <c r="A601" t="inlineStr">
        <is>
          <t>A 11627-2023</t>
        </is>
      </c>
      <c r="B601" s="1" t="n">
        <v>44994</v>
      </c>
      <c r="C601" s="1" t="n">
        <v>45357</v>
      </c>
      <c r="D601" t="inlineStr">
        <is>
          <t>VÄSTERBOTTENS LÄN</t>
        </is>
      </c>
      <c r="E601" t="inlineStr">
        <is>
          <t>SKELLEFTEÅ</t>
        </is>
      </c>
      <c r="G601" t="n">
        <v>16.6</v>
      </c>
      <c r="H601" t="n">
        <v>1</v>
      </c>
      <c r="I601" t="n">
        <v>1</v>
      </c>
      <c r="J601" t="n">
        <v>0</v>
      </c>
      <c r="K601" t="n">
        <v>0</v>
      </c>
      <c r="L601" t="n">
        <v>0</v>
      </c>
      <c r="M601" t="n">
        <v>0</v>
      </c>
      <c r="N601" t="n">
        <v>0</v>
      </c>
      <c r="O601" t="n">
        <v>0</v>
      </c>
      <c r="P601" t="n">
        <v>0</v>
      </c>
      <c r="Q601" t="n">
        <v>2</v>
      </c>
      <c r="R601" s="2" t="inlineStr">
        <is>
          <t>Norrlandslav
Revlummer</t>
        </is>
      </c>
      <c r="S601">
        <f>HYPERLINK("https://klasma.github.io/Logging_2482/artfynd/A 11627-2023 artfynd.xlsx", "A 11627-2023")</f>
        <v/>
      </c>
      <c r="T601">
        <f>HYPERLINK("https://klasma.github.io/Logging_2482/kartor/A 11627-2023 karta.png", "A 11627-2023")</f>
        <v/>
      </c>
      <c r="V601">
        <f>HYPERLINK("https://klasma.github.io/Logging_2482/klagomål/A 11627-2023 FSC-klagomål.docx", "A 11627-2023")</f>
        <v/>
      </c>
      <c r="W601">
        <f>HYPERLINK("https://klasma.github.io/Logging_2482/klagomålsmail/A 11627-2023 FSC-klagomål mail.docx", "A 11627-2023")</f>
        <v/>
      </c>
      <c r="X601">
        <f>HYPERLINK("https://klasma.github.io/Logging_2482/tillsyn/A 11627-2023 tillsynsbegäran.docx", "A 11627-2023")</f>
        <v/>
      </c>
      <c r="Y601">
        <f>HYPERLINK("https://klasma.github.io/Logging_2482/tillsynsmail/A 11627-2023 tillsynsbegäran mail.docx", "A 11627-2023")</f>
        <v/>
      </c>
    </row>
    <row r="602" ht="15" customHeight="1">
      <c r="A602" t="inlineStr">
        <is>
          <t>A 15081-2023</t>
        </is>
      </c>
      <c r="B602" s="1" t="n">
        <v>45016</v>
      </c>
      <c r="C602" s="1" t="n">
        <v>45357</v>
      </c>
      <c r="D602" t="inlineStr">
        <is>
          <t>VÄSTERBOTTENS LÄN</t>
        </is>
      </c>
      <c r="E602" t="inlineStr">
        <is>
          <t>ÅSELE</t>
        </is>
      </c>
      <c r="F602" t="inlineStr">
        <is>
          <t>SCA</t>
        </is>
      </c>
      <c r="G602" t="n">
        <v>6.4</v>
      </c>
      <c r="H602" t="n">
        <v>0</v>
      </c>
      <c r="I602" t="n">
        <v>0</v>
      </c>
      <c r="J602" t="n">
        <v>2</v>
      </c>
      <c r="K602" t="n">
        <v>0</v>
      </c>
      <c r="L602" t="n">
        <v>0</v>
      </c>
      <c r="M602" t="n">
        <v>0</v>
      </c>
      <c r="N602" t="n">
        <v>0</v>
      </c>
      <c r="O602" t="n">
        <v>2</v>
      </c>
      <c r="P602" t="n">
        <v>0</v>
      </c>
      <c r="Q602" t="n">
        <v>2</v>
      </c>
      <c r="R602" s="2" t="inlineStr">
        <is>
          <t>Gränsticka
Koralltaggsvamp</t>
        </is>
      </c>
      <c r="S602">
        <f>HYPERLINK("https://klasma.github.io/Logging_2463/artfynd/A 15081-2023 artfynd.xlsx", "A 15081-2023")</f>
        <v/>
      </c>
      <c r="T602">
        <f>HYPERLINK("https://klasma.github.io/Logging_2463/kartor/A 15081-2023 karta.png", "A 15081-2023")</f>
        <v/>
      </c>
      <c r="V602">
        <f>HYPERLINK("https://klasma.github.io/Logging_2463/klagomål/A 15081-2023 FSC-klagomål.docx", "A 15081-2023")</f>
        <v/>
      </c>
      <c r="W602">
        <f>HYPERLINK("https://klasma.github.io/Logging_2463/klagomålsmail/A 15081-2023 FSC-klagomål mail.docx", "A 15081-2023")</f>
        <v/>
      </c>
      <c r="X602">
        <f>HYPERLINK("https://klasma.github.io/Logging_2463/tillsyn/A 15081-2023 tillsynsbegäran.docx", "A 15081-2023")</f>
        <v/>
      </c>
      <c r="Y602">
        <f>HYPERLINK("https://klasma.github.io/Logging_2463/tillsynsmail/A 15081-2023 tillsynsbegäran mail.docx", "A 15081-2023")</f>
        <v/>
      </c>
    </row>
    <row r="603" ht="15" customHeight="1">
      <c r="A603" t="inlineStr">
        <is>
          <t>A 15197-2023</t>
        </is>
      </c>
      <c r="B603" s="1" t="n">
        <v>45016</v>
      </c>
      <c r="C603" s="1" t="n">
        <v>45357</v>
      </c>
      <c r="D603" t="inlineStr">
        <is>
          <t>VÄSTERBOTTENS LÄN</t>
        </is>
      </c>
      <c r="E603" t="inlineStr">
        <is>
          <t>LYCKSELE</t>
        </is>
      </c>
      <c r="G603" t="n">
        <v>11.2</v>
      </c>
      <c r="H603" t="n">
        <v>0</v>
      </c>
      <c r="I603" t="n">
        <v>1</v>
      </c>
      <c r="J603" t="n">
        <v>1</v>
      </c>
      <c r="K603" t="n">
        <v>0</v>
      </c>
      <c r="L603" t="n">
        <v>0</v>
      </c>
      <c r="M603" t="n">
        <v>0</v>
      </c>
      <c r="N603" t="n">
        <v>0</v>
      </c>
      <c r="O603" t="n">
        <v>1</v>
      </c>
      <c r="P603" t="n">
        <v>0</v>
      </c>
      <c r="Q603" t="n">
        <v>2</v>
      </c>
      <c r="R603" s="2" t="inlineStr">
        <is>
          <t>Vaddporing
Dropptaggsvamp</t>
        </is>
      </c>
      <c r="S603">
        <f>HYPERLINK("https://klasma.github.io/Logging_2481/artfynd/A 15197-2023 artfynd.xlsx", "A 15197-2023")</f>
        <v/>
      </c>
      <c r="T603">
        <f>HYPERLINK("https://klasma.github.io/Logging_2481/kartor/A 15197-2023 karta.png", "A 15197-2023")</f>
        <v/>
      </c>
      <c r="V603">
        <f>HYPERLINK("https://klasma.github.io/Logging_2481/klagomål/A 15197-2023 FSC-klagomål.docx", "A 15197-2023")</f>
        <v/>
      </c>
      <c r="W603">
        <f>HYPERLINK("https://klasma.github.io/Logging_2481/klagomålsmail/A 15197-2023 FSC-klagomål mail.docx", "A 15197-2023")</f>
        <v/>
      </c>
      <c r="X603">
        <f>HYPERLINK("https://klasma.github.io/Logging_2481/tillsyn/A 15197-2023 tillsynsbegäran.docx", "A 15197-2023")</f>
        <v/>
      </c>
      <c r="Y603">
        <f>HYPERLINK("https://klasma.github.io/Logging_2481/tillsynsmail/A 15197-2023 tillsynsbegäran mail.docx", "A 15197-2023")</f>
        <v/>
      </c>
    </row>
    <row r="604" ht="15" customHeight="1">
      <c r="A604" t="inlineStr">
        <is>
          <t>A 18922-2023</t>
        </is>
      </c>
      <c r="B604" s="1" t="n">
        <v>45043</v>
      </c>
      <c r="C604" s="1" t="n">
        <v>45357</v>
      </c>
      <c r="D604" t="inlineStr">
        <is>
          <t>VÄSTERBOTTENS LÄN</t>
        </is>
      </c>
      <c r="E604" t="inlineStr">
        <is>
          <t>UMEÅ</t>
        </is>
      </c>
      <c r="G604" t="n">
        <v>9.199999999999999</v>
      </c>
      <c r="H604" t="n">
        <v>0</v>
      </c>
      <c r="I604" t="n">
        <v>0</v>
      </c>
      <c r="J604" t="n">
        <v>2</v>
      </c>
      <c r="K604" t="n">
        <v>0</v>
      </c>
      <c r="L604" t="n">
        <v>0</v>
      </c>
      <c r="M604" t="n">
        <v>0</v>
      </c>
      <c r="N604" t="n">
        <v>0</v>
      </c>
      <c r="O604" t="n">
        <v>2</v>
      </c>
      <c r="P604" t="n">
        <v>0</v>
      </c>
      <c r="Q604" t="n">
        <v>2</v>
      </c>
      <c r="R604" s="2" t="inlineStr">
        <is>
          <t>Granticka
Ullticka</t>
        </is>
      </c>
      <c r="S604">
        <f>HYPERLINK("https://klasma.github.io/Logging_2480/artfynd/A 18922-2023 artfynd.xlsx", "A 18922-2023")</f>
        <v/>
      </c>
      <c r="T604">
        <f>HYPERLINK("https://klasma.github.io/Logging_2480/kartor/A 18922-2023 karta.png", "A 18922-2023")</f>
        <v/>
      </c>
      <c r="V604">
        <f>HYPERLINK("https://klasma.github.io/Logging_2480/klagomål/A 18922-2023 FSC-klagomål.docx", "A 18922-2023")</f>
        <v/>
      </c>
      <c r="W604">
        <f>HYPERLINK("https://klasma.github.io/Logging_2480/klagomålsmail/A 18922-2023 FSC-klagomål mail.docx", "A 18922-2023")</f>
        <v/>
      </c>
      <c r="X604">
        <f>HYPERLINK("https://klasma.github.io/Logging_2480/tillsyn/A 18922-2023 tillsynsbegäran.docx", "A 18922-2023")</f>
        <v/>
      </c>
      <c r="Y604">
        <f>HYPERLINK("https://klasma.github.io/Logging_2480/tillsynsmail/A 18922-2023 tillsynsbegäran mail.docx", "A 18922-2023")</f>
        <v/>
      </c>
    </row>
    <row r="605" ht="15" customHeight="1">
      <c r="A605" t="inlineStr">
        <is>
          <t>A 24332-2023</t>
        </is>
      </c>
      <c r="B605" s="1" t="n">
        <v>45081</v>
      </c>
      <c r="C605" s="1" t="n">
        <v>45357</v>
      </c>
      <c r="D605" t="inlineStr">
        <is>
          <t>VÄSTERBOTTENS LÄN</t>
        </is>
      </c>
      <c r="E605" t="inlineStr">
        <is>
          <t>SORSELE</t>
        </is>
      </c>
      <c r="F605" t="inlineStr">
        <is>
          <t>Övriga statliga verk och myndigheter</t>
        </is>
      </c>
      <c r="G605" t="n">
        <v>211.8</v>
      </c>
      <c r="H605" t="n">
        <v>0</v>
      </c>
      <c r="I605" t="n">
        <v>0</v>
      </c>
      <c r="J605" t="n">
        <v>2</v>
      </c>
      <c r="K605" t="n">
        <v>0</v>
      </c>
      <c r="L605" t="n">
        <v>0</v>
      </c>
      <c r="M605" t="n">
        <v>0</v>
      </c>
      <c r="N605" t="n">
        <v>0</v>
      </c>
      <c r="O605" t="n">
        <v>2</v>
      </c>
      <c r="P605" t="n">
        <v>0</v>
      </c>
      <c r="Q605" t="n">
        <v>2</v>
      </c>
      <c r="R605" s="2" t="inlineStr">
        <is>
          <t>Granticka
Harticka</t>
        </is>
      </c>
      <c r="S605">
        <f>HYPERLINK("https://klasma.github.io/Logging_2422/artfynd/A 24332-2023 artfynd.xlsx", "A 24332-2023")</f>
        <v/>
      </c>
      <c r="T605">
        <f>HYPERLINK("https://klasma.github.io/Logging_2422/kartor/A 24332-2023 karta.png", "A 24332-2023")</f>
        <v/>
      </c>
      <c r="V605">
        <f>HYPERLINK("https://klasma.github.io/Logging_2422/klagomål/A 24332-2023 FSC-klagomål.docx", "A 24332-2023")</f>
        <v/>
      </c>
      <c r="W605">
        <f>HYPERLINK("https://klasma.github.io/Logging_2422/klagomålsmail/A 24332-2023 FSC-klagomål mail.docx", "A 24332-2023")</f>
        <v/>
      </c>
      <c r="X605">
        <f>HYPERLINK("https://klasma.github.io/Logging_2422/tillsyn/A 24332-2023 tillsynsbegäran.docx", "A 24332-2023")</f>
        <v/>
      </c>
      <c r="Y605">
        <f>HYPERLINK("https://klasma.github.io/Logging_2422/tillsynsmail/A 24332-2023 tillsynsbegäran mail.docx", "A 24332-2023")</f>
        <v/>
      </c>
    </row>
    <row r="606" ht="15" customHeight="1">
      <c r="A606" t="inlineStr">
        <is>
          <t>A 26029-2023</t>
        </is>
      </c>
      <c r="B606" s="1" t="n">
        <v>45091</v>
      </c>
      <c r="C606" s="1" t="n">
        <v>45357</v>
      </c>
      <c r="D606" t="inlineStr">
        <is>
          <t>VÄSTERBOTTENS LÄN</t>
        </is>
      </c>
      <c r="E606" t="inlineStr">
        <is>
          <t>ROBERTSFORS</t>
        </is>
      </c>
      <c r="G606" t="n">
        <v>3.9</v>
      </c>
      <c r="H606" t="n">
        <v>1</v>
      </c>
      <c r="I606" t="n">
        <v>0</v>
      </c>
      <c r="J606" t="n">
        <v>2</v>
      </c>
      <c r="K606" t="n">
        <v>0</v>
      </c>
      <c r="L606" t="n">
        <v>0</v>
      </c>
      <c r="M606" t="n">
        <v>0</v>
      </c>
      <c r="N606" t="n">
        <v>0</v>
      </c>
      <c r="O606" t="n">
        <v>2</v>
      </c>
      <c r="P606" t="n">
        <v>0</v>
      </c>
      <c r="Q606" t="n">
        <v>2</v>
      </c>
      <c r="R606" s="2" t="inlineStr">
        <is>
          <t>Granticka
Spillkråka</t>
        </is>
      </c>
      <c r="S606">
        <f>HYPERLINK("https://klasma.github.io/Logging_2409/artfynd/A 26029-2023 artfynd.xlsx", "A 26029-2023")</f>
        <v/>
      </c>
      <c r="T606">
        <f>HYPERLINK("https://klasma.github.io/Logging_2409/kartor/A 26029-2023 karta.png", "A 26029-2023")</f>
        <v/>
      </c>
      <c r="V606">
        <f>HYPERLINK("https://klasma.github.io/Logging_2409/klagomål/A 26029-2023 FSC-klagomål.docx", "A 26029-2023")</f>
        <v/>
      </c>
      <c r="W606">
        <f>HYPERLINK("https://klasma.github.io/Logging_2409/klagomålsmail/A 26029-2023 FSC-klagomål mail.docx", "A 26029-2023")</f>
        <v/>
      </c>
      <c r="X606">
        <f>HYPERLINK("https://klasma.github.io/Logging_2409/tillsyn/A 26029-2023 tillsynsbegäran.docx", "A 26029-2023")</f>
        <v/>
      </c>
      <c r="Y606">
        <f>HYPERLINK("https://klasma.github.io/Logging_2409/tillsynsmail/A 26029-2023 tillsynsbegäran mail.docx", "A 26029-2023")</f>
        <v/>
      </c>
      <c r="Z606">
        <f>HYPERLINK("https://klasma.github.io/Logging_2409/fåglar/A 26029-2023 prioriterade fågelarter.docx", "A 26029-2023")</f>
        <v/>
      </c>
    </row>
    <row r="607" ht="15" customHeight="1">
      <c r="A607" t="inlineStr">
        <is>
          <t>A 28013-2023</t>
        </is>
      </c>
      <c r="B607" s="1" t="n">
        <v>45098</v>
      </c>
      <c r="C607" s="1" t="n">
        <v>45357</v>
      </c>
      <c r="D607" t="inlineStr">
        <is>
          <t>VÄSTERBOTTENS LÄN</t>
        </is>
      </c>
      <c r="E607" t="inlineStr">
        <is>
          <t>VILHELMINA</t>
        </is>
      </c>
      <c r="F607" t="inlineStr">
        <is>
          <t>SCA</t>
        </is>
      </c>
      <c r="G607" t="n">
        <v>7.8</v>
      </c>
      <c r="H607" t="n">
        <v>0</v>
      </c>
      <c r="I607" t="n">
        <v>0</v>
      </c>
      <c r="J607" t="n">
        <v>1</v>
      </c>
      <c r="K607" t="n">
        <v>1</v>
      </c>
      <c r="L607" t="n">
        <v>0</v>
      </c>
      <c r="M607" t="n">
        <v>0</v>
      </c>
      <c r="N607" t="n">
        <v>0</v>
      </c>
      <c r="O607" t="n">
        <v>2</v>
      </c>
      <c r="P607" t="n">
        <v>1</v>
      </c>
      <c r="Q607" t="n">
        <v>2</v>
      </c>
      <c r="R607" s="2" t="inlineStr">
        <is>
          <t>Tajgaskinn
Granticka</t>
        </is>
      </c>
      <c r="S607">
        <f>HYPERLINK("https://klasma.github.io/Logging_2462/artfynd/A 28013-2023 artfynd.xlsx", "A 28013-2023")</f>
        <v/>
      </c>
      <c r="T607">
        <f>HYPERLINK("https://klasma.github.io/Logging_2462/kartor/A 28013-2023 karta.png", "A 28013-2023")</f>
        <v/>
      </c>
      <c r="V607">
        <f>HYPERLINK("https://klasma.github.io/Logging_2462/klagomål/A 28013-2023 FSC-klagomål.docx", "A 28013-2023")</f>
        <v/>
      </c>
      <c r="W607">
        <f>HYPERLINK("https://klasma.github.io/Logging_2462/klagomålsmail/A 28013-2023 FSC-klagomål mail.docx", "A 28013-2023")</f>
        <v/>
      </c>
      <c r="X607">
        <f>HYPERLINK("https://klasma.github.io/Logging_2462/tillsyn/A 28013-2023 tillsynsbegäran.docx", "A 28013-2023")</f>
        <v/>
      </c>
      <c r="Y607">
        <f>HYPERLINK("https://klasma.github.io/Logging_2462/tillsynsmail/A 28013-2023 tillsynsbegäran mail.docx", "A 28013-2023")</f>
        <v/>
      </c>
    </row>
    <row r="608" ht="15" customHeight="1">
      <c r="A608" t="inlineStr">
        <is>
          <t>A 28515-2023</t>
        </is>
      </c>
      <c r="B608" s="1" t="n">
        <v>45103</v>
      </c>
      <c r="C608" s="1" t="n">
        <v>45357</v>
      </c>
      <c r="D608" t="inlineStr">
        <is>
          <t>VÄSTERBOTTENS LÄN</t>
        </is>
      </c>
      <c r="E608" t="inlineStr">
        <is>
          <t>LYCKSELE</t>
        </is>
      </c>
      <c r="F608" t="inlineStr">
        <is>
          <t>Sveaskog</t>
        </is>
      </c>
      <c r="G608" t="n">
        <v>10</v>
      </c>
      <c r="H608" t="n">
        <v>0</v>
      </c>
      <c r="I608" t="n">
        <v>0</v>
      </c>
      <c r="J608" t="n">
        <v>2</v>
      </c>
      <c r="K608" t="n">
        <v>0</v>
      </c>
      <c r="L608" t="n">
        <v>0</v>
      </c>
      <c r="M608" t="n">
        <v>0</v>
      </c>
      <c r="N608" t="n">
        <v>0</v>
      </c>
      <c r="O608" t="n">
        <v>2</v>
      </c>
      <c r="P608" t="n">
        <v>0</v>
      </c>
      <c r="Q608" t="n">
        <v>2</v>
      </c>
      <c r="R608" s="2" t="inlineStr">
        <is>
          <t>Lunglav
Tallticka</t>
        </is>
      </c>
      <c r="S608">
        <f>HYPERLINK("https://klasma.github.io/Logging_2481/artfynd/A 28515-2023 artfynd.xlsx", "A 28515-2023")</f>
        <v/>
      </c>
      <c r="T608">
        <f>HYPERLINK("https://klasma.github.io/Logging_2481/kartor/A 28515-2023 karta.png", "A 28515-2023")</f>
        <v/>
      </c>
      <c r="V608">
        <f>HYPERLINK("https://klasma.github.io/Logging_2481/klagomål/A 28515-2023 FSC-klagomål.docx", "A 28515-2023")</f>
        <v/>
      </c>
      <c r="W608">
        <f>HYPERLINK("https://klasma.github.io/Logging_2481/klagomålsmail/A 28515-2023 FSC-klagomål mail.docx", "A 28515-2023")</f>
        <v/>
      </c>
      <c r="X608">
        <f>HYPERLINK("https://klasma.github.io/Logging_2481/tillsyn/A 28515-2023 tillsynsbegäran.docx", "A 28515-2023")</f>
        <v/>
      </c>
      <c r="Y608">
        <f>HYPERLINK("https://klasma.github.io/Logging_2481/tillsynsmail/A 28515-2023 tillsynsbegäran mail.docx", "A 28515-2023")</f>
        <v/>
      </c>
    </row>
    <row r="609" ht="15" customHeight="1">
      <c r="A609" t="inlineStr">
        <is>
          <t>A 29998-2023</t>
        </is>
      </c>
      <c r="B609" s="1" t="n">
        <v>45109</v>
      </c>
      <c r="C609" s="1" t="n">
        <v>45357</v>
      </c>
      <c r="D609" t="inlineStr">
        <is>
          <t>VÄSTERBOTTENS LÄN</t>
        </is>
      </c>
      <c r="E609" t="inlineStr">
        <is>
          <t>SKELLEFTEÅ</t>
        </is>
      </c>
      <c r="F609" t="inlineStr">
        <is>
          <t>Sveaskog</t>
        </is>
      </c>
      <c r="G609" t="n">
        <v>10.2</v>
      </c>
      <c r="H609" t="n">
        <v>0</v>
      </c>
      <c r="I609" t="n">
        <v>1</v>
      </c>
      <c r="J609" t="n">
        <v>1</v>
      </c>
      <c r="K609" t="n">
        <v>0</v>
      </c>
      <c r="L609" t="n">
        <v>0</v>
      </c>
      <c r="M609" t="n">
        <v>0</v>
      </c>
      <c r="N609" t="n">
        <v>0</v>
      </c>
      <c r="O609" t="n">
        <v>1</v>
      </c>
      <c r="P609" t="n">
        <v>0</v>
      </c>
      <c r="Q609" t="n">
        <v>2</v>
      </c>
      <c r="R609" s="2" t="inlineStr">
        <is>
          <t>Ullticka
Luddlav</t>
        </is>
      </c>
      <c r="S609">
        <f>HYPERLINK("https://klasma.github.io/Logging_2482/artfynd/A 29998-2023 artfynd.xlsx", "A 29998-2023")</f>
        <v/>
      </c>
      <c r="T609">
        <f>HYPERLINK("https://klasma.github.io/Logging_2482/kartor/A 29998-2023 karta.png", "A 29998-2023")</f>
        <v/>
      </c>
      <c r="V609">
        <f>HYPERLINK("https://klasma.github.io/Logging_2482/klagomål/A 29998-2023 FSC-klagomål.docx", "A 29998-2023")</f>
        <v/>
      </c>
      <c r="W609">
        <f>HYPERLINK("https://klasma.github.io/Logging_2482/klagomålsmail/A 29998-2023 FSC-klagomål mail.docx", "A 29998-2023")</f>
        <v/>
      </c>
      <c r="X609">
        <f>HYPERLINK("https://klasma.github.io/Logging_2482/tillsyn/A 29998-2023 tillsynsbegäran.docx", "A 29998-2023")</f>
        <v/>
      </c>
      <c r="Y609">
        <f>HYPERLINK("https://klasma.github.io/Logging_2482/tillsynsmail/A 29998-2023 tillsynsbegäran mail.docx", "A 29998-2023")</f>
        <v/>
      </c>
    </row>
    <row r="610" ht="15" customHeight="1">
      <c r="A610" t="inlineStr">
        <is>
          <t>A 30717-2023</t>
        </is>
      </c>
      <c r="B610" s="1" t="n">
        <v>45112</v>
      </c>
      <c r="C610" s="1" t="n">
        <v>45357</v>
      </c>
      <c r="D610" t="inlineStr">
        <is>
          <t>VÄSTERBOTTENS LÄN</t>
        </is>
      </c>
      <c r="E610" t="inlineStr">
        <is>
          <t>VILHELMINA</t>
        </is>
      </c>
      <c r="G610" t="n">
        <v>22.7</v>
      </c>
      <c r="H610" t="n">
        <v>0</v>
      </c>
      <c r="I610" t="n">
        <v>0</v>
      </c>
      <c r="J610" t="n">
        <v>2</v>
      </c>
      <c r="K610" t="n">
        <v>0</v>
      </c>
      <c r="L610" t="n">
        <v>0</v>
      </c>
      <c r="M610" t="n">
        <v>0</v>
      </c>
      <c r="N610" t="n">
        <v>0</v>
      </c>
      <c r="O610" t="n">
        <v>2</v>
      </c>
      <c r="P610" t="n">
        <v>0</v>
      </c>
      <c r="Q610" t="n">
        <v>2</v>
      </c>
      <c r="R610" s="2" t="inlineStr">
        <is>
          <t>Garnlav
Ullticka</t>
        </is>
      </c>
      <c r="S610">
        <f>HYPERLINK("https://klasma.github.io/Logging_2462/artfynd/A 30717-2023 artfynd.xlsx", "A 30717-2023")</f>
        <v/>
      </c>
      <c r="T610">
        <f>HYPERLINK("https://klasma.github.io/Logging_2462/kartor/A 30717-2023 karta.png", "A 30717-2023")</f>
        <v/>
      </c>
      <c r="V610">
        <f>HYPERLINK("https://klasma.github.io/Logging_2462/klagomål/A 30717-2023 FSC-klagomål.docx", "A 30717-2023")</f>
        <v/>
      </c>
      <c r="W610">
        <f>HYPERLINK("https://klasma.github.io/Logging_2462/klagomålsmail/A 30717-2023 FSC-klagomål mail.docx", "A 30717-2023")</f>
        <v/>
      </c>
      <c r="X610">
        <f>HYPERLINK("https://klasma.github.io/Logging_2462/tillsyn/A 30717-2023 tillsynsbegäran.docx", "A 30717-2023")</f>
        <v/>
      </c>
      <c r="Y610">
        <f>HYPERLINK("https://klasma.github.io/Logging_2462/tillsynsmail/A 30717-2023 tillsynsbegäran mail.docx", "A 30717-2023")</f>
        <v/>
      </c>
    </row>
    <row r="611" ht="15" customHeight="1">
      <c r="A611" t="inlineStr">
        <is>
          <t>A 31206-2023</t>
        </is>
      </c>
      <c r="B611" s="1" t="n">
        <v>45113</v>
      </c>
      <c r="C611" s="1" t="n">
        <v>45357</v>
      </c>
      <c r="D611" t="inlineStr">
        <is>
          <t>VÄSTERBOTTENS LÄN</t>
        </is>
      </c>
      <c r="E611" t="inlineStr">
        <is>
          <t>BJURHOLM</t>
        </is>
      </c>
      <c r="F611" t="inlineStr">
        <is>
          <t>SCA</t>
        </is>
      </c>
      <c r="G611" t="n">
        <v>6</v>
      </c>
      <c r="H611" t="n">
        <v>0</v>
      </c>
      <c r="I611" t="n">
        <v>1</v>
      </c>
      <c r="J611" t="n">
        <v>1</v>
      </c>
      <c r="K611" t="n">
        <v>0</v>
      </c>
      <c r="L611" t="n">
        <v>0</v>
      </c>
      <c r="M611" t="n">
        <v>0</v>
      </c>
      <c r="N611" t="n">
        <v>0</v>
      </c>
      <c r="O611" t="n">
        <v>1</v>
      </c>
      <c r="P611" t="n">
        <v>0</v>
      </c>
      <c r="Q611" t="n">
        <v>2</v>
      </c>
      <c r="R611" s="2" t="inlineStr">
        <is>
          <t>Garnlav
Skarp dropptaggsvamp</t>
        </is>
      </c>
      <c r="S611">
        <f>HYPERLINK("https://klasma.github.io/Logging_2403/artfynd/A 31206-2023 artfynd.xlsx", "A 31206-2023")</f>
        <v/>
      </c>
      <c r="T611">
        <f>HYPERLINK("https://klasma.github.io/Logging_2403/kartor/A 31206-2023 karta.png", "A 31206-2023")</f>
        <v/>
      </c>
      <c r="U611">
        <f>HYPERLINK("https://klasma.github.io/Logging_2403/knärot/A 31206-2023 karta knärot.png", "A 31206-2023")</f>
        <v/>
      </c>
      <c r="V611">
        <f>HYPERLINK("https://klasma.github.io/Logging_2403/klagomål/A 31206-2023 FSC-klagomål.docx", "A 31206-2023")</f>
        <v/>
      </c>
      <c r="W611">
        <f>HYPERLINK("https://klasma.github.io/Logging_2403/klagomålsmail/A 31206-2023 FSC-klagomål mail.docx", "A 31206-2023")</f>
        <v/>
      </c>
      <c r="X611">
        <f>HYPERLINK("https://klasma.github.io/Logging_2403/tillsyn/A 31206-2023 tillsynsbegäran.docx", "A 31206-2023")</f>
        <v/>
      </c>
      <c r="Y611">
        <f>HYPERLINK("https://klasma.github.io/Logging_2403/tillsynsmail/A 31206-2023 tillsynsbegäran mail.docx", "A 31206-2023")</f>
        <v/>
      </c>
    </row>
    <row r="612" ht="15" customHeight="1">
      <c r="A612" t="inlineStr">
        <is>
          <t>A 31737-2023</t>
        </is>
      </c>
      <c r="B612" s="1" t="n">
        <v>45117</v>
      </c>
      <c r="C612" s="1" t="n">
        <v>45357</v>
      </c>
      <c r="D612" t="inlineStr">
        <is>
          <t>VÄSTERBOTTENS LÄN</t>
        </is>
      </c>
      <c r="E612" t="inlineStr">
        <is>
          <t>BJURHOLM</t>
        </is>
      </c>
      <c r="F612" t="inlineStr">
        <is>
          <t>SCA</t>
        </is>
      </c>
      <c r="G612" t="n">
        <v>4.5</v>
      </c>
      <c r="H612" t="n">
        <v>0</v>
      </c>
      <c r="I612" t="n">
        <v>0</v>
      </c>
      <c r="J612" t="n">
        <v>2</v>
      </c>
      <c r="K612" t="n">
        <v>0</v>
      </c>
      <c r="L612" t="n">
        <v>0</v>
      </c>
      <c r="M612" t="n">
        <v>0</v>
      </c>
      <c r="N612" t="n">
        <v>0</v>
      </c>
      <c r="O612" t="n">
        <v>2</v>
      </c>
      <c r="P612" t="n">
        <v>0</v>
      </c>
      <c r="Q612" t="n">
        <v>2</v>
      </c>
      <c r="R612" s="2" t="inlineStr">
        <is>
          <t>Dvärgbägarlav
Vedskivlav</t>
        </is>
      </c>
      <c r="S612">
        <f>HYPERLINK("https://klasma.github.io/Logging_2403/artfynd/A 31737-2023 artfynd.xlsx", "A 31737-2023")</f>
        <v/>
      </c>
      <c r="T612">
        <f>HYPERLINK("https://klasma.github.io/Logging_2403/kartor/A 31737-2023 karta.png", "A 31737-2023")</f>
        <v/>
      </c>
      <c r="V612">
        <f>HYPERLINK("https://klasma.github.io/Logging_2403/klagomål/A 31737-2023 FSC-klagomål.docx", "A 31737-2023")</f>
        <v/>
      </c>
      <c r="W612">
        <f>HYPERLINK("https://klasma.github.io/Logging_2403/klagomålsmail/A 31737-2023 FSC-klagomål mail.docx", "A 31737-2023")</f>
        <v/>
      </c>
      <c r="X612">
        <f>HYPERLINK("https://klasma.github.io/Logging_2403/tillsyn/A 31737-2023 tillsynsbegäran.docx", "A 31737-2023")</f>
        <v/>
      </c>
      <c r="Y612">
        <f>HYPERLINK("https://klasma.github.io/Logging_2403/tillsynsmail/A 31737-2023 tillsynsbegäran mail.docx", "A 31737-2023")</f>
        <v/>
      </c>
    </row>
    <row r="613" ht="15" customHeight="1">
      <c r="A613" t="inlineStr">
        <is>
          <t>A 33663-2023</t>
        </is>
      </c>
      <c r="B613" s="1" t="n">
        <v>45119</v>
      </c>
      <c r="C613" s="1" t="n">
        <v>45357</v>
      </c>
      <c r="D613" t="inlineStr">
        <is>
          <t>VÄSTERBOTTENS LÄN</t>
        </is>
      </c>
      <c r="E613" t="inlineStr">
        <is>
          <t>DOROTEA</t>
        </is>
      </c>
      <c r="F613" t="inlineStr">
        <is>
          <t>Allmännings- och besparingsskogar</t>
        </is>
      </c>
      <c r="G613" t="n">
        <v>2.6</v>
      </c>
      <c r="H613" t="n">
        <v>0</v>
      </c>
      <c r="I613" t="n">
        <v>0</v>
      </c>
      <c r="J613" t="n">
        <v>2</v>
      </c>
      <c r="K613" t="n">
        <v>0</v>
      </c>
      <c r="L613" t="n">
        <v>0</v>
      </c>
      <c r="M613" t="n">
        <v>0</v>
      </c>
      <c r="N613" t="n">
        <v>0</v>
      </c>
      <c r="O613" t="n">
        <v>2</v>
      </c>
      <c r="P613" t="n">
        <v>0</v>
      </c>
      <c r="Q613" t="n">
        <v>2</v>
      </c>
      <c r="R613" s="2" t="inlineStr">
        <is>
          <t>Garnlav
Harticka</t>
        </is>
      </c>
      <c r="S613">
        <f>HYPERLINK("https://klasma.github.io/Logging_2425/artfynd/A 33663-2023 artfynd.xlsx", "A 33663-2023")</f>
        <v/>
      </c>
      <c r="T613">
        <f>HYPERLINK("https://klasma.github.io/Logging_2425/kartor/A 33663-2023 karta.png", "A 33663-2023")</f>
        <v/>
      </c>
      <c r="V613">
        <f>HYPERLINK("https://klasma.github.io/Logging_2425/klagomål/A 33663-2023 FSC-klagomål.docx", "A 33663-2023")</f>
        <v/>
      </c>
      <c r="W613">
        <f>HYPERLINK("https://klasma.github.io/Logging_2425/klagomålsmail/A 33663-2023 FSC-klagomål mail.docx", "A 33663-2023")</f>
        <v/>
      </c>
      <c r="X613">
        <f>HYPERLINK("https://klasma.github.io/Logging_2425/tillsyn/A 33663-2023 tillsynsbegäran.docx", "A 33663-2023")</f>
        <v/>
      </c>
      <c r="Y613">
        <f>HYPERLINK("https://klasma.github.io/Logging_2425/tillsynsmail/A 33663-2023 tillsynsbegäran mail.docx", "A 33663-2023")</f>
        <v/>
      </c>
    </row>
    <row r="614" ht="15" customHeight="1">
      <c r="A614" t="inlineStr">
        <is>
          <t>A 34089-2023</t>
        </is>
      </c>
      <c r="B614" s="1" t="n">
        <v>45125</v>
      </c>
      <c r="C614" s="1" t="n">
        <v>45357</v>
      </c>
      <c r="D614" t="inlineStr">
        <is>
          <t>VÄSTERBOTTENS LÄN</t>
        </is>
      </c>
      <c r="E614" t="inlineStr">
        <is>
          <t>VILHELMINA</t>
        </is>
      </c>
      <c r="G614" t="n">
        <v>24.1</v>
      </c>
      <c r="H614" t="n">
        <v>1</v>
      </c>
      <c r="I614" t="n">
        <v>0</v>
      </c>
      <c r="J614" t="n">
        <v>2</v>
      </c>
      <c r="K614" t="n">
        <v>0</v>
      </c>
      <c r="L614" t="n">
        <v>0</v>
      </c>
      <c r="M614" t="n">
        <v>0</v>
      </c>
      <c r="N614" t="n">
        <v>0</v>
      </c>
      <c r="O614" t="n">
        <v>2</v>
      </c>
      <c r="P614" t="n">
        <v>0</v>
      </c>
      <c r="Q614" t="n">
        <v>2</v>
      </c>
      <c r="R614" s="2" t="inlineStr">
        <is>
          <t>Garnlav
Tretåig hackspett</t>
        </is>
      </c>
      <c r="S614">
        <f>HYPERLINK("https://klasma.github.io/Logging_2462/artfynd/A 34089-2023 artfynd.xlsx", "A 34089-2023")</f>
        <v/>
      </c>
      <c r="T614">
        <f>HYPERLINK("https://klasma.github.io/Logging_2462/kartor/A 34089-2023 karta.png", "A 34089-2023")</f>
        <v/>
      </c>
      <c r="V614">
        <f>HYPERLINK("https://klasma.github.io/Logging_2462/klagomål/A 34089-2023 FSC-klagomål.docx", "A 34089-2023")</f>
        <v/>
      </c>
      <c r="W614">
        <f>HYPERLINK("https://klasma.github.io/Logging_2462/klagomålsmail/A 34089-2023 FSC-klagomål mail.docx", "A 34089-2023")</f>
        <v/>
      </c>
      <c r="X614">
        <f>HYPERLINK("https://klasma.github.io/Logging_2462/tillsyn/A 34089-2023 tillsynsbegäran.docx", "A 34089-2023")</f>
        <v/>
      </c>
      <c r="Y614">
        <f>HYPERLINK("https://klasma.github.io/Logging_2462/tillsynsmail/A 34089-2023 tillsynsbegäran mail.docx", "A 34089-2023")</f>
        <v/>
      </c>
      <c r="Z614">
        <f>HYPERLINK("https://klasma.github.io/Logging_2462/fåglar/A 34089-2023 prioriterade fågelarter.docx", "A 34089-2023")</f>
        <v/>
      </c>
    </row>
    <row r="615" ht="15" customHeight="1">
      <c r="A615" t="inlineStr">
        <is>
          <t>A 34870-2023</t>
        </is>
      </c>
      <c r="B615" s="1" t="n">
        <v>45142</v>
      </c>
      <c r="C615" s="1" t="n">
        <v>45357</v>
      </c>
      <c r="D615" t="inlineStr">
        <is>
          <t>VÄSTERBOTTENS LÄN</t>
        </is>
      </c>
      <c r="E615" t="inlineStr">
        <is>
          <t>LYCKSELE</t>
        </is>
      </c>
      <c r="F615" t="inlineStr">
        <is>
          <t>Sveaskog</t>
        </is>
      </c>
      <c r="G615" t="n">
        <v>10.9</v>
      </c>
      <c r="H615" t="n">
        <v>0</v>
      </c>
      <c r="I615" t="n">
        <v>0</v>
      </c>
      <c r="J615" t="n">
        <v>2</v>
      </c>
      <c r="K615" t="n">
        <v>0</v>
      </c>
      <c r="L615" t="n">
        <v>0</v>
      </c>
      <c r="M615" t="n">
        <v>0</v>
      </c>
      <c r="N615" t="n">
        <v>0</v>
      </c>
      <c r="O615" t="n">
        <v>2</v>
      </c>
      <c r="P615" t="n">
        <v>0</v>
      </c>
      <c r="Q615" t="n">
        <v>2</v>
      </c>
      <c r="R615" s="2" t="inlineStr">
        <is>
          <t>Lunglav
Mörk kolflarnlav</t>
        </is>
      </c>
      <c r="S615">
        <f>HYPERLINK("https://klasma.github.io/Logging_2481/artfynd/A 34870-2023 artfynd.xlsx", "A 34870-2023")</f>
        <v/>
      </c>
      <c r="T615">
        <f>HYPERLINK("https://klasma.github.io/Logging_2481/kartor/A 34870-2023 karta.png", "A 34870-2023")</f>
        <v/>
      </c>
      <c r="V615">
        <f>HYPERLINK("https://klasma.github.io/Logging_2481/klagomål/A 34870-2023 FSC-klagomål.docx", "A 34870-2023")</f>
        <v/>
      </c>
      <c r="W615">
        <f>HYPERLINK("https://klasma.github.io/Logging_2481/klagomålsmail/A 34870-2023 FSC-klagomål mail.docx", "A 34870-2023")</f>
        <v/>
      </c>
      <c r="X615">
        <f>HYPERLINK("https://klasma.github.io/Logging_2481/tillsyn/A 34870-2023 tillsynsbegäran.docx", "A 34870-2023")</f>
        <v/>
      </c>
      <c r="Y615">
        <f>HYPERLINK("https://klasma.github.io/Logging_2481/tillsynsmail/A 34870-2023 tillsynsbegäran mail.docx", "A 34870-2023")</f>
        <v/>
      </c>
    </row>
    <row r="616" ht="15" customHeight="1">
      <c r="A616" t="inlineStr">
        <is>
          <t>A 35513-2023</t>
        </is>
      </c>
      <c r="B616" s="1" t="n">
        <v>45147</v>
      </c>
      <c r="C616" s="1" t="n">
        <v>45357</v>
      </c>
      <c r="D616" t="inlineStr">
        <is>
          <t>VÄSTERBOTTENS LÄN</t>
        </is>
      </c>
      <c r="E616" t="inlineStr">
        <is>
          <t>SKELLEFTEÅ</t>
        </is>
      </c>
      <c r="F616" t="inlineStr">
        <is>
          <t>Holmen skog AB</t>
        </is>
      </c>
      <c r="G616" t="n">
        <v>16.9</v>
      </c>
      <c r="H616" t="n">
        <v>0</v>
      </c>
      <c r="I616" t="n">
        <v>0</v>
      </c>
      <c r="J616" t="n">
        <v>2</v>
      </c>
      <c r="K616" t="n">
        <v>0</v>
      </c>
      <c r="L616" t="n">
        <v>0</v>
      </c>
      <c r="M616" t="n">
        <v>0</v>
      </c>
      <c r="N616" t="n">
        <v>0</v>
      </c>
      <c r="O616" t="n">
        <v>2</v>
      </c>
      <c r="P616" t="n">
        <v>0</v>
      </c>
      <c r="Q616" t="n">
        <v>2</v>
      </c>
      <c r="R616" s="2" t="inlineStr">
        <is>
          <t>Gultoppig fingersvamp
Orange taggsvamp</t>
        </is>
      </c>
      <c r="S616">
        <f>HYPERLINK("https://klasma.github.io/Logging_2482/artfynd/A 35513-2023 artfynd.xlsx", "A 35513-2023")</f>
        <v/>
      </c>
      <c r="T616">
        <f>HYPERLINK("https://klasma.github.io/Logging_2482/kartor/A 35513-2023 karta.png", "A 35513-2023")</f>
        <v/>
      </c>
      <c r="V616">
        <f>HYPERLINK("https://klasma.github.io/Logging_2482/klagomål/A 35513-2023 FSC-klagomål.docx", "A 35513-2023")</f>
        <v/>
      </c>
      <c r="W616">
        <f>HYPERLINK("https://klasma.github.io/Logging_2482/klagomålsmail/A 35513-2023 FSC-klagomål mail.docx", "A 35513-2023")</f>
        <v/>
      </c>
      <c r="X616">
        <f>HYPERLINK("https://klasma.github.io/Logging_2482/tillsyn/A 35513-2023 tillsynsbegäran.docx", "A 35513-2023")</f>
        <v/>
      </c>
      <c r="Y616">
        <f>HYPERLINK("https://klasma.github.io/Logging_2482/tillsynsmail/A 35513-2023 tillsynsbegäran mail.docx", "A 35513-2023")</f>
        <v/>
      </c>
    </row>
    <row r="617" ht="15" customHeight="1">
      <c r="A617" t="inlineStr">
        <is>
          <t>A 35927-2023</t>
        </is>
      </c>
      <c r="B617" s="1" t="n">
        <v>45148</v>
      </c>
      <c r="C617" s="1" t="n">
        <v>45357</v>
      </c>
      <c r="D617" t="inlineStr">
        <is>
          <t>VÄSTERBOTTENS LÄN</t>
        </is>
      </c>
      <c r="E617" t="inlineStr">
        <is>
          <t>VINDELN</t>
        </is>
      </c>
      <c r="G617" t="n">
        <v>7.1</v>
      </c>
      <c r="H617" t="n">
        <v>0</v>
      </c>
      <c r="I617" t="n">
        <v>2</v>
      </c>
      <c r="J617" t="n">
        <v>0</v>
      </c>
      <c r="K617" t="n">
        <v>0</v>
      </c>
      <c r="L617" t="n">
        <v>0</v>
      </c>
      <c r="M617" t="n">
        <v>0</v>
      </c>
      <c r="N617" t="n">
        <v>0</v>
      </c>
      <c r="O617" t="n">
        <v>0</v>
      </c>
      <c r="P617" t="n">
        <v>0</v>
      </c>
      <c r="Q617" t="n">
        <v>2</v>
      </c>
      <c r="R617" s="2" t="inlineStr">
        <is>
          <t>Skinnlav
Stuplav</t>
        </is>
      </c>
      <c r="S617">
        <f>HYPERLINK("https://klasma.github.io/Logging_2404/artfynd/A 35927-2023 artfynd.xlsx", "A 35927-2023")</f>
        <v/>
      </c>
      <c r="T617">
        <f>HYPERLINK("https://klasma.github.io/Logging_2404/kartor/A 35927-2023 karta.png", "A 35927-2023")</f>
        <v/>
      </c>
      <c r="V617">
        <f>HYPERLINK("https://klasma.github.io/Logging_2404/klagomål/A 35927-2023 FSC-klagomål.docx", "A 35927-2023")</f>
        <v/>
      </c>
      <c r="W617">
        <f>HYPERLINK("https://klasma.github.io/Logging_2404/klagomålsmail/A 35927-2023 FSC-klagomål mail.docx", "A 35927-2023")</f>
        <v/>
      </c>
      <c r="X617">
        <f>HYPERLINK("https://klasma.github.io/Logging_2404/tillsyn/A 35927-2023 tillsynsbegäran.docx", "A 35927-2023")</f>
        <v/>
      </c>
      <c r="Y617">
        <f>HYPERLINK("https://klasma.github.io/Logging_2404/tillsynsmail/A 35927-2023 tillsynsbegäran mail.docx", "A 35927-2023")</f>
        <v/>
      </c>
    </row>
    <row r="618" ht="15" customHeight="1">
      <c r="A618" t="inlineStr">
        <is>
          <t>A 35988-2023</t>
        </is>
      </c>
      <c r="B618" s="1" t="n">
        <v>45148</v>
      </c>
      <c r="C618" s="1" t="n">
        <v>45357</v>
      </c>
      <c r="D618" t="inlineStr">
        <is>
          <t>VÄSTERBOTTENS LÄN</t>
        </is>
      </c>
      <c r="E618" t="inlineStr">
        <is>
          <t>DOROTEA</t>
        </is>
      </c>
      <c r="F618" t="inlineStr">
        <is>
          <t>SCA</t>
        </is>
      </c>
      <c r="G618" t="n">
        <v>14.1</v>
      </c>
      <c r="H618" t="n">
        <v>0</v>
      </c>
      <c r="I618" t="n">
        <v>1</v>
      </c>
      <c r="J618" t="n">
        <v>1</v>
      </c>
      <c r="K618" t="n">
        <v>0</v>
      </c>
      <c r="L618" t="n">
        <v>0</v>
      </c>
      <c r="M618" t="n">
        <v>0</v>
      </c>
      <c r="N618" t="n">
        <v>0</v>
      </c>
      <c r="O618" t="n">
        <v>1</v>
      </c>
      <c r="P618" t="n">
        <v>0</v>
      </c>
      <c r="Q618" t="n">
        <v>2</v>
      </c>
      <c r="R618" s="2" t="inlineStr">
        <is>
          <t>Luddfingersvamp
Ögonpyrola</t>
        </is>
      </c>
      <c r="S618">
        <f>HYPERLINK("https://klasma.github.io/Logging_2425/artfynd/A 35988-2023 artfynd.xlsx", "A 35988-2023")</f>
        <v/>
      </c>
      <c r="T618">
        <f>HYPERLINK("https://klasma.github.io/Logging_2425/kartor/A 35988-2023 karta.png", "A 35988-2023")</f>
        <v/>
      </c>
      <c r="V618">
        <f>HYPERLINK("https://klasma.github.io/Logging_2425/klagomål/A 35988-2023 FSC-klagomål.docx", "A 35988-2023")</f>
        <v/>
      </c>
      <c r="W618">
        <f>HYPERLINK("https://klasma.github.io/Logging_2425/klagomålsmail/A 35988-2023 FSC-klagomål mail.docx", "A 35988-2023")</f>
        <v/>
      </c>
      <c r="X618">
        <f>HYPERLINK("https://klasma.github.io/Logging_2425/tillsyn/A 35988-2023 tillsynsbegäran.docx", "A 35988-2023")</f>
        <v/>
      </c>
      <c r="Y618">
        <f>HYPERLINK("https://klasma.github.io/Logging_2425/tillsynsmail/A 35988-2023 tillsynsbegäran mail.docx", "A 35988-2023")</f>
        <v/>
      </c>
    </row>
    <row r="619" ht="15" customHeight="1">
      <c r="A619" t="inlineStr">
        <is>
          <t>A 36434-2023</t>
        </is>
      </c>
      <c r="B619" s="1" t="n">
        <v>45152</v>
      </c>
      <c r="C619" s="1" t="n">
        <v>45357</v>
      </c>
      <c r="D619" t="inlineStr">
        <is>
          <t>VÄSTERBOTTENS LÄN</t>
        </is>
      </c>
      <c r="E619" t="inlineStr">
        <is>
          <t>VINDELN</t>
        </is>
      </c>
      <c r="F619" t="inlineStr">
        <is>
          <t>Holmen skog AB</t>
        </is>
      </c>
      <c r="G619" t="n">
        <v>10.7</v>
      </c>
      <c r="H619" t="n">
        <v>0</v>
      </c>
      <c r="I619" t="n">
        <v>2</v>
      </c>
      <c r="J619" t="n">
        <v>0</v>
      </c>
      <c r="K619" t="n">
        <v>0</v>
      </c>
      <c r="L619" t="n">
        <v>0</v>
      </c>
      <c r="M619" t="n">
        <v>0</v>
      </c>
      <c r="N619" t="n">
        <v>0</v>
      </c>
      <c r="O619" t="n">
        <v>0</v>
      </c>
      <c r="P619" t="n">
        <v>0</v>
      </c>
      <c r="Q619" t="n">
        <v>2</v>
      </c>
      <c r="R619" s="2" t="inlineStr">
        <is>
          <t>Dropptaggsvamp
Mindre märgborre</t>
        </is>
      </c>
      <c r="S619">
        <f>HYPERLINK("https://klasma.github.io/Logging_2404/artfynd/A 36434-2023 artfynd.xlsx", "A 36434-2023")</f>
        <v/>
      </c>
      <c r="T619">
        <f>HYPERLINK("https://klasma.github.io/Logging_2404/kartor/A 36434-2023 karta.png", "A 36434-2023")</f>
        <v/>
      </c>
      <c r="V619">
        <f>HYPERLINK("https://klasma.github.io/Logging_2404/klagomål/A 36434-2023 FSC-klagomål.docx", "A 36434-2023")</f>
        <v/>
      </c>
      <c r="W619">
        <f>HYPERLINK("https://klasma.github.io/Logging_2404/klagomålsmail/A 36434-2023 FSC-klagomål mail.docx", "A 36434-2023")</f>
        <v/>
      </c>
      <c r="X619">
        <f>HYPERLINK("https://klasma.github.io/Logging_2404/tillsyn/A 36434-2023 tillsynsbegäran.docx", "A 36434-2023")</f>
        <v/>
      </c>
      <c r="Y619">
        <f>HYPERLINK("https://klasma.github.io/Logging_2404/tillsynsmail/A 36434-2023 tillsynsbegäran mail.docx", "A 36434-2023")</f>
        <v/>
      </c>
    </row>
    <row r="620" ht="15" customHeight="1">
      <c r="A620" t="inlineStr">
        <is>
          <t>A 36561-2023</t>
        </is>
      </c>
      <c r="B620" s="1" t="n">
        <v>45153</v>
      </c>
      <c r="C620" s="1" t="n">
        <v>45357</v>
      </c>
      <c r="D620" t="inlineStr">
        <is>
          <t>VÄSTERBOTTENS LÄN</t>
        </is>
      </c>
      <c r="E620" t="inlineStr">
        <is>
          <t>ROBERTSFORS</t>
        </is>
      </c>
      <c r="F620" t="inlineStr">
        <is>
          <t>Holmen skog AB</t>
        </is>
      </c>
      <c r="G620" t="n">
        <v>2.2</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36561-2023 artfynd.xlsx", "A 36561-2023")</f>
        <v/>
      </c>
      <c r="T620">
        <f>HYPERLINK("https://klasma.github.io/Logging_2409/kartor/A 36561-2023 karta.png", "A 36561-2023")</f>
        <v/>
      </c>
      <c r="V620">
        <f>HYPERLINK("https://klasma.github.io/Logging_2409/klagomål/A 36561-2023 FSC-klagomål.docx", "A 36561-2023")</f>
        <v/>
      </c>
      <c r="W620">
        <f>HYPERLINK("https://klasma.github.io/Logging_2409/klagomålsmail/A 36561-2023 FSC-klagomål mail.docx", "A 36561-2023")</f>
        <v/>
      </c>
      <c r="X620">
        <f>HYPERLINK("https://klasma.github.io/Logging_2409/tillsyn/A 36561-2023 tillsynsbegäran.docx", "A 36561-2023")</f>
        <v/>
      </c>
      <c r="Y620">
        <f>HYPERLINK("https://klasma.github.io/Logging_2409/tillsynsmail/A 36561-2023 tillsynsbegäran mail.docx", "A 36561-2023")</f>
        <v/>
      </c>
    </row>
    <row r="621" ht="15" customHeight="1">
      <c r="A621" t="inlineStr">
        <is>
          <t>A 37542-2023</t>
        </is>
      </c>
      <c r="B621" s="1" t="n">
        <v>45158</v>
      </c>
      <c r="C621" s="1" t="n">
        <v>45357</v>
      </c>
      <c r="D621" t="inlineStr">
        <is>
          <t>VÄSTERBOTTENS LÄN</t>
        </is>
      </c>
      <c r="E621" t="inlineStr">
        <is>
          <t>DOROTEA</t>
        </is>
      </c>
      <c r="F621" t="inlineStr">
        <is>
          <t>SCA</t>
        </is>
      </c>
      <c r="G621" t="n">
        <v>12</v>
      </c>
      <c r="H621" t="n">
        <v>0</v>
      </c>
      <c r="I621" t="n">
        <v>1</v>
      </c>
      <c r="J621" t="n">
        <v>1</v>
      </c>
      <c r="K621" t="n">
        <v>0</v>
      </c>
      <c r="L621" t="n">
        <v>0</v>
      </c>
      <c r="M621" t="n">
        <v>0</v>
      </c>
      <c r="N621" t="n">
        <v>0</v>
      </c>
      <c r="O621" t="n">
        <v>1</v>
      </c>
      <c r="P621" t="n">
        <v>0</v>
      </c>
      <c r="Q621" t="n">
        <v>2</v>
      </c>
      <c r="R621" s="2" t="inlineStr">
        <is>
          <t>Lunglav
Tibast</t>
        </is>
      </c>
      <c r="S621">
        <f>HYPERLINK("https://klasma.github.io/Logging_2425/artfynd/A 37542-2023 artfynd.xlsx", "A 37542-2023")</f>
        <v/>
      </c>
      <c r="T621">
        <f>HYPERLINK("https://klasma.github.io/Logging_2425/kartor/A 37542-2023 karta.png", "A 37542-2023")</f>
        <v/>
      </c>
      <c r="V621">
        <f>HYPERLINK("https://klasma.github.io/Logging_2425/klagomål/A 37542-2023 FSC-klagomål.docx", "A 37542-2023")</f>
        <v/>
      </c>
      <c r="W621">
        <f>HYPERLINK("https://klasma.github.io/Logging_2425/klagomålsmail/A 37542-2023 FSC-klagomål mail.docx", "A 37542-2023")</f>
        <v/>
      </c>
      <c r="X621">
        <f>HYPERLINK("https://klasma.github.io/Logging_2425/tillsyn/A 37542-2023 tillsynsbegäran.docx", "A 37542-2023")</f>
        <v/>
      </c>
      <c r="Y621">
        <f>HYPERLINK("https://klasma.github.io/Logging_2425/tillsynsmail/A 37542-2023 tillsynsbegäran mail.docx", "A 37542-2023")</f>
        <v/>
      </c>
    </row>
    <row r="622" ht="15" customHeight="1">
      <c r="A622" t="inlineStr">
        <is>
          <t>A 38062-2023</t>
        </is>
      </c>
      <c r="B622" s="1" t="n">
        <v>45159</v>
      </c>
      <c r="C622" s="1" t="n">
        <v>45357</v>
      </c>
      <c r="D622" t="inlineStr">
        <is>
          <t>VÄSTERBOTTENS LÄN</t>
        </is>
      </c>
      <c r="E622" t="inlineStr">
        <is>
          <t>VINDELN</t>
        </is>
      </c>
      <c r="G622" t="n">
        <v>11.7</v>
      </c>
      <c r="H622" t="n">
        <v>0</v>
      </c>
      <c r="I622" t="n">
        <v>1</v>
      </c>
      <c r="J622" t="n">
        <v>1</v>
      </c>
      <c r="K622" t="n">
        <v>0</v>
      </c>
      <c r="L622" t="n">
        <v>0</v>
      </c>
      <c r="M622" t="n">
        <v>0</v>
      </c>
      <c r="N622" t="n">
        <v>0</v>
      </c>
      <c r="O622" t="n">
        <v>1</v>
      </c>
      <c r="P622" t="n">
        <v>0</v>
      </c>
      <c r="Q622" t="n">
        <v>2</v>
      </c>
      <c r="R622" s="2" t="inlineStr">
        <is>
          <t>Scaphisoma subalpinum
Dorcatoma dresdensis</t>
        </is>
      </c>
      <c r="S622">
        <f>HYPERLINK("https://klasma.github.io/Logging_2404/artfynd/A 38062-2023 artfynd.xlsx", "A 38062-2023")</f>
        <v/>
      </c>
      <c r="T622">
        <f>HYPERLINK("https://klasma.github.io/Logging_2404/kartor/A 38062-2023 karta.png", "A 38062-2023")</f>
        <v/>
      </c>
      <c r="V622">
        <f>HYPERLINK("https://klasma.github.io/Logging_2404/klagomål/A 38062-2023 FSC-klagomål.docx", "A 38062-2023")</f>
        <v/>
      </c>
      <c r="W622">
        <f>HYPERLINK("https://klasma.github.io/Logging_2404/klagomålsmail/A 38062-2023 FSC-klagomål mail.docx", "A 38062-2023")</f>
        <v/>
      </c>
      <c r="X622">
        <f>HYPERLINK("https://klasma.github.io/Logging_2404/tillsyn/A 38062-2023 tillsynsbegäran.docx", "A 38062-2023")</f>
        <v/>
      </c>
      <c r="Y622">
        <f>HYPERLINK("https://klasma.github.io/Logging_2404/tillsynsmail/A 38062-2023 tillsynsbegäran mail.docx", "A 38062-2023")</f>
        <v/>
      </c>
    </row>
    <row r="623" ht="15" customHeight="1">
      <c r="A623" t="inlineStr">
        <is>
          <t>A 38430-2023</t>
        </is>
      </c>
      <c r="B623" s="1" t="n">
        <v>45162</v>
      </c>
      <c r="C623" s="1" t="n">
        <v>45357</v>
      </c>
      <c r="D623" t="inlineStr">
        <is>
          <t>VÄSTERBOTTENS LÄN</t>
        </is>
      </c>
      <c r="E623" t="inlineStr">
        <is>
          <t>LYCKSELE</t>
        </is>
      </c>
      <c r="F623" t="inlineStr">
        <is>
          <t>Sveaskog</t>
        </is>
      </c>
      <c r="G623" t="n">
        <v>13.7</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38430-2023 artfynd.xlsx", "A 38430-2023")</f>
        <v/>
      </c>
      <c r="T623">
        <f>HYPERLINK("https://klasma.github.io/Logging_2481/kartor/A 38430-2023 karta.png", "A 38430-2023")</f>
        <v/>
      </c>
      <c r="V623">
        <f>HYPERLINK("https://klasma.github.io/Logging_2481/klagomål/A 38430-2023 FSC-klagomål.docx", "A 38430-2023")</f>
        <v/>
      </c>
      <c r="W623">
        <f>HYPERLINK("https://klasma.github.io/Logging_2481/klagomålsmail/A 38430-2023 FSC-klagomål mail.docx", "A 38430-2023")</f>
        <v/>
      </c>
      <c r="X623">
        <f>HYPERLINK("https://klasma.github.io/Logging_2481/tillsyn/A 38430-2023 tillsynsbegäran.docx", "A 38430-2023")</f>
        <v/>
      </c>
      <c r="Y623">
        <f>HYPERLINK("https://klasma.github.io/Logging_2481/tillsynsmail/A 38430-2023 tillsynsbegäran mail.docx", "A 38430-2023")</f>
        <v/>
      </c>
    </row>
    <row r="624" ht="15" customHeight="1">
      <c r="A624" t="inlineStr">
        <is>
          <t>A 38475-2023</t>
        </is>
      </c>
      <c r="B624" s="1" t="n">
        <v>45162</v>
      </c>
      <c r="C624" s="1" t="n">
        <v>45357</v>
      </c>
      <c r="D624" t="inlineStr">
        <is>
          <t>VÄSTERBOTTENS LÄN</t>
        </is>
      </c>
      <c r="E624" t="inlineStr">
        <is>
          <t>LYCKSELE</t>
        </is>
      </c>
      <c r="F624" t="inlineStr">
        <is>
          <t>Sveaskog</t>
        </is>
      </c>
      <c r="G624" t="n">
        <v>1.6</v>
      </c>
      <c r="H624" t="n">
        <v>0</v>
      </c>
      <c r="I624" t="n">
        <v>0</v>
      </c>
      <c r="J624" t="n">
        <v>2</v>
      </c>
      <c r="K624" t="n">
        <v>0</v>
      </c>
      <c r="L624" t="n">
        <v>0</v>
      </c>
      <c r="M624" t="n">
        <v>0</v>
      </c>
      <c r="N624" t="n">
        <v>0</v>
      </c>
      <c r="O624" t="n">
        <v>2</v>
      </c>
      <c r="P624" t="n">
        <v>0</v>
      </c>
      <c r="Q624" t="n">
        <v>2</v>
      </c>
      <c r="R624" s="2" t="inlineStr">
        <is>
          <t>Blå taggsvamp
Mörk kolflarnlav</t>
        </is>
      </c>
      <c r="S624">
        <f>HYPERLINK("https://klasma.github.io/Logging_2481/artfynd/A 38475-2023 artfynd.xlsx", "A 38475-2023")</f>
        <v/>
      </c>
      <c r="T624">
        <f>HYPERLINK("https://klasma.github.io/Logging_2481/kartor/A 38475-2023 karta.png", "A 38475-2023")</f>
        <v/>
      </c>
      <c r="V624">
        <f>HYPERLINK("https://klasma.github.io/Logging_2481/klagomål/A 38475-2023 FSC-klagomål.docx", "A 38475-2023")</f>
        <v/>
      </c>
      <c r="W624">
        <f>HYPERLINK("https://klasma.github.io/Logging_2481/klagomålsmail/A 38475-2023 FSC-klagomål mail.docx", "A 38475-2023")</f>
        <v/>
      </c>
      <c r="X624">
        <f>HYPERLINK("https://klasma.github.io/Logging_2481/tillsyn/A 38475-2023 tillsynsbegäran.docx", "A 38475-2023")</f>
        <v/>
      </c>
      <c r="Y624">
        <f>HYPERLINK("https://klasma.github.io/Logging_2481/tillsynsmail/A 38475-2023 tillsynsbegäran mail.docx", "A 38475-2023")</f>
        <v/>
      </c>
    </row>
    <row r="625" ht="15" customHeight="1">
      <c r="A625" t="inlineStr">
        <is>
          <t>A 39826-2023</t>
        </is>
      </c>
      <c r="B625" s="1" t="n">
        <v>45168</v>
      </c>
      <c r="C625" s="1" t="n">
        <v>45357</v>
      </c>
      <c r="D625" t="inlineStr">
        <is>
          <t>VÄSTERBOTTENS LÄN</t>
        </is>
      </c>
      <c r="E625" t="inlineStr">
        <is>
          <t>ROBERTSFORS</t>
        </is>
      </c>
      <c r="F625" t="inlineStr">
        <is>
          <t>Holmen skog AB</t>
        </is>
      </c>
      <c r="G625" t="n">
        <v>5.1</v>
      </c>
      <c r="H625" t="n">
        <v>2</v>
      </c>
      <c r="I625" t="n">
        <v>0</v>
      </c>
      <c r="J625" t="n">
        <v>0</v>
      </c>
      <c r="K625" t="n">
        <v>0</v>
      </c>
      <c r="L625" t="n">
        <v>0</v>
      </c>
      <c r="M625" t="n">
        <v>0</v>
      </c>
      <c r="N625" t="n">
        <v>0</v>
      </c>
      <c r="O625" t="n">
        <v>0</v>
      </c>
      <c r="P625" t="n">
        <v>0</v>
      </c>
      <c r="Q625" t="n">
        <v>2</v>
      </c>
      <c r="R625" s="2" t="inlineStr">
        <is>
          <t>Fläcknycklar
Revlummer</t>
        </is>
      </c>
      <c r="S625">
        <f>HYPERLINK("https://klasma.github.io/Logging_2409/artfynd/A 39826-2023 artfynd.xlsx", "A 39826-2023")</f>
        <v/>
      </c>
      <c r="T625">
        <f>HYPERLINK("https://klasma.github.io/Logging_2409/kartor/A 39826-2023 karta.png", "A 39826-2023")</f>
        <v/>
      </c>
      <c r="V625">
        <f>HYPERLINK("https://klasma.github.io/Logging_2409/klagomål/A 39826-2023 FSC-klagomål.docx", "A 39826-2023")</f>
        <v/>
      </c>
      <c r="W625">
        <f>HYPERLINK("https://klasma.github.io/Logging_2409/klagomålsmail/A 39826-2023 FSC-klagomål mail.docx", "A 39826-2023")</f>
        <v/>
      </c>
      <c r="X625">
        <f>HYPERLINK("https://klasma.github.io/Logging_2409/tillsyn/A 39826-2023 tillsynsbegäran.docx", "A 39826-2023")</f>
        <v/>
      </c>
      <c r="Y625">
        <f>HYPERLINK("https://klasma.github.io/Logging_2409/tillsynsmail/A 39826-2023 tillsynsbegäran mail.docx", "A 39826-2023")</f>
        <v/>
      </c>
    </row>
    <row r="626" ht="15" customHeight="1">
      <c r="A626" t="inlineStr">
        <is>
          <t>A 40742-2023</t>
        </is>
      </c>
      <c r="B626" s="1" t="n">
        <v>45170</v>
      </c>
      <c r="C626" s="1" t="n">
        <v>45357</v>
      </c>
      <c r="D626" t="inlineStr">
        <is>
          <t>VÄSTERBOTTENS LÄN</t>
        </is>
      </c>
      <c r="E626" t="inlineStr">
        <is>
          <t>SKELLEFTEÅ</t>
        </is>
      </c>
      <c r="F626" t="inlineStr">
        <is>
          <t>Sveaskog</t>
        </is>
      </c>
      <c r="G626" t="n">
        <v>13.6</v>
      </c>
      <c r="H626" t="n">
        <v>0</v>
      </c>
      <c r="I626" t="n">
        <v>1</v>
      </c>
      <c r="J626" t="n">
        <v>1</v>
      </c>
      <c r="K626" t="n">
        <v>0</v>
      </c>
      <c r="L626" t="n">
        <v>0</v>
      </c>
      <c r="M626" t="n">
        <v>0</v>
      </c>
      <c r="N626" t="n">
        <v>0</v>
      </c>
      <c r="O626" t="n">
        <v>1</v>
      </c>
      <c r="P626" t="n">
        <v>0</v>
      </c>
      <c r="Q626" t="n">
        <v>2</v>
      </c>
      <c r="R626" s="2" t="inlineStr">
        <is>
          <t>Kolflarnlav
Stuplav</t>
        </is>
      </c>
      <c r="S626">
        <f>HYPERLINK("https://klasma.github.io/Logging_2482/artfynd/A 40742-2023 artfynd.xlsx", "A 40742-2023")</f>
        <v/>
      </c>
      <c r="T626">
        <f>HYPERLINK("https://klasma.github.io/Logging_2482/kartor/A 40742-2023 karta.png", "A 40742-2023")</f>
        <v/>
      </c>
      <c r="V626">
        <f>HYPERLINK("https://klasma.github.io/Logging_2482/klagomål/A 40742-2023 FSC-klagomål.docx", "A 40742-2023")</f>
        <v/>
      </c>
      <c r="W626">
        <f>HYPERLINK("https://klasma.github.io/Logging_2482/klagomålsmail/A 40742-2023 FSC-klagomål mail.docx", "A 40742-2023")</f>
        <v/>
      </c>
      <c r="X626">
        <f>HYPERLINK("https://klasma.github.io/Logging_2482/tillsyn/A 40742-2023 tillsynsbegäran.docx", "A 40742-2023")</f>
        <v/>
      </c>
      <c r="Y626">
        <f>HYPERLINK("https://klasma.github.io/Logging_2482/tillsynsmail/A 40742-2023 tillsynsbegäran mail.docx", "A 40742-2023")</f>
        <v/>
      </c>
    </row>
    <row r="627" ht="15" customHeight="1">
      <c r="A627" t="inlineStr">
        <is>
          <t>A 41449-2023</t>
        </is>
      </c>
      <c r="B627" s="1" t="n">
        <v>45175</v>
      </c>
      <c r="C627" s="1" t="n">
        <v>45357</v>
      </c>
      <c r="D627" t="inlineStr">
        <is>
          <t>VÄSTERBOTTENS LÄN</t>
        </is>
      </c>
      <c r="E627" t="inlineStr">
        <is>
          <t>LYCKSELE</t>
        </is>
      </c>
      <c r="F627" t="inlineStr">
        <is>
          <t>Sveaskog</t>
        </is>
      </c>
      <c r="G627" t="n">
        <v>4.4</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HYPERLINK("https://klasma.github.io/Logging_2481/artfynd/A 41449-2023 artfynd.xlsx", "A 41449-2023")</f>
        <v/>
      </c>
      <c r="T627">
        <f>HYPERLINK("https://klasma.github.io/Logging_2481/kartor/A 41449-2023 karta.png", "A 41449-2023")</f>
        <v/>
      </c>
      <c r="V627">
        <f>HYPERLINK("https://klasma.github.io/Logging_2481/klagomål/A 41449-2023 FSC-klagomål.docx", "A 41449-2023")</f>
        <v/>
      </c>
      <c r="W627">
        <f>HYPERLINK("https://klasma.github.io/Logging_2481/klagomålsmail/A 41449-2023 FSC-klagomål mail.docx", "A 41449-2023")</f>
        <v/>
      </c>
      <c r="X627">
        <f>HYPERLINK("https://klasma.github.io/Logging_2481/tillsyn/A 41449-2023 tillsynsbegäran.docx", "A 41449-2023")</f>
        <v/>
      </c>
      <c r="Y627">
        <f>HYPERLINK("https://klasma.github.io/Logging_2481/tillsynsmail/A 41449-2023 tillsynsbegäran mail.docx", "A 41449-2023")</f>
        <v/>
      </c>
    </row>
    <row r="628" ht="15" customHeight="1">
      <c r="A628" t="inlineStr">
        <is>
          <t>A 43250-2023</t>
        </is>
      </c>
      <c r="B628" s="1" t="n">
        <v>45180</v>
      </c>
      <c r="C628" s="1" t="n">
        <v>45357</v>
      </c>
      <c r="D628" t="inlineStr">
        <is>
          <t>VÄSTERBOTTENS LÄN</t>
        </is>
      </c>
      <c r="E628" t="inlineStr">
        <is>
          <t>SKELLEFTEÅ</t>
        </is>
      </c>
      <c r="G628" t="n">
        <v>3.3</v>
      </c>
      <c r="H628" t="n">
        <v>1</v>
      </c>
      <c r="I628" t="n">
        <v>0</v>
      </c>
      <c r="J628" t="n">
        <v>1</v>
      </c>
      <c r="K628" t="n">
        <v>1</v>
      </c>
      <c r="L628" t="n">
        <v>0</v>
      </c>
      <c r="M628" t="n">
        <v>0</v>
      </c>
      <c r="N628" t="n">
        <v>0</v>
      </c>
      <c r="O628" t="n">
        <v>2</v>
      </c>
      <c r="P628" t="n">
        <v>1</v>
      </c>
      <c r="Q628" t="n">
        <v>2</v>
      </c>
      <c r="R628" s="2" t="inlineStr">
        <is>
          <t>Knärot
Gammelgransskål</t>
        </is>
      </c>
      <c r="S628">
        <f>HYPERLINK("https://klasma.github.io/Logging_2482/artfynd/A 43250-2023 artfynd.xlsx", "A 43250-2023")</f>
        <v/>
      </c>
      <c r="T628">
        <f>HYPERLINK("https://klasma.github.io/Logging_2482/kartor/A 43250-2023 karta.png", "A 43250-2023")</f>
        <v/>
      </c>
      <c r="U628">
        <f>HYPERLINK("https://klasma.github.io/Logging_2482/knärot/A 43250-2023 karta knärot.png", "A 43250-2023")</f>
        <v/>
      </c>
      <c r="V628">
        <f>HYPERLINK("https://klasma.github.io/Logging_2482/klagomål/A 43250-2023 FSC-klagomål.docx", "A 43250-2023")</f>
        <v/>
      </c>
      <c r="W628">
        <f>HYPERLINK("https://klasma.github.io/Logging_2482/klagomålsmail/A 43250-2023 FSC-klagomål mail.docx", "A 43250-2023")</f>
        <v/>
      </c>
      <c r="X628">
        <f>HYPERLINK("https://klasma.github.io/Logging_2482/tillsyn/A 43250-2023 tillsynsbegäran.docx", "A 43250-2023")</f>
        <v/>
      </c>
      <c r="Y628">
        <f>HYPERLINK("https://klasma.github.io/Logging_2482/tillsynsmail/A 43250-2023 tillsynsbegäran mail.docx", "A 43250-2023")</f>
        <v/>
      </c>
    </row>
    <row r="629" ht="15" customHeight="1">
      <c r="A629" t="inlineStr">
        <is>
          <t>A 42786-2023</t>
        </is>
      </c>
      <c r="B629" s="1" t="n">
        <v>45181</v>
      </c>
      <c r="C629" s="1" t="n">
        <v>45357</v>
      </c>
      <c r="D629" t="inlineStr">
        <is>
          <t>VÄSTERBOTTENS LÄN</t>
        </is>
      </c>
      <c r="E629" t="inlineStr">
        <is>
          <t>SKELLEFTEÅ</t>
        </is>
      </c>
      <c r="G629" t="n">
        <v>9.199999999999999</v>
      </c>
      <c r="H629" t="n">
        <v>0</v>
      </c>
      <c r="I629" t="n">
        <v>0</v>
      </c>
      <c r="J629" t="n">
        <v>2</v>
      </c>
      <c r="K629" t="n">
        <v>0</v>
      </c>
      <c r="L629" t="n">
        <v>0</v>
      </c>
      <c r="M629" t="n">
        <v>0</v>
      </c>
      <c r="N629" t="n">
        <v>0</v>
      </c>
      <c r="O629" t="n">
        <v>2</v>
      </c>
      <c r="P629" t="n">
        <v>0</v>
      </c>
      <c r="Q629" t="n">
        <v>2</v>
      </c>
      <c r="R629" s="2" t="inlineStr">
        <is>
          <t>Garnlav
Kärrängsfly</t>
        </is>
      </c>
      <c r="S629">
        <f>HYPERLINK("https://klasma.github.io/Logging_2482/artfynd/A 42786-2023 artfynd.xlsx", "A 42786-2023")</f>
        <v/>
      </c>
      <c r="T629">
        <f>HYPERLINK("https://klasma.github.io/Logging_2482/kartor/A 42786-2023 karta.png", "A 42786-2023")</f>
        <v/>
      </c>
      <c r="V629">
        <f>HYPERLINK("https://klasma.github.io/Logging_2482/klagomål/A 42786-2023 FSC-klagomål.docx", "A 42786-2023")</f>
        <v/>
      </c>
      <c r="W629">
        <f>HYPERLINK("https://klasma.github.io/Logging_2482/klagomålsmail/A 42786-2023 FSC-klagomål mail.docx", "A 42786-2023")</f>
        <v/>
      </c>
      <c r="X629">
        <f>HYPERLINK("https://klasma.github.io/Logging_2482/tillsyn/A 42786-2023 tillsynsbegäran.docx", "A 42786-2023")</f>
        <v/>
      </c>
      <c r="Y629">
        <f>HYPERLINK("https://klasma.github.io/Logging_2482/tillsynsmail/A 42786-2023 tillsynsbegäran mail.docx", "A 42786-2023")</f>
        <v/>
      </c>
    </row>
    <row r="630" ht="15" customHeight="1">
      <c r="A630" t="inlineStr">
        <is>
          <t>A 43094-2023</t>
        </is>
      </c>
      <c r="B630" s="1" t="n">
        <v>45182</v>
      </c>
      <c r="C630" s="1" t="n">
        <v>45357</v>
      </c>
      <c r="D630" t="inlineStr">
        <is>
          <t>VÄSTERBOTTENS LÄN</t>
        </is>
      </c>
      <c r="E630" t="inlineStr">
        <is>
          <t>ROBERTSFORS</t>
        </is>
      </c>
      <c r="G630" t="n">
        <v>7.7</v>
      </c>
      <c r="H630" t="n">
        <v>2</v>
      </c>
      <c r="I630" t="n">
        <v>0</v>
      </c>
      <c r="J630" t="n">
        <v>2</v>
      </c>
      <c r="K630" t="n">
        <v>0</v>
      </c>
      <c r="L630" t="n">
        <v>0</v>
      </c>
      <c r="M630" t="n">
        <v>0</v>
      </c>
      <c r="N630" t="n">
        <v>0</v>
      </c>
      <c r="O630" t="n">
        <v>2</v>
      </c>
      <c r="P630" t="n">
        <v>0</v>
      </c>
      <c r="Q630" t="n">
        <v>2</v>
      </c>
      <c r="R630" s="2" t="inlineStr">
        <is>
          <t>Svartvit flugsnappare
Ärtsångare</t>
        </is>
      </c>
      <c r="S630">
        <f>HYPERLINK("https://klasma.github.io/Logging_2409/artfynd/A 43094-2023 artfynd.xlsx", "A 43094-2023")</f>
        <v/>
      </c>
      <c r="T630">
        <f>HYPERLINK("https://klasma.github.io/Logging_2409/kartor/A 43094-2023 karta.png", "A 43094-2023")</f>
        <v/>
      </c>
      <c r="V630">
        <f>HYPERLINK("https://klasma.github.io/Logging_2409/klagomål/A 43094-2023 FSC-klagomål.docx", "A 43094-2023")</f>
        <v/>
      </c>
      <c r="W630">
        <f>HYPERLINK("https://klasma.github.io/Logging_2409/klagomålsmail/A 43094-2023 FSC-klagomål mail.docx", "A 43094-2023")</f>
        <v/>
      </c>
      <c r="X630">
        <f>HYPERLINK("https://klasma.github.io/Logging_2409/tillsyn/A 43094-2023 tillsynsbegäran.docx", "A 43094-2023")</f>
        <v/>
      </c>
      <c r="Y630">
        <f>HYPERLINK("https://klasma.github.io/Logging_2409/tillsynsmail/A 43094-2023 tillsynsbegäran mail.docx", "A 43094-2023")</f>
        <v/>
      </c>
    </row>
    <row r="631" ht="15" customHeight="1">
      <c r="A631" t="inlineStr">
        <is>
          <t>A 45252-2023</t>
        </is>
      </c>
      <c r="B631" s="1" t="n">
        <v>45191</v>
      </c>
      <c r="C631" s="1" t="n">
        <v>45357</v>
      </c>
      <c r="D631" t="inlineStr">
        <is>
          <t>VÄSTERBOTTENS LÄN</t>
        </is>
      </c>
      <c r="E631" t="inlineStr">
        <is>
          <t>ÅSELE</t>
        </is>
      </c>
      <c r="F631" t="inlineStr">
        <is>
          <t>Sveaskog</t>
        </is>
      </c>
      <c r="G631" t="n">
        <v>22.7</v>
      </c>
      <c r="H631" t="n">
        <v>0</v>
      </c>
      <c r="I631" t="n">
        <v>0</v>
      </c>
      <c r="J631" t="n">
        <v>1</v>
      </c>
      <c r="K631" t="n">
        <v>1</v>
      </c>
      <c r="L631" t="n">
        <v>0</v>
      </c>
      <c r="M631" t="n">
        <v>0</v>
      </c>
      <c r="N631" t="n">
        <v>0</v>
      </c>
      <c r="O631" t="n">
        <v>2</v>
      </c>
      <c r="P631" t="n">
        <v>1</v>
      </c>
      <c r="Q631" t="n">
        <v>2</v>
      </c>
      <c r="R631" s="2" t="inlineStr">
        <is>
          <t>Gräddticka
Garnlav</t>
        </is>
      </c>
      <c r="S631">
        <f>HYPERLINK("https://klasma.github.io/Logging_2463/artfynd/A 45252-2023 artfynd.xlsx", "A 45252-2023")</f>
        <v/>
      </c>
      <c r="T631">
        <f>HYPERLINK("https://klasma.github.io/Logging_2463/kartor/A 45252-2023 karta.png", "A 45252-2023")</f>
        <v/>
      </c>
      <c r="V631">
        <f>HYPERLINK("https://klasma.github.io/Logging_2463/klagomål/A 45252-2023 FSC-klagomål.docx", "A 45252-2023")</f>
        <v/>
      </c>
      <c r="W631">
        <f>HYPERLINK("https://klasma.github.io/Logging_2463/klagomålsmail/A 45252-2023 FSC-klagomål mail.docx", "A 45252-2023")</f>
        <v/>
      </c>
      <c r="X631">
        <f>HYPERLINK("https://klasma.github.io/Logging_2463/tillsyn/A 45252-2023 tillsynsbegäran.docx", "A 45252-2023")</f>
        <v/>
      </c>
      <c r="Y631">
        <f>HYPERLINK("https://klasma.github.io/Logging_2463/tillsynsmail/A 45252-2023 tillsynsbegäran mail.docx", "A 45252-2023")</f>
        <v/>
      </c>
    </row>
    <row r="632" ht="15" customHeight="1">
      <c r="A632" t="inlineStr">
        <is>
          <t>A 46563-2023</t>
        </is>
      </c>
      <c r="B632" s="1" t="n">
        <v>45198</v>
      </c>
      <c r="C632" s="1" t="n">
        <v>45357</v>
      </c>
      <c r="D632" t="inlineStr">
        <is>
          <t>VÄSTERBOTTENS LÄN</t>
        </is>
      </c>
      <c r="E632" t="inlineStr">
        <is>
          <t>UMEÅ</t>
        </is>
      </c>
      <c r="F632" t="inlineStr">
        <is>
          <t>Holmen skog AB</t>
        </is>
      </c>
      <c r="G632" t="n">
        <v>4.7</v>
      </c>
      <c r="H632" t="n">
        <v>0</v>
      </c>
      <c r="I632" t="n">
        <v>1</v>
      </c>
      <c r="J632" t="n">
        <v>1</v>
      </c>
      <c r="K632" t="n">
        <v>0</v>
      </c>
      <c r="L632" t="n">
        <v>0</v>
      </c>
      <c r="M632" t="n">
        <v>0</v>
      </c>
      <c r="N632" t="n">
        <v>0</v>
      </c>
      <c r="O632" t="n">
        <v>1</v>
      </c>
      <c r="P632" t="n">
        <v>0</v>
      </c>
      <c r="Q632" t="n">
        <v>2</v>
      </c>
      <c r="R632" s="2" t="inlineStr">
        <is>
          <t>Garnlav
Dropptaggsvamp</t>
        </is>
      </c>
      <c r="S632">
        <f>HYPERLINK("https://klasma.github.io/Logging_2480/artfynd/A 46563-2023 artfynd.xlsx", "A 46563-2023")</f>
        <v/>
      </c>
      <c r="T632">
        <f>HYPERLINK("https://klasma.github.io/Logging_2480/kartor/A 46563-2023 karta.png", "A 46563-2023")</f>
        <v/>
      </c>
      <c r="V632">
        <f>HYPERLINK("https://klasma.github.io/Logging_2480/klagomål/A 46563-2023 FSC-klagomål.docx", "A 46563-2023")</f>
        <v/>
      </c>
      <c r="W632">
        <f>HYPERLINK("https://klasma.github.io/Logging_2480/klagomålsmail/A 46563-2023 FSC-klagomål mail.docx", "A 46563-2023")</f>
        <v/>
      </c>
      <c r="X632">
        <f>HYPERLINK("https://klasma.github.io/Logging_2480/tillsyn/A 46563-2023 tillsynsbegäran.docx", "A 46563-2023")</f>
        <v/>
      </c>
      <c r="Y632">
        <f>HYPERLINK("https://klasma.github.io/Logging_2480/tillsynsmail/A 46563-2023 tillsynsbegäran mail.docx", "A 46563-2023")</f>
        <v/>
      </c>
    </row>
    <row r="633" ht="15" customHeight="1">
      <c r="A633" t="inlineStr">
        <is>
          <t>A 47038-2023</t>
        </is>
      </c>
      <c r="B633" s="1" t="n">
        <v>45201</v>
      </c>
      <c r="C633" s="1" t="n">
        <v>45357</v>
      </c>
      <c r="D633" t="inlineStr">
        <is>
          <t>VÄSTERBOTTENS LÄN</t>
        </is>
      </c>
      <c r="E633" t="inlineStr">
        <is>
          <t>LYCKSELE</t>
        </is>
      </c>
      <c r="F633" t="inlineStr">
        <is>
          <t>Sveaskog</t>
        </is>
      </c>
      <c r="G633" t="n">
        <v>8.800000000000001</v>
      </c>
      <c r="H633" t="n">
        <v>0</v>
      </c>
      <c r="I633" t="n">
        <v>1</v>
      </c>
      <c r="J633" t="n">
        <v>1</v>
      </c>
      <c r="K633" t="n">
        <v>0</v>
      </c>
      <c r="L633" t="n">
        <v>0</v>
      </c>
      <c r="M633" t="n">
        <v>0</v>
      </c>
      <c r="N633" t="n">
        <v>0</v>
      </c>
      <c r="O633" t="n">
        <v>1</v>
      </c>
      <c r="P633" t="n">
        <v>0</v>
      </c>
      <c r="Q633" t="n">
        <v>2</v>
      </c>
      <c r="R633" s="2" t="inlineStr">
        <is>
          <t>Motaggsvamp
Dropptaggsvamp</t>
        </is>
      </c>
      <c r="S633">
        <f>HYPERLINK("https://klasma.github.io/Logging_2481/artfynd/A 47038-2023 artfynd.xlsx", "A 47038-2023")</f>
        <v/>
      </c>
      <c r="T633">
        <f>HYPERLINK("https://klasma.github.io/Logging_2481/kartor/A 47038-2023 karta.png", "A 47038-2023")</f>
        <v/>
      </c>
      <c r="V633">
        <f>HYPERLINK("https://klasma.github.io/Logging_2481/klagomål/A 47038-2023 FSC-klagomål.docx", "A 47038-2023")</f>
        <v/>
      </c>
      <c r="W633">
        <f>HYPERLINK("https://klasma.github.io/Logging_2481/klagomålsmail/A 47038-2023 FSC-klagomål mail.docx", "A 47038-2023")</f>
        <v/>
      </c>
      <c r="X633">
        <f>HYPERLINK("https://klasma.github.io/Logging_2481/tillsyn/A 47038-2023 tillsynsbegäran.docx", "A 47038-2023")</f>
        <v/>
      </c>
      <c r="Y633">
        <f>HYPERLINK("https://klasma.github.io/Logging_2481/tillsynsmail/A 47038-2023 tillsynsbegäran mail.docx", "A 47038-2023")</f>
        <v/>
      </c>
    </row>
    <row r="634" ht="15" customHeight="1">
      <c r="A634" t="inlineStr">
        <is>
          <t>A 47041-2023</t>
        </is>
      </c>
      <c r="B634" s="1" t="n">
        <v>45201</v>
      </c>
      <c r="C634" s="1" t="n">
        <v>45357</v>
      </c>
      <c r="D634" t="inlineStr">
        <is>
          <t>VÄSTERBOTTENS LÄN</t>
        </is>
      </c>
      <c r="E634" t="inlineStr">
        <is>
          <t>LYCKSELE</t>
        </is>
      </c>
      <c r="F634" t="inlineStr">
        <is>
          <t>Sveaskog</t>
        </is>
      </c>
      <c r="G634" t="n">
        <v>7.5</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HYPERLINK("https://klasma.github.io/Logging_2481/artfynd/A 47041-2023 artfynd.xlsx", "A 47041-2023")</f>
        <v/>
      </c>
      <c r="T634">
        <f>HYPERLINK("https://klasma.github.io/Logging_2481/kartor/A 47041-2023 karta.png", "A 47041-2023")</f>
        <v/>
      </c>
      <c r="V634">
        <f>HYPERLINK("https://klasma.github.io/Logging_2481/klagomål/A 47041-2023 FSC-klagomål.docx", "A 47041-2023")</f>
        <v/>
      </c>
      <c r="W634">
        <f>HYPERLINK("https://klasma.github.io/Logging_2481/klagomålsmail/A 47041-2023 FSC-klagomål mail.docx", "A 47041-2023")</f>
        <v/>
      </c>
      <c r="X634">
        <f>HYPERLINK("https://klasma.github.io/Logging_2481/tillsyn/A 47041-2023 tillsynsbegäran.docx", "A 47041-2023")</f>
        <v/>
      </c>
      <c r="Y634">
        <f>HYPERLINK("https://klasma.github.io/Logging_2481/tillsynsmail/A 47041-2023 tillsynsbegäran mail.docx", "A 47041-2023")</f>
        <v/>
      </c>
    </row>
    <row r="635" ht="15" customHeight="1">
      <c r="A635" t="inlineStr">
        <is>
          <t>A 48369-2023</t>
        </is>
      </c>
      <c r="B635" s="1" t="n">
        <v>45201</v>
      </c>
      <c r="C635" s="1" t="n">
        <v>45357</v>
      </c>
      <c r="D635" t="inlineStr">
        <is>
          <t>VÄSTERBOTTENS LÄN</t>
        </is>
      </c>
      <c r="E635" t="inlineStr">
        <is>
          <t>ÅSELE</t>
        </is>
      </c>
      <c r="G635" t="n">
        <v>2.4</v>
      </c>
      <c r="H635" t="n">
        <v>1</v>
      </c>
      <c r="I635" t="n">
        <v>1</v>
      </c>
      <c r="J635" t="n">
        <v>1</v>
      </c>
      <c r="K635" t="n">
        <v>0</v>
      </c>
      <c r="L635" t="n">
        <v>0</v>
      </c>
      <c r="M635" t="n">
        <v>0</v>
      </c>
      <c r="N635" t="n">
        <v>0</v>
      </c>
      <c r="O635" t="n">
        <v>1</v>
      </c>
      <c r="P635" t="n">
        <v>0</v>
      </c>
      <c r="Q635" t="n">
        <v>2</v>
      </c>
      <c r="R635" s="2" t="inlineStr">
        <is>
          <t>Talltita
Vedticka</t>
        </is>
      </c>
      <c r="S635">
        <f>HYPERLINK("https://klasma.github.io/Logging_2463/artfynd/A 48369-2023 artfynd.xlsx", "A 48369-2023")</f>
        <v/>
      </c>
      <c r="T635">
        <f>HYPERLINK("https://klasma.github.io/Logging_2463/kartor/A 48369-2023 karta.png", "A 48369-2023")</f>
        <v/>
      </c>
      <c r="V635">
        <f>HYPERLINK("https://klasma.github.io/Logging_2463/klagomål/A 48369-2023 FSC-klagomål.docx", "A 48369-2023")</f>
        <v/>
      </c>
      <c r="W635">
        <f>HYPERLINK("https://klasma.github.io/Logging_2463/klagomålsmail/A 48369-2023 FSC-klagomål mail.docx", "A 48369-2023")</f>
        <v/>
      </c>
      <c r="X635">
        <f>HYPERLINK("https://klasma.github.io/Logging_2463/tillsyn/A 48369-2023 tillsynsbegäran.docx", "A 48369-2023")</f>
        <v/>
      </c>
      <c r="Y635">
        <f>HYPERLINK("https://klasma.github.io/Logging_2463/tillsynsmail/A 48369-2023 tillsynsbegäran mail.docx", "A 48369-2023")</f>
        <v/>
      </c>
      <c r="Z635">
        <f>HYPERLINK("https://klasma.github.io/Logging_2463/fåglar/A 48369-2023 prioriterade fågelarter.docx", "A 48369-2023")</f>
        <v/>
      </c>
    </row>
    <row r="636" ht="15" customHeight="1">
      <c r="A636" t="inlineStr">
        <is>
          <t>A 48916-2023</t>
        </is>
      </c>
      <c r="B636" s="1" t="n">
        <v>45209</v>
      </c>
      <c r="C636" s="1" t="n">
        <v>45357</v>
      </c>
      <c r="D636" t="inlineStr">
        <is>
          <t>VÄSTERBOTTENS LÄN</t>
        </is>
      </c>
      <c r="E636" t="inlineStr">
        <is>
          <t>UMEÅ</t>
        </is>
      </c>
      <c r="G636" t="n">
        <v>5.4</v>
      </c>
      <c r="H636" t="n">
        <v>1</v>
      </c>
      <c r="I636" t="n">
        <v>0</v>
      </c>
      <c r="J636" t="n">
        <v>2</v>
      </c>
      <c r="K636" t="n">
        <v>0</v>
      </c>
      <c r="L636" t="n">
        <v>0</v>
      </c>
      <c r="M636" t="n">
        <v>0</v>
      </c>
      <c r="N636" t="n">
        <v>0</v>
      </c>
      <c r="O636" t="n">
        <v>2</v>
      </c>
      <c r="P636" t="n">
        <v>0</v>
      </c>
      <c r="Q636" t="n">
        <v>2</v>
      </c>
      <c r="R636" s="2" t="inlineStr">
        <is>
          <t>Garnlav
Tretåig hackspett</t>
        </is>
      </c>
      <c r="S636">
        <f>HYPERLINK("https://klasma.github.io/Logging_2480/artfynd/A 48916-2023 artfynd.xlsx", "A 48916-2023")</f>
        <v/>
      </c>
      <c r="T636">
        <f>HYPERLINK("https://klasma.github.io/Logging_2480/kartor/A 48916-2023 karta.png", "A 48916-2023")</f>
        <v/>
      </c>
      <c r="V636">
        <f>HYPERLINK("https://klasma.github.io/Logging_2480/klagomål/A 48916-2023 FSC-klagomål.docx", "A 48916-2023")</f>
        <v/>
      </c>
      <c r="W636">
        <f>HYPERLINK("https://klasma.github.io/Logging_2480/klagomålsmail/A 48916-2023 FSC-klagomål mail.docx", "A 48916-2023")</f>
        <v/>
      </c>
      <c r="X636">
        <f>HYPERLINK("https://klasma.github.io/Logging_2480/tillsyn/A 48916-2023 tillsynsbegäran.docx", "A 48916-2023")</f>
        <v/>
      </c>
      <c r="Y636">
        <f>HYPERLINK("https://klasma.github.io/Logging_2480/tillsynsmail/A 48916-2023 tillsynsbegäran mail.docx", "A 48916-2023")</f>
        <v/>
      </c>
      <c r="Z636">
        <f>HYPERLINK("https://klasma.github.io/Logging_2480/fåglar/A 48916-2023 prioriterade fågelarter.docx", "A 48916-2023")</f>
        <v/>
      </c>
    </row>
    <row r="637" ht="15" customHeight="1">
      <c r="A637" t="inlineStr">
        <is>
          <t>A 52328-2023</t>
        </is>
      </c>
      <c r="B637" s="1" t="n">
        <v>45224</v>
      </c>
      <c r="C637" s="1" t="n">
        <v>45357</v>
      </c>
      <c r="D637" t="inlineStr">
        <is>
          <t>VÄSTERBOTTENS LÄN</t>
        </is>
      </c>
      <c r="E637" t="inlineStr">
        <is>
          <t>VINDELN</t>
        </is>
      </c>
      <c r="F637" t="inlineStr">
        <is>
          <t>Sveaskog</t>
        </is>
      </c>
      <c r="G637" t="n">
        <v>6.2</v>
      </c>
      <c r="H637" t="n">
        <v>0</v>
      </c>
      <c r="I637" t="n">
        <v>1</v>
      </c>
      <c r="J637" t="n">
        <v>1</v>
      </c>
      <c r="K637" t="n">
        <v>0</v>
      </c>
      <c r="L637" t="n">
        <v>0</v>
      </c>
      <c r="M637" t="n">
        <v>0</v>
      </c>
      <c r="N637" t="n">
        <v>0</v>
      </c>
      <c r="O637" t="n">
        <v>1</v>
      </c>
      <c r="P637" t="n">
        <v>0</v>
      </c>
      <c r="Q637" t="n">
        <v>2</v>
      </c>
      <c r="R637" s="2" t="inlineStr">
        <is>
          <t>Garnlav
Vedticka</t>
        </is>
      </c>
      <c r="S637">
        <f>HYPERLINK("https://klasma.github.io/Logging_2404/artfynd/A 52328-2023 artfynd.xlsx", "A 52328-2023")</f>
        <v/>
      </c>
      <c r="T637">
        <f>HYPERLINK("https://klasma.github.io/Logging_2404/kartor/A 52328-2023 karta.png", "A 52328-2023")</f>
        <v/>
      </c>
      <c r="V637">
        <f>HYPERLINK("https://klasma.github.io/Logging_2404/klagomål/A 52328-2023 FSC-klagomål.docx", "A 52328-2023")</f>
        <v/>
      </c>
      <c r="W637">
        <f>HYPERLINK("https://klasma.github.io/Logging_2404/klagomålsmail/A 52328-2023 FSC-klagomål mail.docx", "A 52328-2023")</f>
        <v/>
      </c>
      <c r="X637">
        <f>HYPERLINK("https://klasma.github.io/Logging_2404/tillsyn/A 52328-2023 tillsynsbegäran.docx", "A 52328-2023")</f>
        <v/>
      </c>
      <c r="Y637">
        <f>HYPERLINK("https://klasma.github.io/Logging_2404/tillsynsmail/A 52328-2023 tillsynsbegäran mail.docx", "A 52328-2023")</f>
        <v/>
      </c>
    </row>
    <row r="638" ht="15" customHeight="1">
      <c r="A638" t="inlineStr">
        <is>
          <t>A 52738-2023</t>
        </is>
      </c>
      <c r="B638" s="1" t="n">
        <v>45225</v>
      </c>
      <c r="C638" s="1" t="n">
        <v>45357</v>
      </c>
      <c r="D638" t="inlineStr">
        <is>
          <t>VÄSTERBOTTENS LÄN</t>
        </is>
      </c>
      <c r="E638" t="inlineStr">
        <is>
          <t>DOROTEA</t>
        </is>
      </c>
      <c r="F638" t="inlineStr">
        <is>
          <t>SCA</t>
        </is>
      </c>
      <c r="G638" t="n">
        <v>8.800000000000001</v>
      </c>
      <c r="H638" t="n">
        <v>1</v>
      </c>
      <c r="I638" t="n">
        <v>1</v>
      </c>
      <c r="J638" t="n">
        <v>0</v>
      </c>
      <c r="K638" t="n">
        <v>1</v>
      </c>
      <c r="L638" t="n">
        <v>0</v>
      </c>
      <c r="M638" t="n">
        <v>0</v>
      </c>
      <c r="N638" t="n">
        <v>0</v>
      </c>
      <c r="O638" t="n">
        <v>1</v>
      </c>
      <c r="P638" t="n">
        <v>1</v>
      </c>
      <c r="Q638" t="n">
        <v>2</v>
      </c>
      <c r="R638" s="2" t="inlineStr">
        <is>
          <t>Doftticka
Trådticka</t>
        </is>
      </c>
      <c r="S638">
        <f>HYPERLINK("https://klasma.github.io/Logging_2425/artfynd/A 52738-2023 artfynd.xlsx", "A 52738-2023")</f>
        <v/>
      </c>
      <c r="T638">
        <f>HYPERLINK("https://klasma.github.io/Logging_2425/kartor/A 52738-2023 karta.png", "A 52738-2023")</f>
        <v/>
      </c>
      <c r="V638">
        <f>HYPERLINK("https://klasma.github.io/Logging_2425/klagomål/A 52738-2023 FSC-klagomål.docx", "A 52738-2023")</f>
        <v/>
      </c>
      <c r="W638">
        <f>HYPERLINK("https://klasma.github.io/Logging_2425/klagomålsmail/A 52738-2023 FSC-klagomål mail.docx", "A 52738-2023")</f>
        <v/>
      </c>
      <c r="X638">
        <f>HYPERLINK("https://klasma.github.io/Logging_2425/tillsyn/A 52738-2023 tillsynsbegäran.docx", "A 52738-2023")</f>
        <v/>
      </c>
      <c r="Y638">
        <f>HYPERLINK("https://klasma.github.io/Logging_2425/tillsynsmail/A 52738-2023 tillsynsbegäran mail.docx", "A 52738-2023")</f>
        <v/>
      </c>
    </row>
    <row r="639" ht="15" customHeight="1">
      <c r="A639" t="inlineStr">
        <is>
          <t>A 53753-2023</t>
        </is>
      </c>
      <c r="B639" s="1" t="n">
        <v>45230</v>
      </c>
      <c r="C639" s="1" t="n">
        <v>45357</v>
      </c>
      <c r="D639" t="inlineStr">
        <is>
          <t>VÄSTERBOTTENS LÄN</t>
        </is>
      </c>
      <c r="E639" t="inlineStr">
        <is>
          <t>DOROTEA</t>
        </is>
      </c>
      <c r="G639" t="n">
        <v>19.6</v>
      </c>
      <c r="H639" t="n">
        <v>1</v>
      </c>
      <c r="I639" t="n">
        <v>1</v>
      </c>
      <c r="J639" t="n">
        <v>0</v>
      </c>
      <c r="K639" t="n">
        <v>0</v>
      </c>
      <c r="L639" t="n">
        <v>0</v>
      </c>
      <c r="M639" t="n">
        <v>0</v>
      </c>
      <c r="N639" t="n">
        <v>0</v>
      </c>
      <c r="O639" t="n">
        <v>0</v>
      </c>
      <c r="P639" t="n">
        <v>0</v>
      </c>
      <c r="Q639" t="n">
        <v>2</v>
      </c>
      <c r="R639" s="2" t="inlineStr">
        <is>
          <t>Tibast
Skogsrör</t>
        </is>
      </c>
      <c r="S639">
        <f>HYPERLINK("https://klasma.github.io/Logging_2425/artfynd/A 53753-2023 artfynd.xlsx", "A 53753-2023")</f>
        <v/>
      </c>
      <c r="T639">
        <f>HYPERLINK("https://klasma.github.io/Logging_2425/kartor/A 53753-2023 karta.png", "A 53753-2023")</f>
        <v/>
      </c>
      <c r="V639">
        <f>HYPERLINK("https://klasma.github.io/Logging_2425/klagomål/A 53753-2023 FSC-klagomål.docx", "A 53753-2023")</f>
        <v/>
      </c>
      <c r="W639">
        <f>HYPERLINK("https://klasma.github.io/Logging_2425/klagomålsmail/A 53753-2023 FSC-klagomål mail.docx", "A 53753-2023")</f>
        <v/>
      </c>
      <c r="X639">
        <f>HYPERLINK("https://klasma.github.io/Logging_2425/tillsyn/A 53753-2023 tillsynsbegäran.docx", "A 53753-2023")</f>
        <v/>
      </c>
      <c r="Y639">
        <f>HYPERLINK("https://klasma.github.io/Logging_2425/tillsynsmail/A 53753-2023 tillsynsbegäran mail.docx", "A 53753-2023")</f>
        <v/>
      </c>
    </row>
    <row r="640" ht="15" customHeight="1">
      <c r="A640" t="inlineStr">
        <is>
          <t>A 53809-2023</t>
        </is>
      </c>
      <c r="B640" s="1" t="n">
        <v>45231</v>
      </c>
      <c r="C640" s="1" t="n">
        <v>45357</v>
      </c>
      <c r="D640" t="inlineStr">
        <is>
          <t>VÄSTERBOTTENS LÄN</t>
        </is>
      </c>
      <c r="E640" t="inlineStr">
        <is>
          <t>LYCKSELE</t>
        </is>
      </c>
      <c r="F640" t="inlineStr">
        <is>
          <t>Sveaskog</t>
        </is>
      </c>
      <c r="G640" t="n">
        <v>25.1</v>
      </c>
      <c r="H640" t="n">
        <v>0</v>
      </c>
      <c r="I640" t="n">
        <v>1</v>
      </c>
      <c r="J640" t="n">
        <v>1</v>
      </c>
      <c r="K640" t="n">
        <v>0</v>
      </c>
      <c r="L640" t="n">
        <v>0</v>
      </c>
      <c r="M640" t="n">
        <v>0</v>
      </c>
      <c r="N640" t="n">
        <v>0</v>
      </c>
      <c r="O640" t="n">
        <v>1</v>
      </c>
      <c r="P640" t="n">
        <v>0</v>
      </c>
      <c r="Q640" t="n">
        <v>2</v>
      </c>
      <c r="R640" s="2" t="inlineStr">
        <is>
          <t>Skrovlig taggsvamp
Stuplav</t>
        </is>
      </c>
      <c r="S640">
        <f>HYPERLINK("https://klasma.github.io/Logging_2481/artfynd/A 53809-2023 artfynd.xlsx", "A 53809-2023")</f>
        <v/>
      </c>
      <c r="T640">
        <f>HYPERLINK("https://klasma.github.io/Logging_2481/kartor/A 53809-2023 karta.png", "A 53809-2023")</f>
        <v/>
      </c>
      <c r="V640">
        <f>HYPERLINK("https://klasma.github.io/Logging_2481/klagomål/A 53809-2023 FSC-klagomål.docx", "A 53809-2023")</f>
        <v/>
      </c>
      <c r="W640">
        <f>HYPERLINK("https://klasma.github.io/Logging_2481/klagomålsmail/A 53809-2023 FSC-klagomål mail.docx", "A 53809-2023")</f>
        <v/>
      </c>
      <c r="X640">
        <f>HYPERLINK("https://klasma.github.io/Logging_2481/tillsyn/A 53809-2023 tillsynsbegäran.docx", "A 53809-2023")</f>
        <v/>
      </c>
      <c r="Y640">
        <f>HYPERLINK("https://klasma.github.io/Logging_2481/tillsynsmail/A 53809-2023 tillsynsbegäran mail.docx", "A 53809-2023")</f>
        <v/>
      </c>
    </row>
    <row r="641" ht="15" customHeight="1">
      <c r="A641" t="inlineStr">
        <is>
          <t>A 54046-2023</t>
        </is>
      </c>
      <c r="B641" s="1" t="n">
        <v>45231</v>
      </c>
      <c r="C641" s="1" t="n">
        <v>45357</v>
      </c>
      <c r="D641" t="inlineStr">
        <is>
          <t>VÄSTERBOTTENS LÄN</t>
        </is>
      </c>
      <c r="E641" t="inlineStr">
        <is>
          <t>DOROTEA</t>
        </is>
      </c>
      <c r="F641" t="inlineStr">
        <is>
          <t>SCA</t>
        </is>
      </c>
      <c r="G641" t="n">
        <v>3.8</v>
      </c>
      <c r="H641" t="n">
        <v>0</v>
      </c>
      <c r="I641" t="n">
        <v>0</v>
      </c>
      <c r="J641" t="n">
        <v>2</v>
      </c>
      <c r="K641" t="n">
        <v>0</v>
      </c>
      <c r="L641" t="n">
        <v>0</v>
      </c>
      <c r="M641" t="n">
        <v>0</v>
      </c>
      <c r="N641" t="n">
        <v>0</v>
      </c>
      <c r="O641" t="n">
        <v>2</v>
      </c>
      <c r="P641" t="n">
        <v>0</v>
      </c>
      <c r="Q641" t="n">
        <v>2</v>
      </c>
      <c r="R641" s="2" t="inlineStr">
        <is>
          <t>Garnlav
Lunglav</t>
        </is>
      </c>
      <c r="S641">
        <f>HYPERLINK("https://klasma.github.io/Logging_2425/artfynd/A 54046-2023 artfynd.xlsx", "A 54046-2023")</f>
        <v/>
      </c>
      <c r="T641">
        <f>HYPERLINK("https://klasma.github.io/Logging_2425/kartor/A 54046-2023 karta.png", "A 54046-2023")</f>
        <v/>
      </c>
      <c r="V641">
        <f>HYPERLINK("https://klasma.github.io/Logging_2425/klagomål/A 54046-2023 FSC-klagomål.docx", "A 54046-2023")</f>
        <v/>
      </c>
      <c r="W641">
        <f>HYPERLINK("https://klasma.github.io/Logging_2425/klagomålsmail/A 54046-2023 FSC-klagomål mail.docx", "A 54046-2023")</f>
        <v/>
      </c>
      <c r="X641">
        <f>HYPERLINK("https://klasma.github.io/Logging_2425/tillsyn/A 54046-2023 tillsynsbegäran.docx", "A 54046-2023")</f>
        <v/>
      </c>
      <c r="Y641">
        <f>HYPERLINK("https://klasma.github.io/Logging_2425/tillsynsmail/A 54046-2023 tillsynsbegäran mail.docx", "A 54046-2023")</f>
        <v/>
      </c>
    </row>
    <row r="642" ht="15" customHeight="1">
      <c r="A642" t="inlineStr">
        <is>
          <t>A 55632-2023</t>
        </is>
      </c>
      <c r="B642" s="1" t="n">
        <v>45238</v>
      </c>
      <c r="C642" s="1" t="n">
        <v>45357</v>
      </c>
      <c r="D642" t="inlineStr">
        <is>
          <t>VÄSTERBOTTENS LÄN</t>
        </is>
      </c>
      <c r="E642" t="inlineStr">
        <is>
          <t>NORDMALING</t>
        </is>
      </c>
      <c r="G642" t="n">
        <v>1</v>
      </c>
      <c r="H642" t="n">
        <v>0</v>
      </c>
      <c r="I642" t="n">
        <v>1</v>
      </c>
      <c r="J642" t="n">
        <v>1</v>
      </c>
      <c r="K642" t="n">
        <v>0</v>
      </c>
      <c r="L642" t="n">
        <v>0</v>
      </c>
      <c r="M642" t="n">
        <v>0</v>
      </c>
      <c r="N642" t="n">
        <v>0</v>
      </c>
      <c r="O642" t="n">
        <v>1</v>
      </c>
      <c r="P642" t="n">
        <v>0</v>
      </c>
      <c r="Q642" t="n">
        <v>2</v>
      </c>
      <c r="R642" s="2" t="inlineStr">
        <is>
          <t>Garnlav
Skinnlav</t>
        </is>
      </c>
      <c r="S642">
        <f>HYPERLINK("https://klasma.github.io/Logging_2401/artfynd/A 55632-2023 artfynd.xlsx", "A 55632-2023")</f>
        <v/>
      </c>
      <c r="T642">
        <f>HYPERLINK("https://klasma.github.io/Logging_2401/kartor/A 55632-2023 karta.png", "A 55632-2023")</f>
        <v/>
      </c>
      <c r="V642">
        <f>HYPERLINK("https://klasma.github.io/Logging_2401/klagomål/A 55632-2023 FSC-klagomål.docx", "A 55632-2023")</f>
        <v/>
      </c>
      <c r="W642">
        <f>HYPERLINK("https://klasma.github.io/Logging_2401/klagomålsmail/A 55632-2023 FSC-klagomål mail.docx", "A 55632-2023")</f>
        <v/>
      </c>
      <c r="X642">
        <f>HYPERLINK("https://klasma.github.io/Logging_2401/tillsyn/A 55632-2023 tillsynsbegäran.docx", "A 55632-2023")</f>
        <v/>
      </c>
      <c r="Y642">
        <f>HYPERLINK("https://klasma.github.io/Logging_2401/tillsynsmail/A 55632-2023 tillsynsbegäran mail.docx", "A 55632-2023")</f>
        <v/>
      </c>
    </row>
    <row r="643" ht="15" customHeight="1">
      <c r="A643" t="inlineStr">
        <is>
          <t>A 58157-2023</t>
        </is>
      </c>
      <c r="B643" s="1" t="n">
        <v>45250</v>
      </c>
      <c r="C643" s="1" t="n">
        <v>45357</v>
      </c>
      <c r="D643" t="inlineStr">
        <is>
          <t>VÄSTERBOTTENS LÄN</t>
        </is>
      </c>
      <c r="E643" t="inlineStr">
        <is>
          <t>SKELLEFTEÅ</t>
        </is>
      </c>
      <c r="F643" t="inlineStr">
        <is>
          <t>Holmen skog AB</t>
        </is>
      </c>
      <c r="G643" t="n">
        <v>14.4</v>
      </c>
      <c r="H643" t="n">
        <v>0</v>
      </c>
      <c r="I643" t="n">
        <v>0</v>
      </c>
      <c r="J643" t="n">
        <v>2</v>
      </c>
      <c r="K643" t="n">
        <v>0</v>
      </c>
      <c r="L643" t="n">
        <v>0</v>
      </c>
      <c r="M643" t="n">
        <v>0</v>
      </c>
      <c r="N643" t="n">
        <v>0</v>
      </c>
      <c r="O643" t="n">
        <v>2</v>
      </c>
      <c r="P643" t="n">
        <v>0</v>
      </c>
      <c r="Q643" t="n">
        <v>2</v>
      </c>
      <c r="R643" s="2" t="inlineStr">
        <is>
          <t>Motaggsvamp
Orange taggsvamp</t>
        </is>
      </c>
      <c r="S643">
        <f>HYPERLINK("https://klasma.github.io/Logging_2482/artfynd/A 58157-2023 artfynd.xlsx", "A 58157-2023")</f>
        <v/>
      </c>
      <c r="T643">
        <f>HYPERLINK("https://klasma.github.io/Logging_2482/kartor/A 58157-2023 karta.png", "A 58157-2023")</f>
        <v/>
      </c>
      <c r="V643">
        <f>HYPERLINK("https://klasma.github.io/Logging_2482/klagomål/A 58157-2023 FSC-klagomål.docx", "A 58157-2023")</f>
        <v/>
      </c>
      <c r="W643">
        <f>HYPERLINK("https://klasma.github.io/Logging_2482/klagomålsmail/A 58157-2023 FSC-klagomål mail.docx", "A 58157-2023")</f>
        <v/>
      </c>
      <c r="X643">
        <f>HYPERLINK("https://klasma.github.io/Logging_2482/tillsyn/A 58157-2023 tillsynsbegäran.docx", "A 58157-2023")</f>
        <v/>
      </c>
      <c r="Y643">
        <f>HYPERLINK("https://klasma.github.io/Logging_2482/tillsynsmail/A 58157-2023 tillsynsbegäran mail.docx", "A 58157-2023")</f>
        <v/>
      </c>
    </row>
    <row r="644" ht="15" customHeight="1">
      <c r="A644" t="inlineStr">
        <is>
          <t>A 65013-2023</t>
        </is>
      </c>
      <c r="B644" s="1" t="n">
        <v>45287</v>
      </c>
      <c r="C644" s="1" t="n">
        <v>45357</v>
      </c>
      <c r="D644" t="inlineStr">
        <is>
          <t>VÄSTERBOTTENS LÄN</t>
        </is>
      </c>
      <c r="E644" t="inlineStr">
        <is>
          <t>SKELLEFTEÅ</t>
        </is>
      </c>
      <c r="G644" t="n">
        <v>7.7</v>
      </c>
      <c r="H644" t="n">
        <v>0</v>
      </c>
      <c r="I644" t="n">
        <v>0</v>
      </c>
      <c r="J644" t="n">
        <v>1</v>
      </c>
      <c r="K644" t="n">
        <v>1</v>
      </c>
      <c r="L644" t="n">
        <v>0</v>
      </c>
      <c r="M644" t="n">
        <v>0</v>
      </c>
      <c r="N644" t="n">
        <v>0</v>
      </c>
      <c r="O644" t="n">
        <v>2</v>
      </c>
      <c r="P644" t="n">
        <v>1</v>
      </c>
      <c r="Q644" t="n">
        <v>2</v>
      </c>
      <c r="R644" s="2" t="inlineStr">
        <is>
          <t>Smalfotad taggsvamp
Svartvit taggsvamp</t>
        </is>
      </c>
      <c r="S644">
        <f>HYPERLINK("https://klasma.github.io/Logging_2482/artfynd/A 65013-2023 artfynd.xlsx", "A 65013-2023")</f>
        <v/>
      </c>
      <c r="T644">
        <f>HYPERLINK("https://klasma.github.io/Logging_2482/kartor/A 65013-2023 karta.png", "A 65013-2023")</f>
        <v/>
      </c>
      <c r="V644">
        <f>HYPERLINK("https://klasma.github.io/Logging_2482/klagomål/A 65013-2023 FSC-klagomål.docx", "A 65013-2023")</f>
        <v/>
      </c>
      <c r="W644">
        <f>HYPERLINK("https://klasma.github.io/Logging_2482/klagomålsmail/A 65013-2023 FSC-klagomål mail.docx", "A 65013-2023")</f>
        <v/>
      </c>
      <c r="X644">
        <f>HYPERLINK("https://klasma.github.io/Logging_2482/tillsyn/A 65013-2023 tillsynsbegäran.docx", "A 65013-2023")</f>
        <v/>
      </c>
      <c r="Y644">
        <f>HYPERLINK("https://klasma.github.io/Logging_2482/tillsynsmail/A 65013-2023 tillsynsbegäran mail.docx", "A 65013-2023")</f>
        <v/>
      </c>
    </row>
    <row r="645" ht="15" customHeight="1">
      <c r="A645" t="inlineStr">
        <is>
          <t>A 65100-2023</t>
        </is>
      </c>
      <c r="B645" s="1" t="n">
        <v>45287</v>
      </c>
      <c r="C645" s="1" t="n">
        <v>45357</v>
      </c>
      <c r="D645" t="inlineStr">
        <is>
          <t>VÄSTERBOTTENS LÄN</t>
        </is>
      </c>
      <c r="E645" t="inlineStr">
        <is>
          <t>NORDMALING</t>
        </is>
      </c>
      <c r="G645" t="n">
        <v>16.5</v>
      </c>
      <c r="H645" t="n">
        <v>0</v>
      </c>
      <c r="I645" t="n">
        <v>1</v>
      </c>
      <c r="J645" t="n">
        <v>1</v>
      </c>
      <c r="K645" t="n">
        <v>0</v>
      </c>
      <c r="L645" t="n">
        <v>0</v>
      </c>
      <c r="M645" t="n">
        <v>0</v>
      </c>
      <c r="N645" t="n">
        <v>0</v>
      </c>
      <c r="O645" t="n">
        <v>1</v>
      </c>
      <c r="P645" t="n">
        <v>0</v>
      </c>
      <c r="Q645" t="n">
        <v>2</v>
      </c>
      <c r="R645" s="2" t="inlineStr">
        <is>
          <t>Garnlav
Stuplav</t>
        </is>
      </c>
      <c r="S645">
        <f>HYPERLINK("https://klasma.github.io/Logging_2401/artfynd/A 65100-2023 artfynd.xlsx", "A 65100-2023")</f>
        <v/>
      </c>
      <c r="T645">
        <f>HYPERLINK("https://klasma.github.io/Logging_2401/kartor/A 65100-2023 karta.png", "A 65100-2023")</f>
        <v/>
      </c>
      <c r="V645">
        <f>HYPERLINK("https://klasma.github.io/Logging_2401/klagomål/A 65100-2023 FSC-klagomål.docx", "A 65100-2023")</f>
        <v/>
      </c>
      <c r="W645">
        <f>HYPERLINK("https://klasma.github.io/Logging_2401/klagomålsmail/A 65100-2023 FSC-klagomål mail.docx", "A 65100-2023")</f>
        <v/>
      </c>
      <c r="X645">
        <f>HYPERLINK("https://klasma.github.io/Logging_2401/tillsyn/A 65100-2023 tillsynsbegäran.docx", "A 65100-2023")</f>
        <v/>
      </c>
      <c r="Y645">
        <f>HYPERLINK("https://klasma.github.io/Logging_2401/tillsynsmail/A 65100-2023 tillsynsbegäran mail.docx", "A 65100-2023")</f>
        <v/>
      </c>
    </row>
    <row r="646" ht="15" customHeight="1">
      <c r="A646" t="inlineStr">
        <is>
          <t>A 1259-2024</t>
        </is>
      </c>
      <c r="B646" s="1" t="n">
        <v>45302</v>
      </c>
      <c r="C646" s="1" t="n">
        <v>45357</v>
      </c>
      <c r="D646" t="inlineStr">
        <is>
          <t>VÄSTERBOTTENS LÄN</t>
        </is>
      </c>
      <c r="E646" t="inlineStr">
        <is>
          <t>SKELLEFTEÅ</t>
        </is>
      </c>
      <c r="G646" t="n">
        <v>1.6</v>
      </c>
      <c r="H646" t="n">
        <v>0</v>
      </c>
      <c r="I646" t="n">
        <v>0</v>
      </c>
      <c r="J646" t="n">
        <v>2</v>
      </c>
      <c r="K646" t="n">
        <v>0</v>
      </c>
      <c r="L646" t="n">
        <v>0</v>
      </c>
      <c r="M646" t="n">
        <v>0</v>
      </c>
      <c r="N646" t="n">
        <v>0</v>
      </c>
      <c r="O646" t="n">
        <v>2</v>
      </c>
      <c r="P646" t="n">
        <v>0</v>
      </c>
      <c r="Q646" t="n">
        <v>2</v>
      </c>
      <c r="R646" s="2" t="inlineStr">
        <is>
          <t>Månlåsbräken
Nordlåsbräken</t>
        </is>
      </c>
      <c r="S646">
        <f>HYPERLINK("https://klasma.github.io/Logging_2482/artfynd/A 1259-2024 artfynd.xlsx", "A 1259-2024")</f>
        <v/>
      </c>
      <c r="T646">
        <f>HYPERLINK("https://klasma.github.io/Logging_2482/kartor/A 1259-2024 karta.png", "A 1259-2024")</f>
        <v/>
      </c>
      <c r="V646">
        <f>HYPERLINK("https://klasma.github.io/Logging_2482/klagomål/A 1259-2024 FSC-klagomål.docx", "A 1259-2024")</f>
        <v/>
      </c>
      <c r="W646">
        <f>HYPERLINK("https://klasma.github.io/Logging_2482/klagomålsmail/A 1259-2024 FSC-klagomål mail.docx", "A 1259-2024")</f>
        <v/>
      </c>
      <c r="X646">
        <f>HYPERLINK("https://klasma.github.io/Logging_2482/tillsyn/A 1259-2024 tillsynsbegäran.docx", "A 1259-2024")</f>
        <v/>
      </c>
      <c r="Y646">
        <f>HYPERLINK("https://klasma.github.io/Logging_2482/tillsynsmail/A 1259-2024 tillsynsbegäran mail.docx", "A 1259-2024")</f>
        <v/>
      </c>
    </row>
    <row r="647" ht="15" customHeight="1">
      <c r="A647" t="inlineStr">
        <is>
          <t>A 1278-2024</t>
        </is>
      </c>
      <c r="B647" s="1" t="n">
        <v>45302</v>
      </c>
      <c r="C647" s="1" t="n">
        <v>45357</v>
      </c>
      <c r="D647" t="inlineStr">
        <is>
          <t>VÄSTERBOTTENS LÄN</t>
        </is>
      </c>
      <c r="E647" t="inlineStr">
        <is>
          <t>DOROTEA</t>
        </is>
      </c>
      <c r="F647" t="inlineStr">
        <is>
          <t>SCA</t>
        </is>
      </c>
      <c r="G647" t="n">
        <v>1.3</v>
      </c>
      <c r="H647" t="n">
        <v>0</v>
      </c>
      <c r="I647" t="n">
        <v>0</v>
      </c>
      <c r="J647" t="n">
        <v>1</v>
      </c>
      <c r="K647" t="n">
        <v>1</v>
      </c>
      <c r="L647" t="n">
        <v>0</v>
      </c>
      <c r="M647" t="n">
        <v>0</v>
      </c>
      <c r="N647" t="n">
        <v>0</v>
      </c>
      <c r="O647" t="n">
        <v>2</v>
      </c>
      <c r="P647" t="n">
        <v>1</v>
      </c>
      <c r="Q647" t="n">
        <v>2</v>
      </c>
      <c r="R647" s="2" t="inlineStr">
        <is>
          <t>Gräddticka
Granticka</t>
        </is>
      </c>
      <c r="S647">
        <f>HYPERLINK("https://klasma.github.io/Logging_2425/artfynd/A 1278-2024 artfynd.xlsx", "A 1278-2024")</f>
        <v/>
      </c>
      <c r="T647">
        <f>HYPERLINK("https://klasma.github.io/Logging_2425/kartor/A 1278-2024 karta.png", "A 1278-2024")</f>
        <v/>
      </c>
      <c r="V647">
        <f>HYPERLINK("https://klasma.github.io/Logging_2425/klagomål/A 1278-2024 FSC-klagomål.docx", "A 1278-2024")</f>
        <v/>
      </c>
      <c r="W647">
        <f>HYPERLINK("https://klasma.github.io/Logging_2425/klagomålsmail/A 1278-2024 FSC-klagomål mail.docx", "A 1278-2024")</f>
        <v/>
      </c>
      <c r="X647">
        <f>HYPERLINK("https://klasma.github.io/Logging_2425/tillsyn/A 1278-2024 tillsynsbegäran.docx", "A 1278-2024")</f>
        <v/>
      </c>
      <c r="Y647">
        <f>HYPERLINK("https://klasma.github.io/Logging_2425/tillsynsmail/A 1278-2024 tillsynsbegäran mail.docx", "A 1278-2024")</f>
        <v/>
      </c>
    </row>
    <row r="648" ht="15" customHeight="1">
      <c r="A648" t="inlineStr">
        <is>
          <t>A 2606-2024</t>
        </is>
      </c>
      <c r="B648" s="1" t="n">
        <v>45313</v>
      </c>
      <c r="C648" s="1" t="n">
        <v>45357</v>
      </c>
      <c r="D648" t="inlineStr">
        <is>
          <t>VÄSTERBOTTENS LÄN</t>
        </is>
      </c>
      <c r="E648" t="inlineStr">
        <is>
          <t>ÅSELE</t>
        </is>
      </c>
      <c r="F648" t="inlineStr">
        <is>
          <t>Övriga Aktiebolag</t>
        </is>
      </c>
      <c r="G648" t="n">
        <v>8.6</v>
      </c>
      <c r="H648" t="n">
        <v>0</v>
      </c>
      <c r="I648" t="n">
        <v>1</v>
      </c>
      <c r="J648" t="n">
        <v>1</v>
      </c>
      <c r="K648" t="n">
        <v>0</v>
      </c>
      <c r="L648" t="n">
        <v>0</v>
      </c>
      <c r="M648" t="n">
        <v>0</v>
      </c>
      <c r="N648" t="n">
        <v>0</v>
      </c>
      <c r="O648" t="n">
        <v>1</v>
      </c>
      <c r="P648" t="n">
        <v>0</v>
      </c>
      <c r="Q648" t="n">
        <v>2</v>
      </c>
      <c r="R648" s="2" t="inlineStr">
        <is>
          <t>Ullticka
Dropptaggsvamp</t>
        </is>
      </c>
      <c r="S648">
        <f>HYPERLINK("https://klasma.github.io/Logging_2463/artfynd/A 2606-2024 artfynd.xlsx", "A 2606-2024")</f>
        <v/>
      </c>
      <c r="T648">
        <f>HYPERLINK("https://klasma.github.io/Logging_2463/kartor/A 2606-2024 karta.png", "A 2606-2024")</f>
        <v/>
      </c>
      <c r="V648">
        <f>HYPERLINK("https://klasma.github.io/Logging_2463/klagomål/A 2606-2024 FSC-klagomål.docx", "A 2606-2024")</f>
        <v/>
      </c>
      <c r="W648">
        <f>HYPERLINK("https://klasma.github.io/Logging_2463/klagomålsmail/A 2606-2024 FSC-klagomål mail.docx", "A 2606-2024")</f>
        <v/>
      </c>
      <c r="X648">
        <f>HYPERLINK("https://klasma.github.io/Logging_2463/tillsyn/A 2606-2024 tillsynsbegäran.docx", "A 2606-2024")</f>
        <v/>
      </c>
      <c r="Y648">
        <f>HYPERLINK("https://klasma.github.io/Logging_2463/tillsynsmail/A 2606-2024 tillsynsbegäran mail.docx", "A 2606-2024")</f>
        <v/>
      </c>
    </row>
    <row r="649" ht="15" customHeight="1">
      <c r="A649" t="inlineStr">
        <is>
          <t>A 3717-2024</t>
        </is>
      </c>
      <c r="B649" s="1" t="n">
        <v>45321</v>
      </c>
      <c r="C649" s="1" t="n">
        <v>45357</v>
      </c>
      <c r="D649" t="inlineStr">
        <is>
          <t>VÄSTERBOTTENS LÄN</t>
        </is>
      </c>
      <c r="E649" t="inlineStr">
        <is>
          <t>NORDMALING</t>
        </is>
      </c>
      <c r="G649" t="n">
        <v>12.4</v>
      </c>
      <c r="H649" t="n">
        <v>0</v>
      </c>
      <c r="I649" t="n">
        <v>1</v>
      </c>
      <c r="J649" t="n">
        <v>1</v>
      </c>
      <c r="K649" t="n">
        <v>0</v>
      </c>
      <c r="L649" t="n">
        <v>0</v>
      </c>
      <c r="M649" t="n">
        <v>0</v>
      </c>
      <c r="N649" t="n">
        <v>0</v>
      </c>
      <c r="O649" t="n">
        <v>1</v>
      </c>
      <c r="P649" t="n">
        <v>0</v>
      </c>
      <c r="Q649" t="n">
        <v>2</v>
      </c>
      <c r="R649" s="2" t="inlineStr">
        <is>
          <t>Småflikig brosklav
Stor aspticka</t>
        </is>
      </c>
      <c r="S649">
        <f>HYPERLINK("https://klasma.github.io/Logging_2401/artfynd/A 3717-2024 artfynd.xlsx", "A 3717-2024")</f>
        <v/>
      </c>
      <c r="T649">
        <f>HYPERLINK("https://klasma.github.io/Logging_2401/kartor/A 3717-2024 karta.png", "A 3717-2024")</f>
        <v/>
      </c>
      <c r="V649">
        <f>HYPERLINK("https://klasma.github.io/Logging_2401/klagomål/A 3717-2024 FSC-klagomål.docx", "A 3717-2024")</f>
        <v/>
      </c>
      <c r="W649">
        <f>HYPERLINK("https://klasma.github.io/Logging_2401/klagomålsmail/A 3717-2024 FSC-klagomål mail.docx", "A 3717-2024")</f>
        <v/>
      </c>
      <c r="X649">
        <f>HYPERLINK("https://klasma.github.io/Logging_2401/tillsyn/A 3717-2024 tillsynsbegäran.docx", "A 3717-2024")</f>
        <v/>
      </c>
      <c r="Y649">
        <f>HYPERLINK("https://klasma.github.io/Logging_2401/tillsynsmail/A 3717-2024 tillsynsbegäran mail.docx", "A 3717-2024")</f>
        <v/>
      </c>
    </row>
    <row r="650" ht="15" customHeight="1">
      <c r="A650" t="inlineStr">
        <is>
          <t>A 4723-2024</t>
        </is>
      </c>
      <c r="B650" s="1" t="n">
        <v>45328</v>
      </c>
      <c r="C650" s="1" t="n">
        <v>45357</v>
      </c>
      <c r="D650" t="inlineStr">
        <is>
          <t>VÄSTERBOTTENS LÄN</t>
        </is>
      </c>
      <c r="E650" t="inlineStr">
        <is>
          <t>SORSELE</t>
        </is>
      </c>
      <c r="G650" t="n">
        <v>28.1</v>
      </c>
      <c r="H650" t="n">
        <v>0</v>
      </c>
      <c r="I650" t="n">
        <v>0</v>
      </c>
      <c r="J650" t="n">
        <v>2</v>
      </c>
      <c r="K650" t="n">
        <v>0</v>
      </c>
      <c r="L650" t="n">
        <v>0</v>
      </c>
      <c r="M650" t="n">
        <v>0</v>
      </c>
      <c r="N650" t="n">
        <v>0</v>
      </c>
      <c r="O650" t="n">
        <v>2</v>
      </c>
      <c r="P650" t="n">
        <v>0</v>
      </c>
      <c r="Q650" t="n">
        <v>2</v>
      </c>
      <c r="R650" s="2" t="inlineStr">
        <is>
          <t>Granticka
Harticka</t>
        </is>
      </c>
      <c r="S650">
        <f>HYPERLINK("https://klasma.github.io/Logging_2422/artfynd/A 4723-2024 artfynd.xlsx", "A 4723-2024")</f>
        <v/>
      </c>
      <c r="T650">
        <f>HYPERLINK("https://klasma.github.io/Logging_2422/kartor/A 4723-2024 karta.png", "A 4723-2024")</f>
        <v/>
      </c>
      <c r="V650">
        <f>HYPERLINK("https://klasma.github.io/Logging_2422/klagomål/A 4723-2024 FSC-klagomål.docx", "A 4723-2024")</f>
        <v/>
      </c>
      <c r="W650">
        <f>HYPERLINK("https://klasma.github.io/Logging_2422/klagomålsmail/A 4723-2024 FSC-klagomål mail.docx", "A 4723-2024")</f>
        <v/>
      </c>
      <c r="X650">
        <f>HYPERLINK("https://klasma.github.io/Logging_2422/tillsyn/A 4723-2024 tillsynsbegäran.docx", "A 4723-2024")</f>
        <v/>
      </c>
      <c r="Y650">
        <f>HYPERLINK("https://klasma.github.io/Logging_2422/tillsynsmail/A 4723-2024 tillsynsbegäran mail.docx", "A 4723-2024")</f>
        <v/>
      </c>
    </row>
    <row r="651" ht="15" customHeight="1">
      <c r="A651" t="inlineStr">
        <is>
          <t>A 6839-2024</t>
        </is>
      </c>
      <c r="B651" s="1" t="n">
        <v>45342</v>
      </c>
      <c r="C651" s="1" t="n">
        <v>45357</v>
      </c>
      <c r="D651" t="inlineStr">
        <is>
          <t>VÄSTERBOTTENS LÄN</t>
        </is>
      </c>
      <c r="E651" t="inlineStr">
        <is>
          <t>ROBERTSFORS</t>
        </is>
      </c>
      <c r="F651" t="inlineStr">
        <is>
          <t>Sveaskog</t>
        </is>
      </c>
      <c r="G651" t="n">
        <v>6.6</v>
      </c>
      <c r="H651" t="n">
        <v>0</v>
      </c>
      <c r="I651" t="n">
        <v>1</v>
      </c>
      <c r="J651" t="n">
        <v>1</v>
      </c>
      <c r="K651" t="n">
        <v>0</v>
      </c>
      <c r="L651" t="n">
        <v>0</v>
      </c>
      <c r="M651" t="n">
        <v>0</v>
      </c>
      <c r="N651" t="n">
        <v>0</v>
      </c>
      <c r="O651" t="n">
        <v>1</v>
      </c>
      <c r="P651" t="n">
        <v>0</v>
      </c>
      <c r="Q651" t="n">
        <v>2</v>
      </c>
      <c r="R651" s="2" t="inlineStr">
        <is>
          <t>Motaggsvamp
Dropptaggsvamp</t>
        </is>
      </c>
      <c r="S651">
        <f>HYPERLINK("https://klasma.github.io/Logging_2409/artfynd/A 6839-2024 artfynd.xlsx", "A 6839-2024")</f>
        <v/>
      </c>
      <c r="T651">
        <f>HYPERLINK("https://klasma.github.io/Logging_2409/kartor/A 6839-2024 karta.png", "A 6839-2024")</f>
        <v/>
      </c>
      <c r="V651">
        <f>HYPERLINK("https://klasma.github.io/Logging_2409/klagomål/A 6839-2024 FSC-klagomål.docx", "A 6839-2024")</f>
        <v/>
      </c>
      <c r="W651">
        <f>HYPERLINK("https://klasma.github.io/Logging_2409/klagomålsmail/A 6839-2024 FSC-klagomål mail.docx", "A 6839-2024")</f>
        <v/>
      </c>
      <c r="X651">
        <f>HYPERLINK("https://klasma.github.io/Logging_2409/tillsyn/A 6839-2024 tillsynsbegäran.docx", "A 6839-2024")</f>
        <v/>
      </c>
      <c r="Y651">
        <f>HYPERLINK("https://klasma.github.io/Logging_2409/tillsynsmail/A 6839-2024 tillsynsbegäran mail.docx", "A 6839-2024")</f>
        <v/>
      </c>
    </row>
    <row r="652" ht="15" customHeight="1">
      <c r="A652" t="inlineStr">
        <is>
          <t>A 8715-2024</t>
        </is>
      </c>
      <c r="B652" s="1" t="n">
        <v>45356</v>
      </c>
      <c r="C652" s="1" t="n">
        <v>45357</v>
      </c>
      <c r="D652" t="inlineStr">
        <is>
          <t>VÄSTERBOTTENS LÄN</t>
        </is>
      </c>
      <c r="E652" t="inlineStr">
        <is>
          <t>UMEÅ</t>
        </is>
      </c>
      <c r="G652" t="n">
        <v>6.1</v>
      </c>
      <c r="H652" t="n">
        <v>0</v>
      </c>
      <c r="I652" t="n">
        <v>0</v>
      </c>
      <c r="J652" t="n">
        <v>1</v>
      </c>
      <c r="K652" t="n">
        <v>1</v>
      </c>
      <c r="L652" t="n">
        <v>0</v>
      </c>
      <c r="M652" t="n">
        <v>0</v>
      </c>
      <c r="N652" t="n">
        <v>0</v>
      </c>
      <c r="O652" t="n">
        <v>2</v>
      </c>
      <c r="P652" t="n">
        <v>1</v>
      </c>
      <c r="Q652" t="n">
        <v>2</v>
      </c>
      <c r="R652" s="2" t="inlineStr">
        <is>
          <t>Turkos blåvinge
Garnlav</t>
        </is>
      </c>
      <c r="S652">
        <f>HYPERLINK("https://klasma.github.io/Logging_2480/artfynd/A 8715-2024 artfynd.xlsx", "A 8715-2024")</f>
        <v/>
      </c>
      <c r="T652">
        <f>HYPERLINK("https://klasma.github.io/Logging_2480/kartor/A 8715-2024 karta.png", "A 8715-2024")</f>
        <v/>
      </c>
      <c r="V652">
        <f>HYPERLINK("https://klasma.github.io/Logging_2480/klagomål/A 8715-2024 FSC-klagomål.docx", "A 8715-2024")</f>
        <v/>
      </c>
      <c r="W652">
        <f>HYPERLINK("https://klasma.github.io/Logging_2480/klagomålsmail/A 8715-2024 FSC-klagomål mail.docx", "A 8715-2024")</f>
        <v/>
      </c>
      <c r="X652">
        <f>HYPERLINK("https://klasma.github.io/Logging_2480/tillsyn/A 8715-2024 tillsynsbegäran.docx", "A 8715-2024")</f>
        <v/>
      </c>
      <c r="Y652">
        <f>HYPERLINK("https://klasma.github.io/Logging_2480/tillsynsmail/A 8715-2024 tillsynsbegäran mail.docx", "A 8715-2024")</f>
        <v/>
      </c>
    </row>
    <row r="653" ht="15" customHeight="1">
      <c r="A653" t="inlineStr">
        <is>
          <t>A 37440-2018</t>
        </is>
      </c>
      <c r="B653" s="1" t="n">
        <v>43334</v>
      </c>
      <c r="C653" s="1" t="n">
        <v>45357</v>
      </c>
      <c r="D653" t="inlineStr">
        <is>
          <t>VÄSTERBOTTENS LÄN</t>
        </is>
      </c>
      <c r="E653" t="inlineStr">
        <is>
          <t>VINDELN</t>
        </is>
      </c>
      <c r="F653" t="inlineStr">
        <is>
          <t>Holmen skog AB</t>
        </is>
      </c>
      <c r="G653" t="n">
        <v>42.9</v>
      </c>
      <c r="H653" t="n">
        <v>0</v>
      </c>
      <c r="I653" t="n">
        <v>0</v>
      </c>
      <c r="J653" t="n">
        <v>1</v>
      </c>
      <c r="K653" t="n">
        <v>0</v>
      </c>
      <c r="L653" t="n">
        <v>0</v>
      </c>
      <c r="M653" t="n">
        <v>0</v>
      </c>
      <c r="N653" t="n">
        <v>0</v>
      </c>
      <c r="O653" t="n">
        <v>1</v>
      </c>
      <c r="P653" t="n">
        <v>0</v>
      </c>
      <c r="Q653" t="n">
        <v>1</v>
      </c>
      <c r="R653" s="2" t="inlineStr">
        <is>
          <t>Gränsticka</t>
        </is>
      </c>
      <c r="S653">
        <f>HYPERLINK("https://klasma.github.io/Logging_2404/artfynd/A 37440-2018 artfynd.xlsx", "A 37440-2018")</f>
        <v/>
      </c>
      <c r="T653">
        <f>HYPERLINK("https://klasma.github.io/Logging_2404/kartor/A 37440-2018 karta.png", "A 37440-2018")</f>
        <v/>
      </c>
      <c r="V653">
        <f>HYPERLINK("https://klasma.github.io/Logging_2404/klagomål/A 37440-2018 FSC-klagomål.docx", "A 37440-2018")</f>
        <v/>
      </c>
      <c r="W653">
        <f>HYPERLINK("https://klasma.github.io/Logging_2404/klagomålsmail/A 37440-2018 FSC-klagomål mail.docx", "A 37440-2018")</f>
        <v/>
      </c>
      <c r="X653">
        <f>HYPERLINK("https://klasma.github.io/Logging_2404/tillsyn/A 37440-2018 tillsynsbegäran.docx", "A 37440-2018")</f>
        <v/>
      </c>
      <c r="Y653">
        <f>HYPERLINK("https://klasma.github.io/Logging_2404/tillsynsmail/A 37440-2018 tillsynsbegäran mail.docx", "A 37440-2018")</f>
        <v/>
      </c>
    </row>
    <row r="654" ht="15" customHeight="1">
      <c r="A654" t="inlineStr">
        <is>
          <t>A 52409-2018</t>
        </is>
      </c>
      <c r="B654" s="1" t="n">
        <v>43388</v>
      </c>
      <c r="C654" s="1" t="n">
        <v>45357</v>
      </c>
      <c r="D654" t="inlineStr">
        <is>
          <t>VÄSTERBOTTENS LÄN</t>
        </is>
      </c>
      <c r="E654" t="inlineStr">
        <is>
          <t>DOROTEA</t>
        </is>
      </c>
      <c r="G654" t="n">
        <v>9.300000000000001</v>
      </c>
      <c r="H654" t="n">
        <v>1</v>
      </c>
      <c r="I654" t="n">
        <v>1</v>
      </c>
      <c r="J654" t="n">
        <v>0</v>
      </c>
      <c r="K654" t="n">
        <v>0</v>
      </c>
      <c r="L654" t="n">
        <v>0</v>
      </c>
      <c r="M654" t="n">
        <v>0</v>
      </c>
      <c r="N654" t="n">
        <v>0</v>
      </c>
      <c r="O654" t="n">
        <v>0</v>
      </c>
      <c r="P654" t="n">
        <v>0</v>
      </c>
      <c r="Q654" t="n">
        <v>1</v>
      </c>
      <c r="R654" s="2" t="inlineStr">
        <is>
          <t>Lappranunkel</t>
        </is>
      </c>
      <c r="S654">
        <f>HYPERLINK("https://klasma.github.io/Logging_2425/artfynd/A 52409-2018 artfynd.xlsx", "A 52409-2018")</f>
        <v/>
      </c>
      <c r="T654">
        <f>HYPERLINK("https://klasma.github.io/Logging_2425/kartor/A 52409-2018 karta.png", "A 52409-2018")</f>
        <v/>
      </c>
      <c r="V654">
        <f>HYPERLINK("https://klasma.github.io/Logging_2425/klagomål/A 52409-2018 FSC-klagomål.docx", "A 52409-2018")</f>
        <v/>
      </c>
      <c r="W654">
        <f>HYPERLINK("https://klasma.github.io/Logging_2425/klagomålsmail/A 52409-2018 FSC-klagomål mail.docx", "A 52409-2018")</f>
        <v/>
      </c>
      <c r="X654">
        <f>HYPERLINK("https://klasma.github.io/Logging_2425/tillsyn/A 52409-2018 tillsynsbegäran.docx", "A 52409-2018")</f>
        <v/>
      </c>
      <c r="Y654">
        <f>HYPERLINK("https://klasma.github.io/Logging_2425/tillsynsmail/A 52409-2018 tillsynsbegäran mail.docx", "A 52409-2018")</f>
        <v/>
      </c>
    </row>
    <row r="655" ht="15" customHeight="1">
      <c r="A655" t="inlineStr">
        <is>
          <t>A 57907-2018</t>
        </is>
      </c>
      <c r="B655" s="1" t="n">
        <v>43397</v>
      </c>
      <c r="C655" s="1" t="n">
        <v>45357</v>
      </c>
      <c r="D655" t="inlineStr">
        <is>
          <t>VÄSTERBOTTENS LÄN</t>
        </is>
      </c>
      <c r="E655" t="inlineStr">
        <is>
          <t>NORDMALING</t>
        </is>
      </c>
      <c r="G655" t="n">
        <v>0.7</v>
      </c>
      <c r="H655" t="n">
        <v>0</v>
      </c>
      <c r="I655" t="n">
        <v>0</v>
      </c>
      <c r="J655" t="n">
        <v>1</v>
      </c>
      <c r="K655" t="n">
        <v>0</v>
      </c>
      <c r="L655" t="n">
        <v>0</v>
      </c>
      <c r="M655" t="n">
        <v>0</v>
      </c>
      <c r="N655" t="n">
        <v>0</v>
      </c>
      <c r="O655" t="n">
        <v>1</v>
      </c>
      <c r="P655" t="n">
        <v>0</v>
      </c>
      <c r="Q655" t="n">
        <v>1</v>
      </c>
      <c r="R655" s="2" t="inlineStr">
        <is>
          <t>Doftskinn</t>
        </is>
      </c>
      <c r="S655">
        <f>HYPERLINK("https://klasma.github.io/Logging_2401/artfynd/A 57907-2018 artfynd.xlsx", "A 57907-2018")</f>
        <v/>
      </c>
      <c r="T655">
        <f>HYPERLINK("https://klasma.github.io/Logging_2401/kartor/A 57907-2018 karta.png", "A 57907-2018")</f>
        <v/>
      </c>
      <c r="V655">
        <f>HYPERLINK("https://klasma.github.io/Logging_2401/klagomål/A 57907-2018 FSC-klagomål.docx", "A 57907-2018")</f>
        <v/>
      </c>
      <c r="W655">
        <f>HYPERLINK("https://klasma.github.io/Logging_2401/klagomålsmail/A 57907-2018 FSC-klagomål mail.docx", "A 57907-2018")</f>
        <v/>
      </c>
      <c r="X655">
        <f>HYPERLINK("https://klasma.github.io/Logging_2401/tillsyn/A 57907-2018 tillsynsbegäran.docx", "A 57907-2018")</f>
        <v/>
      </c>
      <c r="Y655">
        <f>HYPERLINK("https://klasma.github.io/Logging_2401/tillsynsmail/A 57907-2018 tillsynsbegäran mail.docx", "A 57907-2018")</f>
        <v/>
      </c>
    </row>
    <row r="656" ht="15" customHeight="1">
      <c r="A656" t="inlineStr">
        <is>
          <t>A 63642-2018</t>
        </is>
      </c>
      <c r="B656" s="1" t="n">
        <v>43427</v>
      </c>
      <c r="C656" s="1" t="n">
        <v>45357</v>
      </c>
      <c r="D656" t="inlineStr">
        <is>
          <t>VÄSTERBOTTENS LÄN</t>
        </is>
      </c>
      <c r="E656" t="inlineStr">
        <is>
          <t>ÅSELE</t>
        </is>
      </c>
      <c r="G656" t="n">
        <v>8.800000000000001</v>
      </c>
      <c r="H656" t="n">
        <v>0</v>
      </c>
      <c r="I656" t="n">
        <v>0</v>
      </c>
      <c r="J656" t="n">
        <v>1</v>
      </c>
      <c r="K656" t="n">
        <v>0</v>
      </c>
      <c r="L656" t="n">
        <v>0</v>
      </c>
      <c r="M656" t="n">
        <v>0</v>
      </c>
      <c r="N656" t="n">
        <v>0</v>
      </c>
      <c r="O656" t="n">
        <v>1</v>
      </c>
      <c r="P656" t="n">
        <v>0</v>
      </c>
      <c r="Q656" t="n">
        <v>1</v>
      </c>
      <c r="R656" s="2" t="inlineStr">
        <is>
          <t>Rosenticka</t>
        </is>
      </c>
      <c r="S656">
        <f>HYPERLINK("https://klasma.github.io/Logging_2463/artfynd/A 63642-2018 artfynd.xlsx", "A 63642-2018")</f>
        <v/>
      </c>
      <c r="T656">
        <f>HYPERLINK("https://klasma.github.io/Logging_2463/kartor/A 63642-2018 karta.png", "A 63642-2018")</f>
        <v/>
      </c>
      <c r="V656">
        <f>HYPERLINK("https://klasma.github.io/Logging_2463/klagomål/A 63642-2018 FSC-klagomål.docx", "A 63642-2018")</f>
        <v/>
      </c>
      <c r="W656">
        <f>HYPERLINK("https://klasma.github.io/Logging_2463/klagomålsmail/A 63642-2018 FSC-klagomål mail.docx", "A 63642-2018")</f>
        <v/>
      </c>
      <c r="X656">
        <f>HYPERLINK("https://klasma.github.io/Logging_2463/tillsyn/A 63642-2018 tillsynsbegäran.docx", "A 63642-2018")</f>
        <v/>
      </c>
      <c r="Y656">
        <f>HYPERLINK("https://klasma.github.io/Logging_2463/tillsynsmail/A 63642-2018 tillsynsbegäran mail.docx", "A 63642-2018")</f>
        <v/>
      </c>
    </row>
    <row r="657" ht="15" customHeight="1">
      <c r="A657" t="inlineStr">
        <is>
          <t>A 65152-2018</t>
        </is>
      </c>
      <c r="B657" s="1" t="n">
        <v>43432</v>
      </c>
      <c r="C657" s="1" t="n">
        <v>45357</v>
      </c>
      <c r="D657" t="inlineStr">
        <is>
          <t>VÄSTERBOTTENS LÄN</t>
        </is>
      </c>
      <c r="E657" t="inlineStr">
        <is>
          <t>SORSELE</t>
        </is>
      </c>
      <c r="F657" t="inlineStr">
        <is>
          <t>Sveaskog</t>
        </is>
      </c>
      <c r="G657" t="n">
        <v>4.1</v>
      </c>
      <c r="H657" t="n">
        <v>0</v>
      </c>
      <c r="I657" t="n">
        <v>0</v>
      </c>
      <c r="J657" t="n">
        <v>1</v>
      </c>
      <c r="K657" t="n">
        <v>0</v>
      </c>
      <c r="L657" t="n">
        <v>0</v>
      </c>
      <c r="M657" t="n">
        <v>0</v>
      </c>
      <c r="N657" t="n">
        <v>0</v>
      </c>
      <c r="O657" t="n">
        <v>1</v>
      </c>
      <c r="P657" t="n">
        <v>0</v>
      </c>
      <c r="Q657" t="n">
        <v>1</v>
      </c>
      <c r="R657" s="2" t="inlineStr">
        <is>
          <t>Gammelgransskål</t>
        </is>
      </c>
      <c r="S657">
        <f>HYPERLINK("https://klasma.github.io/Logging_2422/artfynd/A 65152-2018 artfynd.xlsx", "A 65152-2018")</f>
        <v/>
      </c>
      <c r="T657">
        <f>HYPERLINK("https://klasma.github.io/Logging_2422/kartor/A 65152-2018 karta.png", "A 65152-2018")</f>
        <v/>
      </c>
      <c r="V657">
        <f>HYPERLINK("https://klasma.github.io/Logging_2422/klagomål/A 65152-2018 FSC-klagomål.docx", "A 65152-2018")</f>
        <v/>
      </c>
      <c r="W657">
        <f>HYPERLINK("https://klasma.github.io/Logging_2422/klagomålsmail/A 65152-2018 FSC-klagomål mail.docx", "A 65152-2018")</f>
        <v/>
      </c>
      <c r="X657">
        <f>HYPERLINK("https://klasma.github.io/Logging_2422/tillsyn/A 65152-2018 tillsynsbegäran.docx", "A 65152-2018")</f>
        <v/>
      </c>
      <c r="Y657">
        <f>HYPERLINK("https://klasma.github.io/Logging_2422/tillsynsmail/A 65152-2018 tillsynsbegäran mail.docx", "A 65152-2018")</f>
        <v/>
      </c>
    </row>
    <row r="658" ht="15" customHeight="1">
      <c r="A658" t="inlineStr">
        <is>
          <t>A 65167-2018</t>
        </is>
      </c>
      <c r="B658" s="1" t="n">
        <v>43432</v>
      </c>
      <c r="C658" s="1" t="n">
        <v>45357</v>
      </c>
      <c r="D658" t="inlineStr">
        <is>
          <t>VÄSTERBOTTENS LÄN</t>
        </is>
      </c>
      <c r="E658" t="inlineStr">
        <is>
          <t>SKELLEFTEÅ</t>
        </is>
      </c>
      <c r="F658" t="inlineStr">
        <is>
          <t>Sveaskog</t>
        </is>
      </c>
      <c r="G658" t="n">
        <v>3.6</v>
      </c>
      <c r="H658" t="n">
        <v>0</v>
      </c>
      <c r="I658" t="n">
        <v>0</v>
      </c>
      <c r="J658" t="n">
        <v>1</v>
      </c>
      <c r="K658" t="n">
        <v>0</v>
      </c>
      <c r="L658" t="n">
        <v>0</v>
      </c>
      <c r="M658" t="n">
        <v>0</v>
      </c>
      <c r="N658" t="n">
        <v>0</v>
      </c>
      <c r="O658" t="n">
        <v>1</v>
      </c>
      <c r="P658" t="n">
        <v>0</v>
      </c>
      <c r="Q658" t="n">
        <v>1</v>
      </c>
      <c r="R658" s="2" t="inlineStr">
        <is>
          <t>Lunglav</t>
        </is>
      </c>
      <c r="S658">
        <f>HYPERLINK("https://klasma.github.io/Logging_2482/artfynd/A 65167-2018 artfynd.xlsx", "A 65167-2018")</f>
        <v/>
      </c>
      <c r="T658">
        <f>HYPERLINK("https://klasma.github.io/Logging_2482/kartor/A 65167-2018 karta.png", "A 65167-2018")</f>
        <v/>
      </c>
      <c r="V658">
        <f>HYPERLINK("https://klasma.github.io/Logging_2482/klagomål/A 65167-2018 FSC-klagomål.docx", "A 65167-2018")</f>
        <v/>
      </c>
      <c r="W658">
        <f>HYPERLINK("https://klasma.github.io/Logging_2482/klagomålsmail/A 65167-2018 FSC-klagomål mail.docx", "A 65167-2018")</f>
        <v/>
      </c>
      <c r="X658">
        <f>HYPERLINK("https://klasma.github.io/Logging_2482/tillsyn/A 65167-2018 tillsynsbegäran.docx", "A 65167-2018")</f>
        <v/>
      </c>
      <c r="Y658">
        <f>HYPERLINK("https://klasma.github.io/Logging_2482/tillsynsmail/A 65167-2018 tillsynsbegäran mail.docx", "A 65167-2018")</f>
        <v/>
      </c>
    </row>
    <row r="659" ht="15" customHeight="1">
      <c r="A659" t="inlineStr">
        <is>
          <t>A 65790-2018</t>
        </is>
      </c>
      <c r="B659" s="1" t="n">
        <v>43433</v>
      </c>
      <c r="C659" s="1" t="n">
        <v>45357</v>
      </c>
      <c r="D659" t="inlineStr">
        <is>
          <t>VÄSTERBOTTENS LÄN</t>
        </is>
      </c>
      <c r="E659" t="inlineStr">
        <is>
          <t>NORSJÖ</t>
        </is>
      </c>
      <c r="G659" t="n">
        <v>20.4</v>
      </c>
      <c r="H659" t="n">
        <v>0</v>
      </c>
      <c r="I659" t="n">
        <v>0</v>
      </c>
      <c r="J659" t="n">
        <v>1</v>
      </c>
      <c r="K659" t="n">
        <v>0</v>
      </c>
      <c r="L659" t="n">
        <v>0</v>
      </c>
      <c r="M659" t="n">
        <v>0</v>
      </c>
      <c r="N659" t="n">
        <v>0</v>
      </c>
      <c r="O659" t="n">
        <v>1</v>
      </c>
      <c r="P659" t="n">
        <v>0</v>
      </c>
      <c r="Q659" t="n">
        <v>1</v>
      </c>
      <c r="R659" s="2" t="inlineStr">
        <is>
          <t>Garnlav</t>
        </is>
      </c>
      <c r="S659">
        <f>HYPERLINK("https://klasma.github.io/Logging_2417/artfynd/A 65790-2018 artfynd.xlsx", "A 65790-2018")</f>
        <v/>
      </c>
      <c r="T659">
        <f>HYPERLINK("https://klasma.github.io/Logging_2417/kartor/A 65790-2018 karta.png", "A 65790-2018")</f>
        <v/>
      </c>
      <c r="V659">
        <f>HYPERLINK("https://klasma.github.io/Logging_2417/klagomål/A 65790-2018 FSC-klagomål.docx", "A 65790-2018")</f>
        <v/>
      </c>
      <c r="W659">
        <f>HYPERLINK("https://klasma.github.io/Logging_2417/klagomålsmail/A 65790-2018 FSC-klagomål mail.docx", "A 65790-2018")</f>
        <v/>
      </c>
      <c r="X659">
        <f>HYPERLINK("https://klasma.github.io/Logging_2417/tillsyn/A 65790-2018 tillsynsbegäran.docx", "A 65790-2018")</f>
        <v/>
      </c>
      <c r="Y659">
        <f>HYPERLINK("https://klasma.github.io/Logging_2417/tillsynsmail/A 65790-2018 tillsynsbegäran mail.docx", "A 65790-2018")</f>
        <v/>
      </c>
    </row>
    <row r="660" ht="15" customHeight="1">
      <c r="A660" t="inlineStr">
        <is>
          <t>A 72110-2018</t>
        </is>
      </c>
      <c r="B660" s="1" t="n">
        <v>43439</v>
      </c>
      <c r="C660" s="1" t="n">
        <v>45357</v>
      </c>
      <c r="D660" t="inlineStr">
        <is>
          <t>VÄSTERBOTTENS LÄN</t>
        </is>
      </c>
      <c r="E660" t="inlineStr">
        <is>
          <t>ÅSELE</t>
        </is>
      </c>
      <c r="F660" t="inlineStr">
        <is>
          <t>Kommuner</t>
        </is>
      </c>
      <c r="G660" t="n">
        <v>3.4</v>
      </c>
      <c r="H660" t="n">
        <v>0</v>
      </c>
      <c r="I660" t="n">
        <v>0</v>
      </c>
      <c r="J660" t="n">
        <v>1</v>
      </c>
      <c r="K660" t="n">
        <v>0</v>
      </c>
      <c r="L660" t="n">
        <v>0</v>
      </c>
      <c r="M660" t="n">
        <v>0</v>
      </c>
      <c r="N660" t="n">
        <v>0</v>
      </c>
      <c r="O660" t="n">
        <v>1</v>
      </c>
      <c r="P660" t="n">
        <v>0</v>
      </c>
      <c r="Q660" t="n">
        <v>1</v>
      </c>
      <c r="R660" s="2" t="inlineStr">
        <is>
          <t>Garnlav</t>
        </is>
      </c>
      <c r="S660">
        <f>HYPERLINK("https://klasma.github.io/Logging_2463/artfynd/A 72110-2018 artfynd.xlsx", "A 72110-2018")</f>
        <v/>
      </c>
      <c r="T660">
        <f>HYPERLINK("https://klasma.github.io/Logging_2463/kartor/A 72110-2018 karta.png", "A 72110-2018")</f>
        <v/>
      </c>
      <c r="V660">
        <f>HYPERLINK("https://klasma.github.io/Logging_2463/klagomål/A 72110-2018 FSC-klagomål.docx", "A 72110-2018")</f>
        <v/>
      </c>
      <c r="W660">
        <f>HYPERLINK("https://klasma.github.io/Logging_2463/klagomålsmail/A 72110-2018 FSC-klagomål mail.docx", "A 72110-2018")</f>
        <v/>
      </c>
      <c r="X660">
        <f>HYPERLINK("https://klasma.github.io/Logging_2463/tillsyn/A 72110-2018 tillsynsbegäran.docx", "A 72110-2018")</f>
        <v/>
      </c>
      <c r="Y660">
        <f>HYPERLINK("https://klasma.github.io/Logging_2463/tillsynsmail/A 72110-2018 tillsynsbegäran mail.docx", "A 72110-2018")</f>
        <v/>
      </c>
    </row>
    <row r="661" ht="15" customHeight="1">
      <c r="A661" t="inlineStr">
        <is>
          <t>A 68353-2018</t>
        </is>
      </c>
      <c r="B661" s="1" t="n">
        <v>43441</v>
      </c>
      <c r="C661" s="1" t="n">
        <v>45357</v>
      </c>
      <c r="D661" t="inlineStr">
        <is>
          <t>VÄSTERBOTTENS LÄN</t>
        </is>
      </c>
      <c r="E661" t="inlineStr">
        <is>
          <t>BJURHOLM</t>
        </is>
      </c>
      <c r="G661" t="n">
        <v>0.6</v>
      </c>
      <c r="H661" t="n">
        <v>0</v>
      </c>
      <c r="I661" t="n">
        <v>0</v>
      </c>
      <c r="J661" t="n">
        <v>1</v>
      </c>
      <c r="K661" t="n">
        <v>0</v>
      </c>
      <c r="L661" t="n">
        <v>0</v>
      </c>
      <c r="M661" t="n">
        <v>0</v>
      </c>
      <c r="N661" t="n">
        <v>0</v>
      </c>
      <c r="O661" t="n">
        <v>1</v>
      </c>
      <c r="P661" t="n">
        <v>0</v>
      </c>
      <c r="Q661" t="n">
        <v>1</v>
      </c>
      <c r="R661" s="2" t="inlineStr">
        <is>
          <t>Ullticka</t>
        </is>
      </c>
      <c r="S661">
        <f>HYPERLINK("https://klasma.github.io/Logging_2403/artfynd/A 68353-2018 artfynd.xlsx", "A 68353-2018")</f>
        <v/>
      </c>
      <c r="T661">
        <f>HYPERLINK("https://klasma.github.io/Logging_2403/kartor/A 68353-2018 karta.png", "A 68353-2018")</f>
        <v/>
      </c>
      <c r="V661">
        <f>HYPERLINK("https://klasma.github.io/Logging_2403/klagomål/A 68353-2018 FSC-klagomål.docx", "A 68353-2018")</f>
        <v/>
      </c>
      <c r="W661">
        <f>HYPERLINK("https://klasma.github.io/Logging_2403/klagomålsmail/A 68353-2018 FSC-klagomål mail.docx", "A 68353-2018")</f>
        <v/>
      </c>
      <c r="X661">
        <f>HYPERLINK("https://klasma.github.io/Logging_2403/tillsyn/A 68353-2018 tillsynsbegäran.docx", "A 68353-2018")</f>
        <v/>
      </c>
      <c r="Y661">
        <f>HYPERLINK("https://klasma.github.io/Logging_2403/tillsynsmail/A 68353-2018 tillsynsbegäran mail.docx", "A 68353-2018")</f>
        <v/>
      </c>
    </row>
    <row r="662" ht="15" customHeight="1">
      <c r="A662" t="inlineStr">
        <is>
          <t>A 68072-2018</t>
        </is>
      </c>
      <c r="B662" s="1" t="n">
        <v>43441</v>
      </c>
      <c r="C662" s="1" t="n">
        <v>45357</v>
      </c>
      <c r="D662" t="inlineStr">
        <is>
          <t>VÄSTERBOTTENS LÄN</t>
        </is>
      </c>
      <c r="E662" t="inlineStr">
        <is>
          <t>SKELLEFTEÅ</t>
        </is>
      </c>
      <c r="G662" t="n">
        <v>25.1</v>
      </c>
      <c r="H662" t="n">
        <v>0</v>
      </c>
      <c r="I662" t="n">
        <v>0</v>
      </c>
      <c r="J662" t="n">
        <v>0</v>
      </c>
      <c r="K662" t="n">
        <v>0</v>
      </c>
      <c r="L662" t="n">
        <v>1</v>
      </c>
      <c r="M662" t="n">
        <v>0</v>
      </c>
      <c r="N662" t="n">
        <v>0</v>
      </c>
      <c r="O662" t="n">
        <v>1</v>
      </c>
      <c r="P662" t="n">
        <v>1</v>
      </c>
      <c r="Q662" t="n">
        <v>1</v>
      </c>
      <c r="R662" s="2" t="inlineStr">
        <is>
          <t>Flodpärlmussla</t>
        </is>
      </c>
      <c r="S662">
        <f>HYPERLINK("https://klasma.github.io/Logging_2482/artfynd/A 68072-2018 artfynd.xlsx", "A 68072-2018")</f>
        <v/>
      </c>
      <c r="T662">
        <f>HYPERLINK("https://klasma.github.io/Logging_2482/kartor/A 68072-2018 karta.png", "A 68072-2018")</f>
        <v/>
      </c>
      <c r="V662">
        <f>HYPERLINK("https://klasma.github.io/Logging_2482/klagomål/A 68072-2018 FSC-klagomål.docx", "A 68072-2018")</f>
        <v/>
      </c>
      <c r="W662">
        <f>HYPERLINK("https://klasma.github.io/Logging_2482/klagomålsmail/A 68072-2018 FSC-klagomål mail.docx", "A 68072-2018")</f>
        <v/>
      </c>
      <c r="X662">
        <f>HYPERLINK("https://klasma.github.io/Logging_2482/tillsyn/A 68072-2018 tillsynsbegäran.docx", "A 68072-2018")</f>
        <v/>
      </c>
      <c r="Y662">
        <f>HYPERLINK("https://klasma.github.io/Logging_2482/tillsynsmail/A 68072-2018 tillsynsbegäran mail.docx", "A 68072-2018")</f>
        <v/>
      </c>
    </row>
    <row r="663" ht="15" customHeight="1">
      <c r="A663" t="inlineStr">
        <is>
          <t>A 68368-2018</t>
        </is>
      </c>
      <c r="B663" s="1" t="n">
        <v>43441</v>
      </c>
      <c r="C663" s="1" t="n">
        <v>45357</v>
      </c>
      <c r="D663" t="inlineStr">
        <is>
          <t>VÄSTERBOTTENS LÄN</t>
        </is>
      </c>
      <c r="E663" t="inlineStr">
        <is>
          <t>VINDELN</t>
        </is>
      </c>
      <c r="F663" t="inlineStr">
        <is>
          <t>SCA</t>
        </is>
      </c>
      <c r="G663" t="n">
        <v>5.2</v>
      </c>
      <c r="H663" t="n">
        <v>0</v>
      </c>
      <c r="I663" t="n">
        <v>0</v>
      </c>
      <c r="J663" t="n">
        <v>1</v>
      </c>
      <c r="K663" t="n">
        <v>0</v>
      </c>
      <c r="L663" t="n">
        <v>0</v>
      </c>
      <c r="M663" t="n">
        <v>0</v>
      </c>
      <c r="N663" t="n">
        <v>0</v>
      </c>
      <c r="O663" t="n">
        <v>1</v>
      </c>
      <c r="P663" t="n">
        <v>0</v>
      </c>
      <c r="Q663" t="n">
        <v>1</v>
      </c>
      <c r="R663" s="2" t="inlineStr">
        <is>
          <t>Kolflarnlav</t>
        </is>
      </c>
      <c r="S663">
        <f>HYPERLINK("https://klasma.github.io/Logging_2404/artfynd/A 68368-2018 artfynd.xlsx", "A 68368-2018")</f>
        <v/>
      </c>
      <c r="T663">
        <f>HYPERLINK("https://klasma.github.io/Logging_2404/kartor/A 68368-2018 karta.png", "A 68368-2018")</f>
        <v/>
      </c>
      <c r="V663">
        <f>HYPERLINK("https://klasma.github.io/Logging_2404/klagomål/A 68368-2018 FSC-klagomål.docx", "A 68368-2018")</f>
        <v/>
      </c>
      <c r="W663">
        <f>HYPERLINK("https://klasma.github.io/Logging_2404/klagomålsmail/A 68368-2018 FSC-klagomål mail.docx", "A 68368-2018")</f>
        <v/>
      </c>
      <c r="X663">
        <f>HYPERLINK("https://klasma.github.io/Logging_2404/tillsyn/A 68368-2018 tillsynsbegäran.docx", "A 68368-2018")</f>
        <v/>
      </c>
      <c r="Y663">
        <f>HYPERLINK("https://klasma.github.io/Logging_2404/tillsynsmail/A 68368-2018 tillsynsbegäran mail.docx", "A 68368-2018")</f>
        <v/>
      </c>
    </row>
    <row r="664" ht="15" customHeight="1">
      <c r="A664" t="inlineStr">
        <is>
          <t>A 69786-2018</t>
        </is>
      </c>
      <c r="B664" s="1" t="n">
        <v>43444</v>
      </c>
      <c r="C664" s="1" t="n">
        <v>45357</v>
      </c>
      <c r="D664" t="inlineStr">
        <is>
          <t>VÄSTERBOTTENS LÄN</t>
        </is>
      </c>
      <c r="E664" t="inlineStr">
        <is>
          <t>VINDELN</t>
        </is>
      </c>
      <c r="G664" t="n">
        <v>5.5</v>
      </c>
      <c r="H664" t="n">
        <v>0</v>
      </c>
      <c r="I664" t="n">
        <v>1</v>
      </c>
      <c r="J664" t="n">
        <v>0</v>
      </c>
      <c r="K664" t="n">
        <v>0</v>
      </c>
      <c r="L664" t="n">
        <v>0</v>
      </c>
      <c r="M664" t="n">
        <v>0</v>
      </c>
      <c r="N664" t="n">
        <v>0</v>
      </c>
      <c r="O664" t="n">
        <v>0</v>
      </c>
      <c r="P664" t="n">
        <v>0</v>
      </c>
      <c r="Q664" t="n">
        <v>1</v>
      </c>
      <c r="R664" s="2" t="inlineStr">
        <is>
          <t>Nästlav</t>
        </is>
      </c>
      <c r="S664">
        <f>HYPERLINK("https://klasma.github.io/Logging_2404/artfynd/A 69786-2018 artfynd.xlsx", "A 69786-2018")</f>
        <v/>
      </c>
      <c r="T664">
        <f>HYPERLINK("https://klasma.github.io/Logging_2404/kartor/A 69786-2018 karta.png", "A 69786-2018")</f>
        <v/>
      </c>
      <c r="V664">
        <f>HYPERLINK("https://klasma.github.io/Logging_2404/klagomål/A 69786-2018 FSC-klagomål.docx", "A 69786-2018")</f>
        <v/>
      </c>
      <c r="W664">
        <f>HYPERLINK("https://klasma.github.io/Logging_2404/klagomålsmail/A 69786-2018 FSC-klagomål mail.docx", "A 69786-2018")</f>
        <v/>
      </c>
      <c r="X664">
        <f>HYPERLINK("https://klasma.github.io/Logging_2404/tillsyn/A 69786-2018 tillsynsbegäran.docx", "A 69786-2018")</f>
        <v/>
      </c>
      <c r="Y664">
        <f>HYPERLINK("https://klasma.github.io/Logging_2404/tillsynsmail/A 69786-2018 tillsynsbegäran mail.docx", "A 69786-2018")</f>
        <v/>
      </c>
    </row>
    <row r="665" ht="15" customHeight="1">
      <c r="A665" t="inlineStr">
        <is>
          <t>A 4489-2019</t>
        </is>
      </c>
      <c r="B665" s="1" t="n">
        <v>43479</v>
      </c>
      <c r="C665" s="1" t="n">
        <v>45357</v>
      </c>
      <c r="D665" t="inlineStr">
        <is>
          <t>VÄSTERBOTTENS LÄN</t>
        </is>
      </c>
      <c r="E665" t="inlineStr">
        <is>
          <t>UMEÅ</t>
        </is>
      </c>
      <c r="G665" t="n">
        <v>6.1</v>
      </c>
      <c r="H665" t="n">
        <v>0</v>
      </c>
      <c r="I665" t="n">
        <v>0</v>
      </c>
      <c r="J665" t="n">
        <v>1</v>
      </c>
      <c r="K665" t="n">
        <v>0</v>
      </c>
      <c r="L665" t="n">
        <v>0</v>
      </c>
      <c r="M665" t="n">
        <v>0</v>
      </c>
      <c r="N665" t="n">
        <v>0</v>
      </c>
      <c r="O665" t="n">
        <v>1</v>
      </c>
      <c r="P665" t="n">
        <v>0</v>
      </c>
      <c r="Q665" t="n">
        <v>1</v>
      </c>
      <c r="R665" s="2" t="inlineStr">
        <is>
          <t>Violettgrå tagellav</t>
        </is>
      </c>
      <c r="S665">
        <f>HYPERLINK("https://klasma.github.io/Logging_2480/artfynd/A 4489-2019 artfynd.xlsx", "A 4489-2019")</f>
        <v/>
      </c>
      <c r="T665">
        <f>HYPERLINK("https://klasma.github.io/Logging_2480/kartor/A 4489-2019 karta.png", "A 4489-2019")</f>
        <v/>
      </c>
      <c r="V665">
        <f>HYPERLINK("https://klasma.github.io/Logging_2480/klagomål/A 4489-2019 FSC-klagomål.docx", "A 4489-2019")</f>
        <v/>
      </c>
      <c r="W665">
        <f>HYPERLINK("https://klasma.github.io/Logging_2480/klagomålsmail/A 4489-2019 FSC-klagomål mail.docx", "A 4489-2019")</f>
        <v/>
      </c>
      <c r="X665">
        <f>HYPERLINK("https://klasma.github.io/Logging_2480/tillsyn/A 4489-2019 tillsynsbegäran.docx", "A 4489-2019")</f>
        <v/>
      </c>
      <c r="Y665">
        <f>HYPERLINK("https://klasma.github.io/Logging_2480/tillsynsmail/A 4489-2019 tillsynsbegäran mail.docx", "A 4489-2019")</f>
        <v/>
      </c>
    </row>
    <row r="666" ht="15" customHeight="1">
      <c r="A666" t="inlineStr">
        <is>
          <t>A 4641-2019</t>
        </is>
      </c>
      <c r="B666" s="1" t="n">
        <v>43479</v>
      </c>
      <c r="C666" s="1" t="n">
        <v>45357</v>
      </c>
      <c r="D666" t="inlineStr">
        <is>
          <t>VÄSTERBOTTENS LÄN</t>
        </is>
      </c>
      <c r="E666" t="inlineStr">
        <is>
          <t>SKELLEFTEÅ</t>
        </is>
      </c>
      <c r="G666" t="n">
        <v>3.1</v>
      </c>
      <c r="H666" t="n">
        <v>1</v>
      </c>
      <c r="I666" t="n">
        <v>0</v>
      </c>
      <c r="J666" t="n">
        <v>0</v>
      </c>
      <c r="K666" t="n">
        <v>0</v>
      </c>
      <c r="L666" t="n">
        <v>0</v>
      </c>
      <c r="M666" t="n">
        <v>0</v>
      </c>
      <c r="N666" t="n">
        <v>0</v>
      </c>
      <c r="O666" t="n">
        <v>0</v>
      </c>
      <c r="P666" t="n">
        <v>0</v>
      </c>
      <c r="Q666" t="n">
        <v>1</v>
      </c>
      <c r="R666" s="2" t="inlineStr">
        <is>
          <t>Revlummer</t>
        </is>
      </c>
      <c r="S666">
        <f>HYPERLINK("https://klasma.github.io/Logging_2482/artfynd/A 4641-2019 artfynd.xlsx", "A 4641-2019")</f>
        <v/>
      </c>
      <c r="T666">
        <f>HYPERLINK("https://klasma.github.io/Logging_2482/kartor/A 4641-2019 karta.png", "A 4641-2019")</f>
        <v/>
      </c>
      <c r="V666">
        <f>HYPERLINK("https://klasma.github.io/Logging_2482/klagomål/A 4641-2019 FSC-klagomål.docx", "A 4641-2019")</f>
        <v/>
      </c>
      <c r="W666">
        <f>HYPERLINK("https://klasma.github.io/Logging_2482/klagomålsmail/A 4641-2019 FSC-klagomål mail.docx", "A 4641-2019")</f>
        <v/>
      </c>
      <c r="X666">
        <f>HYPERLINK("https://klasma.github.io/Logging_2482/tillsyn/A 4641-2019 tillsynsbegäran.docx", "A 4641-2019")</f>
        <v/>
      </c>
      <c r="Y666">
        <f>HYPERLINK("https://klasma.github.io/Logging_2482/tillsynsmail/A 4641-2019 tillsynsbegäran mail.docx", "A 4641-2019")</f>
        <v/>
      </c>
    </row>
    <row r="667" ht="15" customHeight="1">
      <c r="A667" t="inlineStr">
        <is>
          <t>A 5009-2019</t>
        </is>
      </c>
      <c r="B667" s="1" t="n">
        <v>43480</v>
      </c>
      <c r="C667" s="1" t="n">
        <v>45357</v>
      </c>
      <c r="D667" t="inlineStr">
        <is>
          <t>VÄSTERBOTTENS LÄN</t>
        </is>
      </c>
      <c r="E667" t="inlineStr">
        <is>
          <t>SKELLEFTEÅ</t>
        </is>
      </c>
      <c r="G667" t="n">
        <v>7.4</v>
      </c>
      <c r="H667" t="n">
        <v>0</v>
      </c>
      <c r="I667" t="n">
        <v>0</v>
      </c>
      <c r="J667" t="n">
        <v>1</v>
      </c>
      <c r="K667" t="n">
        <v>0</v>
      </c>
      <c r="L667" t="n">
        <v>0</v>
      </c>
      <c r="M667" t="n">
        <v>0</v>
      </c>
      <c r="N667" t="n">
        <v>0</v>
      </c>
      <c r="O667" t="n">
        <v>1</v>
      </c>
      <c r="P667" t="n">
        <v>0</v>
      </c>
      <c r="Q667" t="n">
        <v>1</v>
      </c>
      <c r="R667" s="2" t="inlineStr">
        <is>
          <t>Garnlav</t>
        </is>
      </c>
      <c r="S667">
        <f>HYPERLINK("https://klasma.github.io/Logging_2482/artfynd/A 5009-2019 artfynd.xlsx", "A 5009-2019")</f>
        <v/>
      </c>
      <c r="T667">
        <f>HYPERLINK("https://klasma.github.io/Logging_2482/kartor/A 5009-2019 karta.png", "A 5009-2019")</f>
        <v/>
      </c>
      <c r="V667">
        <f>HYPERLINK("https://klasma.github.io/Logging_2482/klagomål/A 5009-2019 FSC-klagomål.docx", "A 5009-2019")</f>
        <v/>
      </c>
      <c r="W667">
        <f>HYPERLINK("https://klasma.github.io/Logging_2482/klagomålsmail/A 5009-2019 FSC-klagomål mail.docx", "A 5009-2019")</f>
        <v/>
      </c>
      <c r="X667">
        <f>HYPERLINK("https://klasma.github.io/Logging_2482/tillsyn/A 5009-2019 tillsynsbegäran.docx", "A 5009-2019")</f>
        <v/>
      </c>
      <c r="Y667">
        <f>HYPERLINK("https://klasma.github.io/Logging_2482/tillsynsmail/A 5009-2019 tillsynsbegäran mail.docx", "A 5009-2019")</f>
        <v/>
      </c>
    </row>
    <row r="668" ht="15" customHeight="1">
      <c r="A668" t="inlineStr">
        <is>
          <t>A 4034-2019</t>
        </is>
      </c>
      <c r="B668" s="1" t="n">
        <v>43482</v>
      </c>
      <c r="C668" s="1" t="n">
        <v>45357</v>
      </c>
      <c r="D668" t="inlineStr">
        <is>
          <t>VÄSTERBOTTENS LÄN</t>
        </is>
      </c>
      <c r="E668" t="inlineStr">
        <is>
          <t>SORSELE</t>
        </is>
      </c>
      <c r="F668" t="inlineStr">
        <is>
          <t>Övriga statliga verk och myndigheter</t>
        </is>
      </c>
      <c r="G668" t="n">
        <v>18.9</v>
      </c>
      <c r="H668" t="n">
        <v>1</v>
      </c>
      <c r="I668" t="n">
        <v>0</v>
      </c>
      <c r="J668" t="n">
        <v>1</v>
      </c>
      <c r="K668" t="n">
        <v>0</v>
      </c>
      <c r="L668" t="n">
        <v>0</v>
      </c>
      <c r="M668" t="n">
        <v>0</v>
      </c>
      <c r="N668" t="n">
        <v>0</v>
      </c>
      <c r="O668" t="n">
        <v>1</v>
      </c>
      <c r="P668" t="n">
        <v>0</v>
      </c>
      <c r="Q668" t="n">
        <v>1</v>
      </c>
      <c r="R668" s="2" t="inlineStr">
        <is>
          <t>Utter</t>
        </is>
      </c>
      <c r="S668">
        <f>HYPERLINK("https://klasma.github.io/Logging_2422/artfynd/A 4034-2019 artfynd.xlsx", "A 4034-2019")</f>
        <v/>
      </c>
      <c r="T668">
        <f>HYPERLINK("https://klasma.github.io/Logging_2422/kartor/A 4034-2019 karta.png", "A 4034-2019")</f>
        <v/>
      </c>
      <c r="V668">
        <f>HYPERLINK("https://klasma.github.io/Logging_2422/klagomål/A 4034-2019 FSC-klagomål.docx", "A 4034-2019")</f>
        <v/>
      </c>
      <c r="W668">
        <f>HYPERLINK("https://klasma.github.io/Logging_2422/klagomålsmail/A 4034-2019 FSC-klagomål mail.docx", "A 4034-2019")</f>
        <v/>
      </c>
      <c r="X668">
        <f>HYPERLINK("https://klasma.github.io/Logging_2422/tillsyn/A 4034-2019 tillsynsbegäran.docx", "A 4034-2019")</f>
        <v/>
      </c>
      <c r="Y668">
        <f>HYPERLINK("https://klasma.github.io/Logging_2422/tillsynsmail/A 4034-2019 tillsynsbegäran mail.docx", "A 4034-2019")</f>
        <v/>
      </c>
    </row>
    <row r="669" ht="15" customHeight="1">
      <c r="A669" t="inlineStr">
        <is>
          <t>A 4325-2019</t>
        </is>
      </c>
      <c r="B669" s="1" t="n">
        <v>43483</v>
      </c>
      <c r="C669" s="1" t="n">
        <v>45357</v>
      </c>
      <c r="D669" t="inlineStr">
        <is>
          <t>VÄSTERBOTTENS LÄN</t>
        </is>
      </c>
      <c r="E669" t="inlineStr">
        <is>
          <t>VINDELN</t>
        </is>
      </c>
      <c r="G669" t="n">
        <v>29.7</v>
      </c>
      <c r="H669" t="n">
        <v>1</v>
      </c>
      <c r="I669" t="n">
        <v>0</v>
      </c>
      <c r="J669" t="n">
        <v>0</v>
      </c>
      <c r="K669" t="n">
        <v>1</v>
      </c>
      <c r="L669" t="n">
        <v>0</v>
      </c>
      <c r="M669" t="n">
        <v>0</v>
      </c>
      <c r="N669" t="n">
        <v>0</v>
      </c>
      <c r="O669" t="n">
        <v>1</v>
      </c>
      <c r="P669" t="n">
        <v>1</v>
      </c>
      <c r="Q669" t="n">
        <v>1</v>
      </c>
      <c r="R669" s="2" t="inlineStr">
        <is>
          <t>Lappuggla</t>
        </is>
      </c>
      <c r="S669">
        <f>HYPERLINK("https://klasma.github.io/Logging_2404/artfynd/A 4325-2019 artfynd.xlsx", "A 4325-2019")</f>
        <v/>
      </c>
      <c r="T669">
        <f>HYPERLINK("https://klasma.github.io/Logging_2404/kartor/A 4325-2019 karta.png", "A 4325-2019")</f>
        <v/>
      </c>
      <c r="V669">
        <f>HYPERLINK("https://klasma.github.io/Logging_2404/klagomål/A 4325-2019 FSC-klagomål.docx", "A 4325-2019")</f>
        <v/>
      </c>
      <c r="W669">
        <f>HYPERLINK("https://klasma.github.io/Logging_2404/klagomålsmail/A 4325-2019 FSC-klagomål mail.docx", "A 4325-2019")</f>
        <v/>
      </c>
      <c r="X669">
        <f>HYPERLINK("https://klasma.github.io/Logging_2404/tillsyn/A 4325-2019 tillsynsbegäran.docx", "A 4325-2019")</f>
        <v/>
      </c>
      <c r="Y669">
        <f>HYPERLINK("https://klasma.github.io/Logging_2404/tillsynsmail/A 4325-2019 tillsynsbegäran mail.docx", "A 4325-2019")</f>
        <v/>
      </c>
      <c r="Z669">
        <f>HYPERLINK("https://klasma.github.io/Logging_2404/fåglar/A 4325-2019 prioriterade fågelarter.docx", "A 4325-2019")</f>
        <v/>
      </c>
    </row>
    <row r="670" ht="15" customHeight="1">
      <c r="A670" t="inlineStr">
        <is>
          <t>A 7144-2019</t>
        </is>
      </c>
      <c r="B670" s="1" t="n">
        <v>43489</v>
      </c>
      <c r="C670" s="1" t="n">
        <v>45357</v>
      </c>
      <c r="D670" t="inlineStr">
        <is>
          <t>VÄSTERBOTTENS LÄN</t>
        </is>
      </c>
      <c r="E670" t="inlineStr">
        <is>
          <t>NORDMALING</t>
        </is>
      </c>
      <c r="G670" t="n">
        <v>2.3</v>
      </c>
      <c r="H670" t="n">
        <v>0</v>
      </c>
      <c r="I670" t="n">
        <v>0</v>
      </c>
      <c r="J670" t="n">
        <v>1</v>
      </c>
      <c r="K670" t="n">
        <v>0</v>
      </c>
      <c r="L670" t="n">
        <v>0</v>
      </c>
      <c r="M670" t="n">
        <v>0</v>
      </c>
      <c r="N670" t="n">
        <v>0</v>
      </c>
      <c r="O670" t="n">
        <v>1</v>
      </c>
      <c r="P670" t="n">
        <v>0</v>
      </c>
      <c r="Q670" t="n">
        <v>1</v>
      </c>
      <c r="R670" s="2" t="inlineStr">
        <is>
          <t>Ullticka</t>
        </is>
      </c>
      <c r="S670">
        <f>HYPERLINK("https://klasma.github.io/Logging_2401/artfynd/A 7144-2019 artfynd.xlsx", "A 7144-2019")</f>
        <v/>
      </c>
      <c r="T670">
        <f>HYPERLINK("https://klasma.github.io/Logging_2401/kartor/A 7144-2019 karta.png", "A 7144-2019")</f>
        <v/>
      </c>
      <c r="V670">
        <f>HYPERLINK("https://klasma.github.io/Logging_2401/klagomål/A 7144-2019 FSC-klagomål.docx", "A 7144-2019")</f>
        <v/>
      </c>
      <c r="W670">
        <f>HYPERLINK("https://klasma.github.io/Logging_2401/klagomålsmail/A 7144-2019 FSC-klagomål mail.docx", "A 7144-2019")</f>
        <v/>
      </c>
      <c r="X670">
        <f>HYPERLINK("https://klasma.github.io/Logging_2401/tillsyn/A 7144-2019 tillsynsbegäran.docx", "A 7144-2019")</f>
        <v/>
      </c>
      <c r="Y670">
        <f>HYPERLINK("https://klasma.github.io/Logging_2401/tillsynsmail/A 7144-2019 tillsynsbegäran mail.docx", "A 7144-2019")</f>
        <v/>
      </c>
    </row>
    <row r="671" ht="15" customHeight="1">
      <c r="A671" t="inlineStr">
        <is>
          <t>A 7978-2019</t>
        </is>
      </c>
      <c r="B671" s="1" t="n">
        <v>43497</v>
      </c>
      <c r="C671" s="1" t="n">
        <v>45357</v>
      </c>
      <c r="D671" t="inlineStr">
        <is>
          <t>VÄSTERBOTTENS LÄN</t>
        </is>
      </c>
      <c r="E671" t="inlineStr">
        <is>
          <t>BJURHOLM</t>
        </is>
      </c>
      <c r="F671" t="inlineStr">
        <is>
          <t>SCA</t>
        </is>
      </c>
      <c r="G671" t="n">
        <v>3</v>
      </c>
      <c r="H671" t="n">
        <v>0</v>
      </c>
      <c r="I671" t="n">
        <v>0</v>
      </c>
      <c r="J671" t="n">
        <v>1</v>
      </c>
      <c r="K671" t="n">
        <v>0</v>
      </c>
      <c r="L671" t="n">
        <v>0</v>
      </c>
      <c r="M671" t="n">
        <v>0</v>
      </c>
      <c r="N671" t="n">
        <v>0</v>
      </c>
      <c r="O671" t="n">
        <v>1</v>
      </c>
      <c r="P671" t="n">
        <v>0</v>
      </c>
      <c r="Q671" t="n">
        <v>1</v>
      </c>
      <c r="R671" s="2" t="inlineStr">
        <is>
          <t>Gammelgransskål</t>
        </is>
      </c>
      <c r="S671">
        <f>HYPERLINK("https://klasma.github.io/Logging_2403/artfynd/A 7978-2019 artfynd.xlsx", "A 7978-2019")</f>
        <v/>
      </c>
      <c r="T671">
        <f>HYPERLINK("https://klasma.github.io/Logging_2403/kartor/A 7978-2019 karta.png", "A 7978-2019")</f>
        <v/>
      </c>
      <c r="V671">
        <f>HYPERLINK("https://klasma.github.io/Logging_2403/klagomål/A 7978-2019 FSC-klagomål.docx", "A 7978-2019")</f>
        <v/>
      </c>
      <c r="W671">
        <f>HYPERLINK("https://klasma.github.io/Logging_2403/klagomålsmail/A 7978-2019 FSC-klagomål mail.docx", "A 7978-2019")</f>
        <v/>
      </c>
      <c r="X671">
        <f>HYPERLINK("https://klasma.github.io/Logging_2403/tillsyn/A 7978-2019 tillsynsbegäran.docx", "A 7978-2019")</f>
        <v/>
      </c>
      <c r="Y671">
        <f>HYPERLINK("https://klasma.github.io/Logging_2403/tillsynsmail/A 7978-2019 tillsynsbegäran mail.docx", "A 7978-2019")</f>
        <v/>
      </c>
    </row>
    <row r="672" ht="15" customHeight="1">
      <c r="A672" t="inlineStr">
        <is>
          <t>A 7576-2019</t>
        </is>
      </c>
      <c r="B672" s="1" t="n">
        <v>43497</v>
      </c>
      <c r="C672" s="1" t="n">
        <v>45357</v>
      </c>
      <c r="D672" t="inlineStr">
        <is>
          <t>VÄSTERBOTTENS LÄN</t>
        </is>
      </c>
      <c r="E672" t="inlineStr">
        <is>
          <t>BJURHOLM</t>
        </is>
      </c>
      <c r="F672" t="inlineStr">
        <is>
          <t>SCA</t>
        </is>
      </c>
      <c r="G672" t="n">
        <v>39.8</v>
      </c>
      <c r="H672" t="n">
        <v>0</v>
      </c>
      <c r="I672" t="n">
        <v>1</v>
      </c>
      <c r="J672" t="n">
        <v>0</v>
      </c>
      <c r="K672" t="n">
        <v>0</v>
      </c>
      <c r="L672" t="n">
        <v>0</v>
      </c>
      <c r="M672" t="n">
        <v>0</v>
      </c>
      <c r="N672" t="n">
        <v>0</v>
      </c>
      <c r="O672" t="n">
        <v>0</v>
      </c>
      <c r="P672" t="n">
        <v>0</v>
      </c>
      <c r="Q672" t="n">
        <v>1</v>
      </c>
      <c r="R672" s="2" t="inlineStr">
        <is>
          <t>Skinnlav</t>
        </is>
      </c>
      <c r="S672">
        <f>HYPERLINK("https://klasma.github.io/Logging_2403/artfynd/A 7576-2019 artfynd.xlsx", "A 7576-2019")</f>
        <v/>
      </c>
      <c r="T672">
        <f>HYPERLINK("https://klasma.github.io/Logging_2403/kartor/A 7576-2019 karta.png", "A 7576-2019")</f>
        <v/>
      </c>
      <c r="V672">
        <f>HYPERLINK("https://klasma.github.io/Logging_2403/klagomål/A 7576-2019 FSC-klagomål.docx", "A 7576-2019")</f>
        <v/>
      </c>
      <c r="W672">
        <f>HYPERLINK("https://klasma.github.io/Logging_2403/klagomålsmail/A 7576-2019 FSC-klagomål mail.docx", "A 7576-2019")</f>
        <v/>
      </c>
      <c r="X672">
        <f>HYPERLINK("https://klasma.github.io/Logging_2403/tillsyn/A 7576-2019 tillsynsbegäran.docx", "A 7576-2019")</f>
        <v/>
      </c>
      <c r="Y672">
        <f>HYPERLINK("https://klasma.github.io/Logging_2403/tillsynsmail/A 7576-2019 tillsynsbegäran mail.docx", "A 7576-2019")</f>
        <v/>
      </c>
    </row>
    <row r="673" ht="15" customHeight="1">
      <c r="A673" t="inlineStr">
        <is>
          <t>A 7826-2019</t>
        </is>
      </c>
      <c r="B673" s="1" t="n">
        <v>43500</v>
      </c>
      <c r="C673" s="1" t="n">
        <v>45357</v>
      </c>
      <c r="D673" t="inlineStr">
        <is>
          <t>VÄSTERBOTTENS LÄN</t>
        </is>
      </c>
      <c r="E673" t="inlineStr">
        <is>
          <t>STORUMAN</t>
        </is>
      </c>
      <c r="G673" t="n">
        <v>2.2</v>
      </c>
      <c r="H673" t="n">
        <v>0</v>
      </c>
      <c r="I673" t="n">
        <v>0</v>
      </c>
      <c r="J673" t="n">
        <v>1</v>
      </c>
      <c r="K673" t="n">
        <v>0</v>
      </c>
      <c r="L673" t="n">
        <v>0</v>
      </c>
      <c r="M673" t="n">
        <v>0</v>
      </c>
      <c r="N673" t="n">
        <v>0</v>
      </c>
      <c r="O673" t="n">
        <v>1</v>
      </c>
      <c r="P673" t="n">
        <v>0</v>
      </c>
      <c r="Q673" t="n">
        <v>1</v>
      </c>
      <c r="R673" s="2" t="inlineStr">
        <is>
          <t>Gammelgransskål</t>
        </is>
      </c>
      <c r="S673">
        <f>HYPERLINK("https://klasma.github.io/Logging_2421/artfynd/A 7826-2019 artfynd.xlsx", "A 7826-2019")</f>
        <v/>
      </c>
      <c r="T673">
        <f>HYPERLINK("https://klasma.github.io/Logging_2421/kartor/A 7826-2019 karta.png", "A 7826-2019")</f>
        <v/>
      </c>
      <c r="V673">
        <f>HYPERLINK("https://klasma.github.io/Logging_2421/klagomål/A 7826-2019 FSC-klagomål.docx", "A 7826-2019")</f>
        <v/>
      </c>
      <c r="W673">
        <f>HYPERLINK("https://klasma.github.io/Logging_2421/klagomålsmail/A 7826-2019 FSC-klagomål mail.docx", "A 7826-2019")</f>
        <v/>
      </c>
      <c r="X673">
        <f>HYPERLINK("https://klasma.github.io/Logging_2421/tillsyn/A 7826-2019 tillsynsbegäran.docx", "A 7826-2019")</f>
        <v/>
      </c>
      <c r="Y673">
        <f>HYPERLINK("https://klasma.github.io/Logging_2421/tillsynsmail/A 7826-2019 tillsynsbegäran mail.docx", "A 7826-2019")</f>
        <v/>
      </c>
    </row>
    <row r="674" ht="15" customHeight="1">
      <c r="A674" t="inlineStr">
        <is>
          <t>A 13683-2019</t>
        </is>
      </c>
      <c r="B674" s="1" t="n">
        <v>43530</v>
      </c>
      <c r="C674" s="1" t="n">
        <v>45357</v>
      </c>
      <c r="D674" t="inlineStr">
        <is>
          <t>VÄSTERBOTTENS LÄN</t>
        </is>
      </c>
      <c r="E674" t="inlineStr">
        <is>
          <t>MALÅ</t>
        </is>
      </c>
      <c r="F674" t="inlineStr">
        <is>
          <t>SCA</t>
        </is>
      </c>
      <c r="G674" t="n">
        <v>1.5</v>
      </c>
      <c r="H674" t="n">
        <v>0</v>
      </c>
      <c r="I674" t="n">
        <v>0</v>
      </c>
      <c r="J674" t="n">
        <v>1</v>
      </c>
      <c r="K674" t="n">
        <v>0</v>
      </c>
      <c r="L674" t="n">
        <v>0</v>
      </c>
      <c r="M674" t="n">
        <v>0</v>
      </c>
      <c r="N674" t="n">
        <v>0</v>
      </c>
      <c r="O674" t="n">
        <v>1</v>
      </c>
      <c r="P674" t="n">
        <v>0</v>
      </c>
      <c r="Q674" t="n">
        <v>1</v>
      </c>
      <c r="R674" s="2" t="inlineStr">
        <is>
          <t>Gammelgransskål</t>
        </is>
      </c>
      <c r="S674">
        <f>HYPERLINK("https://klasma.github.io/Logging_2418/artfynd/A 13683-2019 artfynd.xlsx", "A 13683-2019")</f>
        <v/>
      </c>
      <c r="T674">
        <f>HYPERLINK("https://klasma.github.io/Logging_2418/kartor/A 13683-2019 karta.png", "A 13683-2019")</f>
        <v/>
      </c>
      <c r="V674">
        <f>HYPERLINK("https://klasma.github.io/Logging_2418/klagomål/A 13683-2019 FSC-klagomål.docx", "A 13683-2019")</f>
        <v/>
      </c>
      <c r="W674">
        <f>HYPERLINK("https://klasma.github.io/Logging_2418/klagomålsmail/A 13683-2019 FSC-klagomål mail.docx", "A 13683-2019")</f>
        <v/>
      </c>
      <c r="X674">
        <f>HYPERLINK("https://klasma.github.io/Logging_2418/tillsyn/A 13683-2019 tillsynsbegäran.docx", "A 13683-2019")</f>
        <v/>
      </c>
      <c r="Y674">
        <f>HYPERLINK("https://klasma.github.io/Logging_2418/tillsynsmail/A 13683-2019 tillsynsbegäran mail.docx", "A 13683-2019")</f>
        <v/>
      </c>
    </row>
    <row r="675" ht="15" customHeight="1">
      <c r="A675" t="inlineStr">
        <is>
          <t>A 14581-2019</t>
        </is>
      </c>
      <c r="B675" s="1" t="n">
        <v>43536</v>
      </c>
      <c r="C675" s="1" t="n">
        <v>45357</v>
      </c>
      <c r="D675" t="inlineStr">
        <is>
          <t>VÄSTERBOTTENS LÄN</t>
        </is>
      </c>
      <c r="E675" t="inlineStr">
        <is>
          <t>DOROTEA</t>
        </is>
      </c>
      <c r="F675" t="inlineStr">
        <is>
          <t>SCA</t>
        </is>
      </c>
      <c r="G675" t="n">
        <v>5.9</v>
      </c>
      <c r="H675" t="n">
        <v>0</v>
      </c>
      <c r="I675" t="n">
        <v>0</v>
      </c>
      <c r="J675" t="n">
        <v>1</v>
      </c>
      <c r="K675" t="n">
        <v>0</v>
      </c>
      <c r="L675" t="n">
        <v>0</v>
      </c>
      <c r="M675" t="n">
        <v>0</v>
      </c>
      <c r="N675" t="n">
        <v>0</v>
      </c>
      <c r="O675" t="n">
        <v>1</v>
      </c>
      <c r="P675" t="n">
        <v>0</v>
      </c>
      <c r="Q675" t="n">
        <v>1</v>
      </c>
      <c r="R675" s="2" t="inlineStr">
        <is>
          <t>Granticka</t>
        </is>
      </c>
      <c r="S675">
        <f>HYPERLINK("https://klasma.github.io/Logging_2425/artfynd/A 14581-2019 artfynd.xlsx", "A 14581-2019")</f>
        <v/>
      </c>
      <c r="T675">
        <f>HYPERLINK("https://klasma.github.io/Logging_2425/kartor/A 14581-2019 karta.png", "A 14581-2019")</f>
        <v/>
      </c>
      <c r="V675">
        <f>HYPERLINK("https://klasma.github.io/Logging_2425/klagomål/A 14581-2019 FSC-klagomål.docx", "A 14581-2019")</f>
        <v/>
      </c>
      <c r="W675">
        <f>HYPERLINK("https://klasma.github.io/Logging_2425/klagomålsmail/A 14581-2019 FSC-klagomål mail.docx", "A 14581-2019")</f>
        <v/>
      </c>
      <c r="X675">
        <f>HYPERLINK("https://klasma.github.io/Logging_2425/tillsyn/A 14581-2019 tillsynsbegäran.docx", "A 14581-2019")</f>
        <v/>
      </c>
      <c r="Y675">
        <f>HYPERLINK("https://klasma.github.io/Logging_2425/tillsynsmail/A 14581-2019 tillsynsbegäran mail.docx", "A 14581-2019")</f>
        <v/>
      </c>
    </row>
    <row r="676" ht="15" customHeight="1">
      <c r="A676" t="inlineStr">
        <is>
          <t>A 14821-2019</t>
        </is>
      </c>
      <c r="B676" s="1" t="n">
        <v>43538</v>
      </c>
      <c r="C676" s="1" t="n">
        <v>45357</v>
      </c>
      <c r="D676" t="inlineStr">
        <is>
          <t>VÄSTERBOTTENS LÄN</t>
        </is>
      </c>
      <c r="E676" t="inlineStr">
        <is>
          <t>ROBERTSFORS</t>
        </is>
      </c>
      <c r="G676" t="n">
        <v>0.9</v>
      </c>
      <c r="H676" t="n">
        <v>0</v>
      </c>
      <c r="I676" t="n">
        <v>0</v>
      </c>
      <c r="J676" t="n">
        <v>1</v>
      </c>
      <c r="K676" t="n">
        <v>0</v>
      </c>
      <c r="L676" t="n">
        <v>0</v>
      </c>
      <c r="M676" t="n">
        <v>0</v>
      </c>
      <c r="N676" t="n">
        <v>0</v>
      </c>
      <c r="O676" t="n">
        <v>1</v>
      </c>
      <c r="P676" t="n">
        <v>0</v>
      </c>
      <c r="Q676" t="n">
        <v>1</v>
      </c>
      <c r="R676" s="2" t="inlineStr">
        <is>
          <t>Granticka</t>
        </is>
      </c>
      <c r="S676">
        <f>HYPERLINK("https://klasma.github.io/Logging_2409/artfynd/A 14821-2019 artfynd.xlsx", "A 14821-2019")</f>
        <v/>
      </c>
      <c r="T676">
        <f>HYPERLINK("https://klasma.github.io/Logging_2409/kartor/A 14821-2019 karta.png", "A 14821-2019")</f>
        <v/>
      </c>
      <c r="V676">
        <f>HYPERLINK("https://klasma.github.io/Logging_2409/klagomål/A 14821-2019 FSC-klagomål.docx", "A 14821-2019")</f>
        <v/>
      </c>
      <c r="W676">
        <f>HYPERLINK("https://klasma.github.io/Logging_2409/klagomålsmail/A 14821-2019 FSC-klagomål mail.docx", "A 14821-2019")</f>
        <v/>
      </c>
      <c r="X676">
        <f>HYPERLINK("https://klasma.github.io/Logging_2409/tillsyn/A 14821-2019 tillsynsbegäran.docx", "A 14821-2019")</f>
        <v/>
      </c>
      <c r="Y676">
        <f>HYPERLINK("https://klasma.github.io/Logging_2409/tillsynsmail/A 14821-2019 tillsynsbegäran mail.docx", "A 14821-2019")</f>
        <v/>
      </c>
    </row>
    <row r="677" ht="15" customHeight="1">
      <c r="A677" t="inlineStr">
        <is>
          <t>A 19106-2019</t>
        </is>
      </c>
      <c r="B677" s="1" t="n">
        <v>43564</v>
      </c>
      <c r="C677" s="1" t="n">
        <v>45357</v>
      </c>
      <c r="D677" t="inlineStr">
        <is>
          <t>VÄSTERBOTTENS LÄN</t>
        </is>
      </c>
      <c r="E677" t="inlineStr">
        <is>
          <t>BJURHOLM</t>
        </is>
      </c>
      <c r="G677" t="n">
        <v>1.7</v>
      </c>
      <c r="H677" t="n">
        <v>0</v>
      </c>
      <c r="I677" t="n">
        <v>0</v>
      </c>
      <c r="J677" t="n">
        <v>1</v>
      </c>
      <c r="K677" t="n">
        <v>0</v>
      </c>
      <c r="L677" t="n">
        <v>0</v>
      </c>
      <c r="M677" t="n">
        <v>0</v>
      </c>
      <c r="N677" t="n">
        <v>0</v>
      </c>
      <c r="O677" t="n">
        <v>1</v>
      </c>
      <c r="P677" t="n">
        <v>0</v>
      </c>
      <c r="Q677" t="n">
        <v>1</v>
      </c>
      <c r="R677" s="2" t="inlineStr">
        <is>
          <t>Violettgrå tagellav</t>
        </is>
      </c>
      <c r="S677">
        <f>HYPERLINK("https://klasma.github.io/Logging_2403/artfynd/A 19106-2019 artfynd.xlsx", "A 19106-2019")</f>
        <v/>
      </c>
      <c r="T677">
        <f>HYPERLINK("https://klasma.github.io/Logging_2403/kartor/A 19106-2019 karta.png", "A 19106-2019")</f>
        <v/>
      </c>
      <c r="V677">
        <f>HYPERLINK("https://klasma.github.io/Logging_2403/klagomål/A 19106-2019 FSC-klagomål.docx", "A 19106-2019")</f>
        <v/>
      </c>
      <c r="W677">
        <f>HYPERLINK("https://klasma.github.io/Logging_2403/klagomålsmail/A 19106-2019 FSC-klagomål mail.docx", "A 19106-2019")</f>
        <v/>
      </c>
      <c r="X677">
        <f>HYPERLINK("https://klasma.github.io/Logging_2403/tillsyn/A 19106-2019 tillsynsbegäran.docx", "A 19106-2019")</f>
        <v/>
      </c>
      <c r="Y677">
        <f>HYPERLINK("https://klasma.github.io/Logging_2403/tillsynsmail/A 19106-2019 tillsynsbegäran mail.docx", "A 19106-2019")</f>
        <v/>
      </c>
    </row>
    <row r="678" ht="15" customHeight="1">
      <c r="A678" t="inlineStr">
        <is>
          <t>A 20337-2019</t>
        </is>
      </c>
      <c r="B678" s="1" t="n">
        <v>43570</v>
      </c>
      <c r="C678" s="1" t="n">
        <v>45357</v>
      </c>
      <c r="D678" t="inlineStr">
        <is>
          <t>VÄSTERBOTTENS LÄN</t>
        </is>
      </c>
      <c r="E678" t="inlineStr">
        <is>
          <t>NORSJÖ</t>
        </is>
      </c>
      <c r="G678" t="n">
        <v>6.4</v>
      </c>
      <c r="H678" t="n">
        <v>0</v>
      </c>
      <c r="I678" t="n">
        <v>0</v>
      </c>
      <c r="J678" t="n">
        <v>1</v>
      </c>
      <c r="K678" t="n">
        <v>0</v>
      </c>
      <c r="L678" t="n">
        <v>0</v>
      </c>
      <c r="M678" t="n">
        <v>0</v>
      </c>
      <c r="N678" t="n">
        <v>0</v>
      </c>
      <c r="O678" t="n">
        <v>1</v>
      </c>
      <c r="P678" t="n">
        <v>0</v>
      </c>
      <c r="Q678" t="n">
        <v>1</v>
      </c>
      <c r="R678" s="2" t="inlineStr">
        <is>
          <t>Dvärgbägarlav</t>
        </is>
      </c>
      <c r="S678">
        <f>HYPERLINK("https://klasma.github.io/Logging_2417/artfynd/A 20337-2019 artfynd.xlsx", "A 20337-2019")</f>
        <v/>
      </c>
      <c r="T678">
        <f>HYPERLINK("https://klasma.github.io/Logging_2417/kartor/A 20337-2019 karta.png", "A 20337-2019")</f>
        <v/>
      </c>
      <c r="V678">
        <f>HYPERLINK("https://klasma.github.io/Logging_2417/klagomål/A 20337-2019 FSC-klagomål.docx", "A 20337-2019")</f>
        <v/>
      </c>
      <c r="W678">
        <f>HYPERLINK("https://klasma.github.io/Logging_2417/klagomålsmail/A 20337-2019 FSC-klagomål mail.docx", "A 20337-2019")</f>
        <v/>
      </c>
      <c r="X678">
        <f>HYPERLINK("https://klasma.github.io/Logging_2417/tillsyn/A 20337-2019 tillsynsbegäran.docx", "A 20337-2019")</f>
        <v/>
      </c>
      <c r="Y678">
        <f>HYPERLINK("https://klasma.github.io/Logging_2417/tillsynsmail/A 20337-2019 tillsynsbegäran mail.docx", "A 20337-2019")</f>
        <v/>
      </c>
    </row>
    <row r="679" ht="15" customHeight="1">
      <c r="A679" t="inlineStr">
        <is>
          <t>A 20465-2019</t>
        </is>
      </c>
      <c r="B679" s="1" t="n">
        <v>43572</v>
      </c>
      <c r="C679" s="1" t="n">
        <v>45357</v>
      </c>
      <c r="D679" t="inlineStr">
        <is>
          <t>VÄSTERBOTTENS LÄN</t>
        </is>
      </c>
      <c r="E679" t="inlineStr">
        <is>
          <t>SKELLEFTEÅ</t>
        </is>
      </c>
      <c r="G679" t="n">
        <v>2.1</v>
      </c>
      <c r="H679" t="n">
        <v>0</v>
      </c>
      <c r="I679" t="n">
        <v>0</v>
      </c>
      <c r="J679" t="n">
        <v>1</v>
      </c>
      <c r="K679" t="n">
        <v>0</v>
      </c>
      <c r="L679" t="n">
        <v>0</v>
      </c>
      <c r="M679" t="n">
        <v>0</v>
      </c>
      <c r="N679" t="n">
        <v>0</v>
      </c>
      <c r="O679" t="n">
        <v>1</v>
      </c>
      <c r="P679" t="n">
        <v>0</v>
      </c>
      <c r="Q679" t="n">
        <v>1</v>
      </c>
      <c r="R679" s="2" t="inlineStr">
        <is>
          <t>Violettgrå tagellav</t>
        </is>
      </c>
      <c r="S679">
        <f>HYPERLINK("https://klasma.github.io/Logging_2482/artfynd/A 20465-2019 artfynd.xlsx", "A 20465-2019")</f>
        <v/>
      </c>
      <c r="T679">
        <f>HYPERLINK("https://klasma.github.io/Logging_2482/kartor/A 20465-2019 karta.png", "A 20465-2019")</f>
        <v/>
      </c>
      <c r="V679">
        <f>HYPERLINK("https://klasma.github.io/Logging_2482/klagomål/A 20465-2019 FSC-klagomål.docx", "A 20465-2019")</f>
        <v/>
      </c>
      <c r="W679">
        <f>HYPERLINK("https://klasma.github.io/Logging_2482/klagomålsmail/A 20465-2019 FSC-klagomål mail.docx", "A 20465-2019")</f>
        <v/>
      </c>
      <c r="X679">
        <f>HYPERLINK("https://klasma.github.io/Logging_2482/tillsyn/A 20465-2019 tillsynsbegäran.docx", "A 20465-2019")</f>
        <v/>
      </c>
      <c r="Y679">
        <f>HYPERLINK("https://klasma.github.io/Logging_2482/tillsynsmail/A 20465-2019 tillsynsbegäran mail.docx", "A 20465-2019")</f>
        <v/>
      </c>
    </row>
    <row r="680" ht="15" customHeight="1">
      <c r="A680" t="inlineStr">
        <is>
          <t>A 25651-2019</t>
        </is>
      </c>
      <c r="B680" s="1" t="n">
        <v>43602</v>
      </c>
      <c r="C680" s="1" t="n">
        <v>45357</v>
      </c>
      <c r="D680" t="inlineStr">
        <is>
          <t>VÄSTERBOTTENS LÄN</t>
        </is>
      </c>
      <c r="E680" t="inlineStr">
        <is>
          <t>SKELLEFTEÅ</t>
        </is>
      </c>
      <c r="G680" t="n">
        <v>16.9</v>
      </c>
      <c r="H680" t="n">
        <v>1</v>
      </c>
      <c r="I680" t="n">
        <v>0</v>
      </c>
      <c r="J680" t="n">
        <v>0</v>
      </c>
      <c r="K680" t="n">
        <v>0</v>
      </c>
      <c r="L680" t="n">
        <v>0</v>
      </c>
      <c r="M680" t="n">
        <v>0</v>
      </c>
      <c r="N680" t="n">
        <v>0</v>
      </c>
      <c r="O680" t="n">
        <v>0</v>
      </c>
      <c r="P680" t="n">
        <v>0</v>
      </c>
      <c r="Q680" t="n">
        <v>1</v>
      </c>
      <c r="R680" s="2" t="inlineStr">
        <is>
          <t>Fläcknycklar</t>
        </is>
      </c>
      <c r="S680">
        <f>HYPERLINK("https://klasma.github.io/Logging_2482/artfynd/A 25651-2019 artfynd.xlsx", "A 25651-2019")</f>
        <v/>
      </c>
      <c r="T680">
        <f>HYPERLINK("https://klasma.github.io/Logging_2482/kartor/A 25651-2019 karta.png", "A 25651-2019")</f>
        <v/>
      </c>
      <c r="V680">
        <f>HYPERLINK("https://klasma.github.io/Logging_2482/klagomål/A 25651-2019 FSC-klagomål.docx", "A 25651-2019")</f>
        <v/>
      </c>
      <c r="W680">
        <f>HYPERLINK("https://klasma.github.io/Logging_2482/klagomålsmail/A 25651-2019 FSC-klagomål mail.docx", "A 25651-2019")</f>
        <v/>
      </c>
      <c r="X680">
        <f>HYPERLINK("https://klasma.github.io/Logging_2482/tillsyn/A 25651-2019 tillsynsbegäran.docx", "A 25651-2019")</f>
        <v/>
      </c>
      <c r="Y680">
        <f>HYPERLINK("https://klasma.github.io/Logging_2482/tillsynsmail/A 25651-2019 tillsynsbegäran mail.docx", "A 25651-2019")</f>
        <v/>
      </c>
    </row>
    <row r="681" ht="15" customHeight="1">
      <c r="A681" t="inlineStr">
        <is>
          <t>A 31376-2019</t>
        </is>
      </c>
      <c r="B681" s="1" t="n">
        <v>43636</v>
      </c>
      <c r="C681" s="1" t="n">
        <v>45357</v>
      </c>
      <c r="D681" t="inlineStr">
        <is>
          <t>VÄSTERBOTTENS LÄN</t>
        </is>
      </c>
      <c r="E681" t="inlineStr">
        <is>
          <t>MALÅ</t>
        </is>
      </c>
      <c r="G681" t="n">
        <v>9</v>
      </c>
      <c r="H681" t="n">
        <v>1</v>
      </c>
      <c r="I681" t="n">
        <v>0</v>
      </c>
      <c r="J681" t="n">
        <v>1</v>
      </c>
      <c r="K681" t="n">
        <v>0</v>
      </c>
      <c r="L681" t="n">
        <v>0</v>
      </c>
      <c r="M681" t="n">
        <v>0</v>
      </c>
      <c r="N681" t="n">
        <v>0</v>
      </c>
      <c r="O681" t="n">
        <v>1</v>
      </c>
      <c r="P681" t="n">
        <v>0</v>
      </c>
      <c r="Q681" t="n">
        <v>1</v>
      </c>
      <c r="R681" s="2" t="inlineStr">
        <is>
          <t>Utter</t>
        </is>
      </c>
      <c r="S681">
        <f>HYPERLINK("https://klasma.github.io/Logging_2418/artfynd/A 31376-2019 artfynd.xlsx", "A 31376-2019")</f>
        <v/>
      </c>
      <c r="T681">
        <f>HYPERLINK("https://klasma.github.io/Logging_2418/kartor/A 31376-2019 karta.png", "A 31376-2019")</f>
        <v/>
      </c>
      <c r="V681">
        <f>HYPERLINK("https://klasma.github.io/Logging_2418/klagomål/A 31376-2019 FSC-klagomål.docx", "A 31376-2019")</f>
        <v/>
      </c>
      <c r="W681">
        <f>HYPERLINK("https://klasma.github.io/Logging_2418/klagomålsmail/A 31376-2019 FSC-klagomål mail.docx", "A 31376-2019")</f>
        <v/>
      </c>
      <c r="X681">
        <f>HYPERLINK("https://klasma.github.io/Logging_2418/tillsyn/A 31376-2019 tillsynsbegäran.docx", "A 31376-2019")</f>
        <v/>
      </c>
      <c r="Y681">
        <f>HYPERLINK("https://klasma.github.io/Logging_2418/tillsynsmail/A 31376-2019 tillsynsbegäran mail.docx", "A 31376-2019")</f>
        <v/>
      </c>
    </row>
    <row r="682" ht="15" customHeight="1">
      <c r="A682" t="inlineStr">
        <is>
          <t>A 32370-2019</t>
        </is>
      </c>
      <c r="B682" s="1" t="n">
        <v>43636</v>
      </c>
      <c r="C682" s="1" t="n">
        <v>45357</v>
      </c>
      <c r="D682" t="inlineStr">
        <is>
          <t>VÄSTERBOTTENS LÄN</t>
        </is>
      </c>
      <c r="E682" t="inlineStr">
        <is>
          <t>ÅSELE</t>
        </is>
      </c>
      <c r="F682" t="inlineStr">
        <is>
          <t>Sveaskog</t>
        </is>
      </c>
      <c r="G682" t="n">
        <v>19.4</v>
      </c>
      <c r="H682" t="n">
        <v>0</v>
      </c>
      <c r="I682" t="n">
        <v>0</v>
      </c>
      <c r="J682" t="n">
        <v>1</v>
      </c>
      <c r="K682" t="n">
        <v>0</v>
      </c>
      <c r="L682" t="n">
        <v>0</v>
      </c>
      <c r="M682" t="n">
        <v>0</v>
      </c>
      <c r="N682" t="n">
        <v>0</v>
      </c>
      <c r="O682" t="n">
        <v>1</v>
      </c>
      <c r="P682" t="n">
        <v>0</v>
      </c>
      <c r="Q682" t="n">
        <v>1</v>
      </c>
      <c r="R682" s="2" t="inlineStr">
        <is>
          <t>Garnlav</t>
        </is>
      </c>
      <c r="S682">
        <f>HYPERLINK("https://klasma.github.io/Logging_2463/artfynd/A 32370-2019 artfynd.xlsx", "A 32370-2019")</f>
        <v/>
      </c>
      <c r="T682">
        <f>HYPERLINK("https://klasma.github.io/Logging_2463/kartor/A 32370-2019 karta.png", "A 32370-2019")</f>
        <v/>
      </c>
      <c r="V682">
        <f>HYPERLINK("https://klasma.github.io/Logging_2463/klagomål/A 32370-2019 FSC-klagomål.docx", "A 32370-2019")</f>
        <v/>
      </c>
      <c r="W682">
        <f>HYPERLINK("https://klasma.github.io/Logging_2463/klagomålsmail/A 32370-2019 FSC-klagomål mail.docx", "A 32370-2019")</f>
        <v/>
      </c>
      <c r="X682">
        <f>HYPERLINK("https://klasma.github.io/Logging_2463/tillsyn/A 32370-2019 tillsynsbegäran.docx", "A 32370-2019")</f>
        <v/>
      </c>
      <c r="Y682">
        <f>HYPERLINK("https://klasma.github.io/Logging_2463/tillsynsmail/A 32370-2019 tillsynsbegäran mail.docx", "A 32370-2019")</f>
        <v/>
      </c>
    </row>
    <row r="683" ht="15" customHeight="1">
      <c r="A683" t="inlineStr">
        <is>
          <t>A 32631-2019</t>
        </is>
      </c>
      <c r="B683" s="1" t="n">
        <v>43647</v>
      </c>
      <c r="C683" s="1" t="n">
        <v>45357</v>
      </c>
      <c r="D683" t="inlineStr">
        <is>
          <t>VÄSTERBOTTENS LÄN</t>
        </is>
      </c>
      <c r="E683" t="inlineStr">
        <is>
          <t>VINDELN</t>
        </is>
      </c>
      <c r="F683" t="inlineStr">
        <is>
          <t>Sveaskog</t>
        </is>
      </c>
      <c r="G683" t="n">
        <v>7.7</v>
      </c>
      <c r="H683" t="n">
        <v>0</v>
      </c>
      <c r="I683" t="n">
        <v>0</v>
      </c>
      <c r="J683" t="n">
        <v>1</v>
      </c>
      <c r="K683" t="n">
        <v>0</v>
      </c>
      <c r="L683" t="n">
        <v>0</v>
      </c>
      <c r="M683" t="n">
        <v>0</v>
      </c>
      <c r="N683" t="n">
        <v>0</v>
      </c>
      <c r="O683" t="n">
        <v>1</v>
      </c>
      <c r="P683" t="n">
        <v>0</v>
      </c>
      <c r="Q683" t="n">
        <v>1</v>
      </c>
      <c r="R683" s="2" t="inlineStr">
        <is>
          <t>Lunglav</t>
        </is>
      </c>
      <c r="S683">
        <f>HYPERLINK("https://klasma.github.io/Logging_2404/artfynd/A 32631-2019 artfynd.xlsx", "A 32631-2019")</f>
        <v/>
      </c>
      <c r="T683">
        <f>HYPERLINK("https://klasma.github.io/Logging_2404/kartor/A 32631-2019 karta.png", "A 32631-2019")</f>
        <v/>
      </c>
      <c r="V683">
        <f>HYPERLINK("https://klasma.github.io/Logging_2404/klagomål/A 32631-2019 FSC-klagomål.docx", "A 32631-2019")</f>
        <v/>
      </c>
      <c r="W683">
        <f>HYPERLINK("https://klasma.github.io/Logging_2404/klagomålsmail/A 32631-2019 FSC-klagomål mail.docx", "A 32631-2019")</f>
        <v/>
      </c>
      <c r="X683">
        <f>HYPERLINK("https://klasma.github.io/Logging_2404/tillsyn/A 32631-2019 tillsynsbegäran.docx", "A 32631-2019")</f>
        <v/>
      </c>
      <c r="Y683">
        <f>HYPERLINK("https://klasma.github.io/Logging_2404/tillsynsmail/A 32631-2019 tillsynsbegäran mail.docx", "A 32631-2019")</f>
        <v/>
      </c>
    </row>
    <row r="684" ht="15" customHeight="1">
      <c r="A684" t="inlineStr">
        <is>
          <t>A 34058-2019</t>
        </is>
      </c>
      <c r="B684" s="1" t="n">
        <v>43654</v>
      </c>
      <c r="C684" s="1" t="n">
        <v>45357</v>
      </c>
      <c r="D684" t="inlineStr">
        <is>
          <t>VÄSTERBOTTENS LÄN</t>
        </is>
      </c>
      <c r="E684" t="inlineStr">
        <is>
          <t>SORSELE</t>
        </is>
      </c>
      <c r="F684" t="inlineStr">
        <is>
          <t>Sveaskog</t>
        </is>
      </c>
      <c r="G684" t="n">
        <v>1.1</v>
      </c>
      <c r="H684" t="n">
        <v>0</v>
      </c>
      <c r="I684" t="n">
        <v>0</v>
      </c>
      <c r="J684" t="n">
        <v>0</v>
      </c>
      <c r="K684" t="n">
        <v>1</v>
      </c>
      <c r="L684" t="n">
        <v>0</v>
      </c>
      <c r="M684" t="n">
        <v>0</v>
      </c>
      <c r="N684" t="n">
        <v>0</v>
      </c>
      <c r="O684" t="n">
        <v>1</v>
      </c>
      <c r="P684" t="n">
        <v>1</v>
      </c>
      <c r="Q684" t="n">
        <v>1</v>
      </c>
      <c r="R684" s="2" t="inlineStr">
        <is>
          <t>Rynkskinn</t>
        </is>
      </c>
      <c r="S684">
        <f>HYPERLINK("https://klasma.github.io/Logging_2422/artfynd/A 34058-2019 artfynd.xlsx", "A 34058-2019")</f>
        <v/>
      </c>
      <c r="T684">
        <f>HYPERLINK("https://klasma.github.io/Logging_2422/kartor/A 34058-2019 karta.png", "A 34058-2019")</f>
        <v/>
      </c>
      <c r="V684">
        <f>HYPERLINK("https://klasma.github.io/Logging_2422/klagomål/A 34058-2019 FSC-klagomål.docx", "A 34058-2019")</f>
        <v/>
      </c>
      <c r="W684">
        <f>HYPERLINK("https://klasma.github.io/Logging_2422/klagomålsmail/A 34058-2019 FSC-klagomål mail.docx", "A 34058-2019")</f>
        <v/>
      </c>
      <c r="X684">
        <f>HYPERLINK("https://klasma.github.io/Logging_2422/tillsyn/A 34058-2019 tillsynsbegäran.docx", "A 34058-2019")</f>
        <v/>
      </c>
      <c r="Y684">
        <f>HYPERLINK("https://klasma.github.io/Logging_2422/tillsynsmail/A 34058-2019 tillsynsbegäran mail.docx", "A 34058-2019")</f>
        <v/>
      </c>
    </row>
    <row r="685" ht="15" customHeight="1">
      <c r="A685" t="inlineStr">
        <is>
          <t>A 35565-2019</t>
        </is>
      </c>
      <c r="B685" s="1" t="n">
        <v>43664</v>
      </c>
      <c r="C685" s="1" t="n">
        <v>45357</v>
      </c>
      <c r="D685" t="inlineStr">
        <is>
          <t>VÄSTERBOTTENS LÄN</t>
        </is>
      </c>
      <c r="E685" t="inlineStr">
        <is>
          <t>ÅSELE</t>
        </is>
      </c>
      <c r="F685" t="inlineStr">
        <is>
          <t>Sveaskog</t>
        </is>
      </c>
      <c r="G685" t="n">
        <v>2.1</v>
      </c>
      <c r="H685" t="n">
        <v>0</v>
      </c>
      <c r="I685" t="n">
        <v>0</v>
      </c>
      <c r="J685" t="n">
        <v>1</v>
      </c>
      <c r="K685" t="n">
        <v>0</v>
      </c>
      <c r="L685" t="n">
        <v>0</v>
      </c>
      <c r="M685" t="n">
        <v>0</v>
      </c>
      <c r="N685" t="n">
        <v>0</v>
      </c>
      <c r="O685" t="n">
        <v>1</v>
      </c>
      <c r="P685" t="n">
        <v>0</v>
      </c>
      <c r="Q685" t="n">
        <v>1</v>
      </c>
      <c r="R685" s="2" t="inlineStr">
        <is>
          <t>Vitgrynig nållav</t>
        </is>
      </c>
      <c r="S685">
        <f>HYPERLINK("https://klasma.github.io/Logging_2463/artfynd/A 35565-2019 artfynd.xlsx", "A 35565-2019")</f>
        <v/>
      </c>
      <c r="T685">
        <f>HYPERLINK("https://klasma.github.io/Logging_2463/kartor/A 35565-2019 karta.png", "A 35565-2019")</f>
        <v/>
      </c>
      <c r="V685">
        <f>HYPERLINK("https://klasma.github.io/Logging_2463/klagomål/A 35565-2019 FSC-klagomål.docx", "A 35565-2019")</f>
        <v/>
      </c>
      <c r="W685">
        <f>HYPERLINK("https://klasma.github.io/Logging_2463/klagomålsmail/A 35565-2019 FSC-klagomål mail.docx", "A 35565-2019")</f>
        <v/>
      </c>
      <c r="X685">
        <f>HYPERLINK("https://klasma.github.io/Logging_2463/tillsyn/A 35565-2019 tillsynsbegäran.docx", "A 35565-2019")</f>
        <v/>
      </c>
      <c r="Y685">
        <f>HYPERLINK("https://klasma.github.io/Logging_2463/tillsynsmail/A 35565-2019 tillsynsbegäran mail.docx", "A 35565-2019")</f>
        <v/>
      </c>
    </row>
    <row r="686" ht="15" customHeight="1">
      <c r="A686" t="inlineStr">
        <is>
          <t>A 36373-2019</t>
        </is>
      </c>
      <c r="B686" s="1" t="n">
        <v>43670</v>
      </c>
      <c r="C686" s="1" t="n">
        <v>45357</v>
      </c>
      <c r="D686" t="inlineStr">
        <is>
          <t>VÄSTERBOTTENS LÄN</t>
        </is>
      </c>
      <c r="E686" t="inlineStr">
        <is>
          <t>LYCKSELE</t>
        </is>
      </c>
      <c r="F686" t="inlineStr">
        <is>
          <t>Sveaskog</t>
        </is>
      </c>
      <c r="G686" t="n">
        <v>2</v>
      </c>
      <c r="H686" t="n">
        <v>0</v>
      </c>
      <c r="I686" t="n">
        <v>1</v>
      </c>
      <c r="J686" t="n">
        <v>0</v>
      </c>
      <c r="K686" t="n">
        <v>0</v>
      </c>
      <c r="L686" t="n">
        <v>0</v>
      </c>
      <c r="M686" t="n">
        <v>0</v>
      </c>
      <c r="N686" t="n">
        <v>0</v>
      </c>
      <c r="O686" t="n">
        <v>0</v>
      </c>
      <c r="P686" t="n">
        <v>0</v>
      </c>
      <c r="Q686" t="n">
        <v>1</v>
      </c>
      <c r="R686" s="2" t="inlineStr">
        <is>
          <t>Stor aspticka</t>
        </is>
      </c>
      <c r="S686">
        <f>HYPERLINK("https://klasma.github.io/Logging_2481/artfynd/A 36373-2019 artfynd.xlsx", "A 36373-2019")</f>
        <v/>
      </c>
      <c r="T686">
        <f>HYPERLINK("https://klasma.github.io/Logging_2481/kartor/A 36373-2019 karta.png", "A 36373-2019")</f>
        <v/>
      </c>
      <c r="U686">
        <f>HYPERLINK("https://klasma.github.io/Logging_2481/knärot/A 36373-2019 karta knärot.png", "A 36373-2019")</f>
        <v/>
      </c>
      <c r="V686">
        <f>HYPERLINK("https://klasma.github.io/Logging_2481/klagomål/A 36373-2019 FSC-klagomål.docx", "A 36373-2019")</f>
        <v/>
      </c>
      <c r="W686">
        <f>HYPERLINK("https://klasma.github.io/Logging_2481/klagomålsmail/A 36373-2019 FSC-klagomål mail.docx", "A 36373-2019")</f>
        <v/>
      </c>
      <c r="X686">
        <f>HYPERLINK("https://klasma.github.io/Logging_2481/tillsyn/A 36373-2019 tillsynsbegäran.docx", "A 36373-2019")</f>
        <v/>
      </c>
      <c r="Y686">
        <f>HYPERLINK("https://klasma.github.io/Logging_2481/tillsynsmail/A 36373-2019 tillsynsbegäran mail.docx", "A 36373-2019")</f>
        <v/>
      </c>
    </row>
    <row r="687" ht="15" customHeight="1">
      <c r="A687" t="inlineStr">
        <is>
          <t>A 39136-2019</t>
        </is>
      </c>
      <c r="B687" s="1" t="n">
        <v>43689</v>
      </c>
      <c r="C687" s="1" t="n">
        <v>45357</v>
      </c>
      <c r="D687" t="inlineStr">
        <is>
          <t>VÄSTERBOTTENS LÄN</t>
        </is>
      </c>
      <c r="E687" t="inlineStr">
        <is>
          <t>BJURHOLM</t>
        </is>
      </c>
      <c r="G687" t="n">
        <v>2.2</v>
      </c>
      <c r="H687" t="n">
        <v>0</v>
      </c>
      <c r="I687" t="n">
        <v>0</v>
      </c>
      <c r="J687" t="n">
        <v>1</v>
      </c>
      <c r="K687" t="n">
        <v>0</v>
      </c>
      <c r="L687" t="n">
        <v>0</v>
      </c>
      <c r="M687" t="n">
        <v>0</v>
      </c>
      <c r="N687" t="n">
        <v>0</v>
      </c>
      <c r="O687" t="n">
        <v>1</v>
      </c>
      <c r="P687" t="n">
        <v>0</v>
      </c>
      <c r="Q687" t="n">
        <v>1</v>
      </c>
      <c r="R687" s="2" t="inlineStr">
        <is>
          <t>Lunglav</t>
        </is>
      </c>
      <c r="S687">
        <f>HYPERLINK("https://klasma.github.io/Logging_2403/artfynd/A 39136-2019 artfynd.xlsx", "A 39136-2019")</f>
        <v/>
      </c>
      <c r="T687">
        <f>HYPERLINK("https://klasma.github.io/Logging_2403/kartor/A 39136-2019 karta.png", "A 39136-2019")</f>
        <v/>
      </c>
      <c r="V687">
        <f>HYPERLINK("https://klasma.github.io/Logging_2403/klagomål/A 39136-2019 FSC-klagomål.docx", "A 39136-2019")</f>
        <v/>
      </c>
      <c r="W687">
        <f>HYPERLINK("https://klasma.github.io/Logging_2403/klagomålsmail/A 39136-2019 FSC-klagomål mail.docx", "A 39136-2019")</f>
        <v/>
      </c>
      <c r="X687">
        <f>HYPERLINK("https://klasma.github.io/Logging_2403/tillsyn/A 39136-2019 tillsynsbegäran.docx", "A 39136-2019")</f>
        <v/>
      </c>
      <c r="Y687">
        <f>HYPERLINK("https://klasma.github.io/Logging_2403/tillsynsmail/A 39136-2019 tillsynsbegäran mail.docx", "A 39136-2019")</f>
        <v/>
      </c>
    </row>
    <row r="688" ht="15" customHeight="1">
      <c r="A688" t="inlineStr">
        <is>
          <t>A 51211-2019</t>
        </is>
      </c>
      <c r="B688" s="1" t="n">
        <v>43739</v>
      </c>
      <c r="C688" s="1" t="n">
        <v>45357</v>
      </c>
      <c r="D688" t="inlineStr">
        <is>
          <t>VÄSTERBOTTENS LÄN</t>
        </is>
      </c>
      <c r="E688" t="inlineStr">
        <is>
          <t>LYCKSELE</t>
        </is>
      </c>
      <c r="F688" t="inlineStr">
        <is>
          <t>Kyrkan</t>
        </is>
      </c>
      <c r="G688" t="n">
        <v>4.1</v>
      </c>
      <c r="H688" t="n">
        <v>0</v>
      </c>
      <c r="I688" t="n">
        <v>1</v>
      </c>
      <c r="J688" t="n">
        <v>0</v>
      </c>
      <c r="K688" t="n">
        <v>0</v>
      </c>
      <c r="L688" t="n">
        <v>0</v>
      </c>
      <c r="M688" t="n">
        <v>0</v>
      </c>
      <c r="N688" t="n">
        <v>0</v>
      </c>
      <c r="O688" t="n">
        <v>0</v>
      </c>
      <c r="P688" t="n">
        <v>0</v>
      </c>
      <c r="Q688" t="n">
        <v>1</v>
      </c>
      <c r="R688" s="2" t="inlineStr">
        <is>
          <t>Skarp dropptaggsvamp</t>
        </is>
      </c>
      <c r="S688">
        <f>HYPERLINK("https://klasma.github.io/Logging_2481/artfynd/A 51211-2019 artfynd.xlsx", "A 51211-2019")</f>
        <v/>
      </c>
      <c r="T688">
        <f>HYPERLINK("https://klasma.github.io/Logging_2481/kartor/A 51211-2019 karta.png", "A 51211-2019")</f>
        <v/>
      </c>
      <c r="V688">
        <f>HYPERLINK("https://klasma.github.io/Logging_2481/klagomål/A 51211-2019 FSC-klagomål.docx", "A 51211-2019")</f>
        <v/>
      </c>
      <c r="W688">
        <f>HYPERLINK("https://klasma.github.io/Logging_2481/klagomålsmail/A 51211-2019 FSC-klagomål mail.docx", "A 51211-2019")</f>
        <v/>
      </c>
      <c r="X688">
        <f>HYPERLINK("https://klasma.github.io/Logging_2481/tillsyn/A 51211-2019 tillsynsbegäran.docx", "A 51211-2019")</f>
        <v/>
      </c>
      <c r="Y688">
        <f>HYPERLINK("https://klasma.github.io/Logging_2481/tillsynsmail/A 51211-2019 tillsynsbegäran mail.docx", "A 51211-2019")</f>
        <v/>
      </c>
    </row>
    <row r="689" ht="15" customHeight="1">
      <c r="A689" t="inlineStr">
        <is>
          <t>A 51461-2019</t>
        </is>
      </c>
      <c r="B689" s="1" t="n">
        <v>43740</v>
      </c>
      <c r="C689" s="1" t="n">
        <v>45357</v>
      </c>
      <c r="D689" t="inlineStr">
        <is>
          <t>VÄSTERBOTTENS LÄN</t>
        </is>
      </c>
      <c r="E689" t="inlineStr">
        <is>
          <t>SKELLEFTEÅ</t>
        </is>
      </c>
      <c r="F689" t="inlineStr">
        <is>
          <t>Sveaskog</t>
        </is>
      </c>
      <c r="G689" t="n">
        <v>12.2</v>
      </c>
      <c r="H689" t="n">
        <v>0</v>
      </c>
      <c r="I689" t="n">
        <v>0</v>
      </c>
      <c r="J689" t="n">
        <v>0</v>
      </c>
      <c r="K689" t="n">
        <v>0</v>
      </c>
      <c r="L689" t="n">
        <v>1</v>
      </c>
      <c r="M689" t="n">
        <v>0</v>
      </c>
      <c r="N689" t="n">
        <v>0</v>
      </c>
      <c r="O689" t="n">
        <v>1</v>
      </c>
      <c r="P689" t="n">
        <v>1</v>
      </c>
      <c r="Q689" t="n">
        <v>1</v>
      </c>
      <c r="R689" s="2" t="inlineStr">
        <is>
          <t>Flodpärlmussla</t>
        </is>
      </c>
      <c r="S689">
        <f>HYPERLINK("https://klasma.github.io/Logging_2482/artfynd/A 51461-2019 artfynd.xlsx", "A 51461-2019")</f>
        <v/>
      </c>
      <c r="T689">
        <f>HYPERLINK("https://klasma.github.io/Logging_2482/kartor/A 51461-2019 karta.png", "A 51461-2019")</f>
        <v/>
      </c>
      <c r="V689">
        <f>HYPERLINK("https://klasma.github.io/Logging_2482/klagomål/A 51461-2019 FSC-klagomål.docx", "A 51461-2019")</f>
        <v/>
      </c>
      <c r="W689">
        <f>HYPERLINK("https://klasma.github.io/Logging_2482/klagomålsmail/A 51461-2019 FSC-klagomål mail.docx", "A 51461-2019")</f>
        <v/>
      </c>
      <c r="X689">
        <f>HYPERLINK("https://klasma.github.io/Logging_2482/tillsyn/A 51461-2019 tillsynsbegäran.docx", "A 51461-2019")</f>
        <v/>
      </c>
      <c r="Y689">
        <f>HYPERLINK("https://klasma.github.io/Logging_2482/tillsynsmail/A 51461-2019 tillsynsbegäran mail.docx", "A 51461-2019")</f>
        <v/>
      </c>
    </row>
    <row r="690" ht="15" customHeight="1">
      <c r="A690" t="inlineStr">
        <is>
          <t>A 51774-2019</t>
        </is>
      </c>
      <c r="B690" s="1" t="n">
        <v>43741</v>
      </c>
      <c r="C690" s="1" t="n">
        <v>45357</v>
      </c>
      <c r="D690" t="inlineStr">
        <is>
          <t>VÄSTERBOTTENS LÄN</t>
        </is>
      </c>
      <c r="E690" t="inlineStr">
        <is>
          <t>VILHELMINA</t>
        </is>
      </c>
      <c r="F690" t="inlineStr">
        <is>
          <t>Allmännings- och besparingsskogar</t>
        </is>
      </c>
      <c r="G690" t="n">
        <v>19.9</v>
      </c>
      <c r="H690" t="n">
        <v>1</v>
      </c>
      <c r="I690" t="n">
        <v>0</v>
      </c>
      <c r="J690" t="n">
        <v>1</v>
      </c>
      <c r="K690" t="n">
        <v>0</v>
      </c>
      <c r="L690" t="n">
        <v>0</v>
      </c>
      <c r="M690" t="n">
        <v>0</v>
      </c>
      <c r="N690" t="n">
        <v>0</v>
      </c>
      <c r="O690" t="n">
        <v>1</v>
      </c>
      <c r="P690" t="n">
        <v>0</v>
      </c>
      <c r="Q690" t="n">
        <v>1</v>
      </c>
      <c r="R690" s="2" t="inlineStr">
        <is>
          <t>Tretåig hackspett</t>
        </is>
      </c>
      <c r="S690">
        <f>HYPERLINK("https://klasma.github.io/Logging_2462/artfynd/A 51774-2019 artfynd.xlsx", "A 51774-2019")</f>
        <v/>
      </c>
      <c r="T690">
        <f>HYPERLINK("https://klasma.github.io/Logging_2462/kartor/A 51774-2019 karta.png", "A 51774-2019")</f>
        <v/>
      </c>
      <c r="V690">
        <f>HYPERLINK("https://klasma.github.io/Logging_2462/klagomål/A 51774-2019 FSC-klagomål.docx", "A 51774-2019")</f>
        <v/>
      </c>
      <c r="W690">
        <f>HYPERLINK("https://klasma.github.io/Logging_2462/klagomålsmail/A 51774-2019 FSC-klagomål mail.docx", "A 51774-2019")</f>
        <v/>
      </c>
      <c r="X690">
        <f>HYPERLINK("https://klasma.github.io/Logging_2462/tillsyn/A 51774-2019 tillsynsbegäran.docx", "A 51774-2019")</f>
        <v/>
      </c>
      <c r="Y690">
        <f>HYPERLINK("https://klasma.github.io/Logging_2462/tillsynsmail/A 51774-2019 tillsynsbegäran mail.docx", "A 51774-2019")</f>
        <v/>
      </c>
      <c r="Z690">
        <f>HYPERLINK("https://klasma.github.io/Logging_2462/fåglar/A 51774-2019 prioriterade fågelarter.docx", "A 51774-2019")</f>
        <v/>
      </c>
    </row>
    <row r="691" ht="15" customHeight="1">
      <c r="A691" t="inlineStr">
        <is>
          <t>A 53745-2019</t>
        </is>
      </c>
      <c r="B691" s="1" t="n">
        <v>43749</v>
      </c>
      <c r="C691" s="1" t="n">
        <v>45357</v>
      </c>
      <c r="D691" t="inlineStr">
        <is>
          <t>VÄSTERBOTTENS LÄN</t>
        </is>
      </c>
      <c r="E691" t="inlineStr">
        <is>
          <t>UMEÅ</t>
        </is>
      </c>
      <c r="G691" t="n">
        <v>1.9</v>
      </c>
      <c r="H691" t="n">
        <v>0</v>
      </c>
      <c r="I691" t="n">
        <v>1</v>
      </c>
      <c r="J691" t="n">
        <v>0</v>
      </c>
      <c r="K691" t="n">
        <v>0</v>
      </c>
      <c r="L691" t="n">
        <v>0</v>
      </c>
      <c r="M691" t="n">
        <v>0</v>
      </c>
      <c r="N691" t="n">
        <v>0</v>
      </c>
      <c r="O691" t="n">
        <v>0</v>
      </c>
      <c r="P691" t="n">
        <v>0</v>
      </c>
      <c r="Q691" t="n">
        <v>1</v>
      </c>
      <c r="R691" s="2" t="inlineStr">
        <is>
          <t>Strutbräken</t>
        </is>
      </c>
      <c r="S691">
        <f>HYPERLINK("https://klasma.github.io/Logging_2480/artfynd/A 53745-2019 artfynd.xlsx", "A 53745-2019")</f>
        <v/>
      </c>
      <c r="T691">
        <f>HYPERLINK("https://klasma.github.io/Logging_2480/kartor/A 53745-2019 karta.png", "A 53745-2019")</f>
        <v/>
      </c>
      <c r="V691">
        <f>HYPERLINK("https://klasma.github.io/Logging_2480/klagomål/A 53745-2019 FSC-klagomål.docx", "A 53745-2019")</f>
        <v/>
      </c>
      <c r="W691">
        <f>HYPERLINK("https://klasma.github.io/Logging_2480/klagomålsmail/A 53745-2019 FSC-klagomål mail.docx", "A 53745-2019")</f>
        <v/>
      </c>
      <c r="X691">
        <f>HYPERLINK("https://klasma.github.io/Logging_2480/tillsyn/A 53745-2019 tillsynsbegäran.docx", "A 53745-2019")</f>
        <v/>
      </c>
      <c r="Y691">
        <f>HYPERLINK("https://klasma.github.io/Logging_2480/tillsynsmail/A 53745-2019 tillsynsbegäran mail.docx", "A 53745-2019")</f>
        <v/>
      </c>
    </row>
    <row r="692" ht="15" customHeight="1">
      <c r="A692" t="inlineStr">
        <is>
          <t>A 54215-2019</t>
        </is>
      </c>
      <c r="B692" s="1" t="n">
        <v>43753</v>
      </c>
      <c r="C692" s="1" t="n">
        <v>45357</v>
      </c>
      <c r="D692" t="inlineStr">
        <is>
          <t>VÄSTERBOTTENS LÄN</t>
        </is>
      </c>
      <c r="E692" t="inlineStr">
        <is>
          <t>BJURHOLM</t>
        </is>
      </c>
      <c r="F692" t="inlineStr">
        <is>
          <t>Holmen skog AB</t>
        </is>
      </c>
      <c r="G692" t="n">
        <v>2.6</v>
      </c>
      <c r="H692" t="n">
        <v>1</v>
      </c>
      <c r="I692" t="n">
        <v>0</v>
      </c>
      <c r="J692" t="n">
        <v>0</v>
      </c>
      <c r="K692" t="n">
        <v>1</v>
      </c>
      <c r="L692" t="n">
        <v>0</v>
      </c>
      <c r="M692" t="n">
        <v>0</v>
      </c>
      <c r="N692" t="n">
        <v>0</v>
      </c>
      <c r="O692" t="n">
        <v>1</v>
      </c>
      <c r="P692" t="n">
        <v>1</v>
      </c>
      <c r="Q692" t="n">
        <v>1</v>
      </c>
      <c r="R692" s="2" t="inlineStr">
        <is>
          <t>Knärot</t>
        </is>
      </c>
      <c r="S692">
        <f>HYPERLINK("https://klasma.github.io/Logging_2403/artfynd/A 54215-2019 artfynd.xlsx", "A 54215-2019")</f>
        <v/>
      </c>
      <c r="T692">
        <f>HYPERLINK("https://klasma.github.io/Logging_2403/kartor/A 54215-2019 karta.png", "A 54215-2019")</f>
        <v/>
      </c>
      <c r="U692">
        <f>HYPERLINK("https://klasma.github.io/Logging_2403/knärot/A 54215-2019 karta knärot.png", "A 54215-2019")</f>
        <v/>
      </c>
      <c r="V692">
        <f>HYPERLINK("https://klasma.github.io/Logging_2403/klagomål/A 54215-2019 FSC-klagomål.docx", "A 54215-2019")</f>
        <v/>
      </c>
      <c r="W692">
        <f>HYPERLINK("https://klasma.github.io/Logging_2403/klagomålsmail/A 54215-2019 FSC-klagomål mail.docx", "A 54215-2019")</f>
        <v/>
      </c>
      <c r="X692">
        <f>HYPERLINK("https://klasma.github.io/Logging_2403/tillsyn/A 54215-2019 tillsynsbegäran.docx", "A 54215-2019")</f>
        <v/>
      </c>
      <c r="Y692">
        <f>HYPERLINK("https://klasma.github.io/Logging_2403/tillsynsmail/A 54215-2019 tillsynsbegäran mail.docx", "A 54215-2019")</f>
        <v/>
      </c>
    </row>
    <row r="693" ht="15" customHeight="1">
      <c r="A693" t="inlineStr">
        <is>
          <t>A 56907-2019</t>
        </is>
      </c>
      <c r="B693" s="1" t="n">
        <v>43766</v>
      </c>
      <c r="C693" s="1" t="n">
        <v>45357</v>
      </c>
      <c r="D693" t="inlineStr">
        <is>
          <t>VÄSTERBOTTENS LÄN</t>
        </is>
      </c>
      <c r="E693" t="inlineStr">
        <is>
          <t>STORUMAN</t>
        </is>
      </c>
      <c r="F693" t="inlineStr">
        <is>
          <t>Sveaskog</t>
        </is>
      </c>
      <c r="G693" t="n">
        <v>2</v>
      </c>
      <c r="H693" t="n">
        <v>0</v>
      </c>
      <c r="I693" t="n">
        <v>1</v>
      </c>
      <c r="J693" t="n">
        <v>0</v>
      </c>
      <c r="K693" t="n">
        <v>0</v>
      </c>
      <c r="L693" t="n">
        <v>0</v>
      </c>
      <c r="M693" t="n">
        <v>0</v>
      </c>
      <c r="N693" t="n">
        <v>0</v>
      </c>
      <c r="O693" t="n">
        <v>0</v>
      </c>
      <c r="P693" t="n">
        <v>0</v>
      </c>
      <c r="Q693" t="n">
        <v>1</v>
      </c>
      <c r="R693" s="2" t="inlineStr">
        <is>
          <t>Skinnlav</t>
        </is>
      </c>
      <c r="S693">
        <f>HYPERLINK("https://klasma.github.io/Logging_2421/artfynd/A 56907-2019 artfynd.xlsx", "A 56907-2019")</f>
        <v/>
      </c>
      <c r="T693">
        <f>HYPERLINK("https://klasma.github.io/Logging_2421/kartor/A 56907-2019 karta.png", "A 56907-2019")</f>
        <v/>
      </c>
      <c r="V693">
        <f>HYPERLINK("https://klasma.github.io/Logging_2421/klagomål/A 56907-2019 FSC-klagomål.docx", "A 56907-2019")</f>
        <v/>
      </c>
      <c r="W693">
        <f>HYPERLINK("https://klasma.github.io/Logging_2421/klagomålsmail/A 56907-2019 FSC-klagomål mail.docx", "A 56907-2019")</f>
        <v/>
      </c>
      <c r="X693">
        <f>HYPERLINK("https://klasma.github.io/Logging_2421/tillsyn/A 56907-2019 tillsynsbegäran.docx", "A 56907-2019")</f>
        <v/>
      </c>
      <c r="Y693">
        <f>HYPERLINK("https://klasma.github.io/Logging_2421/tillsynsmail/A 56907-2019 tillsynsbegäran mail.docx", "A 56907-2019")</f>
        <v/>
      </c>
    </row>
    <row r="694" ht="15" customHeight="1">
      <c r="A694" t="inlineStr">
        <is>
          <t>A 59424-2019</t>
        </is>
      </c>
      <c r="B694" s="1" t="n">
        <v>43775</v>
      </c>
      <c r="C694" s="1" t="n">
        <v>45357</v>
      </c>
      <c r="D694" t="inlineStr">
        <is>
          <t>VÄSTERBOTTENS LÄN</t>
        </is>
      </c>
      <c r="E694" t="inlineStr">
        <is>
          <t>VILHELMINA</t>
        </is>
      </c>
      <c r="G694" t="n">
        <v>17.4</v>
      </c>
      <c r="H694" t="n">
        <v>0</v>
      </c>
      <c r="I694" t="n">
        <v>0</v>
      </c>
      <c r="J694" t="n">
        <v>1</v>
      </c>
      <c r="K694" t="n">
        <v>0</v>
      </c>
      <c r="L694" t="n">
        <v>0</v>
      </c>
      <c r="M694" t="n">
        <v>0</v>
      </c>
      <c r="N694" t="n">
        <v>0</v>
      </c>
      <c r="O694" t="n">
        <v>1</v>
      </c>
      <c r="P694" t="n">
        <v>0</v>
      </c>
      <c r="Q694" t="n">
        <v>1</v>
      </c>
      <c r="R694" s="2" t="inlineStr">
        <is>
          <t>Granticka</t>
        </is>
      </c>
      <c r="S694">
        <f>HYPERLINK("https://klasma.github.io/Logging_2462/artfynd/A 59424-2019 artfynd.xlsx", "A 59424-2019")</f>
        <v/>
      </c>
      <c r="T694">
        <f>HYPERLINK("https://klasma.github.io/Logging_2462/kartor/A 59424-2019 karta.png", "A 59424-2019")</f>
        <v/>
      </c>
      <c r="V694">
        <f>HYPERLINK("https://klasma.github.io/Logging_2462/klagomål/A 59424-2019 FSC-klagomål.docx", "A 59424-2019")</f>
        <v/>
      </c>
      <c r="W694">
        <f>HYPERLINK("https://klasma.github.io/Logging_2462/klagomålsmail/A 59424-2019 FSC-klagomål mail.docx", "A 59424-2019")</f>
        <v/>
      </c>
      <c r="X694">
        <f>HYPERLINK("https://klasma.github.io/Logging_2462/tillsyn/A 59424-2019 tillsynsbegäran.docx", "A 59424-2019")</f>
        <v/>
      </c>
      <c r="Y694">
        <f>HYPERLINK("https://klasma.github.io/Logging_2462/tillsynsmail/A 59424-2019 tillsynsbegäran mail.docx", "A 59424-2019")</f>
        <v/>
      </c>
    </row>
    <row r="695" ht="15" customHeight="1">
      <c r="A695" t="inlineStr">
        <is>
          <t>A 60563-2019</t>
        </is>
      </c>
      <c r="B695" s="1" t="n">
        <v>43781</v>
      </c>
      <c r="C695" s="1" t="n">
        <v>45357</v>
      </c>
      <c r="D695" t="inlineStr">
        <is>
          <t>VÄSTERBOTTENS LÄN</t>
        </is>
      </c>
      <c r="E695" t="inlineStr">
        <is>
          <t>LYCKSELE</t>
        </is>
      </c>
      <c r="F695" t="inlineStr">
        <is>
          <t>Sveaskog</t>
        </is>
      </c>
      <c r="G695" t="n">
        <v>25.1</v>
      </c>
      <c r="H695" t="n">
        <v>0</v>
      </c>
      <c r="I695" t="n">
        <v>0</v>
      </c>
      <c r="J695" t="n">
        <v>1</v>
      </c>
      <c r="K695" t="n">
        <v>0</v>
      </c>
      <c r="L695" t="n">
        <v>0</v>
      </c>
      <c r="M695" t="n">
        <v>0</v>
      </c>
      <c r="N695" t="n">
        <v>0</v>
      </c>
      <c r="O695" t="n">
        <v>1</v>
      </c>
      <c r="P695" t="n">
        <v>0</v>
      </c>
      <c r="Q695" t="n">
        <v>1</v>
      </c>
      <c r="R695" s="2" t="inlineStr">
        <is>
          <t>Lunglav</t>
        </is>
      </c>
      <c r="S695">
        <f>HYPERLINK("https://klasma.github.io/Logging_2481/artfynd/A 60563-2019 artfynd.xlsx", "A 60563-2019")</f>
        <v/>
      </c>
      <c r="T695">
        <f>HYPERLINK("https://klasma.github.io/Logging_2481/kartor/A 60563-2019 karta.png", "A 60563-2019")</f>
        <v/>
      </c>
      <c r="V695">
        <f>HYPERLINK("https://klasma.github.io/Logging_2481/klagomål/A 60563-2019 FSC-klagomål.docx", "A 60563-2019")</f>
        <v/>
      </c>
      <c r="W695">
        <f>HYPERLINK("https://klasma.github.io/Logging_2481/klagomålsmail/A 60563-2019 FSC-klagomål mail.docx", "A 60563-2019")</f>
        <v/>
      </c>
      <c r="X695">
        <f>HYPERLINK("https://klasma.github.io/Logging_2481/tillsyn/A 60563-2019 tillsynsbegäran.docx", "A 60563-2019")</f>
        <v/>
      </c>
      <c r="Y695">
        <f>HYPERLINK("https://klasma.github.io/Logging_2481/tillsynsmail/A 60563-2019 tillsynsbegäran mail.docx", "A 60563-2019")</f>
        <v/>
      </c>
    </row>
    <row r="696" ht="15" customHeight="1">
      <c r="A696" t="inlineStr">
        <is>
          <t>A 61542-2019</t>
        </is>
      </c>
      <c r="B696" s="1" t="n">
        <v>43784</v>
      </c>
      <c r="C696" s="1" t="n">
        <v>45357</v>
      </c>
      <c r="D696" t="inlineStr">
        <is>
          <t>VÄSTERBOTTENS LÄN</t>
        </is>
      </c>
      <c r="E696" t="inlineStr">
        <is>
          <t>NORSJÖ</t>
        </is>
      </c>
      <c r="F696" t="inlineStr">
        <is>
          <t>Sveaskog</t>
        </is>
      </c>
      <c r="G696" t="n">
        <v>31.1</v>
      </c>
      <c r="H696" t="n">
        <v>0</v>
      </c>
      <c r="I696" t="n">
        <v>0</v>
      </c>
      <c r="J696" t="n">
        <v>1</v>
      </c>
      <c r="K696" t="n">
        <v>0</v>
      </c>
      <c r="L696" t="n">
        <v>0</v>
      </c>
      <c r="M696" t="n">
        <v>0</v>
      </c>
      <c r="N696" t="n">
        <v>0</v>
      </c>
      <c r="O696" t="n">
        <v>1</v>
      </c>
      <c r="P696" t="n">
        <v>0</v>
      </c>
      <c r="Q696" t="n">
        <v>1</v>
      </c>
      <c r="R696" s="2" t="inlineStr">
        <is>
          <t>Lunglav</t>
        </is>
      </c>
      <c r="S696">
        <f>HYPERLINK("https://klasma.github.io/Logging_2417/artfynd/A 61542-2019 artfynd.xlsx", "A 61542-2019")</f>
        <v/>
      </c>
      <c r="T696">
        <f>HYPERLINK("https://klasma.github.io/Logging_2417/kartor/A 61542-2019 karta.png", "A 61542-2019")</f>
        <v/>
      </c>
      <c r="V696">
        <f>HYPERLINK("https://klasma.github.io/Logging_2417/klagomål/A 61542-2019 FSC-klagomål.docx", "A 61542-2019")</f>
        <v/>
      </c>
      <c r="W696">
        <f>HYPERLINK("https://klasma.github.io/Logging_2417/klagomålsmail/A 61542-2019 FSC-klagomål mail.docx", "A 61542-2019")</f>
        <v/>
      </c>
      <c r="X696">
        <f>HYPERLINK("https://klasma.github.io/Logging_2417/tillsyn/A 61542-2019 tillsynsbegäran.docx", "A 61542-2019")</f>
        <v/>
      </c>
      <c r="Y696">
        <f>HYPERLINK("https://klasma.github.io/Logging_2417/tillsynsmail/A 61542-2019 tillsynsbegäran mail.docx", "A 61542-2019")</f>
        <v/>
      </c>
    </row>
    <row r="697" ht="15" customHeight="1">
      <c r="A697" t="inlineStr">
        <is>
          <t>A 63411-2019</t>
        </is>
      </c>
      <c r="B697" s="1" t="n">
        <v>43787</v>
      </c>
      <c r="C697" s="1" t="n">
        <v>45357</v>
      </c>
      <c r="D697" t="inlineStr">
        <is>
          <t>VÄSTERBOTTENS LÄN</t>
        </is>
      </c>
      <c r="E697" t="inlineStr">
        <is>
          <t>NORDMALING</t>
        </is>
      </c>
      <c r="F697" t="inlineStr">
        <is>
          <t>SCA</t>
        </is>
      </c>
      <c r="G697" t="n">
        <v>6.3</v>
      </c>
      <c r="H697" t="n">
        <v>0</v>
      </c>
      <c r="I697" t="n">
        <v>1</v>
      </c>
      <c r="J697" t="n">
        <v>0</v>
      </c>
      <c r="K697" t="n">
        <v>0</v>
      </c>
      <c r="L697" t="n">
        <v>0</v>
      </c>
      <c r="M697" t="n">
        <v>0</v>
      </c>
      <c r="N697" t="n">
        <v>0</v>
      </c>
      <c r="O697" t="n">
        <v>0</v>
      </c>
      <c r="P697" t="n">
        <v>0</v>
      </c>
      <c r="Q697" t="n">
        <v>1</v>
      </c>
      <c r="R697" s="2" t="inlineStr">
        <is>
          <t>Jättesvampmal</t>
        </is>
      </c>
      <c r="S697">
        <f>HYPERLINK("https://klasma.github.io/Logging_2401/artfynd/A 63411-2019 artfynd.xlsx", "A 63411-2019")</f>
        <v/>
      </c>
      <c r="T697">
        <f>HYPERLINK("https://klasma.github.io/Logging_2401/kartor/A 63411-2019 karta.png", "A 63411-2019")</f>
        <v/>
      </c>
      <c r="V697">
        <f>HYPERLINK("https://klasma.github.io/Logging_2401/klagomål/A 63411-2019 FSC-klagomål.docx", "A 63411-2019")</f>
        <v/>
      </c>
      <c r="W697">
        <f>HYPERLINK("https://klasma.github.io/Logging_2401/klagomålsmail/A 63411-2019 FSC-klagomål mail.docx", "A 63411-2019")</f>
        <v/>
      </c>
      <c r="X697">
        <f>HYPERLINK("https://klasma.github.io/Logging_2401/tillsyn/A 63411-2019 tillsynsbegäran.docx", "A 63411-2019")</f>
        <v/>
      </c>
      <c r="Y697">
        <f>HYPERLINK("https://klasma.github.io/Logging_2401/tillsynsmail/A 63411-2019 tillsynsbegäran mail.docx", "A 63411-2019")</f>
        <v/>
      </c>
    </row>
    <row r="698" ht="15" customHeight="1">
      <c r="A698" t="inlineStr">
        <is>
          <t>A 63673-2019</t>
        </is>
      </c>
      <c r="B698" s="1" t="n">
        <v>43789</v>
      </c>
      <c r="C698" s="1" t="n">
        <v>45357</v>
      </c>
      <c r="D698" t="inlineStr">
        <is>
          <t>VÄSTERBOTTENS LÄN</t>
        </is>
      </c>
      <c r="E698" t="inlineStr">
        <is>
          <t>STORUMAN</t>
        </is>
      </c>
      <c r="G698" t="n">
        <v>4.1</v>
      </c>
      <c r="H698" t="n">
        <v>1</v>
      </c>
      <c r="I698" t="n">
        <v>0</v>
      </c>
      <c r="J698" t="n">
        <v>0</v>
      </c>
      <c r="K698" t="n">
        <v>1</v>
      </c>
      <c r="L698" t="n">
        <v>0</v>
      </c>
      <c r="M698" t="n">
        <v>0</v>
      </c>
      <c r="N698" t="n">
        <v>0</v>
      </c>
      <c r="O698" t="n">
        <v>1</v>
      </c>
      <c r="P698" t="n">
        <v>1</v>
      </c>
      <c r="Q698" t="n">
        <v>1</v>
      </c>
      <c r="R698" s="2" t="inlineStr">
        <is>
          <t>Doftticka</t>
        </is>
      </c>
      <c r="S698">
        <f>HYPERLINK("https://klasma.github.io/Logging_2421/artfynd/A 63673-2019 artfynd.xlsx", "A 63673-2019")</f>
        <v/>
      </c>
      <c r="T698">
        <f>HYPERLINK("https://klasma.github.io/Logging_2421/kartor/A 63673-2019 karta.png", "A 63673-2019")</f>
        <v/>
      </c>
      <c r="V698">
        <f>HYPERLINK("https://klasma.github.io/Logging_2421/klagomål/A 63673-2019 FSC-klagomål.docx", "A 63673-2019")</f>
        <v/>
      </c>
      <c r="W698">
        <f>HYPERLINK("https://klasma.github.io/Logging_2421/klagomålsmail/A 63673-2019 FSC-klagomål mail.docx", "A 63673-2019")</f>
        <v/>
      </c>
      <c r="X698">
        <f>HYPERLINK("https://klasma.github.io/Logging_2421/tillsyn/A 63673-2019 tillsynsbegäran.docx", "A 63673-2019")</f>
        <v/>
      </c>
      <c r="Y698">
        <f>HYPERLINK("https://klasma.github.io/Logging_2421/tillsynsmail/A 63673-2019 tillsynsbegäran mail.docx", "A 63673-2019")</f>
        <v/>
      </c>
    </row>
    <row r="699" ht="15" customHeight="1">
      <c r="A699" t="inlineStr">
        <is>
          <t>A 63709-2019</t>
        </is>
      </c>
      <c r="B699" s="1" t="n">
        <v>43795</v>
      </c>
      <c r="C699" s="1" t="n">
        <v>45357</v>
      </c>
      <c r="D699" t="inlineStr">
        <is>
          <t>VÄSTERBOTTENS LÄN</t>
        </is>
      </c>
      <c r="E699" t="inlineStr">
        <is>
          <t>SKELLEFTEÅ</t>
        </is>
      </c>
      <c r="F699" t="inlineStr">
        <is>
          <t>Sveaskog</t>
        </is>
      </c>
      <c r="G699" t="n">
        <v>39.7</v>
      </c>
      <c r="H699" t="n">
        <v>1</v>
      </c>
      <c r="I699" t="n">
        <v>0</v>
      </c>
      <c r="J699" t="n">
        <v>0</v>
      </c>
      <c r="K699" t="n">
        <v>0</v>
      </c>
      <c r="L699" t="n">
        <v>0</v>
      </c>
      <c r="M699" t="n">
        <v>0</v>
      </c>
      <c r="N699" t="n">
        <v>0</v>
      </c>
      <c r="O699" t="n">
        <v>0</v>
      </c>
      <c r="P699" t="n">
        <v>0</v>
      </c>
      <c r="Q699" t="n">
        <v>1</v>
      </c>
      <c r="R699" s="2" t="inlineStr">
        <is>
          <t>Fläcknycklar</t>
        </is>
      </c>
      <c r="S699">
        <f>HYPERLINK("https://klasma.github.io/Logging_2482/artfynd/A 63709-2019 artfynd.xlsx", "A 63709-2019")</f>
        <v/>
      </c>
      <c r="T699">
        <f>HYPERLINK("https://klasma.github.io/Logging_2482/kartor/A 63709-2019 karta.png", "A 63709-2019")</f>
        <v/>
      </c>
      <c r="V699">
        <f>HYPERLINK("https://klasma.github.io/Logging_2482/klagomål/A 63709-2019 FSC-klagomål.docx", "A 63709-2019")</f>
        <v/>
      </c>
      <c r="W699">
        <f>HYPERLINK("https://klasma.github.io/Logging_2482/klagomålsmail/A 63709-2019 FSC-klagomål mail.docx", "A 63709-2019")</f>
        <v/>
      </c>
      <c r="X699">
        <f>HYPERLINK("https://klasma.github.io/Logging_2482/tillsyn/A 63709-2019 tillsynsbegäran.docx", "A 63709-2019")</f>
        <v/>
      </c>
      <c r="Y699">
        <f>HYPERLINK("https://klasma.github.io/Logging_2482/tillsynsmail/A 63709-2019 tillsynsbegäran mail.docx", "A 63709-2019")</f>
        <v/>
      </c>
    </row>
    <row r="700" ht="15" customHeight="1">
      <c r="A700" t="inlineStr">
        <is>
          <t>A 65562-2019</t>
        </is>
      </c>
      <c r="B700" s="1" t="n">
        <v>43803</v>
      </c>
      <c r="C700" s="1" t="n">
        <v>45357</v>
      </c>
      <c r="D700" t="inlineStr">
        <is>
          <t>VÄSTERBOTTENS LÄN</t>
        </is>
      </c>
      <c r="E700" t="inlineStr">
        <is>
          <t>ÅSELE</t>
        </is>
      </c>
      <c r="F700" t="inlineStr">
        <is>
          <t>SCA</t>
        </is>
      </c>
      <c r="G700" t="n">
        <v>5.8</v>
      </c>
      <c r="H700" t="n">
        <v>0</v>
      </c>
      <c r="I700" t="n">
        <v>0</v>
      </c>
      <c r="J700" t="n">
        <v>1</v>
      </c>
      <c r="K700" t="n">
        <v>0</v>
      </c>
      <c r="L700" t="n">
        <v>0</v>
      </c>
      <c r="M700" t="n">
        <v>0</v>
      </c>
      <c r="N700" t="n">
        <v>0</v>
      </c>
      <c r="O700" t="n">
        <v>1</v>
      </c>
      <c r="P700" t="n">
        <v>0</v>
      </c>
      <c r="Q700" t="n">
        <v>1</v>
      </c>
      <c r="R700" s="2" t="inlineStr">
        <is>
          <t>Rosenticka</t>
        </is>
      </c>
      <c r="S700">
        <f>HYPERLINK("https://klasma.github.io/Logging_2463/artfynd/A 65562-2019 artfynd.xlsx", "A 65562-2019")</f>
        <v/>
      </c>
      <c r="T700">
        <f>HYPERLINK("https://klasma.github.io/Logging_2463/kartor/A 65562-2019 karta.png", "A 65562-2019")</f>
        <v/>
      </c>
      <c r="V700">
        <f>HYPERLINK("https://klasma.github.io/Logging_2463/klagomål/A 65562-2019 FSC-klagomål.docx", "A 65562-2019")</f>
        <v/>
      </c>
      <c r="W700">
        <f>HYPERLINK("https://klasma.github.io/Logging_2463/klagomålsmail/A 65562-2019 FSC-klagomål mail.docx", "A 65562-2019")</f>
        <v/>
      </c>
      <c r="X700">
        <f>HYPERLINK("https://klasma.github.io/Logging_2463/tillsyn/A 65562-2019 tillsynsbegäran.docx", "A 65562-2019")</f>
        <v/>
      </c>
      <c r="Y700">
        <f>HYPERLINK("https://klasma.github.io/Logging_2463/tillsynsmail/A 65562-2019 tillsynsbegäran mail.docx", "A 65562-2019")</f>
        <v/>
      </c>
    </row>
    <row r="701" ht="15" customHeight="1">
      <c r="A701" t="inlineStr">
        <is>
          <t>A 67975-2019</t>
        </is>
      </c>
      <c r="B701" s="1" t="n">
        <v>43816</v>
      </c>
      <c r="C701" s="1" t="n">
        <v>45357</v>
      </c>
      <c r="D701" t="inlineStr">
        <is>
          <t>VÄSTERBOTTENS LÄN</t>
        </is>
      </c>
      <c r="E701" t="inlineStr">
        <is>
          <t>LYCKSELE</t>
        </is>
      </c>
      <c r="F701" t="inlineStr">
        <is>
          <t>Sveaskog</t>
        </is>
      </c>
      <c r="G701" t="n">
        <v>11.5</v>
      </c>
      <c r="H701" t="n">
        <v>0</v>
      </c>
      <c r="I701" t="n">
        <v>0</v>
      </c>
      <c r="J701" t="n">
        <v>1</v>
      </c>
      <c r="K701" t="n">
        <v>0</v>
      </c>
      <c r="L701" t="n">
        <v>0</v>
      </c>
      <c r="M701" t="n">
        <v>0</v>
      </c>
      <c r="N701" t="n">
        <v>0</v>
      </c>
      <c r="O701" t="n">
        <v>1</v>
      </c>
      <c r="P701" t="n">
        <v>0</v>
      </c>
      <c r="Q701" t="n">
        <v>1</v>
      </c>
      <c r="R701" s="2" t="inlineStr">
        <is>
          <t>Lunglav</t>
        </is>
      </c>
      <c r="S701">
        <f>HYPERLINK("https://klasma.github.io/Logging_2481/artfynd/A 67975-2019 artfynd.xlsx", "A 67975-2019")</f>
        <v/>
      </c>
      <c r="T701">
        <f>HYPERLINK("https://klasma.github.io/Logging_2481/kartor/A 67975-2019 karta.png", "A 67975-2019")</f>
        <v/>
      </c>
      <c r="V701">
        <f>HYPERLINK("https://klasma.github.io/Logging_2481/klagomål/A 67975-2019 FSC-klagomål.docx", "A 67975-2019")</f>
        <v/>
      </c>
      <c r="W701">
        <f>HYPERLINK("https://klasma.github.io/Logging_2481/klagomålsmail/A 67975-2019 FSC-klagomål mail.docx", "A 67975-2019")</f>
        <v/>
      </c>
      <c r="X701">
        <f>HYPERLINK("https://klasma.github.io/Logging_2481/tillsyn/A 67975-2019 tillsynsbegäran.docx", "A 67975-2019")</f>
        <v/>
      </c>
      <c r="Y701">
        <f>HYPERLINK("https://klasma.github.io/Logging_2481/tillsynsmail/A 67975-2019 tillsynsbegäran mail.docx", "A 67975-2019")</f>
        <v/>
      </c>
    </row>
    <row r="702" ht="15" customHeight="1">
      <c r="A702" t="inlineStr">
        <is>
          <t>A 68098-2019</t>
        </is>
      </c>
      <c r="B702" s="1" t="n">
        <v>43817</v>
      </c>
      <c r="C702" s="1" t="n">
        <v>45357</v>
      </c>
      <c r="D702" t="inlineStr">
        <is>
          <t>VÄSTERBOTTENS LÄN</t>
        </is>
      </c>
      <c r="E702" t="inlineStr">
        <is>
          <t>LYCKSELE</t>
        </is>
      </c>
      <c r="F702" t="inlineStr">
        <is>
          <t>Sveaskog</t>
        </is>
      </c>
      <c r="G702" t="n">
        <v>5.1</v>
      </c>
      <c r="H702" t="n">
        <v>0</v>
      </c>
      <c r="I702" t="n">
        <v>0</v>
      </c>
      <c r="J702" t="n">
        <v>1</v>
      </c>
      <c r="K702" t="n">
        <v>0</v>
      </c>
      <c r="L702" t="n">
        <v>0</v>
      </c>
      <c r="M702" t="n">
        <v>0</v>
      </c>
      <c r="N702" t="n">
        <v>0</v>
      </c>
      <c r="O702" t="n">
        <v>1</v>
      </c>
      <c r="P702" t="n">
        <v>0</v>
      </c>
      <c r="Q702" t="n">
        <v>1</v>
      </c>
      <c r="R702" s="2" t="inlineStr">
        <is>
          <t>Harticka</t>
        </is>
      </c>
      <c r="S702">
        <f>HYPERLINK("https://klasma.github.io/Logging_2481/artfynd/A 68098-2019 artfynd.xlsx", "A 68098-2019")</f>
        <v/>
      </c>
      <c r="T702">
        <f>HYPERLINK("https://klasma.github.io/Logging_2481/kartor/A 68098-2019 karta.png", "A 68098-2019")</f>
        <v/>
      </c>
      <c r="V702">
        <f>HYPERLINK("https://klasma.github.io/Logging_2481/klagomål/A 68098-2019 FSC-klagomål.docx", "A 68098-2019")</f>
        <v/>
      </c>
      <c r="W702">
        <f>HYPERLINK("https://klasma.github.io/Logging_2481/klagomålsmail/A 68098-2019 FSC-klagomål mail.docx", "A 68098-2019")</f>
        <v/>
      </c>
      <c r="X702">
        <f>HYPERLINK("https://klasma.github.io/Logging_2481/tillsyn/A 68098-2019 tillsynsbegäran.docx", "A 68098-2019")</f>
        <v/>
      </c>
      <c r="Y702">
        <f>HYPERLINK("https://klasma.github.io/Logging_2481/tillsynsmail/A 68098-2019 tillsynsbegäran mail.docx", "A 68098-2019")</f>
        <v/>
      </c>
    </row>
    <row r="703" ht="15" customHeight="1">
      <c r="A703" t="inlineStr">
        <is>
          <t>A 220-2020</t>
        </is>
      </c>
      <c r="B703" s="1" t="n">
        <v>43833</v>
      </c>
      <c r="C703" s="1" t="n">
        <v>45357</v>
      </c>
      <c r="D703" t="inlineStr">
        <is>
          <t>VÄSTERBOTTENS LÄN</t>
        </is>
      </c>
      <c r="E703" t="inlineStr">
        <is>
          <t>VILHELMINA</t>
        </is>
      </c>
      <c r="F703" t="inlineStr">
        <is>
          <t>SCA</t>
        </is>
      </c>
      <c r="G703" t="n">
        <v>3.2</v>
      </c>
      <c r="H703" t="n">
        <v>0</v>
      </c>
      <c r="I703" t="n">
        <v>0</v>
      </c>
      <c r="J703" t="n">
        <v>1</v>
      </c>
      <c r="K703" t="n">
        <v>0</v>
      </c>
      <c r="L703" t="n">
        <v>0</v>
      </c>
      <c r="M703" t="n">
        <v>0</v>
      </c>
      <c r="N703" t="n">
        <v>0</v>
      </c>
      <c r="O703" t="n">
        <v>1</v>
      </c>
      <c r="P703" t="n">
        <v>0</v>
      </c>
      <c r="Q703" t="n">
        <v>1</v>
      </c>
      <c r="R703" s="2" t="inlineStr">
        <is>
          <t>Vedskivlav</t>
        </is>
      </c>
      <c r="S703">
        <f>HYPERLINK("https://klasma.github.io/Logging_2462/artfynd/A 220-2020 artfynd.xlsx", "A 220-2020")</f>
        <v/>
      </c>
      <c r="T703">
        <f>HYPERLINK("https://klasma.github.io/Logging_2462/kartor/A 220-2020 karta.png", "A 220-2020")</f>
        <v/>
      </c>
      <c r="V703">
        <f>HYPERLINK("https://klasma.github.io/Logging_2462/klagomål/A 220-2020 FSC-klagomål.docx", "A 220-2020")</f>
        <v/>
      </c>
      <c r="W703">
        <f>HYPERLINK("https://klasma.github.io/Logging_2462/klagomålsmail/A 220-2020 FSC-klagomål mail.docx", "A 220-2020")</f>
        <v/>
      </c>
      <c r="X703">
        <f>HYPERLINK("https://klasma.github.io/Logging_2462/tillsyn/A 220-2020 tillsynsbegäran.docx", "A 220-2020")</f>
        <v/>
      </c>
      <c r="Y703">
        <f>HYPERLINK("https://klasma.github.io/Logging_2462/tillsynsmail/A 220-2020 tillsynsbegäran mail.docx", "A 220-2020")</f>
        <v/>
      </c>
    </row>
    <row r="704" ht="15" customHeight="1">
      <c r="A704" t="inlineStr">
        <is>
          <t>A 495-2020</t>
        </is>
      </c>
      <c r="B704" s="1" t="n">
        <v>43837</v>
      </c>
      <c r="C704" s="1" t="n">
        <v>45357</v>
      </c>
      <c r="D704" t="inlineStr">
        <is>
          <t>VÄSTERBOTTENS LÄN</t>
        </is>
      </c>
      <c r="E704" t="inlineStr">
        <is>
          <t>BJURHOLM</t>
        </is>
      </c>
      <c r="F704" t="inlineStr">
        <is>
          <t>Sveaskog</t>
        </is>
      </c>
      <c r="G704" t="n">
        <v>10.7</v>
      </c>
      <c r="H704" t="n">
        <v>0</v>
      </c>
      <c r="I704" t="n">
        <v>0</v>
      </c>
      <c r="J704" t="n">
        <v>1</v>
      </c>
      <c r="K704" t="n">
        <v>0</v>
      </c>
      <c r="L704" t="n">
        <v>0</v>
      </c>
      <c r="M704" t="n">
        <v>0</v>
      </c>
      <c r="N704" t="n">
        <v>0</v>
      </c>
      <c r="O704" t="n">
        <v>1</v>
      </c>
      <c r="P704" t="n">
        <v>0</v>
      </c>
      <c r="Q704" t="n">
        <v>1</v>
      </c>
      <c r="R704" s="2" t="inlineStr">
        <is>
          <t>Lunglav</t>
        </is>
      </c>
      <c r="S704">
        <f>HYPERLINK("https://klasma.github.io/Logging_2403/artfynd/A 495-2020 artfynd.xlsx", "A 495-2020")</f>
        <v/>
      </c>
      <c r="T704">
        <f>HYPERLINK("https://klasma.github.io/Logging_2403/kartor/A 495-2020 karta.png", "A 495-2020")</f>
        <v/>
      </c>
      <c r="V704">
        <f>HYPERLINK("https://klasma.github.io/Logging_2403/klagomål/A 495-2020 FSC-klagomål.docx", "A 495-2020")</f>
        <v/>
      </c>
      <c r="W704">
        <f>HYPERLINK("https://klasma.github.io/Logging_2403/klagomålsmail/A 495-2020 FSC-klagomål mail.docx", "A 495-2020")</f>
        <v/>
      </c>
      <c r="X704">
        <f>HYPERLINK("https://klasma.github.io/Logging_2403/tillsyn/A 495-2020 tillsynsbegäran.docx", "A 495-2020")</f>
        <v/>
      </c>
      <c r="Y704">
        <f>HYPERLINK("https://klasma.github.io/Logging_2403/tillsynsmail/A 495-2020 tillsynsbegäran mail.docx", "A 495-2020")</f>
        <v/>
      </c>
    </row>
    <row r="705" ht="15" customHeight="1">
      <c r="A705" t="inlineStr">
        <is>
          <t>A 546-2020</t>
        </is>
      </c>
      <c r="B705" s="1" t="n">
        <v>43837</v>
      </c>
      <c r="C705" s="1" t="n">
        <v>45357</v>
      </c>
      <c r="D705" t="inlineStr">
        <is>
          <t>VÄSTERBOTTENS LÄN</t>
        </is>
      </c>
      <c r="E705" t="inlineStr">
        <is>
          <t>VILHELMINA</t>
        </is>
      </c>
      <c r="F705" t="inlineStr">
        <is>
          <t>SCA</t>
        </is>
      </c>
      <c r="G705" t="n">
        <v>3.1</v>
      </c>
      <c r="H705" t="n">
        <v>0</v>
      </c>
      <c r="I705" t="n">
        <v>0</v>
      </c>
      <c r="J705" t="n">
        <v>1</v>
      </c>
      <c r="K705" t="n">
        <v>0</v>
      </c>
      <c r="L705" t="n">
        <v>0</v>
      </c>
      <c r="M705" t="n">
        <v>0</v>
      </c>
      <c r="N705" t="n">
        <v>0</v>
      </c>
      <c r="O705" t="n">
        <v>1</v>
      </c>
      <c r="P705" t="n">
        <v>0</v>
      </c>
      <c r="Q705" t="n">
        <v>1</v>
      </c>
      <c r="R705" s="2" t="inlineStr">
        <is>
          <t>Vedskivlav</t>
        </is>
      </c>
      <c r="S705">
        <f>HYPERLINK("https://klasma.github.io/Logging_2462/artfynd/A 546-2020 artfynd.xlsx", "A 546-2020")</f>
        <v/>
      </c>
      <c r="T705">
        <f>HYPERLINK("https://klasma.github.io/Logging_2462/kartor/A 546-2020 karta.png", "A 546-2020")</f>
        <v/>
      </c>
      <c r="V705">
        <f>HYPERLINK("https://klasma.github.io/Logging_2462/klagomål/A 546-2020 FSC-klagomål.docx", "A 546-2020")</f>
        <v/>
      </c>
      <c r="W705">
        <f>HYPERLINK("https://klasma.github.io/Logging_2462/klagomålsmail/A 546-2020 FSC-klagomål mail.docx", "A 546-2020")</f>
        <v/>
      </c>
      <c r="X705">
        <f>HYPERLINK("https://klasma.github.io/Logging_2462/tillsyn/A 546-2020 tillsynsbegäran.docx", "A 546-2020")</f>
        <v/>
      </c>
      <c r="Y705">
        <f>HYPERLINK("https://klasma.github.io/Logging_2462/tillsynsmail/A 546-2020 tillsynsbegäran mail.docx", "A 546-2020")</f>
        <v/>
      </c>
    </row>
    <row r="706" ht="15" customHeight="1">
      <c r="A706" t="inlineStr">
        <is>
          <t>A 1978-2020</t>
        </is>
      </c>
      <c r="B706" s="1" t="n">
        <v>43838</v>
      </c>
      <c r="C706" s="1" t="n">
        <v>45357</v>
      </c>
      <c r="D706" t="inlineStr">
        <is>
          <t>VÄSTERBOTTENS LÄN</t>
        </is>
      </c>
      <c r="E706" t="inlineStr">
        <is>
          <t>DOROTEA</t>
        </is>
      </c>
      <c r="G706" t="n">
        <v>3.4</v>
      </c>
      <c r="H706" t="n">
        <v>1</v>
      </c>
      <c r="I706" t="n">
        <v>0</v>
      </c>
      <c r="J706" t="n">
        <v>1</v>
      </c>
      <c r="K706" t="n">
        <v>0</v>
      </c>
      <c r="L706" t="n">
        <v>0</v>
      </c>
      <c r="M706" t="n">
        <v>0</v>
      </c>
      <c r="N706" t="n">
        <v>0</v>
      </c>
      <c r="O706" t="n">
        <v>1</v>
      </c>
      <c r="P706" t="n">
        <v>0</v>
      </c>
      <c r="Q706" t="n">
        <v>1</v>
      </c>
      <c r="R706" s="2" t="inlineStr">
        <is>
          <t>Rosenfink</t>
        </is>
      </c>
      <c r="S706">
        <f>HYPERLINK("https://klasma.github.io/Logging_2425/artfynd/A 1978-2020 artfynd.xlsx", "A 1978-2020")</f>
        <v/>
      </c>
      <c r="T706">
        <f>HYPERLINK("https://klasma.github.io/Logging_2425/kartor/A 1978-2020 karta.png", "A 1978-2020")</f>
        <v/>
      </c>
      <c r="V706">
        <f>HYPERLINK("https://klasma.github.io/Logging_2425/klagomål/A 1978-2020 FSC-klagomål.docx", "A 1978-2020")</f>
        <v/>
      </c>
      <c r="W706">
        <f>HYPERLINK("https://klasma.github.io/Logging_2425/klagomålsmail/A 1978-2020 FSC-klagomål mail.docx", "A 1978-2020")</f>
        <v/>
      </c>
      <c r="X706">
        <f>HYPERLINK("https://klasma.github.io/Logging_2425/tillsyn/A 1978-2020 tillsynsbegäran.docx", "A 1978-2020")</f>
        <v/>
      </c>
      <c r="Y706">
        <f>HYPERLINK("https://klasma.github.io/Logging_2425/tillsynsmail/A 1978-2020 tillsynsbegäran mail.docx", "A 1978-2020")</f>
        <v/>
      </c>
      <c r="Z706">
        <f>HYPERLINK("https://klasma.github.io/Logging_2425/fåglar/A 1978-2020 prioriterade fågelarter.docx", "A 1978-2020")</f>
        <v/>
      </c>
    </row>
    <row r="707" ht="15" customHeight="1">
      <c r="A707" t="inlineStr">
        <is>
          <t>A 4765-2020</t>
        </is>
      </c>
      <c r="B707" s="1" t="n">
        <v>43850</v>
      </c>
      <c r="C707" s="1" t="n">
        <v>45357</v>
      </c>
      <c r="D707" t="inlineStr">
        <is>
          <t>VÄSTERBOTTENS LÄN</t>
        </is>
      </c>
      <c r="E707" t="inlineStr">
        <is>
          <t>SKELLEFTEÅ</t>
        </is>
      </c>
      <c r="G707" t="n">
        <v>2.5</v>
      </c>
      <c r="H707" t="n">
        <v>1</v>
      </c>
      <c r="I707" t="n">
        <v>1</v>
      </c>
      <c r="J707" t="n">
        <v>0</v>
      </c>
      <c r="K707" t="n">
        <v>0</v>
      </c>
      <c r="L707" t="n">
        <v>0</v>
      </c>
      <c r="M707" t="n">
        <v>0</v>
      </c>
      <c r="N707" t="n">
        <v>0</v>
      </c>
      <c r="O707" t="n">
        <v>0</v>
      </c>
      <c r="P707" t="n">
        <v>0</v>
      </c>
      <c r="Q707" t="n">
        <v>1</v>
      </c>
      <c r="R707" s="2" t="inlineStr">
        <is>
          <t>Plattlummer</t>
        </is>
      </c>
      <c r="S707">
        <f>HYPERLINK("https://klasma.github.io/Logging_2482/artfynd/A 4765-2020 artfynd.xlsx", "A 4765-2020")</f>
        <v/>
      </c>
      <c r="T707">
        <f>HYPERLINK("https://klasma.github.io/Logging_2482/kartor/A 4765-2020 karta.png", "A 4765-2020")</f>
        <v/>
      </c>
      <c r="V707">
        <f>HYPERLINK("https://klasma.github.io/Logging_2482/klagomål/A 4765-2020 FSC-klagomål.docx", "A 4765-2020")</f>
        <v/>
      </c>
      <c r="W707">
        <f>HYPERLINK("https://klasma.github.io/Logging_2482/klagomålsmail/A 4765-2020 FSC-klagomål mail.docx", "A 4765-2020")</f>
        <v/>
      </c>
      <c r="X707">
        <f>HYPERLINK("https://klasma.github.io/Logging_2482/tillsyn/A 4765-2020 tillsynsbegäran.docx", "A 4765-2020")</f>
        <v/>
      </c>
      <c r="Y707">
        <f>HYPERLINK("https://klasma.github.io/Logging_2482/tillsynsmail/A 4765-2020 tillsynsbegäran mail.docx", "A 4765-2020")</f>
        <v/>
      </c>
    </row>
    <row r="708" ht="15" customHeight="1">
      <c r="A708" t="inlineStr">
        <is>
          <t>A 4439-2020</t>
        </is>
      </c>
      <c r="B708" s="1" t="n">
        <v>43858</v>
      </c>
      <c r="C708" s="1" t="n">
        <v>45357</v>
      </c>
      <c r="D708" t="inlineStr">
        <is>
          <t>VÄSTERBOTTENS LÄN</t>
        </is>
      </c>
      <c r="E708" t="inlineStr">
        <is>
          <t>SORSELE</t>
        </is>
      </c>
      <c r="F708" t="inlineStr">
        <is>
          <t>Sveaskog</t>
        </is>
      </c>
      <c r="G708" t="n">
        <v>7.5</v>
      </c>
      <c r="H708" t="n">
        <v>0</v>
      </c>
      <c r="I708" t="n">
        <v>0</v>
      </c>
      <c r="J708" t="n">
        <v>0</v>
      </c>
      <c r="K708" t="n">
        <v>1</v>
      </c>
      <c r="L708" t="n">
        <v>0</v>
      </c>
      <c r="M708" t="n">
        <v>0</v>
      </c>
      <c r="N708" t="n">
        <v>0</v>
      </c>
      <c r="O708" t="n">
        <v>1</v>
      </c>
      <c r="P708" t="n">
        <v>1</v>
      </c>
      <c r="Q708" t="n">
        <v>1</v>
      </c>
      <c r="R708" s="2" t="inlineStr">
        <is>
          <t>Torrmusseron</t>
        </is>
      </c>
      <c r="S708">
        <f>HYPERLINK("https://klasma.github.io/Logging_2422/artfynd/A 4439-2020 artfynd.xlsx", "A 4439-2020")</f>
        <v/>
      </c>
      <c r="T708">
        <f>HYPERLINK("https://klasma.github.io/Logging_2422/kartor/A 4439-2020 karta.png", "A 4439-2020")</f>
        <v/>
      </c>
      <c r="V708">
        <f>HYPERLINK("https://klasma.github.io/Logging_2422/klagomål/A 4439-2020 FSC-klagomål.docx", "A 4439-2020")</f>
        <v/>
      </c>
      <c r="W708">
        <f>HYPERLINK("https://klasma.github.io/Logging_2422/klagomålsmail/A 4439-2020 FSC-klagomål mail.docx", "A 4439-2020")</f>
        <v/>
      </c>
      <c r="X708">
        <f>HYPERLINK("https://klasma.github.io/Logging_2422/tillsyn/A 4439-2020 tillsynsbegäran.docx", "A 4439-2020")</f>
        <v/>
      </c>
      <c r="Y708">
        <f>HYPERLINK("https://klasma.github.io/Logging_2422/tillsynsmail/A 4439-2020 tillsynsbegäran mail.docx", "A 4439-2020")</f>
        <v/>
      </c>
    </row>
    <row r="709" ht="15" customHeight="1">
      <c r="A709" t="inlineStr">
        <is>
          <t>A 5716-2020</t>
        </is>
      </c>
      <c r="B709" s="1" t="n">
        <v>43862</v>
      </c>
      <c r="C709" s="1" t="n">
        <v>45357</v>
      </c>
      <c r="D709" t="inlineStr">
        <is>
          <t>VÄSTERBOTTENS LÄN</t>
        </is>
      </c>
      <c r="E709" t="inlineStr">
        <is>
          <t>VINDELN</t>
        </is>
      </c>
      <c r="G709" t="n">
        <v>9.6</v>
      </c>
      <c r="H709" t="n">
        <v>0</v>
      </c>
      <c r="I709" t="n">
        <v>1</v>
      </c>
      <c r="J709" t="n">
        <v>0</v>
      </c>
      <c r="K709" t="n">
        <v>0</v>
      </c>
      <c r="L709" t="n">
        <v>0</v>
      </c>
      <c r="M709" t="n">
        <v>0</v>
      </c>
      <c r="N709" t="n">
        <v>0</v>
      </c>
      <c r="O709" t="n">
        <v>0</v>
      </c>
      <c r="P709" t="n">
        <v>0</v>
      </c>
      <c r="Q709" t="n">
        <v>1</v>
      </c>
      <c r="R709" s="2" t="inlineStr">
        <is>
          <t>Källpraktmossa</t>
        </is>
      </c>
      <c r="S709">
        <f>HYPERLINK("https://klasma.github.io/Logging_2404/artfynd/A 5716-2020 artfynd.xlsx", "A 5716-2020")</f>
        <v/>
      </c>
      <c r="T709">
        <f>HYPERLINK("https://klasma.github.io/Logging_2404/kartor/A 5716-2020 karta.png", "A 5716-2020")</f>
        <v/>
      </c>
      <c r="V709">
        <f>HYPERLINK("https://klasma.github.io/Logging_2404/klagomål/A 5716-2020 FSC-klagomål.docx", "A 5716-2020")</f>
        <v/>
      </c>
      <c r="W709">
        <f>HYPERLINK("https://klasma.github.io/Logging_2404/klagomålsmail/A 5716-2020 FSC-klagomål mail.docx", "A 5716-2020")</f>
        <v/>
      </c>
      <c r="X709">
        <f>HYPERLINK("https://klasma.github.io/Logging_2404/tillsyn/A 5716-2020 tillsynsbegäran.docx", "A 5716-2020")</f>
        <v/>
      </c>
      <c r="Y709">
        <f>HYPERLINK("https://klasma.github.io/Logging_2404/tillsynsmail/A 5716-2020 tillsynsbegäran mail.docx", "A 5716-2020")</f>
        <v/>
      </c>
    </row>
    <row r="710" ht="15" customHeight="1">
      <c r="A710" t="inlineStr">
        <is>
          <t>A 7842-2020</t>
        </is>
      </c>
      <c r="B710" s="1" t="n">
        <v>43873</v>
      </c>
      <c r="C710" s="1" t="n">
        <v>45357</v>
      </c>
      <c r="D710" t="inlineStr">
        <is>
          <t>VÄSTERBOTTENS LÄN</t>
        </is>
      </c>
      <c r="E710" t="inlineStr">
        <is>
          <t>VÄNNÄS</t>
        </is>
      </c>
      <c r="G710" t="n">
        <v>3</v>
      </c>
      <c r="H710" t="n">
        <v>0</v>
      </c>
      <c r="I710" t="n">
        <v>0</v>
      </c>
      <c r="J710" t="n">
        <v>1</v>
      </c>
      <c r="K710" t="n">
        <v>0</v>
      </c>
      <c r="L710" t="n">
        <v>0</v>
      </c>
      <c r="M710" t="n">
        <v>0</v>
      </c>
      <c r="N710" t="n">
        <v>0</v>
      </c>
      <c r="O710" t="n">
        <v>1</v>
      </c>
      <c r="P710" t="n">
        <v>0</v>
      </c>
      <c r="Q710" t="n">
        <v>1</v>
      </c>
      <c r="R710" s="2" t="inlineStr">
        <is>
          <t>Garnlav</t>
        </is>
      </c>
      <c r="S710">
        <f>HYPERLINK("https://klasma.github.io/Logging_2460/artfynd/A 7842-2020 artfynd.xlsx", "A 7842-2020")</f>
        <v/>
      </c>
      <c r="T710">
        <f>HYPERLINK("https://klasma.github.io/Logging_2460/kartor/A 7842-2020 karta.png", "A 7842-2020")</f>
        <v/>
      </c>
      <c r="V710">
        <f>HYPERLINK("https://klasma.github.io/Logging_2460/klagomål/A 7842-2020 FSC-klagomål.docx", "A 7842-2020")</f>
        <v/>
      </c>
      <c r="W710">
        <f>HYPERLINK("https://klasma.github.io/Logging_2460/klagomålsmail/A 7842-2020 FSC-klagomål mail.docx", "A 7842-2020")</f>
        <v/>
      </c>
      <c r="X710">
        <f>HYPERLINK("https://klasma.github.io/Logging_2460/tillsyn/A 7842-2020 tillsynsbegäran.docx", "A 7842-2020")</f>
        <v/>
      </c>
      <c r="Y710">
        <f>HYPERLINK("https://klasma.github.io/Logging_2460/tillsynsmail/A 7842-2020 tillsynsbegäran mail.docx", "A 7842-2020")</f>
        <v/>
      </c>
    </row>
    <row r="711" ht="15" customHeight="1">
      <c r="A711" t="inlineStr">
        <is>
          <t>A 11922-2020</t>
        </is>
      </c>
      <c r="B711" s="1" t="n">
        <v>43888</v>
      </c>
      <c r="C711" s="1" t="n">
        <v>45357</v>
      </c>
      <c r="D711" t="inlineStr">
        <is>
          <t>VÄSTERBOTTENS LÄN</t>
        </is>
      </c>
      <c r="E711" t="inlineStr">
        <is>
          <t>ÅSELE</t>
        </is>
      </c>
      <c r="F711" t="inlineStr">
        <is>
          <t>Övriga Aktiebolag</t>
        </is>
      </c>
      <c r="G711" t="n">
        <v>3.2</v>
      </c>
      <c r="H711" t="n">
        <v>0</v>
      </c>
      <c r="I711" t="n">
        <v>0</v>
      </c>
      <c r="J711" t="n">
        <v>1</v>
      </c>
      <c r="K711" t="n">
        <v>0</v>
      </c>
      <c r="L711" t="n">
        <v>0</v>
      </c>
      <c r="M711" t="n">
        <v>0</v>
      </c>
      <c r="N711" t="n">
        <v>0</v>
      </c>
      <c r="O711" t="n">
        <v>1</v>
      </c>
      <c r="P711" t="n">
        <v>0</v>
      </c>
      <c r="Q711" t="n">
        <v>1</v>
      </c>
      <c r="R711" s="2" t="inlineStr">
        <is>
          <t>Ullticka</t>
        </is>
      </c>
      <c r="S711">
        <f>HYPERLINK("https://klasma.github.io/Logging_2463/artfynd/A 11922-2020 artfynd.xlsx", "A 11922-2020")</f>
        <v/>
      </c>
      <c r="T711">
        <f>HYPERLINK("https://klasma.github.io/Logging_2463/kartor/A 11922-2020 karta.png", "A 11922-2020")</f>
        <v/>
      </c>
      <c r="V711">
        <f>HYPERLINK("https://klasma.github.io/Logging_2463/klagomål/A 11922-2020 FSC-klagomål.docx", "A 11922-2020")</f>
        <v/>
      </c>
      <c r="W711">
        <f>HYPERLINK("https://klasma.github.io/Logging_2463/klagomålsmail/A 11922-2020 FSC-klagomål mail.docx", "A 11922-2020")</f>
        <v/>
      </c>
      <c r="X711">
        <f>HYPERLINK("https://klasma.github.io/Logging_2463/tillsyn/A 11922-2020 tillsynsbegäran.docx", "A 11922-2020")</f>
        <v/>
      </c>
      <c r="Y711">
        <f>HYPERLINK("https://klasma.github.io/Logging_2463/tillsynsmail/A 11922-2020 tillsynsbegäran mail.docx", "A 11922-2020")</f>
        <v/>
      </c>
    </row>
    <row r="712" ht="15" customHeight="1">
      <c r="A712" t="inlineStr">
        <is>
          <t>A 13243-2020</t>
        </is>
      </c>
      <c r="B712" s="1" t="n">
        <v>43901</v>
      </c>
      <c r="C712" s="1" t="n">
        <v>45357</v>
      </c>
      <c r="D712" t="inlineStr">
        <is>
          <t>VÄSTERBOTTENS LÄN</t>
        </is>
      </c>
      <c r="E712" t="inlineStr">
        <is>
          <t>VÄNNÄS</t>
        </is>
      </c>
      <c r="G712" t="n">
        <v>7.5</v>
      </c>
      <c r="H712" t="n">
        <v>0</v>
      </c>
      <c r="I712" t="n">
        <v>0</v>
      </c>
      <c r="J712" t="n">
        <v>1</v>
      </c>
      <c r="K712" t="n">
        <v>0</v>
      </c>
      <c r="L712" t="n">
        <v>0</v>
      </c>
      <c r="M712" t="n">
        <v>0</v>
      </c>
      <c r="N712" t="n">
        <v>0</v>
      </c>
      <c r="O712" t="n">
        <v>1</v>
      </c>
      <c r="P712" t="n">
        <v>0</v>
      </c>
      <c r="Q712" t="n">
        <v>1</v>
      </c>
      <c r="R712" s="2" t="inlineStr">
        <is>
          <t>Ullticka</t>
        </is>
      </c>
      <c r="S712">
        <f>HYPERLINK("https://klasma.github.io/Logging_2460/artfynd/A 13243-2020 artfynd.xlsx", "A 13243-2020")</f>
        <v/>
      </c>
      <c r="T712">
        <f>HYPERLINK("https://klasma.github.io/Logging_2460/kartor/A 13243-2020 karta.png", "A 13243-2020")</f>
        <v/>
      </c>
      <c r="V712">
        <f>HYPERLINK("https://klasma.github.io/Logging_2460/klagomål/A 13243-2020 FSC-klagomål.docx", "A 13243-2020")</f>
        <v/>
      </c>
      <c r="W712">
        <f>HYPERLINK("https://klasma.github.io/Logging_2460/klagomålsmail/A 13243-2020 FSC-klagomål mail.docx", "A 13243-2020")</f>
        <v/>
      </c>
      <c r="X712">
        <f>HYPERLINK("https://klasma.github.io/Logging_2460/tillsyn/A 13243-2020 tillsynsbegäran.docx", "A 13243-2020")</f>
        <v/>
      </c>
      <c r="Y712">
        <f>HYPERLINK("https://klasma.github.io/Logging_2460/tillsynsmail/A 13243-2020 tillsynsbegäran mail.docx", "A 13243-2020")</f>
        <v/>
      </c>
    </row>
    <row r="713" ht="15" customHeight="1">
      <c r="A713" t="inlineStr">
        <is>
          <t>A 19592-2020</t>
        </is>
      </c>
      <c r="B713" s="1" t="n">
        <v>43936</v>
      </c>
      <c r="C713" s="1" t="n">
        <v>45357</v>
      </c>
      <c r="D713" t="inlineStr">
        <is>
          <t>VÄSTERBOTTENS LÄN</t>
        </is>
      </c>
      <c r="E713" t="inlineStr">
        <is>
          <t>ÅSELE</t>
        </is>
      </c>
      <c r="G713" t="n">
        <v>4.5</v>
      </c>
      <c r="H713" t="n">
        <v>0</v>
      </c>
      <c r="I713" t="n">
        <v>1</v>
      </c>
      <c r="J713" t="n">
        <v>0</v>
      </c>
      <c r="K713" t="n">
        <v>0</v>
      </c>
      <c r="L713" t="n">
        <v>0</v>
      </c>
      <c r="M713" t="n">
        <v>0</v>
      </c>
      <c r="N713" t="n">
        <v>0</v>
      </c>
      <c r="O713" t="n">
        <v>0</v>
      </c>
      <c r="P713" t="n">
        <v>0</v>
      </c>
      <c r="Q713" t="n">
        <v>1</v>
      </c>
      <c r="R713" s="2" t="inlineStr">
        <is>
          <t>Bronshjon</t>
        </is>
      </c>
      <c r="S713">
        <f>HYPERLINK("https://klasma.github.io/Logging_2463/artfynd/A 19592-2020 artfynd.xlsx", "A 19592-2020")</f>
        <v/>
      </c>
      <c r="T713">
        <f>HYPERLINK("https://klasma.github.io/Logging_2463/kartor/A 19592-2020 karta.png", "A 19592-2020")</f>
        <v/>
      </c>
      <c r="V713">
        <f>HYPERLINK("https://klasma.github.io/Logging_2463/klagomål/A 19592-2020 FSC-klagomål.docx", "A 19592-2020")</f>
        <v/>
      </c>
      <c r="W713">
        <f>HYPERLINK("https://klasma.github.io/Logging_2463/klagomålsmail/A 19592-2020 FSC-klagomål mail.docx", "A 19592-2020")</f>
        <v/>
      </c>
      <c r="X713">
        <f>HYPERLINK("https://klasma.github.io/Logging_2463/tillsyn/A 19592-2020 tillsynsbegäran.docx", "A 19592-2020")</f>
        <v/>
      </c>
      <c r="Y713">
        <f>HYPERLINK("https://klasma.github.io/Logging_2463/tillsynsmail/A 19592-2020 tillsynsbegäran mail.docx", "A 19592-2020")</f>
        <v/>
      </c>
    </row>
    <row r="714" ht="15" customHeight="1">
      <c r="A714" t="inlineStr">
        <is>
          <t>A 19295-2020</t>
        </is>
      </c>
      <c r="B714" s="1" t="n">
        <v>43937</v>
      </c>
      <c r="C714" s="1" t="n">
        <v>45357</v>
      </c>
      <c r="D714" t="inlineStr">
        <is>
          <t>VÄSTERBOTTENS LÄN</t>
        </is>
      </c>
      <c r="E714" t="inlineStr">
        <is>
          <t>BJURHOLM</t>
        </is>
      </c>
      <c r="G714" t="n">
        <v>2.9</v>
      </c>
      <c r="H714" t="n">
        <v>0</v>
      </c>
      <c r="I714" t="n">
        <v>0</v>
      </c>
      <c r="J714" t="n">
        <v>1</v>
      </c>
      <c r="K714" t="n">
        <v>0</v>
      </c>
      <c r="L714" t="n">
        <v>0</v>
      </c>
      <c r="M714" t="n">
        <v>0</v>
      </c>
      <c r="N714" t="n">
        <v>0</v>
      </c>
      <c r="O714" t="n">
        <v>1</v>
      </c>
      <c r="P714" t="n">
        <v>0</v>
      </c>
      <c r="Q714" t="n">
        <v>1</v>
      </c>
      <c r="R714" s="2" t="inlineStr">
        <is>
          <t>Ullticka</t>
        </is>
      </c>
      <c r="S714">
        <f>HYPERLINK("https://klasma.github.io/Logging_2403/artfynd/A 19295-2020 artfynd.xlsx", "A 19295-2020")</f>
        <v/>
      </c>
      <c r="T714">
        <f>HYPERLINK("https://klasma.github.io/Logging_2403/kartor/A 19295-2020 karta.png", "A 19295-2020")</f>
        <v/>
      </c>
      <c r="V714">
        <f>HYPERLINK("https://klasma.github.io/Logging_2403/klagomål/A 19295-2020 FSC-klagomål.docx", "A 19295-2020")</f>
        <v/>
      </c>
      <c r="W714">
        <f>HYPERLINK("https://klasma.github.io/Logging_2403/klagomålsmail/A 19295-2020 FSC-klagomål mail.docx", "A 19295-2020")</f>
        <v/>
      </c>
      <c r="X714">
        <f>HYPERLINK("https://klasma.github.io/Logging_2403/tillsyn/A 19295-2020 tillsynsbegäran.docx", "A 19295-2020")</f>
        <v/>
      </c>
      <c r="Y714">
        <f>HYPERLINK("https://klasma.github.io/Logging_2403/tillsynsmail/A 19295-2020 tillsynsbegäran mail.docx", "A 19295-2020")</f>
        <v/>
      </c>
    </row>
    <row r="715" ht="15" customHeight="1">
      <c r="A715" t="inlineStr">
        <is>
          <t>A 19687-2020</t>
        </is>
      </c>
      <c r="B715" s="1" t="n">
        <v>43941</v>
      </c>
      <c r="C715" s="1" t="n">
        <v>45357</v>
      </c>
      <c r="D715" t="inlineStr">
        <is>
          <t>VÄSTERBOTTENS LÄN</t>
        </is>
      </c>
      <c r="E715" t="inlineStr">
        <is>
          <t>VÄNNÄS</t>
        </is>
      </c>
      <c r="G715" t="n">
        <v>5.8</v>
      </c>
      <c r="H715" t="n">
        <v>1</v>
      </c>
      <c r="I715" t="n">
        <v>0</v>
      </c>
      <c r="J715" t="n">
        <v>1</v>
      </c>
      <c r="K715" t="n">
        <v>0</v>
      </c>
      <c r="L715" t="n">
        <v>0</v>
      </c>
      <c r="M715" t="n">
        <v>0</v>
      </c>
      <c r="N715" t="n">
        <v>0</v>
      </c>
      <c r="O715" t="n">
        <v>1</v>
      </c>
      <c r="P715" t="n">
        <v>0</v>
      </c>
      <c r="Q715" t="n">
        <v>1</v>
      </c>
      <c r="R715" s="2" t="inlineStr">
        <is>
          <t>Tretåig hackspett</t>
        </is>
      </c>
      <c r="S715">
        <f>HYPERLINK("https://klasma.github.io/Logging_2460/artfynd/A 19687-2020 artfynd.xlsx", "A 19687-2020")</f>
        <v/>
      </c>
      <c r="T715">
        <f>HYPERLINK("https://klasma.github.io/Logging_2460/kartor/A 19687-2020 karta.png", "A 19687-2020")</f>
        <v/>
      </c>
      <c r="V715">
        <f>HYPERLINK("https://klasma.github.io/Logging_2460/klagomål/A 19687-2020 FSC-klagomål.docx", "A 19687-2020")</f>
        <v/>
      </c>
      <c r="W715">
        <f>HYPERLINK("https://klasma.github.io/Logging_2460/klagomålsmail/A 19687-2020 FSC-klagomål mail.docx", "A 19687-2020")</f>
        <v/>
      </c>
      <c r="X715">
        <f>HYPERLINK("https://klasma.github.io/Logging_2460/tillsyn/A 19687-2020 tillsynsbegäran.docx", "A 19687-2020")</f>
        <v/>
      </c>
      <c r="Y715">
        <f>HYPERLINK("https://klasma.github.io/Logging_2460/tillsynsmail/A 19687-2020 tillsynsbegäran mail.docx", "A 19687-2020")</f>
        <v/>
      </c>
      <c r="Z715">
        <f>HYPERLINK("https://klasma.github.io/Logging_2460/fåglar/A 19687-2020 prioriterade fågelarter.docx", "A 19687-2020")</f>
        <v/>
      </c>
    </row>
    <row r="716" ht="15" customHeight="1">
      <c r="A716" t="inlineStr">
        <is>
          <t>A 23492-2020</t>
        </is>
      </c>
      <c r="B716" s="1" t="n">
        <v>43966</v>
      </c>
      <c r="C716" s="1" t="n">
        <v>45357</v>
      </c>
      <c r="D716" t="inlineStr">
        <is>
          <t>VÄSTERBOTTENS LÄN</t>
        </is>
      </c>
      <c r="E716" t="inlineStr">
        <is>
          <t>UMEÅ</t>
        </is>
      </c>
      <c r="G716" t="n">
        <v>3</v>
      </c>
      <c r="H716" t="n">
        <v>1</v>
      </c>
      <c r="I716" t="n">
        <v>0</v>
      </c>
      <c r="J716" t="n">
        <v>0</v>
      </c>
      <c r="K716" t="n">
        <v>0</v>
      </c>
      <c r="L716" t="n">
        <v>0</v>
      </c>
      <c r="M716" t="n">
        <v>0</v>
      </c>
      <c r="N716" t="n">
        <v>0</v>
      </c>
      <c r="O716" t="n">
        <v>0</v>
      </c>
      <c r="P716" t="n">
        <v>0</v>
      </c>
      <c r="Q716" t="n">
        <v>1</v>
      </c>
      <c r="R716" s="2" t="inlineStr">
        <is>
          <t>Vanlig padda</t>
        </is>
      </c>
      <c r="S716">
        <f>HYPERLINK("https://klasma.github.io/Logging_2480/artfynd/A 23492-2020 artfynd.xlsx", "A 23492-2020")</f>
        <v/>
      </c>
      <c r="T716">
        <f>HYPERLINK("https://klasma.github.io/Logging_2480/kartor/A 23492-2020 karta.png", "A 23492-2020")</f>
        <v/>
      </c>
      <c r="V716">
        <f>HYPERLINK("https://klasma.github.io/Logging_2480/klagomål/A 23492-2020 FSC-klagomål.docx", "A 23492-2020")</f>
        <v/>
      </c>
      <c r="W716">
        <f>HYPERLINK("https://klasma.github.io/Logging_2480/klagomålsmail/A 23492-2020 FSC-klagomål mail.docx", "A 23492-2020")</f>
        <v/>
      </c>
      <c r="X716">
        <f>HYPERLINK("https://klasma.github.io/Logging_2480/tillsyn/A 23492-2020 tillsynsbegäran.docx", "A 23492-2020")</f>
        <v/>
      </c>
      <c r="Y716">
        <f>HYPERLINK("https://klasma.github.io/Logging_2480/tillsynsmail/A 23492-2020 tillsynsbegäran mail.docx", "A 23492-2020")</f>
        <v/>
      </c>
    </row>
    <row r="717" ht="15" customHeight="1">
      <c r="A717" t="inlineStr">
        <is>
          <t>A 28098-2020</t>
        </is>
      </c>
      <c r="B717" s="1" t="n">
        <v>43997</v>
      </c>
      <c r="C717" s="1" t="n">
        <v>45357</v>
      </c>
      <c r="D717" t="inlineStr">
        <is>
          <t>VÄSTERBOTTENS LÄN</t>
        </is>
      </c>
      <c r="E717" t="inlineStr">
        <is>
          <t>LYCKSELE</t>
        </is>
      </c>
      <c r="F717" t="inlineStr">
        <is>
          <t>Kyrkan</t>
        </is>
      </c>
      <c r="G717" t="n">
        <v>6.4</v>
      </c>
      <c r="H717" t="n">
        <v>0</v>
      </c>
      <c r="I717" t="n">
        <v>1</v>
      </c>
      <c r="J717" t="n">
        <v>0</v>
      </c>
      <c r="K717" t="n">
        <v>0</v>
      </c>
      <c r="L717" t="n">
        <v>0</v>
      </c>
      <c r="M717" t="n">
        <v>0</v>
      </c>
      <c r="N717" t="n">
        <v>0</v>
      </c>
      <c r="O717" t="n">
        <v>0</v>
      </c>
      <c r="P717" t="n">
        <v>0</v>
      </c>
      <c r="Q717" t="n">
        <v>1</v>
      </c>
      <c r="R717" s="2" t="inlineStr">
        <is>
          <t>Mindre märgborre</t>
        </is>
      </c>
      <c r="S717">
        <f>HYPERLINK("https://klasma.github.io/Logging_2481/artfynd/A 28098-2020 artfynd.xlsx", "A 28098-2020")</f>
        <v/>
      </c>
      <c r="T717">
        <f>HYPERLINK("https://klasma.github.io/Logging_2481/kartor/A 28098-2020 karta.png", "A 28098-2020")</f>
        <v/>
      </c>
      <c r="V717">
        <f>HYPERLINK("https://klasma.github.io/Logging_2481/klagomål/A 28098-2020 FSC-klagomål.docx", "A 28098-2020")</f>
        <v/>
      </c>
      <c r="W717">
        <f>HYPERLINK("https://klasma.github.io/Logging_2481/klagomålsmail/A 28098-2020 FSC-klagomål mail.docx", "A 28098-2020")</f>
        <v/>
      </c>
      <c r="X717">
        <f>HYPERLINK("https://klasma.github.io/Logging_2481/tillsyn/A 28098-2020 tillsynsbegäran.docx", "A 28098-2020")</f>
        <v/>
      </c>
      <c r="Y717">
        <f>HYPERLINK("https://klasma.github.io/Logging_2481/tillsynsmail/A 28098-2020 tillsynsbegäran mail.docx", "A 28098-2020")</f>
        <v/>
      </c>
    </row>
    <row r="718" ht="15" customHeight="1">
      <c r="A718" t="inlineStr">
        <is>
          <t>A 33236-2020</t>
        </is>
      </c>
      <c r="B718" s="1" t="n">
        <v>44022</v>
      </c>
      <c r="C718" s="1" t="n">
        <v>45357</v>
      </c>
      <c r="D718" t="inlineStr">
        <is>
          <t>VÄSTERBOTTENS LÄN</t>
        </is>
      </c>
      <c r="E718" t="inlineStr">
        <is>
          <t>ROBERTSFORS</t>
        </is>
      </c>
      <c r="F718" t="inlineStr">
        <is>
          <t>Holmen skog AB</t>
        </is>
      </c>
      <c r="G718" t="n">
        <v>8.800000000000001</v>
      </c>
      <c r="H718" t="n">
        <v>0</v>
      </c>
      <c r="I718" t="n">
        <v>0</v>
      </c>
      <c r="J718" t="n">
        <v>1</v>
      </c>
      <c r="K718" t="n">
        <v>0</v>
      </c>
      <c r="L718" t="n">
        <v>0</v>
      </c>
      <c r="M718" t="n">
        <v>0</v>
      </c>
      <c r="N718" t="n">
        <v>0</v>
      </c>
      <c r="O718" t="n">
        <v>1</v>
      </c>
      <c r="P718" t="n">
        <v>0</v>
      </c>
      <c r="Q718" t="n">
        <v>1</v>
      </c>
      <c r="R718" s="2" t="inlineStr">
        <is>
          <t>Garnlav</t>
        </is>
      </c>
      <c r="S718">
        <f>HYPERLINK("https://klasma.github.io/Logging_2409/artfynd/A 33236-2020 artfynd.xlsx", "A 33236-2020")</f>
        <v/>
      </c>
      <c r="T718">
        <f>HYPERLINK("https://klasma.github.io/Logging_2409/kartor/A 33236-2020 karta.png", "A 33236-2020")</f>
        <v/>
      </c>
      <c r="V718">
        <f>HYPERLINK("https://klasma.github.io/Logging_2409/klagomål/A 33236-2020 FSC-klagomål.docx", "A 33236-2020")</f>
        <v/>
      </c>
      <c r="W718">
        <f>HYPERLINK("https://klasma.github.io/Logging_2409/klagomålsmail/A 33236-2020 FSC-klagomål mail.docx", "A 33236-2020")</f>
        <v/>
      </c>
      <c r="X718">
        <f>HYPERLINK("https://klasma.github.io/Logging_2409/tillsyn/A 33236-2020 tillsynsbegäran.docx", "A 33236-2020")</f>
        <v/>
      </c>
      <c r="Y718">
        <f>HYPERLINK("https://klasma.github.io/Logging_2409/tillsynsmail/A 33236-2020 tillsynsbegäran mail.docx", "A 33236-2020")</f>
        <v/>
      </c>
    </row>
    <row r="719" ht="15" customHeight="1">
      <c r="A719" t="inlineStr">
        <is>
          <t>A 43180-2020</t>
        </is>
      </c>
      <c r="B719" s="1" t="n">
        <v>44076</v>
      </c>
      <c r="C719" s="1" t="n">
        <v>45357</v>
      </c>
      <c r="D719" t="inlineStr">
        <is>
          <t>VÄSTERBOTTENS LÄN</t>
        </is>
      </c>
      <c r="E719" t="inlineStr">
        <is>
          <t>SKELLEFTEÅ</t>
        </is>
      </c>
      <c r="G719" t="n">
        <v>0.6</v>
      </c>
      <c r="H719" t="n">
        <v>0</v>
      </c>
      <c r="I719" t="n">
        <v>0</v>
      </c>
      <c r="J719" t="n">
        <v>1</v>
      </c>
      <c r="K719" t="n">
        <v>0</v>
      </c>
      <c r="L719" t="n">
        <v>0</v>
      </c>
      <c r="M719" t="n">
        <v>0</v>
      </c>
      <c r="N719" t="n">
        <v>0</v>
      </c>
      <c r="O719" t="n">
        <v>1</v>
      </c>
      <c r="P719" t="n">
        <v>0</v>
      </c>
      <c r="Q719" t="n">
        <v>1</v>
      </c>
      <c r="R719" s="2" t="inlineStr">
        <is>
          <t>Garnlav</t>
        </is>
      </c>
      <c r="S719">
        <f>HYPERLINK("https://klasma.github.io/Logging_2482/artfynd/A 43180-2020 artfynd.xlsx", "A 43180-2020")</f>
        <v/>
      </c>
      <c r="T719">
        <f>HYPERLINK("https://klasma.github.io/Logging_2482/kartor/A 43180-2020 karta.png", "A 43180-2020")</f>
        <v/>
      </c>
      <c r="V719">
        <f>HYPERLINK("https://klasma.github.io/Logging_2482/klagomål/A 43180-2020 FSC-klagomål.docx", "A 43180-2020")</f>
        <v/>
      </c>
      <c r="W719">
        <f>HYPERLINK("https://klasma.github.io/Logging_2482/klagomålsmail/A 43180-2020 FSC-klagomål mail.docx", "A 43180-2020")</f>
        <v/>
      </c>
      <c r="X719">
        <f>HYPERLINK("https://klasma.github.io/Logging_2482/tillsyn/A 43180-2020 tillsynsbegäran.docx", "A 43180-2020")</f>
        <v/>
      </c>
      <c r="Y719">
        <f>HYPERLINK("https://klasma.github.io/Logging_2482/tillsynsmail/A 43180-2020 tillsynsbegäran mail.docx", "A 43180-2020")</f>
        <v/>
      </c>
    </row>
    <row r="720" ht="15" customHeight="1">
      <c r="A720" t="inlineStr">
        <is>
          <t>A 42794-2020</t>
        </is>
      </c>
      <c r="B720" s="1" t="n">
        <v>44078</v>
      </c>
      <c r="C720" s="1" t="n">
        <v>45357</v>
      </c>
      <c r="D720" t="inlineStr">
        <is>
          <t>VÄSTERBOTTENS LÄN</t>
        </is>
      </c>
      <c r="E720" t="inlineStr">
        <is>
          <t>SKELLEFTEÅ</t>
        </is>
      </c>
      <c r="F720" t="inlineStr">
        <is>
          <t>Kommuner</t>
        </is>
      </c>
      <c r="G720" t="n">
        <v>3.4</v>
      </c>
      <c r="H720" t="n">
        <v>0</v>
      </c>
      <c r="I720" t="n">
        <v>0</v>
      </c>
      <c r="J720" t="n">
        <v>1</v>
      </c>
      <c r="K720" t="n">
        <v>0</v>
      </c>
      <c r="L720" t="n">
        <v>0</v>
      </c>
      <c r="M720" t="n">
        <v>0</v>
      </c>
      <c r="N720" t="n">
        <v>0</v>
      </c>
      <c r="O720" t="n">
        <v>1</v>
      </c>
      <c r="P720" t="n">
        <v>0</v>
      </c>
      <c r="Q720" t="n">
        <v>1</v>
      </c>
      <c r="R720" s="2" t="inlineStr">
        <is>
          <t>Motaggsvamp</t>
        </is>
      </c>
      <c r="S720">
        <f>HYPERLINK("https://klasma.github.io/Logging_2482/artfynd/A 42794-2020 artfynd.xlsx", "A 42794-2020")</f>
        <v/>
      </c>
      <c r="T720">
        <f>HYPERLINK("https://klasma.github.io/Logging_2482/kartor/A 42794-2020 karta.png", "A 42794-2020")</f>
        <v/>
      </c>
      <c r="V720">
        <f>HYPERLINK("https://klasma.github.io/Logging_2482/klagomål/A 42794-2020 FSC-klagomål.docx", "A 42794-2020")</f>
        <v/>
      </c>
      <c r="W720">
        <f>HYPERLINK("https://klasma.github.io/Logging_2482/klagomålsmail/A 42794-2020 FSC-klagomål mail.docx", "A 42794-2020")</f>
        <v/>
      </c>
      <c r="X720">
        <f>HYPERLINK("https://klasma.github.io/Logging_2482/tillsyn/A 42794-2020 tillsynsbegäran.docx", "A 42794-2020")</f>
        <v/>
      </c>
      <c r="Y720">
        <f>HYPERLINK("https://klasma.github.io/Logging_2482/tillsynsmail/A 42794-2020 tillsynsbegäran mail.docx", "A 42794-2020")</f>
        <v/>
      </c>
    </row>
    <row r="721" ht="15" customHeight="1">
      <c r="A721" t="inlineStr">
        <is>
          <t>A 43297-2020</t>
        </is>
      </c>
      <c r="B721" s="1" t="n">
        <v>44081</v>
      </c>
      <c r="C721" s="1" t="n">
        <v>45357</v>
      </c>
      <c r="D721" t="inlineStr">
        <is>
          <t>VÄSTERBOTTENS LÄN</t>
        </is>
      </c>
      <c r="E721" t="inlineStr">
        <is>
          <t>SKELLEFTEÅ</t>
        </is>
      </c>
      <c r="F721" t="inlineStr">
        <is>
          <t>Sveaskog</t>
        </is>
      </c>
      <c r="G721" t="n">
        <v>6</v>
      </c>
      <c r="H721" t="n">
        <v>0</v>
      </c>
      <c r="I721" t="n">
        <v>1</v>
      </c>
      <c r="J721" t="n">
        <v>0</v>
      </c>
      <c r="K721" t="n">
        <v>0</v>
      </c>
      <c r="L721" t="n">
        <v>0</v>
      </c>
      <c r="M721" t="n">
        <v>0</v>
      </c>
      <c r="N721" t="n">
        <v>0</v>
      </c>
      <c r="O721" t="n">
        <v>0</v>
      </c>
      <c r="P721" t="n">
        <v>0</v>
      </c>
      <c r="Q721" t="n">
        <v>1</v>
      </c>
      <c r="R721" s="2" t="inlineStr">
        <is>
          <t>Vedticka</t>
        </is>
      </c>
      <c r="S721">
        <f>HYPERLINK("https://klasma.github.io/Logging_2482/artfynd/A 43297-2020 artfynd.xlsx", "A 43297-2020")</f>
        <v/>
      </c>
      <c r="T721">
        <f>HYPERLINK("https://klasma.github.io/Logging_2482/kartor/A 43297-2020 karta.png", "A 43297-2020")</f>
        <v/>
      </c>
      <c r="V721">
        <f>HYPERLINK("https://klasma.github.io/Logging_2482/klagomål/A 43297-2020 FSC-klagomål.docx", "A 43297-2020")</f>
        <v/>
      </c>
      <c r="W721">
        <f>HYPERLINK("https://klasma.github.io/Logging_2482/klagomålsmail/A 43297-2020 FSC-klagomål mail.docx", "A 43297-2020")</f>
        <v/>
      </c>
      <c r="X721">
        <f>HYPERLINK("https://klasma.github.io/Logging_2482/tillsyn/A 43297-2020 tillsynsbegäran.docx", "A 43297-2020")</f>
        <v/>
      </c>
      <c r="Y721">
        <f>HYPERLINK("https://klasma.github.io/Logging_2482/tillsynsmail/A 43297-2020 tillsynsbegäran mail.docx", "A 43297-2020")</f>
        <v/>
      </c>
    </row>
    <row r="722" ht="15" customHeight="1">
      <c r="A722" t="inlineStr">
        <is>
          <t>A 43303-2020</t>
        </is>
      </c>
      <c r="B722" s="1" t="n">
        <v>44081</v>
      </c>
      <c r="C722" s="1" t="n">
        <v>45357</v>
      </c>
      <c r="D722" t="inlineStr">
        <is>
          <t>VÄSTERBOTTENS LÄN</t>
        </is>
      </c>
      <c r="E722" t="inlineStr">
        <is>
          <t>SKELLEFTEÅ</t>
        </is>
      </c>
      <c r="F722" t="inlineStr">
        <is>
          <t>Sveaskog</t>
        </is>
      </c>
      <c r="G722" t="n">
        <v>2.8</v>
      </c>
      <c r="H722" t="n">
        <v>0</v>
      </c>
      <c r="I722" t="n">
        <v>1</v>
      </c>
      <c r="J722" t="n">
        <v>0</v>
      </c>
      <c r="K722" t="n">
        <v>0</v>
      </c>
      <c r="L722" t="n">
        <v>0</v>
      </c>
      <c r="M722" t="n">
        <v>0</v>
      </c>
      <c r="N722" t="n">
        <v>0</v>
      </c>
      <c r="O722" t="n">
        <v>0</v>
      </c>
      <c r="P722" t="n">
        <v>0</v>
      </c>
      <c r="Q722" t="n">
        <v>1</v>
      </c>
      <c r="R722" s="2" t="inlineStr">
        <is>
          <t>Stuplav</t>
        </is>
      </c>
      <c r="S722">
        <f>HYPERLINK("https://klasma.github.io/Logging_2482/artfynd/A 43303-2020 artfynd.xlsx", "A 43303-2020")</f>
        <v/>
      </c>
      <c r="T722">
        <f>HYPERLINK("https://klasma.github.io/Logging_2482/kartor/A 43303-2020 karta.png", "A 43303-2020")</f>
        <v/>
      </c>
      <c r="V722">
        <f>HYPERLINK("https://klasma.github.io/Logging_2482/klagomål/A 43303-2020 FSC-klagomål.docx", "A 43303-2020")</f>
        <v/>
      </c>
      <c r="W722">
        <f>HYPERLINK("https://klasma.github.io/Logging_2482/klagomålsmail/A 43303-2020 FSC-klagomål mail.docx", "A 43303-2020")</f>
        <v/>
      </c>
      <c r="X722">
        <f>HYPERLINK("https://klasma.github.io/Logging_2482/tillsyn/A 43303-2020 tillsynsbegäran.docx", "A 43303-2020")</f>
        <v/>
      </c>
      <c r="Y722">
        <f>HYPERLINK("https://klasma.github.io/Logging_2482/tillsynsmail/A 43303-2020 tillsynsbegäran mail.docx", "A 43303-2020")</f>
        <v/>
      </c>
    </row>
    <row r="723" ht="15" customHeight="1">
      <c r="A723" t="inlineStr">
        <is>
          <t>A 43813-2020</t>
        </is>
      </c>
      <c r="B723" s="1" t="n">
        <v>44082</v>
      </c>
      <c r="C723" s="1" t="n">
        <v>45357</v>
      </c>
      <c r="D723" t="inlineStr">
        <is>
          <t>VÄSTERBOTTENS LÄN</t>
        </is>
      </c>
      <c r="E723" t="inlineStr">
        <is>
          <t>ÅSELE</t>
        </is>
      </c>
      <c r="F723" t="inlineStr">
        <is>
          <t>Sveaskog</t>
        </is>
      </c>
      <c r="G723" t="n">
        <v>14.2</v>
      </c>
      <c r="H723" t="n">
        <v>1</v>
      </c>
      <c r="I723" t="n">
        <v>0</v>
      </c>
      <c r="J723" t="n">
        <v>1</v>
      </c>
      <c r="K723" t="n">
        <v>0</v>
      </c>
      <c r="L723" t="n">
        <v>0</v>
      </c>
      <c r="M723" t="n">
        <v>0</v>
      </c>
      <c r="N723" t="n">
        <v>0</v>
      </c>
      <c r="O723" t="n">
        <v>1</v>
      </c>
      <c r="P723" t="n">
        <v>0</v>
      </c>
      <c r="Q723" t="n">
        <v>1</v>
      </c>
      <c r="R723" s="2" t="inlineStr">
        <is>
          <t>Spillkråka</t>
        </is>
      </c>
      <c r="S723">
        <f>HYPERLINK("https://klasma.github.io/Logging_2463/artfynd/A 43813-2020 artfynd.xlsx", "A 43813-2020")</f>
        <v/>
      </c>
      <c r="T723">
        <f>HYPERLINK("https://klasma.github.io/Logging_2463/kartor/A 43813-2020 karta.png", "A 43813-2020")</f>
        <v/>
      </c>
      <c r="V723">
        <f>HYPERLINK("https://klasma.github.io/Logging_2463/klagomål/A 43813-2020 FSC-klagomål.docx", "A 43813-2020")</f>
        <v/>
      </c>
      <c r="W723">
        <f>HYPERLINK("https://klasma.github.io/Logging_2463/klagomålsmail/A 43813-2020 FSC-klagomål mail.docx", "A 43813-2020")</f>
        <v/>
      </c>
      <c r="X723">
        <f>HYPERLINK("https://klasma.github.io/Logging_2463/tillsyn/A 43813-2020 tillsynsbegäran.docx", "A 43813-2020")</f>
        <v/>
      </c>
      <c r="Y723">
        <f>HYPERLINK("https://klasma.github.io/Logging_2463/tillsynsmail/A 43813-2020 tillsynsbegäran mail.docx", "A 43813-2020")</f>
        <v/>
      </c>
      <c r="Z723">
        <f>HYPERLINK("https://klasma.github.io/Logging_2463/fåglar/A 43813-2020 prioriterade fågelarter.docx", "A 43813-2020")</f>
        <v/>
      </c>
    </row>
    <row r="724" ht="15" customHeight="1">
      <c r="A724" t="inlineStr">
        <is>
          <t>A 43837-2020</t>
        </is>
      </c>
      <c r="B724" s="1" t="n">
        <v>44082</v>
      </c>
      <c r="C724" s="1" t="n">
        <v>45357</v>
      </c>
      <c r="D724" t="inlineStr">
        <is>
          <t>VÄSTERBOTTENS LÄN</t>
        </is>
      </c>
      <c r="E724" t="inlineStr">
        <is>
          <t>ÅSELE</t>
        </is>
      </c>
      <c r="F724" t="inlineStr">
        <is>
          <t>SCA</t>
        </is>
      </c>
      <c r="G724" t="n">
        <v>3.8</v>
      </c>
      <c r="H724" t="n">
        <v>1</v>
      </c>
      <c r="I724" t="n">
        <v>0</v>
      </c>
      <c r="J724" t="n">
        <v>1</v>
      </c>
      <c r="K724" t="n">
        <v>0</v>
      </c>
      <c r="L724" t="n">
        <v>0</v>
      </c>
      <c r="M724" t="n">
        <v>0</v>
      </c>
      <c r="N724" t="n">
        <v>0</v>
      </c>
      <c r="O724" t="n">
        <v>1</v>
      </c>
      <c r="P724" t="n">
        <v>0</v>
      </c>
      <c r="Q724" t="n">
        <v>1</v>
      </c>
      <c r="R724" s="2" t="inlineStr">
        <is>
          <t>Tretåig hackspett</t>
        </is>
      </c>
      <c r="S724">
        <f>HYPERLINK("https://klasma.github.io/Logging_2463/artfynd/A 43837-2020 artfynd.xlsx", "A 43837-2020")</f>
        <v/>
      </c>
      <c r="T724">
        <f>HYPERLINK("https://klasma.github.io/Logging_2463/kartor/A 43837-2020 karta.png", "A 43837-2020")</f>
        <v/>
      </c>
      <c r="V724">
        <f>HYPERLINK("https://klasma.github.io/Logging_2463/klagomål/A 43837-2020 FSC-klagomål.docx", "A 43837-2020")</f>
        <v/>
      </c>
      <c r="W724">
        <f>HYPERLINK("https://klasma.github.io/Logging_2463/klagomålsmail/A 43837-2020 FSC-klagomål mail.docx", "A 43837-2020")</f>
        <v/>
      </c>
      <c r="X724">
        <f>HYPERLINK("https://klasma.github.io/Logging_2463/tillsyn/A 43837-2020 tillsynsbegäran.docx", "A 43837-2020")</f>
        <v/>
      </c>
      <c r="Y724">
        <f>HYPERLINK("https://klasma.github.io/Logging_2463/tillsynsmail/A 43837-2020 tillsynsbegäran mail.docx", "A 43837-2020")</f>
        <v/>
      </c>
      <c r="Z724">
        <f>HYPERLINK("https://klasma.github.io/Logging_2463/fåglar/A 43837-2020 prioriterade fågelarter.docx", "A 43837-2020")</f>
        <v/>
      </c>
    </row>
    <row r="725" ht="15" customHeight="1">
      <c r="A725" t="inlineStr">
        <is>
          <t>A 43843-2020</t>
        </is>
      </c>
      <c r="B725" s="1" t="n">
        <v>44082</v>
      </c>
      <c r="C725" s="1" t="n">
        <v>45357</v>
      </c>
      <c r="D725" t="inlineStr">
        <is>
          <t>VÄSTERBOTTENS LÄN</t>
        </is>
      </c>
      <c r="E725" t="inlineStr">
        <is>
          <t>NORDMALING</t>
        </is>
      </c>
      <c r="F725" t="inlineStr">
        <is>
          <t>SCA</t>
        </is>
      </c>
      <c r="G725" t="n">
        <v>1.6</v>
      </c>
      <c r="H725" t="n">
        <v>0</v>
      </c>
      <c r="I725" t="n">
        <v>0</v>
      </c>
      <c r="J725" t="n">
        <v>1</v>
      </c>
      <c r="K725" t="n">
        <v>0</v>
      </c>
      <c r="L725" t="n">
        <v>0</v>
      </c>
      <c r="M725" t="n">
        <v>0</v>
      </c>
      <c r="N725" t="n">
        <v>0</v>
      </c>
      <c r="O725" t="n">
        <v>1</v>
      </c>
      <c r="P725" t="n">
        <v>0</v>
      </c>
      <c r="Q725" t="n">
        <v>1</v>
      </c>
      <c r="R725" s="2" t="inlineStr">
        <is>
          <t>Gammelgransskål</t>
        </is>
      </c>
      <c r="S725">
        <f>HYPERLINK("https://klasma.github.io/Logging_2401/artfynd/A 43843-2020 artfynd.xlsx", "A 43843-2020")</f>
        <v/>
      </c>
      <c r="T725">
        <f>HYPERLINK("https://klasma.github.io/Logging_2401/kartor/A 43843-2020 karta.png", "A 43843-2020")</f>
        <v/>
      </c>
      <c r="V725">
        <f>HYPERLINK("https://klasma.github.io/Logging_2401/klagomål/A 43843-2020 FSC-klagomål.docx", "A 43843-2020")</f>
        <v/>
      </c>
      <c r="W725">
        <f>HYPERLINK("https://klasma.github.io/Logging_2401/klagomålsmail/A 43843-2020 FSC-klagomål mail.docx", "A 43843-2020")</f>
        <v/>
      </c>
      <c r="X725">
        <f>HYPERLINK("https://klasma.github.io/Logging_2401/tillsyn/A 43843-2020 tillsynsbegäran.docx", "A 43843-2020")</f>
        <v/>
      </c>
      <c r="Y725">
        <f>HYPERLINK("https://klasma.github.io/Logging_2401/tillsynsmail/A 43843-2020 tillsynsbegäran mail.docx", "A 43843-2020")</f>
        <v/>
      </c>
    </row>
    <row r="726" ht="15" customHeight="1">
      <c r="A726" t="inlineStr">
        <is>
          <t>A 47013-2020</t>
        </is>
      </c>
      <c r="B726" s="1" t="n">
        <v>44096</v>
      </c>
      <c r="C726" s="1" t="n">
        <v>45357</v>
      </c>
      <c r="D726" t="inlineStr">
        <is>
          <t>VÄSTERBOTTENS LÄN</t>
        </is>
      </c>
      <c r="E726" t="inlineStr">
        <is>
          <t>VINDELN</t>
        </is>
      </c>
      <c r="G726" t="n">
        <v>0.6</v>
      </c>
      <c r="H726" t="n">
        <v>0</v>
      </c>
      <c r="I726" t="n">
        <v>0</v>
      </c>
      <c r="J726" t="n">
        <v>1</v>
      </c>
      <c r="K726" t="n">
        <v>0</v>
      </c>
      <c r="L726" t="n">
        <v>0</v>
      </c>
      <c r="M726" t="n">
        <v>0</v>
      </c>
      <c r="N726" t="n">
        <v>0</v>
      </c>
      <c r="O726" t="n">
        <v>1</v>
      </c>
      <c r="P726" t="n">
        <v>0</v>
      </c>
      <c r="Q726" t="n">
        <v>1</v>
      </c>
      <c r="R726" s="2" t="inlineStr">
        <is>
          <t>Garnlav</t>
        </is>
      </c>
      <c r="S726">
        <f>HYPERLINK("https://klasma.github.io/Logging_2404/artfynd/A 47013-2020 artfynd.xlsx", "A 47013-2020")</f>
        <v/>
      </c>
      <c r="T726">
        <f>HYPERLINK("https://klasma.github.io/Logging_2404/kartor/A 47013-2020 karta.png", "A 47013-2020")</f>
        <v/>
      </c>
      <c r="V726">
        <f>HYPERLINK("https://klasma.github.io/Logging_2404/klagomål/A 47013-2020 FSC-klagomål.docx", "A 47013-2020")</f>
        <v/>
      </c>
      <c r="W726">
        <f>HYPERLINK("https://klasma.github.io/Logging_2404/klagomålsmail/A 47013-2020 FSC-klagomål mail.docx", "A 47013-2020")</f>
        <v/>
      </c>
      <c r="X726">
        <f>HYPERLINK("https://klasma.github.io/Logging_2404/tillsyn/A 47013-2020 tillsynsbegäran.docx", "A 47013-2020")</f>
        <v/>
      </c>
      <c r="Y726">
        <f>HYPERLINK("https://klasma.github.io/Logging_2404/tillsynsmail/A 47013-2020 tillsynsbegäran mail.docx", "A 47013-2020")</f>
        <v/>
      </c>
    </row>
    <row r="727" ht="15" customHeight="1">
      <c r="A727" t="inlineStr">
        <is>
          <t>A 48400-2020</t>
        </is>
      </c>
      <c r="B727" s="1" t="n">
        <v>44102</v>
      </c>
      <c r="C727" s="1" t="n">
        <v>45357</v>
      </c>
      <c r="D727" t="inlineStr">
        <is>
          <t>VÄSTERBOTTENS LÄN</t>
        </is>
      </c>
      <c r="E727" t="inlineStr">
        <is>
          <t>UMEÅ</t>
        </is>
      </c>
      <c r="G727" t="n">
        <v>1.8</v>
      </c>
      <c r="H727" t="n">
        <v>0</v>
      </c>
      <c r="I727" t="n">
        <v>0</v>
      </c>
      <c r="J727" t="n">
        <v>1</v>
      </c>
      <c r="K727" t="n">
        <v>0</v>
      </c>
      <c r="L727" t="n">
        <v>0</v>
      </c>
      <c r="M727" t="n">
        <v>0</v>
      </c>
      <c r="N727" t="n">
        <v>0</v>
      </c>
      <c r="O727" t="n">
        <v>1</v>
      </c>
      <c r="P727" t="n">
        <v>0</v>
      </c>
      <c r="Q727" t="n">
        <v>1</v>
      </c>
      <c r="R727" s="2" t="inlineStr">
        <is>
          <t>Granticka</t>
        </is>
      </c>
      <c r="S727">
        <f>HYPERLINK("https://klasma.github.io/Logging_2480/artfynd/A 48400-2020 artfynd.xlsx", "A 48400-2020")</f>
        <v/>
      </c>
      <c r="T727">
        <f>HYPERLINK("https://klasma.github.io/Logging_2480/kartor/A 48400-2020 karta.png", "A 48400-2020")</f>
        <v/>
      </c>
      <c r="V727">
        <f>HYPERLINK("https://klasma.github.io/Logging_2480/klagomål/A 48400-2020 FSC-klagomål.docx", "A 48400-2020")</f>
        <v/>
      </c>
      <c r="W727">
        <f>HYPERLINK("https://klasma.github.io/Logging_2480/klagomålsmail/A 48400-2020 FSC-klagomål mail.docx", "A 48400-2020")</f>
        <v/>
      </c>
      <c r="X727">
        <f>HYPERLINK("https://klasma.github.io/Logging_2480/tillsyn/A 48400-2020 tillsynsbegäran.docx", "A 48400-2020")</f>
        <v/>
      </c>
      <c r="Y727">
        <f>HYPERLINK("https://klasma.github.io/Logging_2480/tillsynsmail/A 48400-2020 tillsynsbegäran mail.docx", "A 48400-2020")</f>
        <v/>
      </c>
    </row>
    <row r="728" ht="15" customHeight="1">
      <c r="A728" t="inlineStr">
        <is>
          <t>A 49683-2020</t>
        </is>
      </c>
      <c r="B728" s="1" t="n">
        <v>44104</v>
      </c>
      <c r="C728" s="1" t="n">
        <v>45357</v>
      </c>
      <c r="D728" t="inlineStr">
        <is>
          <t>VÄSTERBOTTENS LÄN</t>
        </is>
      </c>
      <c r="E728" t="inlineStr">
        <is>
          <t>DOROTEA</t>
        </is>
      </c>
      <c r="F728" t="inlineStr">
        <is>
          <t>SCA</t>
        </is>
      </c>
      <c r="G728" t="n">
        <v>1.1</v>
      </c>
      <c r="H728" t="n">
        <v>0</v>
      </c>
      <c r="I728" t="n">
        <v>0</v>
      </c>
      <c r="J728" t="n">
        <v>0</v>
      </c>
      <c r="K728" t="n">
        <v>1</v>
      </c>
      <c r="L728" t="n">
        <v>0</v>
      </c>
      <c r="M728" t="n">
        <v>0</v>
      </c>
      <c r="N728" t="n">
        <v>0</v>
      </c>
      <c r="O728" t="n">
        <v>1</v>
      </c>
      <c r="P728" t="n">
        <v>1</v>
      </c>
      <c r="Q728" t="n">
        <v>1</v>
      </c>
      <c r="R728" s="2" t="inlineStr">
        <is>
          <t>Rynkskinn</t>
        </is>
      </c>
      <c r="S728">
        <f>HYPERLINK("https://klasma.github.io/Logging_2425/artfynd/A 49683-2020 artfynd.xlsx", "A 49683-2020")</f>
        <v/>
      </c>
      <c r="T728">
        <f>HYPERLINK("https://klasma.github.io/Logging_2425/kartor/A 49683-2020 karta.png", "A 49683-2020")</f>
        <v/>
      </c>
      <c r="V728">
        <f>HYPERLINK("https://klasma.github.io/Logging_2425/klagomål/A 49683-2020 FSC-klagomål.docx", "A 49683-2020")</f>
        <v/>
      </c>
      <c r="W728">
        <f>HYPERLINK("https://klasma.github.io/Logging_2425/klagomålsmail/A 49683-2020 FSC-klagomål mail.docx", "A 49683-2020")</f>
        <v/>
      </c>
      <c r="X728">
        <f>HYPERLINK("https://klasma.github.io/Logging_2425/tillsyn/A 49683-2020 tillsynsbegäran.docx", "A 49683-2020")</f>
        <v/>
      </c>
      <c r="Y728">
        <f>HYPERLINK("https://klasma.github.io/Logging_2425/tillsynsmail/A 49683-2020 tillsynsbegäran mail.docx", "A 49683-2020")</f>
        <v/>
      </c>
    </row>
    <row r="729" ht="15" customHeight="1">
      <c r="A729" t="inlineStr">
        <is>
          <t>A 52676-2020</t>
        </is>
      </c>
      <c r="B729" s="1" t="n">
        <v>44117</v>
      </c>
      <c r="C729" s="1" t="n">
        <v>45357</v>
      </c>
      <c r="D729" t="inlineStr">
        <is>
          <t>VÄSTERBOTTENS LÄN</t>
        </is>
      </c>
      <c r="E729" t="inlineStr">
        <is>
          <t>UMEÅ</t>
        </is>
      </c>
      <c r="G729" t="n">
        <v>3.3</v>
      </c>
      <c r="H729" t="n">
        <v>0</v>
      </c>
      <c r="I729" t="n">
        <v>0</v>
      </c>
      <c r="J729" t="n">
        <v>1</v>
      </c>
      <c r="K729" t="n">
        <v>0</v>
      </c>
      <c r="L729" t="n">
        <v>0</v>
      </c>
      <c r="M729" t="n">
        <v>0</v>
      </c>
      <c r="N729" t="n">
        <v>0</v>
      </c>
      <c r="O729" t="n">
        <v>1</v>
      </c>
      <c r="P729" t="n">
        <v>0</v>
      </c>
      <c r="Q729" t="n">
        <v>1</v>
      </c>
      <c r="R729" s="2" t="inlineStr">
        <is>
          <t>Garnlav</t>
        </is>
      </c>
      <c r="S729">
        <f>HYPERLINK("https://klasma.github.io/Logging_2480/artfynd/A 52676-2020 artfynd.xlsx", "A 52676-2020")</f>
        <v/>
      </c>
      <c r="T729">
        <f>HYPERLINK("https://klasma.github.io/Logging_2480/kartor/A 52676-2020 karta.png", "A 52676-2020")</f>
        <v/>
      </c>
      <c r="V729">
        <f>HYPERLINK("https://klasma.github.io/Logging_2480/klagomål/A 52676-2020 FSC-klagomål.docx", "A 52676-2020")</f>
        <v/>
      </c>
      <c r="W729">
        <f>HYPERLINK("https://klasma.github.io/Logging_2480/klagomålsmail/A 52676-2020 FSC-klagomål mail.docx", "A 52676-2020")</f>
        <v/>
      </c>
      <c r="X729">
        <f>HYPERLINK("https://klasma.github.io/Logging_2480/tillsyn/A 52676-2020 tillsynsbegäran.docx", "A 52676-2020")</f>
        <v/>
      </c>
      <c r="Y729">
        <f>HYPERLINK("https://klasma.github.io/Logging_2480/tillsynsmail/A 52676-2020 tillsynsbegäran mail.docx", "A 52676-2020")</f>
        <v/>
      </c>
    </row>
    <row r="730" ht="15" customHeight="1">
      <c r="A730" t="inlineStr">
        <is>
          <t>A 52538-2020</t>
        </is>
      </c>
      <c r="B730" s="1" t="n">
        <v>44118</v>
      </c>
      <c r="C730" s="1" t="n">
        <v>45357</v>
      </c>
      <c r="D730" t="inlineStr">
        <is>
          <t>VÄSTERBOTTENS LÄN</t>
        </is>
      </c>
      <c r="E730" t="inlineStr">
        <is>
          <t>VINDELN</t>
        </is>
      </c>
      <c r="F730" t="inlineStr">
        <is>
          <t>Sveaskog</t>
        </is>
      </c>
      <c r="G730" t="n">
        <v>22.7</v>
      </c>
      <c r="H730" t="n">
        <v>0</v>
      </c>
      <c r="I730" t="n">
        <v>0</v>
      </c>
      <c r="J730" t="n">
        <v>1</v>
      </c>
      <c r="K730" t="n">
        <v>0</v>
      </c>
      <c r="L730" t="n">
        <v>0</v>
      </c>
      <c r="M730" t="n">
        <v>0</v>
      </c>
      <c r="N730" t="n">
        <v>0</v>
      </c>
      <c r="O730" t="n">
        <v>1</v>
      </c>
      <c r="P730" t="n">
        <v>0</v>
      </c>
      <c r="Q730" t="n">
        <v>1</v>
      </c>
      <c r="R730" s="2" t="inlineStr">
        <is>
          <t>Motaggsvamp</t>
        </is>
      </c>
      <c r="S730">
        <f>HYPERLINK("https://klasma.github.io/Logging_2404/artfynd/A 52538-2020 artfynd.xlsx", "A 52538-2020")</f>
        <v/>
      </c>
      <c r="T730">
        <f>HYPERLINK("https://klasma.github.io/Logging_2404/kartor/A 52538-2020 karta.png", "A 52538-2020")</f>
        <v/>
      </c>
      <c r="V730">
        <f>HYPERLINK("https://klasma.github.io/Logging_2404/klagomål/A 52538-2020 FSC-klagomål.docx", "A 52538-2020")</f>
        <v/>
      </c>
      <c r="W730">
        <f>HYPERLINK("https://klasma.github.io/Logging_2404/klagomålsmail/A 52538-2020 FSC-klagomål mail.docx", "A 52538-2020")</f>
        <v/>
      </c>
      <c r="X730">
        <f>HYPERLINK("https://klasma.github.io/Logging_2404/tillsyn/A 52538-2020 tillsynsbegäran.docx", "A 52538-2020")</f>
        <v/>
      </c>
      <c r="Y730">
        <f>HYPERLINK("https://klasma.github.io/Logging_2404/tillsynsmail/A 52538-2020 tillsynsbegäran mail.docx", "A 52538-2020")</f>
        <v/>
      </c>
    </row>
    <row r="731" ht="15" customHeight="1">
      <c r="A731" t="inlineStr">
        <is>
          <t>A 55810-2020</t>
        </is>
      </c>
      <c r="B731" s="1" t="n">
        <v>44132</v>
      </c>
      <c r="C731" s="1" t="n">
        <v>45357</v>
      </c>
      <c r="D731" t="inlineStr">
        <is>
          <t>VÄSTERBOTTENS LÄN</t>
        </is>
      </c>
      <c r="E731" t="inlineStr">
        <is>
          <t>SKELLEFTEÅ</t>
        </is>
      </c>
      <c r="F731" t="inlineStr">
        <is>
          <t>Sveaskog</t>
        </is>
      </c>
      <c r="G731" t="n">
        <v>20.1</v>
      </c>
      <c r="H731" t="n">
        <v>1</v>
      </c>
      <c r="I731" t="n">
        <v>0</v>
      </c>
      <c r="J731" t="n">
        <v>0</v>
      </c>
      <c r="K731" t="n">
        <v>0</v>
      </c>
      <c r="L731" t="n">
        <v>0</v>
      </c>
      <c r="M731" t="n">
        <v>0</v>
      </c>
      <c r="N731" t="n">
        <v>0</v>
      </c>
      <c r="O731" t="n">
        <v>0</v>
      </c>
      <c r="P731" t="n">
        <v>0</v>
      </c>
      <c r="Q731" t="n">
        <v>1</v>
      </c>
      <c r="R731" s="2" t="inlineStr">
        <is>
          <t>Fläcknycklar</t>
        </is>
      </c>
      <c r="S731">
        <f>HYPERLINK("https://klasma.github.io/Logging_2482/artfynd/A 55810-2020 artfynd.xlsx", "A 55810-2020")</f>
        <v/>
      </c>
      <c r="T731">
        <f>HYPERLINK("https://klasma.github.io/Logging_2482/kartor/A 55810-2020 karta.png", "A 55810-2020")</f>
        <v/>
      </c>
      <c r="V731">
        <f>HYPERLINK("https://klasma.github.io/Logging_2482/klagomål/A 55810-2020 FSC-klagomål.docx", "A 55810-2020")</f>
        <v/>
      </c>
      <c r="W731">
        <f>HYPERLINK("https://klasma.github.io/Logging_2482/klagomålsmail/A 55810-2020 FSC-klagomål mail.docx", "A 55810-2020")</f>
        <v/>
      </c>
      <c r="X731">
        <f>HYPERLINK("https://klasma.github.io/Logging_2482/tillsyn/A 55810-2020 tillsynsbegäran.docx", "A 55810-2020")</f>
        <v/>
      </c>
      <c r="Y731">
        <f>HYPERLINK("https://klasma.github.io/Logging_2482/tillsynsmail/A 55810-2020 tillsynsbegäran mail.docx", "A 55810-2020")</f>
        <v/>
      </c>
    </row>
    <row r="732" ht="15" customHeight="1">
      <c r="A732" t="inlineStr">
        <is>
          <t>A 57861-2020</t>
        </is>
      </c>
      <c r="B732" s="1" t="n">
        <v>44141</v>
      </c>
      <c r="C732" s="1" t="n">
        <v>45357</v>
      </c>
      <c r="D732" t="inlineStr">
        <is>
          <t>VÄSTERBOTTENS LÄN</t>
        </is>
      </c>
      <c r="E732" t="inlineStr">
        <is>
          <t>VILHELMINA</t>
        </is>
      </c>
      <c r="F732" t="inlineStr">
        <is>
          <t>Sveaskog</t>
        </is>
      </c>
      <c r="G732" t="n">
        <v>11.9</v>
      </c>
      <c r="H732" t="n">
        <v>0</v>
      </c>
      <c r="I732" t="n">
        <v>0</v>
      </c>
      <c r="J732" t="n">
        <v>0</v>
      </c>
      <c r="K732" t="n">
        <v>1</v>
      </c>
      <c r="L732" t="n">
        <v>0</v>
      </c>
      <c r="M732" t="n">
        <v>0</v>
      </c>
      <c r="N732" t="n">
        <v>0</v>
      </c>
      <c r="O732" t="n">
        <v>1</v>
      </c>
      <c r="P732" t="n">
        <v>1</v>
      </c>
      <c r="Q732" t="n">
        <v>1</v>
      </c>
      <c r="R732" s="2" t="inlineStr">
        <is>
          <t>Fläckporing</t>
        </is>
      </c>
      <c r="S732">
        <f>HYPERLINK("https://klasma.github.io/Logging_2462/artfynd/A 57861-2020 artfynd.xlsx", "A 57861-2020")</f>
        <v/>
      </c>
      <c r="T732">
        <f>HYPERLINK("https://klasma.github.io/Logging_2462/kartor/A 57861-2020 karta.png", "A 57861-2020")</f>
        <v/>
      </c>
      <c r="V732">
        <f>HYPERLINK("https://klasma.github.io/Logging_2462/klagomål/A 57861-2020 FSC-klagomål.docx", "A 57861-2020")</f>
        <v/>
      </c>
      <c r="W732">
        <f>HYPERLINK("https://klasma.github.io/Logging_2462/klagomålsmail/A 57861-2020 FSC-klagomål mail.docx", "A 57861-2020")</f>
        <v/>
      </c>
      <c r="X732">
        <f>HYPERLINK("https://klasma.github.io/Logging_2462/tillsyn/A 57861-2020 tillsynsbegäran.docx", "A 57861-2020")</f>
        <v/>
      </c>
      <c r="Y732">
        <f>HYPERLINK("https://klasma.github.io/Logging_2462/tillsynsmail/A 57861-2020 tillsynsbegäran mail.docx", "A 57861-2020")</f>
        <v/>
      </c>
    </row>
    <row r="733" ht="15" customHeight="1">
      <c r="A733" t="inlineStr">
        <is>
          <t>A 58269-2020</t>
        </is>
      </c>
      <c r="B733" s="1" t="n">
        <v>44144</v>
      </c>
      <c r="C733" s="1" t="n">
        <v>45357</v>
      </c>
      <c r="D733" t="inlineStr">
        <is>
          <t>VÄSTERBOTTENS LÄN</t>
        </is>
      </c>
      <c r="E733" t="inlineStr">
        <is>
          <t>VINDELN</t>
        </is>
      </c>
      <c r="F733" t="inlineStr">
        <is>
          <t>Sveaskog</t>
        </is>
      </c>
      <c r="G733" t="n">
        <v>6.2</v>
      </c>
      <c r="H733" t="n">
        <v>1</v>
      </c>
      <c r="I733" t="n">
        <v>1</v>
      </c>
      <c r="J733" t="n">
        <v>0</v>
      </c>
      <c r="K733" t="n">
        <v>0</v>
      </c>
      <c r="L733" t="n">
        <v>0</v>
      </c>
      <c r="M733" t="n">
        <v>0</v>
      </c>
      <c r="N733" t="n">
        <v>0</v>
      </c>
      <c r="O733" t="n">
        <v>0</v>
      </c>
      <c r="P733" t="n">
        <v>0</v>
      </c>
      <c r="Q733" t="n">
        <v>1</v>
      </c>
      <c r="R733" s="2" t="inlineStr">
        <is>
          <t>Lappranunkel</t>
        </is>
      </c>
      <c r="S733">
        <f>HYPERLINK("https://klasma.github.io/Logging_2404/artfynd/A 58269-2020 artfynd.xlsx", "A 58269-2020")</f>
        <v/>
      </c>
      <c r="T733">
        <f>HYPERLINK("https://klasma.github.io/Logging_2404/kartor/A 58269-2020 karta.png", "A 58269-2020")</f>
        <v/>
      </c>
      <c r="V733">
        <f>HYPERLINK("https://klasma.github.io/Logging_2404/klagomål/A 58269-2020 FSC-klagomål.docx", "A 58269-2020")</f>
        <v/>
      </c>
      <c r="W733">
        <f>HYPERLINK("https://klasma.github.io/Logging_2404/klagomålsmail/A 58269-2020 FSC-klagomål mail.docx", "A 58269-2020")</f>
        <v/>
      </c>
      <c r="X733">
        <f>HYPERLINK("https://klasma.github.io/Logging_2404/tillsyn/A 58269-2020 tillsynsbegäran.docx", "A 58269-2020")</f>
        <v/>
      </c>
      <c r="Y733">
        <f>HYPERLINK("https://klasma.github.io/Logging_2404/tillsynsmail/A 58269-2020 tillsynsbegäran mail.docx", "A 58269-2020")</f>
        <v/>
      </c>
    </row>
    <row r="734" ht="15" customHeight="1">
      <c r="A734" t="inlineStr">
        <is>
          <t>A 59120-2020</t>
        </is>
      </c>
      <c r="B734" s="1" t="n">
        <v>44147</v>
      </c>
      <c r="C734" s="1" t="n">
        <v>45357</v>
      </c>
      <c r="D734" t="inlineStr">
        <is>
          <t>VÄSTERBOTTENS LÄN</t>
        </is>
      </c>
      <c r="E734" t="inlineStr">
        <is>
          <t>NORSJÖ</t>
        </is>
      </c>
      <c r="F734" t="inlineStr">
        <is>
          <t>Sveaskog</t>
        </is>
      </c>
      <c r="G734" t="n">
        <v>19.6</v>
      </c>
      <c r="H734" t="n">
        <v>0</v>
      </c>
      <c r="I734" t="n">
        <v>1</v>
      </c>
      <c r="J734" t="n">
        <v>0</v>
      </c>
      <c r="K734" t="n">
        <v>0</v>
      </c>
      <c r="L734" t="n">
        <v>0</v>
      </c>
      <c r="M734" t="n">
        <v>0</v>
      </c>
      <c r="N734" t="n">
        <v>0</v>
      </c>
      <c r="O734" t="n">
        <v>0</v>
      </c>
      <c r="P734" t="n">
        <v>0</v>
      </c>
      <c r="Q734" t="n">
        <v>1</v>
      </c>
      <c r="R734" s="2" t="inlineStr">
        <is>
          <t>Bollvitmossa</t>
        </is>
      </c>
      <c r="S734">
        <f>HYPERLINK("https://klasma.github.io/Logging_2417/artfynd/A 59120-2020 artfynd.xlsx", "A 59120-2020")</f>
        <v/>
      </c>
      <c r="T734">
        <f>HYPERLINK("https://klasma.github.io/Logging_2417/kartor/A 59120-2020 karta.png", "A 59120-2020")</f>
        <v/>
      </c>
      <c r="V734">
        <f>HYPERLINK("https://klasma.github.io/Logging_2417/klagomål/A 59120-2020 FSC-klagomål.docx", "A 59120-2020")</f>
        <v/>
      </c>
      <c r="W734">
        <f>HYPERLINK("https://klasma.github.io/Logging_2417/klagomålsmail/A 59120-2020 FSC-klagomål mail.docx", "A 59120-2020")</f>
        <v/>
      </c>
      <c r="X734">
        <f>HYPERLINK("https://klasma.github.io/Logging_2417/tillsyn/A 59120-2020 tillsynsbegäran.docx", "A 59120-2020")</f>
        <v/>
      </c>
      <c r="Y734">
        <f>HYPERLINK("https://klasma.github.io/Logging_2417/tillsynsmail/A 59120-2020 tillsynsbegäran mail.docx", "A 59120-2020")</f>
        <v/>
      </c>
    </row>
    <row r="735" ht="15" customHeight="1">
      <c r="A735" t="inlineStr">
        <is>
          <t>A 62699-2020</t>
        </is>
      </c>
      <c r="B735" s="1" t="n">
        <v>44161</v>
      </c>
      <c r="C735" s="1" t="n">
        <v>45357</v>
      </c>
      <c r="D735" t="inlineStr">
        <is>
          <t>VÄSTERBOTTENS LÄN</t>
        </is>
      </c>
      <c r="E735" t="inlineStr">
        <is>
          <t>NORSJÖ</t>
        </is>
      </c>
      <c r="F735" t="inlineStr">
        <is>
          <t>Sveaskog</t>
        </is>
      </c>
      <c r="G735" t="n">
        <v>2</v>
      </c>
      <c r="H735" t="n">
        <v>0</v>
      </c>
      <c r="I735" t="n">
        <v>1</v>
      </c>
      <c r="J735" t="n">
        <v>0</v>
      </c>
      <c r="K735" t="n">
        <v>0</v>
      </c>
      <c r="L735" t="n">
        <v>0</v>
      </c>
      <c r="M735" t="n">
        <v>0</v>
      </c>
      <c r="N735" t="n">
        <v>0</v>
      </c>
      <c r="O735" t="n">
        <v>0</v>
      </c>
      <c r="P735" t="n">
        <v>0</v>
      </c>
      <c r="Q735" t="n">
        <v>1</v>
      </c>
      <c r="R735" s="2" t="inlineStr">
        <is>
          <t>Bronshjon</t>
        </is>
      </c>
      <c r="S735">
        <f>HYPERLINK("https://klasma.github.io/Logging_2417/artfynd/A 62699-2020 artfynd.xlsx", "A 62699-2020")</f>
        <v/>
      </c>
      <c r="T735">
        <f>HYPERLINK("https://klasma.github.io/Logging_2417/kartor/A 62699-2020 karta.png", "A 62699-2020")</f>
        <v/>
      </c>
      <c r="V735">
        <f>HYPERLINK("https://klasma.github.io/Logging_2417/klagomål/A 62699-2020 FSC-klagomål.docx", "A 62699-2020")</f>
        <v/>
      </c>
      <c r="W735">
        <f>HYPERLINK("https://klasma.github.io/Logging_2417/klagomålsmail/A 62699-2020 FSC-klagomål mail.docx", "A 62699-2020")</f>
        <v/>
      </c>
      <c r="X735">
        <f>HYPERLINK("https://klasma.github.io/Logging_2417/tillsyn/A 62699-2020 tillsynsbegäran.docx", "A 62699-2020")</f>
        <v/>
      </c>
      <c r="Y735">
        <f>HYPERLINK("https://klasma.github.io/Logging_2417/tillsynsmail/A 62699-2020 tillsynsbegäran mail.docx", "A 62699-2020")</f>
        <v/>
      </c>
    </row>
    <row r="736" ht="15" customHeight="1">
      <c r="A736" t="inlineStr">
        <is>
          <t>A 63227-2020</t>
        </is>
      </c>
      <c r="B736" s="1" t="n">
        <v>44163</v>
      </c>
      <c r="C736" s="1" t="n">
        <v>45357</v>
      </c>
      <c r="D736" t="inlineStr">
        <is>
          <t>VÄSTERBOTTENS LÄN</t>
        </is>
      </c>
      <c r="E736" t="inlineStr">
        <is>
          <t>VINDELN</t>
        </is>
      </c>
      <c r="F736" t="inlineStr">
        <is>
          <t>Sveaskog</t>
        </is>
      </c>
      <c r="G736" t="n">
        <v>2.6</v>
      </c>
      <c r="H736" t="n">
        <v>0</v>
      </c>
      <c r="I736" t="n">
        <v>0</v>
      </c>
      <c r="J736" t="n">
        <v>1</v>
      </c>
      <c r="K736" t="n">
        <v>0</v>
      </c>
      <c r="L736" t="n">
        <v>0</v>
      </c>
      <c r="M736" t="n">
        <v>0</v>
      </c>
      <c r="N736" t="n">
        <v>0</v>
      </c>
      <c r="O736" t="n">
        <v>1</v>
      </c>
      <c r="P736" t="n">
        <v>0</v>
      </c>
      <c r="Q736" t="n">
        <v>1</v>
      </c>
      <c r="R736" s="2" t="inlineStr">
        <is>
          <t>Garnlav</t>
        </is>
      </c>
      <c r="S736">
        <f>HYPERLINK("https://klasma.github.io/Logging_2404/artfynd/A 63227-2020 artfynd.xlsx", "A 63227-2020")</f>
        <v/>
      </c>
      <c r="T736">
        <f>HYPERLINK("https://klasma.github.io/Logging_2404/kartor/A 63227-2020 karta.png", "A 63227-2020")</f>
        <v/>
      </c>
      <c r="V736">
        <f>HYPERLINK("https://klasma.github.io/Logging_2404/klagomål/A 63227-2020 FSC-klagomål.docx", "A 63227-2020")</f>
        <v/>
      </c>
      <c r="W736">
        <f>HYPERLINK("https://klasma.github.io/Logging_2404/klagomålsmail/A 63227-2020 FSC-klagomål mail.docx", "A 63227-2020")</f>
        <v/>
      </c>
      <c r="X736">
        <f>HYPERLINK("https://klasma.github.io/Logging_2404/tillsyn/A 63227-2020 tillsynsbegäran.docx", "A 63227-2020")</f>
        <v/>
      </c>
      <c r="Y736">
        <f>HYPERLINK("https://klasma.github.io/Logging_2404/tillsynsmail/A 63227-2020 tillsynsbegäran mail.docx", "A 63227-2020")</f>
        <v/>
      </c>
    </row>
    <row r="737" ht="15" customHeight="1">
      <c r="A737" t="inlineStr">
        <is>
          <t>A 63237-2020</t>
        </is>
      </c>
      <c r="B737" s="1" t="n">
        <v>44163</v>
      </c>
      <c r="C737" s="1" t="n">
        <v>45357</v>
      </c>
      <c r="D737" t="inlineStr">
        <is>
          <t>VÄSTERBOTTENS LÄN</t>
        </is>
      </c>
      <c r="E737" t="inlineStr">
        <is>
          <t>ROBERTSFORS</t>
        </is>
      </c>
      <c r="F737" t="inlineStr">
        <is>
          <t>Sveaskog</t>
        </is>
      </c>
      <c r="G737" t="n">
        <v>1.4</v>
      </c>
      <c r="H737" t="n">
        <v>0</v>
      </c>
      <c r="I737" t="n">
        <v>0</v>
      </c>
      <c r="J737" t="n">
        <v>1</v>
      </c>
      <c r="K737" t="n">
        <v>0</v>
      </c>
      <c r="L737" t="n">
        <v>0</v>
      </c>
      <c r="M737" t="n">
        <v>0</v>
      </c>
      <c r="N737" t="n">
        <v>0</v>
      </c>
      <c r="O737" t="n">
        <v>1</v>
      </c>
      <c r="P737" t="n">
        <v>0</v>
      </c>
      <c r="Q737" t="n">
        <v>1</v>
      </c>
      <c r="R737" s="2" t="inlineStr">
        <is>
          <t>Garnlav</t>
        </is>
      </c>
      <c r="S737">
        <f>HYPERLINK("https://klasma.github.io/Logging_2409/artfynd/A 63237-2020 artfynd.xlsx", "A 63237-2020")</f>
        <v/>
      </c>
      <c r="T737">
        <f>HYPERLINK("https://klasma.github.io/Logging_2409/kartor/A 63237-2020 karta.png", "A 63237-2020")</f>
        <v/>
      </c>
      <c r="V737">
        <f>HYPERLINK("https://klasma.github.io/Logging_2409/klagomål/A 63237-2020 FSC-klagomål.docx", "A 63237-2020")</f>
        <v/>
      </c>
      <c r="W737">
        <f>HYPERLINK("https://klasma.github.io/Logging_2409/klagomålsmail/A 63237-2020 FSC-klagomål mail.docx", "A 63237-2020")</f>
        <v/>
      </c>
      <c r="X737">
        <f>HYPERLINK("https://klasma.github.io/Logging_2409/tillsyn/A 63237-2020 tillsynsbegäran.docx", "A 63237-2020")</f>
        <v/>
      </c>
      <c r="Y737">
        <f>HYPERLINK("https://klasma.github.io/Logging_2409/tillsynsmail/A 63237-2020 tillsynsbegäran mail.docx", "A 63237-2020")</f>
        <v/>
      </c>
    </row>
    <row r="738" ht="15" customHeight="1">
      <c r="A738" t="inlineStr">
        <is>
          <t>A 64185-2020</t>
        </is>
      </c>
      <c r="B738" s="1" t="n">
        <v>44167</v>
      </c>
      <c r="C738" s="1" t="n">
        <v>45357</v>
      </c>
      <c r="D738" t="inlineStr">
        <is>
          <t>VÄSTERBOTTENS LÄN</t>
        </is>
      </c>
      <c r="E738" t="inlineStr">
        <is>
          <t>NORDMALING</t>
        </is>
      </c>
      <c r="F738" t="inlineStr">
        <is>
          <t>SCA</t>
        </is>
      </c>
      <c r="G738" t="n">
        <v>1.7</v>
      </c>
      <c r="H738" t="n">
        <v>0</v>
      </c>
      <c r="I738" t="n">
        <v>0</v>
      </c>
      <c r="J738" t="n">
        <v>1</v>
      </c>
      <c r="K738" t="n">
        <v>0</v>
      </c>
      <c r="L738" t="n">
        <v>0</v>
      </c>
      <c r="M738" t="n">
        <v>0</v>
      </c>
      <c r="N738" t="n">
        <v>0</v>
      </c>
      <c r="O738" t="n">
        <v>1</v>
      </c>
      <c r="P738" t="n">
        <v>0</v>
      </c>
      <c r="Q738" t="n">
        <v>1</v>
      </c>
      <c r="R738" s="2" t="inlineStr">
        <is>
          <t>Gränsticka</t>
        </is>
      </c>
      <c r="S738">
        <f>HYPERLINK("https://klasma.github.io/Logging_2401/artfynd/A 64185-2020 artfynd.xlsx", "A 64185-2020")</f>
        <v/>
      </c>
      <c r="T738">
        <f>HYPERLINK("https://klasma.github.io/Logging_2401/kartor/A 64185-2020 karta.png", "A 64185-2020")</f>
        <v/>
      </c>
      <c r="V738">
        <f>HYPERLINK("https://klasma.github.io/Logging_2401/klagomål/A 64185-2020 FSC-klagomål.docx", "A 64185-2020")</f>
        <v/>
      </c>
      <c r="W738">
        <f>HYPERLINK("https://klasma.github.io/Logging_2401/klagomålsmail/A 64185-2020 FSC-klagomål mail.docx", "A 64185-2020")</f>
        <v/>
      </c>
      <c r="X738">
        <f>HYPERLINK("https://klasma.github.io/Logging_2401/tillsyn/A 64185-2020 tillsynsbegäran.docx", "A 64185-2020")</f>
        <v/>
      </c>
      <c r="Y738">
        <f>HYPERLINK("https://klasma.github.io/Logging_2401/tillsynsmail/A 64185-2020 tillsynsbegäran mail.docx", "A 64185-2020")</f>
        <v/>
      </c>
    </row>
    <row r="739" ht="15" customHeight="1">
      <c r="A739" t="inlineStr">
        <is>
          <t>A 65617-2020</t>
        </is>
      </c>
      <c r="B739" s="1" t="n">
        <v>44173</v>
      </c>
      <c r="C739" s="1" t="n">
        <v>45357</v>
      </c>
      <c r="D739" t="inlineStr">
        <is>
          <t>VÄSTERBOTTENS LÄN</t>
        </is>
      </c>
      <c r="E739" t="inlineStr">
        <is>
          <t>NORDMALING</t>
        </is>
      </c>
      <c r="F739" t="inlineStr">
        <is>
          <t>SCA</t>
        </is>
      </c>
      <c r="G739" t="n">
        <v>4.3</v>
      </c>
      <c r="H739" t="n">
        <v>0</v>
      </c>
      <c r="I739" t="n">
        <v>0</v>
      </c>
      <c r="J739" t="n">
        <v>1</v>
      </c>
      <c r="K739" t="n">
        <v>0</v>
      </c>
      <c r="L739" t="n">
        <v>0</v>
      </c>
      <c r="M739" t="n">
        <v>0</v>
      </c>
      <c r="N739" t="n">
        <v>0</v>
      </c>
      <c r="O739" t="n">
        <v>1</v>
      </c>
      <c r="P739" t="n">
        <v>0</v>
      </c>
      <c r="Q739" t="n">
        <v>1</v>
      </c>
      <c r="R739" s="2" t="inlineStr">
        <is>
          <t>Lunglav</t>
        </is>
      </c>
      <c r="S739">
        <f>HYPERLINK("https://klasma.github.io/Logging_2401/artfynd/A 65617-2020 artfynd.xlsx", "A 65617-2020")</f>
        <v/>
      </c>
      <c r="T739">
        <f>HYPERLINK("https://klasma.github.io/Logging_2401/kartor/A 65617-2020 karta.png", "A 65617-2020")</f>
        <v/>
      </c>
      <c r="V739">
        <f>HYPERLINK("https://klasma.github.io/Logging_2401/klagomål/A 65617-2020 FSC-klagomål.docx", "A 65617-2020")</f>
        <v/>
      </c>
      <c r="W739">
        <f>HYPERLINK("https://klasma.github.io/Logging_2401/klagomålsmail/A 65617-2020 FSC-klagomål mail.docx", "A 65617-2020")</f>
        <v/>
      </c>
      <c r="X739">
        <f>HYPERLINK("https://klasma.github.io/Logging_2401/tillsyn/A 65617-2020 tillsynsbegäran.docx", "A 65617-2020")</f>
        <v/>
      </c>
      <c r="Y739">
        <f>HYPERLINK("https://klasma.github.io/Logging_2401/tillsynsmail/A 65617-2020 tillsynsbegäran mail.docx", "A 65617-2020")</f>
        <v/>
      </c>
    </row>
    <row r="740" ht="15" customHeight="1">
      <c r="A740" t="inlineStr">
        <is>
          <t>A 68291-2020</t>
        </is>
      </c>
      <c r="B740" s="1" t="n">
        <v>44183</v>
      </c>
      <c r="C740" s="1" t="n">
        <v>45357</v>
      </c>
      <c r="D740" t="inlineStr">
        <is>
          <t>VÄSTERBOTTENS LÄN</t>
        </is>
      </c>
      <c r="E740" t="inlineStr">
        <is>
          <t>NORDMALING</t>
        </is>
      </c>
      <c r="F740" t="inlineStr">
        <is>
          <t>SCA</t>
        </is>
      </c>
      <c r="G740" t="n">
        <v>2.2</v>
      </c>
      <c r="H740" t="n">
        <v>0</v>
      </c>
      <c r="I740" t="n">
        <v>0</v>
      </c>
      <c r="J740" t="n">
        <v>1</v>
      </c>
      <c r="K740" t="n">
        <v>0</v>
      </c>
      <c r="L740" t="n">
        <v>0</v>
      </c>
      <c r="M740" t="n">
        <v>0</v>
      </c>
      <c r="N740" t="n">
        <v>0</v>
      </c>
      <c r="O740" t="n">
        <v>1</v>
      </c>
      <c r="P740" t="n">
        <v>0</v>
      </c>
      <c r="Q740" t="n">
        <v>1</v>
      </c>
      <c r="R740" s="2" t="inlineStr">
        <is>
          <t>Granticka</t>
        </is>
      </c>
      <c r="S740">
        <f>HYPERLINK("https://klasma.github.io/Logging_2401/artfynd/A 68291-2020 artfynd.xlsx", "A 68291-2020")</f>
        <v/>
      </c>
      <c r="T740">
        <f>HYPERLINK("https://klasma.github.io/Logging_2401/kartor/A 68291-2020 karta.png", "A 68291-2020")</f>
        <v/>
      </c>
      <c r="V740">
        <f>HYPERLINK("https://klasma.github.io/Logging_2401/klagomål/A 68291-2020 FSC-klagomål.docx", "A 68291-2020")</f>
        <v/>
      </c>
      <c r="W740">
        <f>HYPERLINK("https://klasma.github.io/Logging_2401/klagomålsmail/A 68291-2020 FSC-klagomål mail.docx", "A 68291-2020")</f>
        <v/>
      </c>
      <c r="X740">
        <f>HYPERLINK("https://klasma.github.io/Logging_2401/tillsyn/A 68291-2020 tillsynsbegäran.docx", "A 68291-2020")</f>
        <v/>
      </c>
      <c r="Y740">
        <f>HYPERLINK("https://klasma.github.io/Logging_2401/tillsynsmail/A 68291-2020 tillsynsbegäran mail.docx", "A 68291-2020")</f>
        <v/>
      </c>
    </row>
    <row r="741" ht="15" customHeight="1">
      <c r="A741" t="inlineStr">
        <is>
          <t>A 3502-2021</t>
        </is>
      </c>
      <c r="B741" s="1" t="n">
        <v>44218</v>
      </c>
      <c r="C741" s="1" t="n">
        <v>45357</v>
      </c>
      <c r="D741" t="inlineStr">
        <is>
          <t>VÄSTERBOTTENS LÄN</t>
        </is>
      </c>
      <c r="E741" t="inlineStr">
        <is>
          <t>STORUMAN</t>
        </is>
      </c>
      <c r="F741" t="inlineStr">
        <is>
          <t>Sveaskog</t>
        </is>
      </c>
      <c r="G741" t="n">
        <v>4.3</v>
      </c>
      <c r="H741" t="n">
        <v>0</v>
      </c>
      <c r="I741" t="n">
        <v>1</v>
      </c>
      <c r="J741" t="n">
        <v>0</v>
      </c>
      <c r="K741" t="n">
        <v>0</v>
      </c>
      <c r="L741" t="n">
        <v>0</v>
      </c>
      <c r="M741" t="n">
        <v>0</v>
      </c>
      <c r="N741" t="n">
        <v>0</v>
      </c>
      <c r="O741" t="n">
        <v>0</v>
      </c>
      <c r="P741" t="n">
        <v>0</v>
      </c>
      <c r="Q741" t="n">
        <v>1</v>
      </c>
      <c r="R741" s="2" t="inlineStr">
        <is>
          <t>Stuplav</t>
        </is>
      </c>
      <c r="S741">
        <f>HYPERLINK("https://klasma.github.io/Logging_2421/artfynd/A 3502-2021 artfynd.xlsx", "A 3502-2021")</f>
        <v/>
      </c>
      <c r="T741">
        <f>HYPERLINK("https://klasma.github.io/Logging_2421/kartor/A 3502-2021 karta.png", "A 3502-2021")</f>
        <v/>
      </c>
      <c r="V741">
        <f>HYPERLINK("https://klasma.github.io/Logging_2421/klagomål/A 3502-2021 FSC-klagomål.docx", "A 3502-2021")</f>
        <v/>
      </c>
      <c r="W741">
        <f>HYPERLINK("https://klasma.github.io/Logging_2421/klagomålsmail/A 3502-2021 FSC-klagomål mail.docx", "A 3502-2021")</f>
        <v/>
      </c>
      <c r="X741">
        <f>HYPERLINK("https://klasma.github.io/Logging_2421/tillsyn/A 3502-2021 tillsynsbegäran.docx", "A 3502-2021")</f>
        <v/>
      </c>
      <c r="Y741">
        <f>HYPERLINK("https://klasma.github.io/Logging_2421/tillsynsmail/A 3502-2021 tillsynsbegäran mail.docx", "A 3502-2021")</f>
        <v/>
      </c>
    </row>
    <row r="742" ht="15" customHeight="1">
      <c r="A742" t="inlineStr">
        <is>
          <t>A 3816-2021</t>
        </is>
      </c>
      <c r="B742" s="1" t="n">
        <v>44221</v>
      </c>
      <c r="C742" s="1" t="n">
        <v>45357</v>
      </c>
      <c r="D742" t="inlineStr">
        <is>
          <t>VÄSTERBOTTENS LÄN</t>
        </is>
      </c>
      <c r="E742" t="inlineStr">
        <is>
          <t>NORDMALING</t>
        </is>
      </c>
      <c r="G742" t="n">
        <v>2.3</v>
      </c>
      <c r="H742" t="n">
        <v>0</v>
      </c>
      <c r="I742" t="n">
        <v>1</v>
      </c>
      <c r="J742" t="n">
        <v>0</v>
      </c>
      <c r="K742" t="n">
        <v>0</v>
      </c>
      <c r="L742" t="n">
        <v>0</v>
      </c>
      <c r="M742" t="n">
        <v>0</v>
      </c>
      <c r="N742" t="n">
        <v>0</v>
      </c>
      <c r="O742" t="n">
        <v>0</v>
      </c>
      <c r="P742" t="n">
        <v>0</v>
      </c>
      <c r="Q742" t="n">
        <v>1</v>
      </c>
      <c r="R742" s="2" t="inlineStr">
        <is>
          <t>Trådticka</t>
        </is>
      </c>
      <c r="S742">
        <f>HYPERLINK("https://klasma.github.io/Logging_2401/artfynd/A 3816-2021 artfynd.xlsx", "A 3816-2021")</f>
        <v/>
      </c>
      <c r="T742">
        <f>HYPERLINK("https://klasma.github.io/Logging_2401/kartor/A 3816-2021 karta.png", "A 3816-2021")</f>
        <v/>
      </c>
      <c r="V742">
        <f>HYPERLINK("https://klasma.github.io/Logging_2401/klagomål/A 3816-2021 FSC-klagomål.docx", "A 3816-2021")</f>
        <v/>
      </c>
      <c r="W742">
        <f>HYPERLINK("https://klasma.github.io/Logging_2401/klagomålsmail/A 3816-2021 FSC-klagomål mail.docx", "A 3816-2021")</f>
        <v/>
      </c>
      <c r="X742">
        <f>HYPERLINK("https://klasma.github.io/Logging_2401/tillsyn/A 3816-2021 tillsynsbegäran.docx", "A 3816-2021")</f>
        <v/>
      </c>
      <c r="Y742">
        <f>HYPERLINK("https://klasma.github.io/Logging_2401/tillsynsmail/A 3816-2021 tillsynsbegäran mail.docx", "A 3816-2021")</f>
        <v/>
      </c>
    </row>
    <row r="743" ht="15" customHeight="1">
      <c r="A743" t="inlineStr">
        <is>
          <t>A 6210-2021</t>
        </is>
      </c>
      <c r="B743" s="1" t="n">
        <v>44232</v>
      </c>
      <c r="C743" s="1" t="n">
        <v>45357</v>
      </c>
      <c r="D743" t="inlineStr">
        <is>
          <t>VÄSTERBOTTENS LÄN</t>
        </is>
      </c>
      <c r="E743" t="inlineStr">
        <is>
          <t>STORUMAN</t>
        </is>
      </c>
      <c r="G743" t="n">
        <v>14</v>
      </c>
      <c r="H743" t="n">
        <v>0</v>
      </c>
      <c r="I743" t="n">
        <v>0</v>
      </c>
      <c r="J743" t="n">
        <v>1</v>
      </c>
      <c r="K743" t="n">
        <v>0</v>
      </c>
      <c r="L743" t="n">
        <v>0</v>
      </c>
      <c r="M743" t="n">
        <v>0</v>
      </c>
      <c r="N743" t="n">
        <v>0</v>
      </c>
      <c r="O743" t="n">
        <v>1</v>
      </c>
      <c r="P743" t="n">
        <v>0</v>
      </c>
      <c r="Q743" t="n">
        <v>1</v>
      </c>
      <c r="R743" s="2" t="inlineStr">
        <is>
          <t>Granticka</t>
        </is>
      </c>
      <c r="S743">
        <f>HYPERLINK("https://klasma.github.io/Logging_2421/artfynd/A 6210-2021 artfynd.xlsx", "A 6210-2021")</f>
        <v/>
      </c>
      <c r="T743">
        <f>HYPERLINK("https://klasma.github.io/Logging_2421/kartor/A 6210-2021 karta.png", "A 6210-2021")</f>
        <v/>
      </c>
      <c r="V743">
        <f>HYPERLINK("https://klasma.github.io/Logging_2421/klagomål/A 6210-2021 FSC-klagomål.docx", "A 6210-2021")</f>
        <v/>
      </c>
      <c r="W743">
        <f>HYPERLINK("https://klasma.github.io/Logging_2421/klagomålsmail/A 6210-2021 FSC-klagomål mail.docx", "A 6210-2021")</f>
        <v/>
      </c>
      <c r="X743">
        <f>HYPERLINK("https://klasma.github.io/Logging_2421/tillsyn/A 6210-2021 tillsynsbegäran.docx", "A 6210-2021")</f>
        <v/>
      </c>
      <c r="Y743">
        <f>HYPERLINK("https://klasma.github.io/Logging_2421/tillsynsmail/A 6210-2021 tillsynsbegäran mail.docx", "A 6210-2021")</f>
        <v/>
      </c>
    </row>
    <row r="744" ht="15" customHeight="1">
      <c r="A744" t="inlineStr">
        <is>
          <t>A 6852-2021</t>
        </is>
      </c>
      <c r="B744" s="1" t="n">
        <v>44237</v>
      </c>
      <c r="C744" s="1" t="n">
        <v>45357</v>
      </c>
      <c r="D744" t="inlineStr">
        <is>
          <t>VÄSTERBOTTENS LÄN</t>
        </is>
      </c>
      <c r="E744" t="inlineStr">
        <is>
          <t>STORUMAN</t>
        </is>
      </c>
      <c r="F744" t="inlineStr">
        <is>
          <t>Sveaskog</t>
        </is>
      </c>
      <c r="G744" t="n">
        <v>6.7</v>
      </c>
      <c r="H744" t="n">
        <v>0</v>
      </c>
      <c r="I744" t="n">
        <v>1</v>
      </c>
      <c r="J744" t="n">
        <v>0</v>
      </c>
      <c r="K744" t="n">
        <v>0</v>
      </c>
      <c r="L744" t="n">
        <v>0</v>
      </c>
      <c r="M744" t="n">
        <v>0</v>
      </c>
      <c r="N744" t="n">
        <v>0</v>
      </c>
      <c r="O744" t="n">
        <v>0</v>
      </c>
      <c r="P744" t="n">
        <v>0</v>
      </c>
      <c r="Q744" t="n">
        <v>1</v>
      </c>
      <c r="R744" s="2" t="inlineStr">
        <is>
          <t>Dropptaggsvamp</t>
        </is>
      </c>
      <c r="S744">
        <f>HYPERLINK("https://klasma.github.io/Logging_2421/artfynd/A 6852-2021 artfynd.xlsx", "A 6852-2021")</f>
        <v/>
      </c>
      <c r="T744">
        <f>HYPERLINK("https://klasma.github.io/Logging_2421/kartor/A 6852-2021 karta.png", "A 6852-2021")</f>
        <v/>
      </c>
      <c r="V744">
        <f>HYPERLINK("https://klasma.github.io/Logging_2421/klagomål/A 6852-2021 FSC-klagomål.docx", "A 6852-2021")</f>
        <v/>
      </c>
      <c r="W744">
        <f>HYPERLINK("https://klasma.github.io/Logging_2421/klagomålsmail/A 6852-2021 FSC-klagomål mail.docx", "A 6852-2021")</f>
        <v/>
      </c>
      <c r="X744">
        <f>HYPERLINK("https://klasma.github.io/Logging_2421/tillsyn/A 6852-2021 tillsynsbegäran.docx", "A 6852-2021")</f>
        <v/>
      </c>
      <c r="Y744">
        <f>HYPERLINK("https://klasma.github.io/Logging_2421/tillsynsmail/A 6852-2021 tillsynsbegäran mail.docx", "A 6852-2021")</f>
        <v/>
      </c>
    </row>
    <row r="745" ht="15" customHeight="1">
      <c r="A745" t="inlineStr">
        <is>
          <t>A 10340-2021</t>
        </is>
      </c>
      <c r="B745" s="1" t="n">
        <v>44257</v>
      </c>
      <c r="C745" s="1" t="n">
        <v>45357</v>
      </c>
      <c r="D745" t="inlineStr">
        <is>
          <t>VÄSTERBOTTENS LÄN</t>
        </is>
      </c>
      <c r="E745" t="inlineStr">
        <is>
          <t>VINDELN</t>
        </is>
      </c>
      <c r="F745" t="inlineStr">
        <is>
          <t>Sveaskog</t>
        </is>
      </c>
      <c r="G745" t="n">
        <v>3</v>
      </c>
      <c r="H745" t="n">
        <v>0</v>
      </c>
      <c r="I745" t="n">
        <v>0</v>
      </c>
      <c r="J745" t="n">
        <v>1</v>
      </c>
      <c r="K745" t="n">
        <v>0</v>
      </c>
      <c r="L745" t="n">
        <v>0</v>
      </c>
      <c r="M745" t="n">
        <v>0</v>
      </c>
      <c r="N745" t="n">
        <v>0</v>
      </c>
      <c r="O745" t="n">
        <v>1</v>
      </c>
      <c r="P745" t="n">
        <v>0</v>
      </c>
      <c r="Q745" t="n">
        <v>1</v>
      </c>
      <c r="R745" s="2" t="inlineStr">
        <is>
          <t>Garnlav</t>
        </is>
      </c>
      <c r="S745">
        <f>HYPERLINK("https://klasma.github.io/Logging_2404/artfynd/A 10340-2021 artfynd.xlsx", "A 10340-2021")</f>
        <v/>
      </c>
      <c r="T745">
        <f>HYPERLINK("https://klasma.github.io/Logging_2404/kartor/A 10340-2021 karta.png", "A 10340-2021")</f>
        <v/>
      </c>
      <c r="V745">
        <f>HYPERLINK("https://klasma.github.io/Logging_2404/klagomål/A 10340-2021 FSC-klagomål.docx", "A 10340-2021")</f>
        <v/>
      </c>
      <c r="W745">
        <f>HYPERLINK("https://klasma.github.io/Logging_2404/klagomålsmail/A 10340-2021 FSC-klagomål mail.docx", "A 10340-2021")</f>
        <v/>
      </c>
      <c r="X745">
        <f>HYPERLINK("https://klasma.github.io/Logging_2404/tillsyn/A 10340-2021 tillsynsbegäran.docx", "A 10340-2021")</f>
        <v/>
      </c>
      <c r="Y745">
        <f>HYPERLINK("https://klasma.github.io/Logging_2404/tillsynsmail/A 10340-2021 tillsynsbegäran mail.docx", "A 10340-2021")</f>
        <v/>
      </c>
    </row>
    <row r="746" ht="15" customHeight="1">
      <c r="A746" t="inlineStr">
        <is>
          <t>A 11845-2021</t>
        </is>
      </c>
      <c r="B746" s="1" t="n">
        <v>44265</v>
      </c>
      <c r="C746" s="1" t="n">
        <v>45357</v>
      </c>
      <c r="D746" t="inlineStr">
        <is>
          <t>VÄSTERBOTTENS LÄN</t>
        </is>
      </c>
      <c r="E746" t="inlineStr">
        <is>
          <t>SORSELE</t>
        </is>
      </c>
      <c r="G746" t="n">
        <v>2.8</v>
      </c>
      <c r="H746" t="n">
        <v>0</v>
      </c>
      <c r="I746" t="n">
        <v>0</v>
      </c>
      <c r="J746" t="n">
        <v>1</v>
      </c>
      <c r="K746" t="n">
        <v>0</v>
      </c>
      <c r="L746" t="n">
        <v>0</v>
      </c>
      <c r="M746" t="n">
        <v>0</v>
      </c>
      <c r="N746" t="n">
        <v>0</v>
      </c>
      <c r="O746" t="n">
        <v>1</v>
      </c>
      <c r="P746" t="n">
        <v>0</v>
      </c>
      <c r="Q746" t="n">
        <v>1</v>
      </c>
      <c r="R746" s="2" t="inlineStr">
        <is>
          <t>Blå taggsvamp</t>
        </is>
      </c>
      <c r="S746">
        <f>HYPERLINK("https://klasma.github.io/Logging_2422/artfynd/A 11845-2021 artfynd.xlsx", "A 11845-2021")</f>
        <v/>
      </c>
      <c r="T746">
        <f>HYPERLINK("https://klasma.github.io/Logging_2422/kartor/A 11845-2021 karta.png", "A 11845-2021")</f>
        <v/>
      </c>
      <c r="V746">
        <f>HYPERLINK("https://klasma.github.io/Logging_2422/klagomål/A 11845-2021 FSC-klagomål.docx", "A 11845-2021")</f>
        <v/>
      </c>
      <c r="W746">
        <f>HYPERLINK("https://klasma.github.io/Logging_2422/klagomålsmail/A 11845-2021 FSC-klagomål mail.docx", "A 11845-2021")</f>
        <v/>
      </c>
      <c r="X746">
        <f>HYPERLINK("https://klasma.github.io/Logging_2422/tillsyn/A 11845-2021 tillsynsbegäran.docx", "A 11845-2021")</f>
        <v/>
      </c>
      <c r="Y746">
        <f>HYPERLINK("https://klasma.github.io/Logging_2422/tillsynsmail/A 11845-2021 tillsynsbegäran mail.docx", "A 11845-2021")</f>
        <v/>
      </c>
    </row>
    <row r="747" ht="15" customHeight="1">
      <c r="A747" t="inlineStr">
        <is>
          <t>A 14083-2021</t>
        </is>
      </c>
      <c r="B747" s="1" t="n">
        <v>44277</v>
      </c>
      <c r="C747" s="1" t="n">
        <v>45357</v>
      </c>
      <c r="D747" t="inlineStr">
        <is>
          <t>VÄSTERBOTTENS LÄN</t>
        </is>
      </c>
      <c r="E747" t="inlineStr">
        <is>
          <t>BJURHOLM</t>
        </is>
      </c>
      <c r="F747" t="inlineStr">
        <is>
          <t>SCA</t>
        </is>
      </c>
      <c r="G747" t="n">
        <v>15.1</v>
      </c>
      <c r="H747" t="n">
        <v>0</v>
      </c>
      <c r="I747" t="n">
        <v>0</v>
      </c>
      <c r="J747" t="n">
        <v>1</v>
      </c>
      <c r="K747" t="n">
        <v>0</v>
      </c>
      <c r="L747" t="n">
        <v>0</v>
      </c>
      <c r="M747" t="n">
        <v>0</v>
      </c>
      <c r="N747" t="n">
        <v>0</v>
      </c>
      <c r="O747" t="n">
        <v>1</v>
      </c>
      <c r="P747" t="n">
        <v>0</v>
      </c>
      <c r="Q747" t="n">
        <v>1</v>
      </c>
      <c r="R747" s="2" t="inlineStr">
        <is>
          <t>Dvärgbägarlav</t>
        </is>
      </c>
      <c r="S747">
        <f>HYPERLINK("https://klasma.github.io/Logging_2403/artfynd/A 14083-2021 artfynd.xlsx", "A 14083-2021")</f>
        <v/>
      </c>
      <c r="T747">
        <f>HYPERLINK("https://klasma.github.io/Logging_2403/kartor/A 14083-2021 karta.png", "A 14083-2021")</f>
        <v/>
      </c>
      <c r="V747">
        <f>HYPERLINK("https://klasma.github.io/Logging_2403/klagomål/A 14083-2021 FSC-klagomål.docx", "A 14083-2021")</f>
        <v/>
      </c>
      <c r="W747">
        <f>HYPERLINK("https://klasma.github.io/Logging_2403/klagomålsmail/A 14083-2021 FSC-klagomål mail.docx", "A 14083-2021")</f>
        <v/>
      </c>
      <c r="X747">
        <f>HYPERLINK("https://klasma.github.io/Logging_2403/tillsyn/A 14083-2021 tillsynsbegäran.docx", "A 14083-2021")</f>
        <v/>
      </c>
      <c r="Y747">
        <f>HYPERLINK("https://klasma.github.io/Logging_2403/tillsynsmail/A 14083-2021 tillsynsbegäran mail.docx", "A 14083-2021")</f>
        <v/>
      </c>
    </row>
    <row r="748" ht="15" customHeight="1">
      <c r="A748" t="inlineStr">
        <is>
          <t>A 14088-2021</t>
        </is>
      </c>
      <c r="B748" s="1" t="n">
        <v>44277</v>
      </c>
      <c r="C748" s="1" t="n">
        <v>45357</v>
      </c>
      <c r="D748" t="inlineStr">
        <is>
          <t>VÄSTERBOTTENS LÄN</t>
        </is>
      </c>
      <c r="E748" t="inlineStr">
        <is>
          <t>BJURHOLM</t>
        </is>
      </c>
      <c r="F748" t="inlineStr">
        <is>
          <t>SCA</t>
        </is>
      </c>
      <c r="G748" t="n">
        <v>7.6</v>
      </c>
      <c r="H748" t="n">
        <v>0</v>
      </c>
      <c r="I748" t="n">
        <v>0</v>
      </c>
      <c r="J748" t="n">
        <v>1</v>
      </c>
      <c r="K748" t="n">
        <v>0</v>
      </c>
      <c r="L748" t="n">
        <v>0</v>
      </c>
      <c r="M748" t="n">
        <v>0</v>
      </c>
      <c r="N748" t="n">
        <v>0</v>
      </c>
      <c r="O748" t="n">
        <v>1</v>
      </c>
      <c r="P748" t="n">
        <v>0</v>
      </c>
      <c r="Q748" t="n">
        <v>1</v>
      </c>
      <c r="R748" s="2" t="inlineStr">
        <is>
          <t>Lunglav</t>
        </is>
      </c>
      <c r="S748">
        <f>HYPERLINK("https://klasma.github.io/Logging_2403/artfynd/A 14088-2021 artfynd.xlsx", "A 14088-2021")</f>
        <v/>
      </c>
      <c r="T748">
        <f>HYPERLINK("https://klasma.github.io/Logging_2403/kartor/A 14088-2021 karta.png", "A 14088-2021")</f>
        <v/>
      </c>
      <c r="V748">
        <f>HYPERLINK("https://klasma.github.io/Logging_2403/klagomål/A 14088-2021 FSC-klagomål.docx", "A 14088-2021")</f>
        <v/>
      </c>
      <c r="W748">
        <f>HYPERLINK("https://klasma.github.io/Logging_2403/klagomålsmail/A 14088-2021 FSC-klagomål mail.docx", "A 14088-2021")</f>
        <v/>
      </c>
      <c r="X748">
        <f>HYPERLINK("https://klasma.github.io/Logging_2403/tillsyn/A 14088-2021 tillsynsbegäran.docx", "A 14088-2021")</f>
        <v/>
      </c>
      <c r="Y748">
        <f>HYPERLINK("https://klasma.github.io/Logging_2403/tillsynsmail/A 14088-2021 tillsynsbegäran mail.docx", "A 14088-2021")</f>
        <v/>
      </c>
    </row>
    <row r="749" ht="15" customHeight="1">
      <c r="A749" t="inlineStr">
        <is>
          <t>A 18248-2021</t>
        </is>
      </c>
      <c r="B749" s="1" t="n">
        <v>44305</v>
      </c>
      <c r="C749" s="1" t="n">
        <v>45357</v>
      </c>
      <c r="D749" t="inlineStr">
        <is>
          <t>VÄSTERBOTTENS LÄN</t>
        </is>
      </c>
      <c r="E749" t="inlineStr">
        <is>
          <t>UMEÅ</t>
        </is>
      </c>
      <c r="G749" t="n">
        <v>22</v>
      </c>
      <c r="H749" t="n">
        <v>1</v>
      </c>
      <c r="I749" t="n">
        <v>0</v>
      </c>
      <c r="J749" t="n">
        <v>0</v>
      </c>
      <c r="K749" t="n">
        <v>0</v>
      </c>
      <c r="L749" t="n">
        <v>0</v>
      </c>
      <c r="M749" t="n">
        <v>0</v>
      </c>
      <c r="N749" t="n">
        <v>0</v>
      </c>
      <c r="O749" t="n">
        <v>0</v>
      </c>
      <c r="P749" t="n">
        <v>0</v>
      </c>
      <c r="Q749" t="n">
        <v>1</v>
      </c>
      <c r="R749" s="2" t="inlineStr">
        <is>
          <t>Bivråk</t>
        </is>
      </c>
      <c r="S749">
        <f>HYPERLINK("https://klasma.github.io/Logging_2480/artfynd/A 18248-2021 artfynd.xlsx", "A 18248-2021")</f>
        <v/>
      </c>
      <c r="T749">
        <f>HYPERLINK("https://klasma.github.io/Logging_2480/kartor/A 18248-2021 karta.png", "A 18248-2021")</f>
        <v/>
      </c>
      <c r="V749">
        <f>HYPERLINK("https://klasma.github.io/Logging_2480/klagomål/A 18248-2021 FSC-klagomål.docx", "A 18248-2021")</f>
        <v/>
      </c>
      <c r="W749">
        <f>HYPERLINK("https://klasma.github.io/Logging_2480/klagomålsmail/A 18248-2021 FSC-klagomål mail.docx", "A 18248-2021")</f>
        <v/>
      </c>
      <c r="X749">
        <f>HYPERLINK("https://klasma.github.io/Logging_2480/tillsyn/A 18248-2021 tillsynsbegäran.docx", "A 18248-2021")</f>
        <v/>
      </c>
      <c r="Y749">
        <f>HYPERLINK("https://klasma.github.io/Logging_2480/tillsynsmail/A 18248-2021 tillsynsbegäran mail.docx", "A 18248-2021")</f>
        <v/>
      </c>
      <c r="Z749">
        <f>HYPERLINK("https://klasma.github.io/Logging_2480/fåglar/A 18248-2021 prioriterade fågelarter.docx", "A 18248-2021")</f>
        <v/>
      </c>
    </row>
    <row r="750" ht="15" customHeight="1">
      <c r="A750" t="inlineStr">
        <is>
          <t>A 19713-2021</t>
        </is>
      </c>
      <c r="B750" s="1" t="n">
        <v>44312</v>
      </c>
      <c r="C750" s="1" t="n">
        <v>45357</v>
      </c>
      <c r="D750" t="inlineStr">
        <is>
          <t>VÄSTERBOTTENS LÄN</t>
        </is>
      </c>
      <c r="E750" t="inlineStr">
        <is>
          <t>STORUMAN</t>
        </is>
      </c>
      <c r="G750" t="n">
        <v>1.6</v>
      </c>
      <c r="H750" t="n">
        <v>1</v>
      </c>
      <c r="I750" t="n">
        <v>0</v>
      </c>
      <c r="J750" t="n">
        <v>0</v>
      </c>
      <c r="K750" t="n">
        <v>1</v>
      </c>
      <c r="L750" t="n">
        <v>0</v>
      </c>
      <c r="M750" t="n">
        <v>0</v>
      </c>
      <c r="N750" t="n">
        <v>0</v>
      </c>
      <c r="O750" t="n">
        <v>1</v>
      </c>
      <c r="P750" t="n">
        <v>1</v>
      </c>
      <c r="Q750" t="n">
        <v>1</v>
      </c>
      <c r="R750" s="2" t="inlineStr">
        <is>
          <t>Knärot</t>
        </is>
      </c>
      <c r="S750">
        <f>HYPERLINK("https://klasma.github.io/Logging_2421/artfynd/A 19713-2021 artfynd.xlsx", "A 19713-2021")</f>
        <v/>
      </c>
      <c r="T750">
        <f>HYPERLINK("https://klasma.github.io/Logging_2421/kartor/A 19713-2021 karta.png", "A 19713-2021")</f>
        <v/>
      </c>
      <c r="U750">
        <f>HYPERLINK("https://klasma.github.io/Logging_2421/knärot/A 19713-2021 karta knärot.png", "A 19713-2021")</f>
        <v/>
      </c>
      <c r="V750">
        <f>HYPERLINK("https://klasma.github.io/Logging_2421/klagomål/A 19713-2021 FSC-klagomål.docx", "A 19713-2021")</f>
        <v/>
      </c>
      <c r="W750">
        <f>HYPERLINK("https://klasma.github.io/Logging_2421/klagomålsmail/A 19713-2021 FSC-klagomål mail.docx", "A 19713-2021")</f>
        <v/>
      </c>
      <c r="X750">
        <f>HYPERLINK("https://klasma.github.io/Logging_2421/tillsyn/A 19713-2021 tillsynsbegäran.docx", "A 19713-2021")</f>
        <v/>
      </c>
      <c r="Y750">
        <f>HYPERLINK("https://klasma.github.io/Logging_2421/tillsynsmail/A 19713-2021 tillsynsbegäran mail.docx", "A 19713-2021")</f>
        <v/>
      </c>
    </row>
    <row r="751" ht="15" customHeight="1">
      <c r="A751" t="inlineStr">
        <is>
          <t>A 27850-2021</t>
        </is>
      </c>
      <c r="B751" s="1" t="n">
        <v>44354</v>
      </c>
      <c r="C751" s="1" t="n">
        <v>45357</v>
      </c>
      <c r="D751" t="inlineStr">
        <is>
          <t>VÄSTERBOTTENS LÄN</t>
        </is>
      </c>
      <c r="E751" t="inlineStr">
        <is>
          <t>NORDMALING</t>
        </is>
      </c>
      <c r="F751" t="inlineStr">
        <is>
          <t>Kyrkan</t>
        </is>
      </c>
      <c r="G751" t="n">
        <v>1.2</v>
      </c>
      <c r="H751" t="n">
        <v>0</v>
      </c>
      <c r="I751" t="n">
        <v>0</v>
      </c>
      <c r="J751" t="n">
        <v>1</v>
      </c>
      <c r="K751" t="n">
        <v>0</v>
      </c>
      <c r="L751" t="n">
        <v>0</v>
      </c>
      <c r="M751" t="n">
        <v>0</v>
      </c>
      <c r="N751" t="n">
        <v>0</v>
      </c>
      <c r="O751" t="n">
        <v>1</v>
      </c>
      <c r="P751" t="n">
        <v>0</v>
      </c>
      <c r="Q751" t="n">
        <v>1</v>
      </c>
      <c r="R751" s="2" t="inlineStr">
        <is>
          <t>Blå taggsvamp</t>
        </is>
      </c>
      <c r="S751">
        <f>HYPERLINK("https://klasma.github.io/Logging_2401/artfynd/A 27850-2021 artfynd.xlsx", "A 27850-2021")</f>
        <v/>
      </c>
      <c r="T751">
        <f>HYPERLINK("https://klasma.github.io/Logging_2401/kartor/A 27850-2021 karta.png", "A 27850-2021")</f>
        <v/>
      </c>
      <c r="V751">
        <f>HYPERLINK("https://klasma.github.io/Logging_2401/klagomål/A 27850-2021 FSC-klagomål.docx", "A 27850-2021")</f>
        <v/>
      </c>
      <c r="W751">
        <f>HYPERLINK("https://klasma.github.io/Logging_2401/klagomålsmail/A 27850-2021 FSC-klagomål mail.docx", "A 27850-2021")</f>
        <v/>
      </c>
      <c r="X751">
        <f>HYPERLINK("https://klasma.github.io/Logging_2401/tillsyn/A 27850-2021 tillsynsbegäran.docx", "A 27850-2021")</f>
        <v/>
      </c>
      <c r="Y751">
        <f>HYPERLINK("https://klasma.github.io/Logging_2401/tillsynsmail/A 27850-2021 tillsynsbegäran mail.docx", "A 27850-2021")</f>
        <v/>
      </c>
    </row>
    <row r="752" ht="15" customHeight="1">
      <c r="A752" t="inlineStr">
        <is>
          <t>A 29376-2021</t>
        </is>
      </c>
      <c r="B752" s="1" t="n">
        <v>44361</v>
      </c>
      <c r="C752" s="1" t="n">
        <v>45357</v>
      </c>
      <c r="D752" t="inlineStr">
        <is>
          <t>VÄSTERBOTTENS LÄN</t>
        </is>
      </c>
      <c r="E752" t="inlineStr">
        <is>
          <t>VILHELMINA</t>
        </is>
      </c>
      <c r="F752" t="inlineStr">
        <is>
          <t>Allmännings- och besparingsskogar</t>
        </is>
      </c>
      <c r="G752" t="n">
        <v>110.8</v>
      </c>
      <c r="H752" t="n">
        <v>1</v>
      </c>
      <c r="I752" t="n">
        <v>0</v>
      </c>
      <c r="J752" t="n">
        <v>0</v>
      </c>
      <c r="K752" t="n">
        <v>0</v>
      </c>
      <c r="L752" t="n">
        <v>0</v>
      </c>
      <c r="M752" t="n">
        <v>0</v>
      </c>
      <c r="N752" t="n">
        <v>0</v>
      </c>
      <c r="O752" t="n">
        <v>0</v>
      </c>
      <c r="P752" t="n">
        <v>0</v>
      </c>
      <c r="Q752" t="n">
        <v>1</v>
      </c>
      <c r="R752" s="2" t="inlineStr">
        <is>
          <t>Lavskrika</t>
        </is>
      </c>
      <c r="S752">
        <f>HYPERLINK("https://klasma.github.io/Logging_2462/artfynd/A 29376-2021 artfynd.xlsx", "A 29376-2021")</f>
        <v/>
      </c>
      <c r="T752">
        <f>HYPERLINK("https://klasma.github.io/Logging_2462/kartor/A 29376-2021 karta.png", "A 29376-2021")</f>
        <v/>
      </c>
      <c r="V752">
        <f>HYPERLINK("https://klasma.github.io/Logging_2462/klagomål/A 29376-2021 FSC-klagomål.docx", "A 29376-2021")</f>
        <v/>
      </c>
      <c r="W752">
        <f>HYPERLINK("https://klasma.github.io/Logging_2462/klagomålsmail/A 29376-2021 FSC-klagomål mail.docx", "A 29376-2021")</f>
        <v/>
      </c>
      <c r="X752">
        <f>HYPERLINK("https://klasma.github.io/Logging_2462/tillsyn/A 29376-2021 tillsynsbegäran.docx", "A 29376-2021")</f>
        <v/>
      </c>
      <c r="Y752">
        <f>HYPERLINK("https://klasma.github.io/Logging_2462/tillsynsmail/A 29376-2021 tillsynsbegäran mail.docx", "A 29376-2021")</f>
        <v/>
      </c>
      <c r="Z752">
        <f>HYPERLINK("https://klasma.github.io/Logging_2462/fåglar/A 29376-2021 prioriterade fågelarter.docx", "A 29376-2021")</f>
        <v/>
      </c>
    </row>
    <row r="753" ht="15" customHeight="1">
      <c r="A753" t="inlineStr">
        <is>
          <t>A 31460-2021</t>
        </is>
      </c>
      <c r="B753" s="1" t="n">
        <v>44369</v>
      </c>
      <c r="C753" s="1" t="n">
        <v>45357</v>
      </c>
      <c r="D753" t="inlineStr">
        <is>
          <t>VÄSTERBOTTENS LÄN</t>
        </is>
      </c>
      <c r="E753" t="inlineStr">
        <is>
          <t>LYCKSELE</t>
        </is>
      </c>
      <c r="F753" t="inlineStr">
        <is>
          <t>Sveaskog</t>
        </is>
      </c>
      <c r="G753" t="n">
        <v>6.3</v>
      </c>
      <c r="H753" t="n">
        <v>0</v>
      </c>
      <c r="I753" t="n">
        <v>0</v>
      </c>
      <c r="J753" t="n">
        <v>1</v>
      </c>
      <c r="K753" t="n">
        <v>0</v>
      </c>
      <c r="L753" t="n">
        <v>0</v>
      </c>
      <c r="M753" t="n">
        <v>0</v>
      </c>
      <c r="N753" t="n">
        <v>0</v>
      </c>
      <c r="O753" t="n">
        <v>1</v>
      </c>
      <c r="P753" t="n">
        <v>0</v>
      </c>
      <c r="Q753" t="n">
        <v>1</v>
      </c>
      <c r="R753" s="2" t="inlineStr">
        <is>
          <t>Nordtagging</t>
        </is>
      </c>
      <c r="S753">
        <f>HYPERLINK("https://klasma.github.io/Logging_2481/artfynd/A 31460-2021 artfynd.xlsx", "A 31460-2021")</f>
        <v/>
      </c>
      <c r="T753">
        <f>HYPERLINK("https://klasma.github.io/Logging_2481/kartor/A 31460-2021 karta.png", "A 31460-2021")</f>
        <v/>
      </c>
      <c r="V753">
        <f>HYPERLINK("https://klasma.github.io/Logging_2481/klagomål/A 31460-2021 FSC-klagomål.docx", "A 31460-2021")</f>
        <v/>
      </c>
      <c r="W753">
        <f>HYPERLINK("https://klasma.github.io/Logging_2481/klagomålsmail/A 31460-2021 FSC-klagomål mail.docx", "A 31460-2021")</f>
        <v/>
      </c>
      <c r="X753">
        <f>HYPERLINK("https://klasma.github.io/Logging_2481/tillsyn/A 31460-2021 tillsynsbegäran.docx", "A 31460-2021")</f>
        <v/>
      </c>
      <c r="Y753">
        <f>HYPERLINK("https://klasma.github.io/Logging_2481/tillsynsmail/A 31460-2021 tillsynsbegäran mail.docx", "A 31460-2021")</f>
        <v/>
      </c>
    </row>
    <row r="754" ht="15" customHeight="1">
      <c r="A754" t="inlineStr">
        <is>
          <t>A 32677-2021</t>
        </is>
      </c>
      <c r="B754" s="1" t="n">
        <v>44371</v>
      </c>
      <c r="C754" s="1" t="n">
        <v>45357</v>
      </c>
      <c r="D754" t="inlineStr">
        <is>
          <t>VÄSTERBOTTENS LÄN</t>
        </is>
      </c>
      <c r="E754" t="inlineStr">
        <is>
          <t>VILHELMINA</t>
        </is>
      </c>
      <c r="G754" t="n">
        <v>9.699999999999999</v>
      </c>
      <c r="H754" t="n">
        <v>1</v>
      </c>
      <c r="I754" t="n">
        <v>0</v>
      </c>
      <c r="J754" t="n">
        <v>1</v>
      </c>
      <c r="K754" t="n">
        <v>0</v>
      </c>
      <c r="L754" t="n">
        <v>0</v>
      </c>
      <c r="M754" t="n">
        <v>0</v>
      </c>
      <c r="N754" t="n">
        <v>0</v>
      </c>
      <c r="O754" t="n">
        <v>1</v>
      </c>
      <c r="P754" t="n">
        <v>0</v>
      </c>
      <c r="Q754" t="n">
        <v>1</v>
      </c>
      <c r="R754" s="2" t="inlineStr">
        <is>
          <t>Tretåig hackspett</t>
        </is>
      </c>
      <c r="S754">
        <f>HYPERLINK("https://klasma.github.io/Logging_2462/artfynd/A 32677-2021 artfynd.xlsx", "A 32677-2021")</f>
        <v/>
      </c>
      <c r="T754">
        <f>HYPERLINK("https://klasma.github.io/Logging_2462/kartor/A 32677-2021 karta.png", "A 32677-2021")</f>
        <v/>
      </c>
      <c r="V754">
        <f>HYPERLINK("https://klasma.github.io/Logging_2462/klagomål/A 32677-2021 FSC-klagomål.docx", "A 32677-2021")</f>
        <v/>
      </c>
      <c r="W754">
        <f>HYPERLINK("https://klasma.github.io/Logging_2462/klagomålsmail/A 32677-2021 FSC-klagomål mail.docx", "A 32677-2021")</f>
        <v/>
      </c>
      <c r="X754">
        <f>HYPERLINK("https://klasma.github.io/Logging_2462/tillsyn/A 32677-2021 tillsynsbegäran.docx", "A 32677-2021")</f>
        <v/>
      </c>
      <c r="Y754">
        <f>HYPERLINK("https://klasma.github.io/Logging_2462/tillsynsmail/A 32677-2021 tillsynsbegäran mail.docx", "A 32677-2021")</f>
        <v/>
      </c>
      <c r="Z754">
        <f>HYPERLINK("https://klasma.github.io/Logging_2462/fåglar/A 32677-2021 prioriterade fågelarter.docx", "A 32677-2021")</f>
        <v/>
      </c>
    </row>
    <row r="755" ht="15" customHeight="1">
      <c r="A755" t="inlineStr">
        <is>
          <t>A 35047-2021</t>
        </is>
      </c>
      <c r="B755" s="1" t="n">
        <v>44384</v>
      </c>
      <c r="C755" s="1" t="n">
        <v>45357</v>
      </c>
      <c r="D755" t="inlineStr">
        <is>
          <t>VÄSTERBOTTENS LÄN</t>
        </is>
      </c>
      <c r="E755" t="inlineStr">
        <is>
          <t>SKELLEFTEÅ</t>
        </is>
      </c>
      <c r="G755" t="n">
        <v>3.1</v>
      </c>
      <c r="H755" t="n">
        <v>0</v>
      </c>
      <c r="I755" t="n">
        <v>0</v>
      </c>
      <c r="J755" t="n">
        <v>1</v>
      </c>
      <c r="K755" t="n">
        <v>0</v>
      </c>
      <c r="L755" t="n">
        <v>0</v>
      </c>
      <c r="M755" t="n">
        <v>0</v>
      </c>
      <c r="N755" t="n">
        <v>0</v>
      </c>
      <c r="O755" t="n">
        <v>1</v>
      </c>
      <c r="P755" t="n">
        <v>0</v>
      </c>
      <c r="Q755" t="n">
        <v>1</v>
      </c>
      <c r="R755" s="2" t="inlineStr">
        <is>
          <t>Garnlav</t>
        </is>
      </c>
      <c r="S755">
        <f>HYPERLINK("https://klasma.github.io/Logging_2482/artfynd/A 35047-2021 artfynd.xlsx", "A 35047-2021")</f>
        <v/>
      </c>
      <c r="T755">
        <f>HYPERLINK("https://klasma.github.io/Logging_2482/kartor/A 35047-2021 karta.png", "A 35047-2021")</f>
        <v/>
      </c>
      <c r="V755">
        <f>HYPERLINK("https://klasma.github.io/Logging_2482/klagomål/A 35047-2021 FSC-klagomål.docx", "A 35047-2021")</f>
        <v/>
      </c>
      <c r="W755">
        <f>HYPERLINK("https://klasma.github.io/Logging_2482/klagomålsmail/A 35047-2021 FSC-klagomål mail.docx", "A 35047-2021")</f>
        <v/>
      </c>
      <c r="X755">
        <f>HYPERLINK("https://klasma.github.io/Logging_2482/tillsyn/A 35047-2021 tillsynsbegäran.docx", "A 35047-2021")</f>
        <v/>
      </c>
      <c r="Y755">
        <f>HYPERLINK("https://klasma.github.io/Logging_2482/tillsynsmail/A 35047-2021 tillsynsbegäran mail.docx", "A 35047-2021")</f>
        <v/>
      </c>
    </row>
    <row r="756" ht="15" customHeight="1">
      <c r="A756" t="inlineStr">
        <is>
          <t>A 35625-2021</t>
        </is>
      </c>
      <c r="B756" s="1" t="n">
        <v>44386</v>
      </c>
      <c r="C756" s="1" t="n">
        <v>45357</v>
      </c>
      <c r="D756" t="inlineStr">
        <is>
          <t>VÄSTERBOTTENS LÄN</t>
        </is>
      </c>
      <c r="E756" t="inlineStr">
        <is>
          <t>SKELLEFTEÅ</t>
        </is>
      </c>
      <c r="F756" t="inlineStr">
        <is>
          <t>Holmen skog AB</t>
        </is>
      </c>
      <c r="G756" t="n">
        <v>3.5</v>
      </c>
      <c r="H756" t="n">
        <v>0</v>
      </c>
      <c r="I756" t="n">
        <v>1</v>
      </c>
      <c r="J756" t="n">
        <v>0</v>
      </c>
      <c r="K756" t="n">
        <v>0</v>
      </c>
      <c r="L756" t="n">
        <v>0</v>
      </c>
      <c r="M756" t="n">
        <v>0</v>
      </c>
      <c r="N756" t="n">
        <v>0</v>
      </c>
      <c r="O756" t="n">
        <v>0</v>
      </c>
      <c r="P756" t="n">
        <v>0</v>
      </c>
      <c r="Q756" t="n">
        <v>1</v>
      </c>
      <c r="R756" s="2" t="inlineStr">
        <is>
          <t>Vedticka</t>
        </is>
      </c>
      <c r="S756">
        <f>HYPERLINK("https://klasma.github.io/Logging_2482/artfynd/A 35625-2021 artfynd.xlsx", "A 35625-2021")</f>
        <v/>
      </c>
      <c r="T756">
        <f>HYPERLINK("https://klasma.github.io/Logging_2482/kartor/A 35625-2021 karta.png", "A 35625-2021")</f>
        <v/>
      </c>
      <c r="V756">
        <f>HYPERLINK("https://klasma.github.io/Logging_2482/klagomål/A 35625-2021 FSC-klagomål.docx", "A 35625-2021")</f>
        <v/>
      </c>
      <c r="W756">
        <f>HYPERLINK("https://klasma.github.io/Logging_2482/klagomålsmail/A 35625-2021 FSC-klagomål mail.docx", "A 35625-2021")</f>
        <v/>
      </c>
      <c r="X756">
        <f>HYPERLINK("https://klasma.github.io/Logging_2482/tillsyn/A 35625-2021 tillsynsbegäran.docx", "A 35625-2021")</f>
        <v/>
      </c>
      <c r="Y756">
        <f>HYPERLINK("https://klasma.github.io/Logging_2482/tillsynsmail/A 35625-2021 tillsynsbegäran mail.docx", "A 35625-2021")</f>
        <v/>
      </c>
    </row>
    <row r="757" ht="15" customHeight="1">
      <c r="A757" t="inlineStr">
        <is>
          <t>A 36929-2021</t>
        </is>
      </c>
      <c r="B757" s="1" t="n">
        <v>44393</v>
      </c>
      <c r="C757" s="1" t="n">
        <v>45357</v>
      </c>
      <c r="D757" t="inlineStr">
        <is>
          <t>VÄSTERBOTTENS LÄN</t>
        </is>
      </c>
      <c r="E757" t="inlineStr">
        <is>
          <t>ÅSELE</t>
        </is>
      </c>
      <c r="F757" t="inlineStr">
        <is>
          <t>Sveaskog</t>
        </is>
      </c>
      <c r="G757" t="n">
        <v>14.3</v>
      </c>
      <c r="H757" t="n">
        <v>0</v>
      </c>
      <c r="I757" t="n">
        <v>0</v>
      </c>
      <c r="J757" t="n">
        <v>1</v>
      </c>
      <c r="K757" t="n">
        <v>0</v>
      </c>
      <c r="L757" t="n">
        <v>0</v>
      </c>
      <c r="M757" t="n">
        <v>0</v>
      </c>
      <c r="N757" t="n">
        <v>0</v>
      </c>
      <c r="O757" t="n">
        <v>1</v>
      </c>
      <c r="P757" t="n">
        <v>0</v>
      </c>
      <c r="Q757" t="n">
        <v>1</v>
      </c>
      <c r="R757" s="2" t="inlineStr">
        <is>
          <t>Lunglav</t>
        </is>
      </c>
      <c r="S757">
        <f>HYPERLINK("https://klasma.github.io/Logging_2463/artfynd/A 36929-2021 artfynd.xlsx", "A 36929-2021")</f>
        <v/>
      </c>
      <c r="T757">
        <f>HYPERLINK("https://klasma.github.io/Logging_2463/kartor/A 36929-2021 karta.png", "A 36929-2021")</f>
        <v/>
      </c>
      <c r="V757">
        <f>HYPERLINK("https://klasma.github.io/Logging_2463/klagomål/A 36929-2021 FSC-klagomål.docx", "A 36929-2021")</f>
        <v/>
      </c>
      <c r="W757">
        <f>HYPERLINK("https://klasma.github.io/Logging_2463/klagomålsmail/A 36929-2021 FSC-klagomål mail.docx", "A 36929-2021")</f>
        <v/>
      </c>
      <c r="X757">
        <f>HYPERLINK("https://klasma.github.io/Logging_2463/tillsyn/A 36929-2021 tillsynsbegäran.docx", "A 36929-2021")</f>
        <v/>
      </c>
      <c r="Y757">
        <f>HYPERLINK("https://klasma.github.io/Logging_2463/tillsynsmail/A 36929-2021 tillsynsbegäran mail.docx", "A 36929-2021")</f>
        <v/>
      </c>
    </row>
    <row r="758" ht="15" customHeight="1">
      <c r="A758" t="inlineStr">
        <is>
          <t>A 36938-2021</t>
        </is>
      </c>
      <c r="B758" s="1" t="n">
        <v>44393</v>
      </c>
      <c r="C758" s="1" t="n">
        <v>45357</v>
      </c>
      <c r="D758" t="inlineStr">
        <is>
          <t>VÄSTERBOTTENS LÄN</t>
        </is>
      </c>
      <c r="E758" t="inlineStr">
        <is>
          <t>ÅSELE</t>
        </is>
      </c>
      <c r="F758" t="inlineStr">
        <is>
          <t>Sveaskog</t>
        </is>
      </c>
      <c r="G758" t="n">
        <v>11.1</v>
      </c>
      <c r="H758" t="n">
        <v>0</v>
      </c>
      <c r="I758" t="n">
        <v>0</v>
      </c>
      <c r="J758" t="n">
        <v>1</v>
      </c>
      <c r="K758" t="n">
        <v>0</v>
      </c>
      <c r="L758" t="n">
        <v>0</v>
      </c>
      <c r="M758" t="n">
        <v>0</v>
      </c>
      <c r="N758" t="n">
        <v>0</v>
      </c>
      <c r="O758" t="n">
        <v>1</v>
      </c>
      <c r="P758" t="n">
        <v>0</v>
      </c>
      <c r="Q758" t="n">
        <v>1</v>
      </c>
      <c r="R758" s="2" t="inlineStr">
        <is>
          <t>Lunglav</t>
        </is>
      </c>
      <c r="S758">
        <f>HYPERLINK("https://klasma.github.io/Logging_2463/artfynd/A 36938-2021 artfynd.xlsx", "A 36938-2021")</f>
        <v/>
      </c>
      <c r="T758">
        <f>HYPERLINK("https://klasma.github.io/Logging_2463/kartor/A 36938-2021 karta.png", "A 36938-2021")</f>
        <v/>
      </c>
      <c r="V758">
        <f>HYPERLINK("https://klasma.github.io/Logging_2463/klagomål/A 36938-2021 FSC-klagomål.docx", "A 36938-2021")</f>
        <v/>
      </c>
      <c r="W758">
        <f>HYPERLINK("https://klasma.github.io/Logging_2463/klagomålsmail/A 36938-2021 FSC-klagomål mail.docx", "A 36938-2021")</f>
        <v/>
      </c>
      <c r="X758">
        <f>HYPERLINK("https://klasma.github.io/Logging_2463/tillsyn/A 36938-2021 tillsynsbegäran.docx", "A 36938-2021")</f>
        <v/>
      </c>
      <c r="Y758">
        <f>HYPERLINK("https://klasma.github.io/Logging_2463/tillsynsmail/A 36938-2021 tillsynsbegäran mail.docx", "A 36938-2021")</f>
        <v/>
      </c>
    </row>
    <row r="759" ht="15" customHeight="1">
      <c r="A759" t="inlineStr">
        <is>
          <t>A 37598-2021</t>
        </is>
      </c>
      <c r="B759" s="1" t="n">
        <v>44399</v>
      </c>
      <c r="C759" s="1" t="n">
        <v>45357</v>
      </c>
      <c r="D759" t="inlineStr">
        <is>
          <t>VÄSTERBOTTENS LÄN</t>
        </is>
      </c>
      <c r="E759" t="inlineStr">
        <is>
          <t>LYCKSELE</t>
        </is>
      </c>
      <c r="F759" t="inlineStr">
        <is>
          <t>Holmen skog AB</t>
        </is>
      </c>
      <c r="G759" t="n">
        <v>11.6</v>
      </c>
      <c r="H759" t="n">
        <v>1</v>
      </c>
      <c r="I759" t="n">
        <v>0</v>
      </c>
      <c r="J759" t="n">
        <v>1</v>
      </c>
      <c r="K759" t="n">
        <v>0</v>
      </c>
      <c r="L759" t="n">
        <v>0</v>
      </c>
      <c r="M759" t="n">
        <v>0</v>
      </c>
      <c r="N759" t="n">
        <v>0</v>
      </c>
      <c r="O759" t="n">
        <v>1</v>
      </c>
      <c r="P759" t="n">
        <v>0</v>
      </c>
      <c r="Q759" t="n">
        <v>1</v>
      </c>
      <c r="R759" s="2" t="inlineStr">
        <is>
          <t>Tretåig hackspett</t>
        </is>
      </c>
      <c r="S759">
        <f>HYPERLINK("https://klasma.github.io/Logging_2481/artfynd/A 37598-2021 artfynd.xlsx", "A 37598-2021")</f>
        <v/>
      </c>
      <c r="T759">
        <f>HYPERLINK("https://klasma.github.io/Logging_2481/kartor/A 37598-2021 karta.png", "A 37598-2021")</f>
        <v/>
      </c>
      <c r="V759">
        <f>HYPERLINK("https://klasma.github.io/Logging_2481/klagomål/A 37598-2021 FSC-klagomål.docx", "A 37598-2021")</f>
        <v/>
      </c>
      <c r="W759">
        <f>HYPERLINK("https://klasma.github.io/Logging_2481/klagomålsmail/A 37598-2021 FSC-klagomål mail.docx", "A 37598-2021")</f>
        <v/>
      </c>
      <c r="X759">
        <f>HYPERLINK("https://klasma.github.io/Logging_2481/tillsyn/A 37598-2021 tillsynsbegäran.docx", "A 37598-2021")</f>
        <v/>
      </c>
      <c r="Y759">
        <f>HYPERLINK("https://klasma.github.io/Logging_2481/tillsynsmail/A 37598-2021 tillsynsbegäran mail.docx", "A 37598-2021")</f>
        <v/>
      </c>
      <c r="Z759">
        <f>HYPERLINK("https://klasma.github.io/Logging_2481/fåglar/A 37598-2021 prioriterade fågelarter.docx", "A 37598-2021")</f>
        <v/>
      </c>
    </row>
    <row r="760" ht="15" customHeight="1">
      <c r="A760" t="inlineStr">
        <is>
          <t>A 37583-2021</t>
        </is>
      </c>
      <c r="B760" s="1" t="n">
        <v>44399</v>
      </c>
      <c r="C760" s="1" t="n">
        <v>45357</v>
      </c>
      <c r="D760" t="inlineStr">
        <is>
          <t>VÄSTERBOTTENS LÄN</t>
        </is>
      </c>
      <c r="E760" t="inlineStr">
        <is>
          <t>LYCKSELE</t>
        </is>
      </c>
      <c r="F760" t="inlineStr">
        <is>
          <t>Holmen skog AB</t>
        </is>
      </c>
      <c r="G760" t="n">
        <v>10.9</v>
      </c>
      <c r="H760" t="n">
        <v>1</v>
      </c>
      <c r="I760" t="n">
        <v>0</v>
      </c>
      <c r="J760" t="n">
        <v>1</v>
      </c>
      <c r="K760" t="n">
        <v>0</v>
      </c>
      <c r="L760" t="n">
        <v>0</v>
      </c>
      <c r="M760" t="n">
        <v>0</v>
      </c>
      <c r="N760" t="n">
        <v>0</v>
      </c>
      <c r="O760" t="n">
        <v>1</v>
      </c>
      <c r="P760" t="n">
        <v>0</v>
      </c>
      <c r="Q760" t="n">
        <v>1</v>
      </c>
      <c r="R760" s="2" t="inlineStr">
        <is>
          <t>Tretåig hackspett</t>
        </is>
      </c>
      <c r="S760">
        <f>HYPERLINK("https://klasma.github.io/Logging_2481/artfynd/A 37583-2021 artfynd.xlsx", "A 37583-2021")</f>
        <v/>
      </c>
      <c r="T760">
        <f>HYPERLINK("https://klasma.github.io/Logging_2481/kartor/A 37583-2021 karta.png", "A 37583-2021")</f>
        <v/>
      </c>
      <c r="V760">
        <f>HYPERLINK("https://klasma.github.io/Logging_2481/klagomål/A 37583-2021 FSC-klagomål.docx", "A 37583-2021")</f>
        <v/>
      </c>
      <c r="W760">
        <f>HYPERLINK("https://klasma.github.io/Logging_2481/klagomålsmail/A 37583-2021 FSC-klagomål mail.docx", "A 37583-2021")</f>
        <v/>
      </c>
      <c r="X760">
        <f>HYPERLINK("https://klasma.github.io/Logging_2481/tillsyn/A 37583-2021 tillsynsbegäran.docx", "A 37583-2021")</f>
        <v/>
      </c>
      <c r="Y760">
        <f>HYPERLINK("https://klasma.github.io/Logging_2481/tillsynsmail/A 37583-2021 tillsynsbegäran mail.docx", "A 37583-2021")</f>
        <v/>
      </c>
      <c r="Z760">
        <f>HYPERLINK("https://klasma.github.io/Logging_2481/fåglar/A 37583-2021 prioriterade fågelarter.docx", "A 37583-2021")</f>
        <v/>
      </c>
    </row>
    <row r="761" ht="15" customHeight="1">
      <c r="A761" t="inlineStr">
        <is>
          <t>A 38396-2021</t>
        </is>
      </c>
      <c r="B761" s="1" t="n">
        <v>44406</v>
      </c>
      <c r="C761" s="1" t="n">
        <v>45357</v>
      </c>
      <c r="D761" t="inlineStr">
        <is>
          <t>VÄSTERBOTTENS LÄN</t>
        </is>
      </c>
      <c r="E761" t="inlineStr">
        <is>
          <t>UMEÅ</t>
        </is>
      </c>
      <c r="F761" t="inlineStr">
        <is>
          <t>Kommuner</t>
        </is>
      </c>
      <c r="G761" t="n">
        <v>1.7</v>
      </c>
      <c r="H761" t="n">
        <v>0</v>
      </c>
      <c r="I761" t="n">
        <v>1</v>
      </c>
      <c r="J761" t="n">
        <v>0</v>
      </c>
      <c r="K761" t="n">
        <v>0</v>
      </c>
      <c r="L761" t="n">
        <v>0</v>
      </c>
      <c r="M761" t="n">
        <v>0</v>
      </c>
      <c r="N761" t="n">
        <v>0</v>
      </c>
      <c r="O761" t="n">
        <v>0</v>
      </c>
      <c r="P761" t="n">
        <v>0</v>
      </c>
      <c r="Q761" t="n">
        <v>1</v>
      </c>
      <c r="R761" s="2" t="inlineStr">
        <is>
          <t>Strutbräken</t>
        </is>
      </c>
      <c r="S761">
        <f>HYPERLINK("https://klasma.github.io/Logging_2480/artfynd/A 38396-2021 artfynd.xlsx", "A 38396-2021")</f>
        <v/>
      </c>
      <c r="T761">
        <f>HYPERLINK("https://klasma.github.io/Logging_2480/kartor/A 38396-2021 karta.png", "A 38396-2021")</f>
        <v/>
      </c>
      <c r="V761">
        <f>HYPERLINK("https://klasma.github.io/Logging_2480/klagomål/A 38396-2021 FSC-klagomål.docx", "A 38396-2021")</f>
        <v/>
      </c>
      <c r="W761">
        <f>HYPERLINK("https://klasma.github.io/Logging_2480/klagomålsmail/A 38396-2021 FSC-klagomål mail.docx", "A 38396-2021")</f>
        <v/>
      </c>
      <c r="X761">
        <f>HYPERLINK("https://klasma.github.io/Logging_2480/tillsyn/A 38396-2021 tillsynsbegäran.docx", "A 38396-2021")</f>
        <v/>
      </c>
      <c r="Y761">
        <f>HYPERLINK("https://klasma.github.io/Logging_2480/tillsynsmail/A 38396-2021 tillsynsbegäran mail.docx", "A 38396-2021")</f>
        <v/>
      </c>
    </row>
    <row r="762" ht="15" customHeight="1">
      <c r="A762" t="inlineStr">
        <is>
          <t>A 38393-2021</t>
        </is>
      </c>
      <c r="B762" s="1" t="n">
        <v>44406</v>
      </c>
      <c r="C762" s="1" t="n">
        <v>45357</v>
      </c>
      <c r="D762" t="inlineStr">
        <is>
          <t>VÄSTERBOTTENS LÄN</t>
        </is>
      </c>
      <c r="E762" t="inlineStr">
        <is>
          <t>UMEÅ</t>
        </is>
      </c>
      <c r="G762" t="n">
        <v>1</v>
      </c>
      <c r="H762" t="n">
        <v>1</v>
      </c>
      <c r="I762" t="n">
        <v>0</v>
      </c>
      <c r="J762" t="n">
        <v>1</v>
      </c>
      <c r="K762" t="n">
        <v>0</v>
      </c>
      <c r="L762" t="n">
        <v>0</v>
      </c>
      <c r="M762" t="n">
        <v>0</v>
      </c>
      <c r="N762" t="n">
        <v>0</v>
      </c>
      <c r="O762" t="n">
        <v>1</v>
      </c>
      <c r="P762" t="n">
        <v>0</v>
      </c>
      <c r="Q762" t="n">
        <v>1</v>
      </c>
      <c r="R762" s="2" t="inlineStr">
        <is>
          <t>Spillkråka</t>
        </is>
      </c>
      <c r="S762">
        <f>HYPERLINK("https://klasma.github.io/Logging_2480/artfynd/A 38393-2021 artfynd.xlsx", "A 38393-2021")</f>
        <v/>
      </c>
      <c r="T762">
        <f>HYPERLINK("https://klasma.github.io/Logging_2480/kartor/A 38393-2021 karta.png", "A 38393-2021")</f>
        <v/>
      </c>
      <c r="V762">
        <f>HYPERLINK("https://klasma.github.io/Logging_2480/klagomål/A 38393-2021 FSC-klagomål.docx", "A 38393-2021")</f>
        <v/>
      </c>
      <c r="W762">
        <f>HYPERLINK("https://klasma.github.io/Logging_2480/klagomålsmail/A 38393-2021 FSC-klagomål mail.docx", "A 38393-2021")</f>
        <v/>
      </c>
      <c r="X762">
        <f>HYPERLINK("https://klasma.github.io/Logging_2480/tillsyn/A 38393-2021 tillsynsbegäran.docx", "A 38393-2021")</f>
        <v/>
      </c>
      <c r="Y762">
        <f>HYPERLINK("https://klasma.github.io/Logging_2480/tillsynsmail/A 38393-2021 tillsynsbegäran mail.docx", "A 38393-2021")</f>
        <v/>
      </c>
      <c r="Z762">
        <f>HYPERLINK("https://klasma.github.io/Logging_2480/fåglar/A 38393-2021 prioriterade fågelarter.docx", "A 38393-2021")</f>
        <v/>
      </c>
    </row>
    <row r="763" ht="15" customHeight="1">
      <c r="A763" t="inlineStr">
        <is>
          <t>A 38390-2021</t>
        </is>
      </c>
      <c r="B763" s="1" t="n">
        <v>44406</v>
      </c>
      <c r="C763" s="1" t="n">
        <v>45357</v>
      </c>
      <c r="D763" t="inlineStr">
        <is>
          <t>VÄSTERBOTTENS LÄN</t>
        </is>
      </c>
      <c r="E763" t="inlineStr">
        <is>
          <t>UMEÅ</t>
        </is>
      </c>
      <c r="F763" t="inlineStr">
        <is>
          <t>Övriga statliga verk och myndigheter</t>
        </is>
      </c>
      <c r="G763" t="n">
        <v>1.5</v>
      </c>
      <c r="H763" t="n">
        <v>0</v>
      </c>
      <c r="I763" t="n">
        <v>0</v>
      </c>
      <c r="J763" t="n">
        <v>1</v>
      </c>
      <c r="K763" t="n">
        <v>0</v>
      </c>
      <c r="L763" t="n">
        <v>0</v>
      </c>
      <c r="M763" t="n">
        <v>0</v>
      </c>
      <c r="N763" t="n">
        <v>0</v>
      </c>
      <c r="O763" t="n">
        <v>1</v>
      </c>
      <c r="P763" t="n">
        <v>0</v>
      </c>
      <c r="Q763" t="n">
        <v>1</v>
      </c>
      <c r="R763" s="2" t="inlineStr">
        <is>
          <t>Ullticka</t>
        </is>
      </c>
      <c r="S763">
        <f>HYPERLINK("https://klasma.github.io/Logging_2480/artfynd/A 38390-2021 artfynd.xlsx", "A 38390-2021")</f>
        <v/>
      </c>
      <c r="T763">
        <f>HYPERLINK("https://klasma.github.io/Logging_2480/kartor/A 38390-2021 karta.png", "A 38390-2021")</f>
        <v/>
      </c>
      <c r="V763">
        <f>HYPERLINK("https://klasma.github.io/Logging_2480/klagomål/A 38390-2021 FSC-klagomål.docx", "A 38390-2021")</f>
        <v/>
      </c>
      <c r="W763">
        <f>HYPERLINK("https://klasma.github.io/Logging_2480/klagomålsmail/A 38390-2021 FSC-klagomål mail.docx", "A 38390-2021")</f>
        <v/>
      </c>
      <c r="X763">
        <f>HYPERLINK("https://klasma.github.io/Logging_2480/tillsyn/A 38390-2021 tillsynsbegäran.docx", "A 38390-2021")</f>
        <v/>
      </c>
      <c r="Y763">
        <f>HYPERLINK("https://klasma.github.io/Logging_2480/tillsynsmail/A 38390-2021 tillsynsbegäran mail.docx", "A 38390-2021")</f>
        <v/>
      </c>
    </row>
    <row r="764" ht="15" customHeight="1">
      <c r="A764" t="inlineStr">
        <is>
          <t>A 38437-2021</t>
        </is>
      </c>
      <c r="B764" s="1" t="n">
        <v>44406</v>
      </c>
      <c r="C764" s="1" t="n">
        <v>45357</v>
      </c>
      <c r="D764" t="inlineStr">
        <is>
          <t>VÄSTERBOTTENS LÄN</t>
        </is>
      </c>
      <c r="E764" t="inlineStr">
        <is>
          <t>UMEÅ</t>
        </is>
      </c>
      <c r="F764" t="inlineStr">
        <is>
          <t>Övriga statliga verk och myndigheter</t>
        </is>
      </c>
      <c r="G764" t="n">
        <v>2.3</v>
      </c>
      <c r="H764" t="n">
        <v>0</v>
      </c>
      <c r="I764" t="n">
        <v>1</v>
      </c>
      <c r="J764" t="n">
        <v>0</v>
      </c>
      <c r="K764" t="n">
        <v>0</v>
      </c>
      <c r="L764" t="n">
        <v>0</v>
      </c>
      <c r="M764" t="n">
        <v>0</v>
      </c>
      <c r="N764" t="n">
        <v>0</v>
      </c>
      <c r="O764" t="n">
        <v>0</v>
      </c>
      <c r="P764" t="n">
        <v>0</v>
      </c>
      <c r="Q764" t="n">
        <v>1</v>
      </c>
      <c r="R764" s="2" t="inlineStr">
        <is>
          <t>Tibast</t>
        </is>
      </c>
      <c r="S764">
        <f>HYPERLINK("https://klasma.github.io/Logging_2480/artfynd/A 38437-2021 artfynd.xlsx", "A 38437-2021")</f>
        <v/>
      </c>
      <c r="T764">
        <f>HYPERLINK("https://klasma.github.io/Logging_2480/kartor/A 38437-2021 karta.png", "A 38437-2021")</f>
        <v/>
      </c>
      <c r="V764">
        <f>HYPERLINK("https://klasma.github.io/Logging_2480/klagomål/A 38437-2021 FSC-klagomål.docx", "A 38437-2021")</f>
        <v/>
      </c>
      <c r="W764">
        <f>HYPERLINK("https://klasma.github.io/Logging_2480/klagomålsmail/A 38437-2021 FSC-klagomål mail.docx", "A 38437-2021")</f>
        <v/>
      </c>
      <c r="X764">
        <f>HYPERLINK("https://klasma.github.io/Logging_2480/tillsyn/A 38437-2021 tillsynsbegäran.docx", "A 38437-2021")</f>
        <v/>
      </c>
      <c r="Y764">
        <f>HYPERLINK("https://klasma.github.io/Logging_2480/tillsynsmail/A 38437-2021 tillsynsbegäran mail.docx", "A 38437-2021")</f>
        <v/>
      </c>
    </row>
    <row r="765" ht="15" customHeight="1">
      <c r="A765" t="inlineStr">
        <is>
          <t>A 38545-2021</t>
        </is>
      </c>
      <c r="B765" s="1" t="n">
        <v>44407</v>
      </c>
      <c r="C765" s="1" t="n">
        <v>45357</v>
      </c>
      <c r="D765" t="inlineStr">
        <is>
          <t>VÄSTERBOTTENS LÄN</t>
        </is>
      </c>
      <c r="E765" t="inlineStr">
        <is>
          <t>UMEÅ</t>
        </is>
      </c>
      <c r="F765" t="inlineStr">
        <is>
          <t>Kommuner</t>
        </is>
      </c>
      <c r="G765" t="n">
        <v>0.6</v>
      </c>
      <c r="H765" t="n">
        <v>1</v>
      </c>
      <c r="I765" t="n">
        <v>0</v>
      </c>
      <c r="J765" t="n">
        <v>1</v>
      </c>
      <c r="K765" t="n">
        <v>0</v>
      </c>
      <c r="L765" t="n">
        <v>0</v>
      </c>
      <c r="M765" t="n">
        <v>0</v>
      </c>
      <c r="N765" t="n">
        <v>0</v>
      </c>
      <c r="O765" t="n">
        <v>1</v>
      </c>
      <c r="P765" t="n">
        <v>0</v>
      </c>
      <c r="Q765" t="n">
        <v>1</v>
      </c>
      <c r="R765" s="2" t="inlineStr">
        <is>
          <t>Järpe</t>
        </is>
      </c>
      <c r="S765">
        <f>HYPERLINK("https://klasma.github.io/Logging_2480/artfynd/A 38545-2021 artfynd.xlsx", "A 38545-2021")</f>
        <v/>
      </c>
      <c r="T765">
        <f>HYPERLINK("https://klasma.github.io/Logging_2480/kartor/A 38545-2021 karta.png", "A 38545-2021")</f>
        <v/>
      </c>
      <c r="V765">
        <f>HYPERLINK("https://klasma.github.io/Logging_2480/klagomål/A 38545-2021 FSC-klagomål.docx", "A 38545-2021")</f>
        <v/>
      </c>
      <c r="W765">
        <f>HYPERLINK("https://klasma.github.io/Logging_2480/klagomålsmail/A 38545-2021 FSC-klagomål mail.docx", "A 38545-2021")</f>
        <v/>
      </c>
      <c r="X765">
        <f>HYPERLINK("https://klasma.github.io/Logging_2480/tillsyn/A 38545-2021 tillsynsbegäran.docx", "A 38545-2021")</f>
        <v/>
      </c>
      <c r="Y765">
        <f>HYPERLINK("https://klasma.github.io/Logging_2480/tillsynsmail/A 38545-2021 tillsynsbegäran mail.docx", "A 38545-2021")</f>
        <v/>
      </c>
      <c r="Z765">
        <f>HYPERLINK("https://klasma.github.io/Logging_2480/fåglar/A 38545-2021 prioriterade fågelarter.docx", "A 38545-2021")</f>
        <v/>
      </c>
    </row>
    <row r="766" ht="15" customHeight="1">
      <c r="A766" t="inlineStr">
        <is>
          <t>A 38719-2021</t>
        </is>
      </c>
      <c r="B766" s="1" t="n">
        <v>44410</v>
      </c>
      <c r="C766" s="1" t="n">
        <v>45357</v>
      </c>
      <c r="D766" t="inlineStr">
        <is>
          <t>VÄSTERBOTTENS LÄN</t>
        </is>
      </c>
      <c r="E766" t="inlineStr">
        <is>
          <t>UMEÅ</t>
        </is>
      </c>
      <c r="F766" t="inlineStr">
        <is>
          <t>Kommuner</t>
        </is>
      </c>
      <c r="G766" t="n">
        <v>1</v>
      </c>
      <c r="H766" t="n">
        <v>1</v>
      </c>
      <c r="I766" t="n">
        <v>0</v>
      </c>
      <c r="J766" t="n">
        <v>1</v>
      </c>
      <c r="K766" t="n">
        <v>0</v>
      </c>
      <c r="L766" t="n">
        <v>0</v>
      </c>
      <c r="M766" t="n">
        <v>0</v>
      </c>
      <c r="N766" t="n">
        <v>0</v>
      </c>
      <c r="O766" t="n">
        <v>1</v>
      </c>
      <c r="P766" t="n">
        <v>0</v>
      </c>
      <c r="Q766" t="n">
        <v>1</v>
      </c>
      <c r="R766" s="2" t="inlineStr">
        <is>
          <t>Talltita</t>
        </is>
      </c>
      <c r="S766">
        <f>HYPERLINK("https://klasma.github.io/Logging_2480/artfynd/A 38719-2021 artfynd.xlsx", "A 38719-2021")</f>
        <v/>
      </c>
      <c r="T766">
        <f>HYPERLINK("https://klasma.github.io/Logging_2480/kartor/A 38719-2021 karta.png", "A 38719-2021")</f>
        <v/>
      </c>
      <c r="V766">
        <f>HYPERLINK("https://klasma.github.io/Logging_2480/klagomål/A 38719-2021 FSC-klagomål.docx", "A 38719-2021")</f>
        <v/>
      </c>
      <c r="W766">
        <f>HYPERLINK("https://klasma.github.io/Logging_2480/klagomålsmail/A 38719-2021 FSC-klagomål mail.docx", "A 38719-2021")</f>
        <v/>
      </c>
      <c r="X766">
        <f>HYPERLINK("https://klasma.github.io/Logging_2480/tillsyn/A 38719-2021 tillsynsbegäran.docx", "A 38719-2021")</f>
        <v/>
      </c>
      <c r="Y766">
        <f>HYPERLINK("https://klasma.github.io/Logging_2480/tillsynsmail/A 38719-2021 tillsynsbegäran mail.docx", "A 38719-2021")</f>
        <v/>
      </c>
      <c r="Z766">
        <f>HYPERLINK("https://klasma.github.io/Logging_2480/fåglar/A 38719-2021 prioriterade fågelarter.docx", "A 38719-2021")</f>
        <v/>
      </c>
    </row>
    <row r="767" ht="15" customHeight="1">
      <c r="A767" t="inlineStr">
        <is>
          <t>A 38700-2021</t>
        </is>
      </c>
      <c r="B767" s="1" t="n">
        <v>44410</v>
      </c>
      <c r="C767" s="1" t="n">
        <v>45357</v>
      </c>
      <c r="D767" t="inlineStr">
        <is>
          <t>VÄSTERBOTTENS LÄN</t>
        </is>
      </c>
      <c r="E767" t="inlineStr">
        <is>
          <t>UMEÅ</t>
        </is>
      </c>
      <c r="F767" t="inlineStr">
        <is>
          <t>Kommuner</t>
        </is>
      </c>
      <c r="G767" t="n">
        <v>2</v>
      </c>
      <c r="H767" t="n">
        <v>0</v>
      </c>
      <c r="I767" t="n">
        <v>0</v>
      </c>
      <c r="J767" t="n">
        <v>1</v>
      </c>
      <c r="K767" t="n">
        <v>0</v>
      </c>
      <c r="L767" t="n">
        <v>0</v>
      </c>
      <c r="M767" t="n">
        <v>0</v>
      </c>
      <c r="N767" t="n">
        <v>0</v>
      </c>
      <c r="O767" t="n">
        <v>1</v>
      </c>
      <c r="P767" t="n">
        <v>0</v>
      </c>
      <c r="Q767" t="n">
        <v>1</v>
      </c>
      <c r="R767" s="2" t="inlineStr">
        <is>
          <t>Ullticka</t>
        </is>
      </c>
      <c r="S767">
        <f>HYPERLINK("https://klasma.github.io/Logging_2480/artfynd/A 38700-2021 artfynd.xlsx", "A 38700-2021")</f>
        <v/>
      </c>
      <c r="T767">
        <f>HYPERLINK("https://klasma.github.io/Logging_2480/kartor/A 38700-2021 karta.png", "A 38700-2021")</f>
        <v/>
      </c>
      <c r="V767">
        <f>HYPERLINK("https://klasma.github.io/Logging_2480/klagomål/A 38700-2021 FSC-klagomål.docx", "A 38700-2021")</f>
        <v/>
      </c>
      <c r="W767">
        <f>HYPERLINK("https://klasma.github.io/Logging_2480/klagomålsmail/A 38700-2021 FSC-klagomål mail.docx", "A 38700-2021")</f>
        <v/>
      </c>
      <c r="X767">
        <f>HYPERLINK("https://klasma.github.io/Logging_2480/tillsyn/A 38700-2021 tillsynsbegäran.docx", "A 38700-2021")</f>
        <v/>
      </c>
      <c r="Y767">
        <f>HYPERLINK("https://klasma.github.io/Logging_2480/tillsynsmail/A 38700-2021 tillsynsbegäran mail.docx", "A 38700-2021")</f>
        <v/>
      </c>
    </row>
    <row r="768" ht="15" customHeight="1">
      <c r="A768" t="inlineStr">
        <is>
          <t>A 38742-2021</t>
        </is>
      </c>
      <c r="B768" s="1" t="n">
        <v>44410</v>
      </c>
      <c r="C768" s="1" t="n">
        <v>45357</v>
      </c>
      <c r="D768" t="inlineStr">
        <is>
          <t>VÄSTERBOTTENS LÄN</t>
        </is>
      </c>
      <c r="E768" t="inlineStr">
        <is>
          <t>UMEÅ</t>
        </is>
      </c>
      <c r="F768" t="inlineStr">
        <is>
          <t>Kommuner</t>
        </is>
      </c>
      <c r="G768" t="n">
        <v>3.6</v>
      </c>
      <c r="H768" t="n">
        <v>0</v>
      </c>
      <c r="I768" t="n">
        <v>0</v>
      </c>
      <c r="J768" t="n">
        <v>1</v>
      </c>
      <c r="K768" t="n">
        <v>0</v>
      </c>
      <c r="L768" t="n">
        <v>0</v>
      </c>
      <c r="M768" t="n">
        <v>0</v>
      </c>
      <c r="N768" t="n">
        <v>0</v>
      </c>
      <c r="O768" t="n">
        <v>1</v>
      </c>
      <c r="P768" t="n">
        <v>0</v>
      </c>
      <c r="Q768" t="n">
        <v>1</v>
      </c>
      <c r="R768" s="2" t="inlineStr">
        <is>
          <t>Stubbträfluga</t>
        </is>
      </c>
      <c r="S768">
        <f>HYPERLINK("https://klasma.github.io/Logging_2480/artfynd/A 38742-2021 artfynd.xlsx", "A 38742-2021")</f>
        <v/>
      </c>
      <c r="T768">
        <f>HYPERLINK("https://klasma.github.io/Logging_2480/kartor/A 38742-2021 karta.png", "A 38742-2021")</f>
        <v/>
      </c>
      <c r="V768">
        <f>HYPERLINK("https://klasma.github.io/Logging_2480/klagomål/A 38742-2021 FSC-klagomål.docx", "A 38742-2021")</f>
        <v/>
      </c>
      <c r="W768">
        <f>HYPERLINK("https://klasma.github.io/Logging_2480/klagomålsmail/A 38742-2021 FSC-klagomål mail.docx", "A 38742-2021")</f>
        <v/>
      </c>
      <c r="X768">
        <f>HYPERLINK("https://klasma.github.io/Logging_2480/tillsyn/A 38742-2021 tillsynsbegäran.docx", "A 38742-2021")</f>
        <v/>
      </c>
      <c r="Y768">
        <f>HYPERLINK("https://klasma.github.io/Logging_2480/tillsynsmail/A 38742-2021 tillsynsbegäran mail.docx", "A 38742-2021")</f>
        <v/>
      </c>
    </row>
    <row r="769" ht="15" customHeight="1">
      <c r="A769" t="inlineStr">
        <is>
          <t>A 39946-2021</t>
        </is>
      </c>
      <c r="B769" s="1" t="n">
        <v>44417</v>
      </c>
      <c r="C769" s="1" t="n">
        <v>45357</v>
      </c>
      <c r="D769" t="inlineStr">
        <is>
          <t>VÄSTERBOTTENS LÄN</t>
        </is>
      </c>
      <c r="E769" t="inlineStr">
        <is>
          <t>SKELLEFTEÅ</t>
        </is>
      </c>
      <c r="F769" t="inlineStr">
        <is>
          <t>SCA</t>
        </is>
      </c>
      <c r="G769" t="n">
        <v>3.4</v>
      </c>
      <c r="H769" t="n">
        <v>1</v>
      </c>
      <c r="I769" t="n">
        <v>0</v>
      </c>
      <c r="J769" t="n">
        <v>0</v>
      </c>
      <c r="K769" t="n">
        <v>0</v>
      </c>
      <c r="L769" t="n">
        <v>0</v>
      </c>
      <c r="M769" t="n">
        <v>0</v>
      </c>
      <c r="N769" t="n">
        <v>0</v>
      </c>
      <c r="O769" t="n">
        <v>0</v>
      </c>
      <c r="P769" t="n">
        <v>0</v>
      </c>
      <c r="Q769" t="n">
        <v>1</v>
      </c>
      <c r="R769" s="2" t="inlineStr">
        <is>
          <t>Fläcknycklar</t>
        </is>
      </c>
      <c r="S769">
        <f>HYPERLINK("https://klasma.github.io/Logging_2482/artfynd/A 39946-2021 artfynd.xlsx", "A 39946-2021")</f>
        <v/>
      </c>
      <c r="T769">
        <f>HYPERLINK("https://klasma.github.io/Logging_2482/kartor/A 39946-2021 karta.png", "A 39946-2021")</f>
        <v/>
      </c>
      <c r="V769">
        <f>HYPERLINK("https://klasma.github.io/Logging_2482/klagomål/A 39946-2021 FSC-klagomål.docx", "A 39946-2021")</f>
        <v/>
      </c>
      <c r="W769">
        <f>HYPERLINK("https://klasma.github.io/Logging_2482/klagomålsmail/A 39946-2021 FSC-klagomål mail.docx", "A 39946-2021")</f>
        <v/>
      </c>
      <c r="X769">
        <f>HYPERLINK("https://klasma.github.io/Logging_2482/tillsyn/A 39946-2021 tillsynsbegäran.docx", "A 39946-2021")</f>
        <v/>
      </c>
      <c r="Y769">
        <f>HYPERLINK("https://klasma.github.io/Logging_2482/tillsynsmail/A 39946-2021 tillsynsbegäran mail.docx", "A 39946-2021")</f>
        <v/>
      </c>
    </row>
    <row r="770" ht="15" customHeight="1">
      <c r="A770" t="inlineStr">
        <is>
          <t>A 42843-2021</t>
        </is>
      </c>
      <c r="B770" s="1" t="n">
        <v>44430</v>
      </c>
      <c r="C770" s="1" t="n">
        <v>45357</v>
      </c>
      <c r="D770" t="inlineStr">
        <is>
          <t>VÄSTERBOTTENS LÄN</t>
        </is>
      </c>
      <c r="E770" t="inlineStr">
        <is>
          <t>STORUMAN</t>
        </is>
      </c>
      <c r="F770" t="inlineStr">
        <is>
          <t>Övriga statliga verk och myndigheter</t>
        </is>
      </c>
      <c r="G770" t="n">
        <v>19.7</v>
      </c>
      <c r="H770" t="n">
        <v>0</v>
      </c>
      <c r="I770" t="n">
        <v>0</v>
      </c>
      <c r="J770" t="n">
        <v>1</v>
      </c>
      <c r="K770" t="n">
        <v>0</v>
      </c>
      <c r="L770" t="n">
        <v>0</v>
      </c>
      <c r="M770" t="n">
        <v>0</v>
      </c>
      <c r="N770" t="n">
        <v>0</v>
      </c>
      <c r="O770" t="n">
        <v>1</v>
      </c>
      <c r="P770" t="n">
        <v>0</v>
      </c>
      <c r="Q770" t="n">
        <v>1</v>
      </c>
      <c r="R770" s="2" t="inlineStr">
        <is>
          <t>Granticka</t>
        </is>
      </c>
      <c r="S770">
        <f>HYPERLINK("https://klasma.github.io/Logging_2421/artfynd/A 42843-2021 artfynd.xlsx", "A 42843-2021")</f>
        <v/>
      </c>
      <c r="T770">
        <f>HYPERLINK("https://klasma.github.io/Logging_2421/kartor/A 42843-2021 karta.png", "A 42843-2021")</f>
        <v/>
      </c>
      <c r="V770">
        <f>HYPERLINK("https://klasma.github.io/Logging_2421/klagomål/A 42843-2021 FSC-klagomål.docx", "A 42843-2021")</f>
        <v/>
      </c>
      <c r="W770">
        <f>HYPERLINK("https://klasma.github.io/Logging_2421/klagomålsmail/A 42843-2021 FSC-klagomål mail.docx", "A 42843-2021")</f>
        <v/>
      </c>
      <c r="X770">
        <f>HYPERLINK("https://klasma.github.io/Logging_2421/tillsyn/A 42843-2021 tillsynsbegäran.docx", "A 42843-2021")</f>
        <v/>
      </c>
      <c r="Y770">
        <f>HYPERLINK("https://klasma.github.io/Logging_2421/tillsynsmail/A 42843-2021 tillsynsbegäran mail.docx", "A 42843-2021")</f>
        <v/>
      </c>
    </row>
    <row r="771" ht="15" customHeight="1">
      <c r="A771" t="inlineStr">
        <is>
          <t>A 43050-2021</t>
        </is>
      </c>
      <c r="B771" s="1" t="n">
        <v>44431</v>
      </c>
      <c r="C771" s="1" t="n">
        <v>45357</v>
      </c>
      <c r="D771" t="inlineStr">
        <is>
          <t>VÄSTERBOTTENS LÄN</t>
        </is>
      </c>
      <c r="E771" t="inlineStr">
        <is>
          <t>NORDMALING</t>
        </is>
      </c>
      <c r="G771" t="n">
        <v>3</v>
      </c>
      <c r="H771" t="n">
        <v>0</v>
      </c>
      <c r="I771" t="n">
        <v>0</v>
      </c>
      <c r="J771" t="n">
        <v>1</v>
      </c>
      <c r="K771" t="n">
        <v>0</v>
      </c>
      <c r="L771" t="n">
        <v>0</v>
      </c>
      <c r="M771" t="n">
        <v>0</v>
      </c>
      <c r="N771" t="n">
        <v>0</v>
      </c>
      <c r="O771" t="n">
        <v>1</v>
      </c>
      <c r="P771" t="n">
        <v>0</v>
      </c>
      <c r="Q771" t="n">
        <v>1</v>
      </c>
      <c r="R771" s="2" t="inlineStr">
        <is>
          <t>Gränsticka</t>
        </is>
      </c>
      <c r="S771">
        <f>HYPERLINK("https://klasma.github.io/Logging_2401/artfynd/A 43050-2021 artfynd.xlsx", "A 43050-2021")</f>
        <v/>
      </c>
      <c r="T771">
        <f>HYPERLINK("https://klasma.github.io/Logging_2401/kartor/A 43050-2021 karta.png", "A 43050-2021")</f>
        <v/>
      </c>
      <c r="V771">
        <f>HYPERLINK("https://klasma.github.io/Logging_2401/klagomål/A 43050-2021 FSC-klagomål.docx", "A 43050-2021")</f>
        <v/>
      </c>
      <c r="W771">
        <f>HYPERLINK("https://klasma.github.io/Logging_2401/klagomålsmail/A 43050-2021 FSC-klagomål mail.docx", "A 43050-2021")</f>
        <v/>
      </c>
      <c r="X771">
        <f>HYPERLINK("https://klasma.github.io/Logging_2401/tillsyn/A 43050-2021 tillsynsbegäran.docx", "A 43050-2021")</f>
        <v/>
      </c>
      <c r="Y771">
        <f>HYPERLINK("https://klasma.github.io/Logging_2401/tillsynsmail/A 43050-2021 tillsynsbegäran mail.docx", "A 43050-2021")</f>
        <v/>
      </c>
    </row>
    <row r="772" ht="15" customHeight="1">
      <c r="A772" t="inlineStr">
        <is>
          <t>A 45267-2021</t>
        </is>
      </c>
      <c r="B772" s="1" t="n">
        <v>44439</v>
      </c>
      <c r="C772" s="1" t="n">
        <v>45357</v>
      </c>
      <c r="D772" t="inlineStr">
        <is>
          <t>VÄSTERBOTTENS LÄN</t>
        </is>
      </c>
      <c r="E772" t="inlineStr">
        <is>
          <t>VINDELN</t>
        </is>
      </c>
      <c r="G772" t="n">
        <v>1.9</v>
      </c>
      <c r="H772" t="n">
        <v>0</v>
      </c>
      <c r="I772" t="n">
        <v>1</v>
      </c>
      <c r="J772" t="n">
        <v>0</v>
      </c>
      <c r="K772" t="n">
        <v>0</v>
      </c>
      <c r="L772" t="n">
        <v>0</v>
      </c>
      <c r="M772" t="n">
        <v>0</v>
      </c>
      <c r="N772" t="n">
        <v>0</v>
      </c>
      <c r="O772" t="n">
        <v>0</v>
      </c>
      <c r="P772" t="n">
        <v>0</v>
      </c>
      <c r="Q772" t="n">
        <v>1</v>
      </c>
      <c r="R772" s="2" t="inlineStr">
        <is>
          <t>Mörk husmossa</t>
        </is>
      </c>
      <c r="S772">
        <f>HYPERLINK("https://klasma.github.io/Logging_2404/artfynd/A 45267-2021 artfynd.xlsx", "A 45267-2021")</f>
        <v/>
      </c>
      <c r="T772">
        <f>HYPERLINK("https://klasma.github.io/Logging_2404/kartor/A 45267-2021 karta.png", "A 45267-2021")</f>
        <v/>
      </c>
      <c r="V772">
        <f>HYPERLINK("https://klasma.github.io/Logging_2404/klagomål/A 45267-2021 FSC-klagomål.docx", "A 45267-2021")</f>
        <v/>
      </c>
      <c r="W772">
        <f>HYPERLINK("https://klasma.github.io/Logging_2404/klagomålsmail/A 45267-2021 FSC-klagomål mail.docx", "A 45267-2021")</f>
        <v/>
      </c>
      <c r="X772">
        <f>HYPERLINK("https://klasma.github.io/Logging_2404/tillsyn/A 45267-2021 tillsynsbegäran.docx", "A 45267-2021")</f>
        <v/>
      </c>
      <c r="Y772">
        <f>HYPERLINK("https://klasma.github.io/Logging_2404/tillsynsmail/A 45267-2021 tillsynsbegäran mail.docx", "A 45267-2021")</f>
        <v/>
      </c>
    </row>
    <row r="773" ht="15" customHeight="1">
      <c r="A773" t="inlineStr">
        <is>
          <t>A 45511-2021</t>
        </is>
      </c>
      <c r="B773" s="1" t="n">
        <v>44440</v>
      </c>
      <c r="C773" s="1" t="n">
        <v>45357</v>
      </c>
      <c r="D773" t="inlineStr">
        <is>
          <t>VÄSTERBOTTENS LÄN</t>
        </is>
      </c>
      <c r="E773" t="inlineStr">
        <is>
          <t>SORSELE</t>
        </is>
      </c>
      <c r="G773" t="n">
        <v>2.7</v>
      </c>
      <c r="H773" t="n">
        <v>1</v>
      </c>
      <c r="I773" t="n">
        <v>0</v>
      </c>
      <c r="J773" t="n">
        <v>1</v>
      </c>
      <c r="K773" t="n">
        <v>0</v>
      </c>
      <c r="L773" t="n">
        <v>0</v>
      </c>
      <c r="M773" t="n">
        <v>0</v>
      </c>
      <c r="N773" t="n">
        <v>0</v>
      </c>
      <c r="O773" t="n">
        <v>1</v>
      </c>
      <c r="P773" t="n">
        <v>0</v>
      </c>
      <c r="Q773" t="n">
        <v>1</v>
      </c>
      <c r="R773" s="2" t="inlineStr">
        <is>
          <t>Tretåig hackspett</t>
        </is>
      </c>
      <c r="S773">
        <f>HYPERLINK("https://klasma.github.io/Logging_2422/artfynd/A 45511-2021 artfynd.xlsx", "A 45511-2021")</f>
        <v/>
      </c>
      <c r="T773">
        <f>HYPERLINK("https://klasma.github.io/Logging_2422/kartor/A 45511-2021 karta.png", "A 45511-2021")</f>
        <v/>
      </c>
      <c r="V773">
        <f>HYPERLINK("https://klasma.github.io/Logging_2422/klagomål/A 45511-2021 FSC-klagomål.docx", "A 45511-2021")</f>
        <v/>
      </c>
      <c r="W773">
        <f>HYPERLINK("https://klasma.github.io/Logging_2422/klagomålsmail/A 45511-2021 FSC-klagomål mail.docx", "A 45511-2021")</f>
        <v/>
      </c>
      <c r="X773">
        <f>HYPERLINK("https://klasma.github.io/Logging_2422/tillsyn/A 45511-2021 tillsynsbegäran.docx", "A 45511-2021")</f>
        <v/>
      </c>
      <c r="Y773">
        <f>HYPERLINK("https://klasma.github.io/Logging_2422/tillsynsmail/A 45511-2021 tillsynsbegäran mail.docx", "A 45511-2021")</f>
        <v/>
      </c>
      <c r="Z773">
        <f>HYPERLINK("https://klasma.github.io/Logging_2422/fåglar/A 45511-2021 prioriterade fågelarter.docx", "A 45511-2021")</f>
        <v/>
      </c>
    </row>
    <row r="774" ht="15" customHeight="1">
      <c r="A774" t="inlineStr">
        <is>
          <t>A 47038-2021</t>
        </is>
      </c>
      <c r="B774" s="1" t="n">
        <v>44446</v>
      </c>
      <c r="C774" s="1" t="n">
        <v>45357</v>
      </c>
      <c r="D774" t="inlineStr">
        <is>
          <t>VÄSTERBOTTENS LÄN</t>
        </is>
      </c>
      <c r="E774" t="inlineStr">
        <is>
          <t>UMEÅ</t>
        </is>
      </c>
      <c r="G774" t="n">
        <v>22.3</v>
      </c>
      <c r="H774" t="n">
        <v>0</v>
      </c>
      <c r="I774" t="n">
        <v>0</v>
      </c>
      <c r="J774" t="n">
        <v>1</v>
      </c>
      <c r="K774" t="n">
        <v>0</v>
      </c>
      <c r="L774" t="n">
        <v>0</v>
      </c>
      <c r="M774" t="n">
        <v>0</v>
      </c>
      <c r="N774" t="n">
        <v>0</v>
      </c>
      <c r="O774" t="n">
        <v>1</v>
      </c>
      <c r="P774" t="n">
        <v>0</v>
      </c>
      <c r="Q774" t="n">
        <v>1</v>
      </c>
      <c r="R774" s="2" t="inlineStr">
        <is>
          <t>Ullticka</t>
        </is>
      </c>
      <c r="S774">
        <f>HYPERLINK("https://klasma.github.io/Logging_2480/artfynd/A 47038-2021 artfynd.xlsx", "A 47038-2021")</f>
        <v/>
      </c>
      <c r="T774">
        <f>HYPERLINK("https://klasma.github.io/Logging_2480/kartor/A 47038-2021 karta.png", "A 47038-2021")</f>
        <v/>
      </c>
      <c r="V774">
        <f>HYPERLINK("https://klasma.github.io/Logging_2480/klagomål/A 47038-2021 FSC-klagomål.docx", "A 47038-2021")</f>
        <v/>
      </c>
      <c r="W774">
        <f>HYPERLINK("https://klasma.github.io/Logging_2480/klagomålsmail/A 47038-2021 FSC-klagomål mail.docx", "A 47038-2021")</f>
        <v/>
      </c>
      <c r="X774">
        <f>HYPERLINK("https://klasma.github.io/Logging_2480/tillsyn/A 47038-2021 tillsynsbegäran.docx", "A 47038-2021")</f>
        <v/>
      </c>
      <c r="Y774">
        <f>HYPERLINK("https://klasma.github.io/Logging_2480/tillsynsmail/A 47038-2021 tillsynsbegäran mail.docx", "A 47038-2021")</f>
        <v/>
      </c>
    </row>
    <row r="775" ht="15" customHeight="1">
      <c r="A775" t="inlineStr">
        <is>
          <t>A 48339-2021</t>
        </is>
      </c>
      <c r="B775" s="1" t="n">
        <v>44451</v>
      </c>
      <c r="C775" s="1" t="n">
        <v>45357</v>
      </c>
      <c r="D775" t="inlineStr">
        <is>
          <t>VÄSTERBOTTENS LÄN</t>
        </is>
      </c>
      <c r="E775" t="inlineStr">
        <is>
          <t>STORUMAN</t>
        </is>
      </c>
      <c r="F775" t="inlineStr">
        <is>
          <t>Sveaskog</t>
        </is>
      </c>
      <c r="G775" t="n">
        <v>4</v>
      </c>
      <c r="H775" t="n">
        <v>0</v>
      </c>
      <c r="I775" t="n">
        <v>0</v>
      </c>
      <c r="J775" t="n">
        <v>1</v>
      </c>
      <c r="K775" t="n">
        <v>0</v>
      </c>
      <c r="L775" t="n">
        <v>0</v>
      </c>
      <c r="M775" t="n">
        <v>0</v>
      </c>
      <c r="N775" t="n">
        <v>0</v>
      </c>
      <c r="O775" t="n">
        <v>1</v>
      </c>
      <c r="P775" t="n">
        <v>0</v>
      </c>
      <c r="Q775" t="n">
        <v>1</v>
      </c>
      <c r="R775" s="2" t="inlineStr">
        <is>
          <t>Skrovellav</t>
        </is>
      </c>
      <c r="S775">
        <f>HYPERLINK("https://klasma.github.io/Logging_2421/artfynd/A 48339-2021 artfynd.xlsx", "A 48339-2021")</f>
        <v/>
      </c>
      <c r="T775">
        <f>HYPERLINK("https://klasma.github.io/Logging_2421/kartor/A 48339-2021 karta.png", "A 48339-2021")</f>
        <v/>
      </c>
      <c r="V775">
        <f>HYPERLINK("https://klasma.github.io/Logging_2421/klagomål/A 48339-2021 FSC-klagomål.docx", "A 48339-2021")</f>
        <v/>
      </c>
      <c r="W775">
        <f>HYPERLINK("https://klasma.github.io/Logging_2421/klagomålsmail/A 48339-2021 FSC-klagomål mail.docx", "A 48339-2021")</f>
        <v/>
      </c>
      <c r="X775">
        <f>HYPERLINK("https://klasma.github.io/Logging_2421/tillsyn/A 48339-2021 tillsynsbegäran.docx", "A 48339-2021")</f>
        <v/>
      </c>
      <c r="Y775">
        <f>HYPERLINK("https://klasma.github.io/Logging_2421/tillsynsmail/A 48339-2021 tillsynsbegäran mail.docx", "A 48339-2021")</f>
        <v/>
      </c>
    </row>
    <row r="776" ht="15" customHeight="1">
      <c r="A776" t="inlineStr">
        <is>
          <t>A 48337-2021</t>
        </is>
      </c>
      <c r="B776" s="1" t="n">
        <v>44451</v>
      </c>
      <c r="C776" s="1" t="n">
        <v>45357</v>
      </c>
      <c r="D776" t="inlineStr">
        <is>
          <t>VÄSTERBOTTENS LÄN</t>
        </is>
      </c>
      <c r="E776" t="inlineStr">
        <is>
          <t>STORUMAN</t>
        </is>
      </c>
      <c r="F776" t="inlineStr">
        <is>
          <t>Sveaskog</t>
        </is>
      </c>
      <c r="G776" t="n">
        <v>2.9</v>
      </c>
      <c r="H776" t="n">
        <v>0</v>
      </c>
      <c r="I776" t="n">
        <v>0</v>
      </c>
      <c r="J776" t="n">
        <v>1</v>
      </c>
      <c r="K776" t="n">
        <v>0</v>
      </c>
      <c r="L776" t="n">
        <v>0</v>
      </c>
      <c r="M776" t="n">
        <v>0</v>
      </c>
      <c r="N776" t="n">
        <v>0</v>
      </c>
      <c r="O776" t="n">
        <v>1</v>
      </c>
      <c r="P776" t="n">
        <v>0</v>
      </c>
      <c r="Q776" t="n">
        <v>1</v>
      </c>
      <c r="R776" s="2" t="inlineStr">
        <is>
          <t>Lunglav</t>
        </is>
      </c>
      <c r="S776">
        <f>HYPERLINK("https://klasma.github.io/Logging_2421/artfynd/A 48337-2021 artfynd.xlsx", "A 48337-2021")</f>
        <v/>
      </c>
      <c r="T776">
        <f>HYPERLINK("https://klasma.github.io/Logging_2421/kartor/A 48337-2021 karta.png", "A 48337-2021")</f>
        <v/>
      </c>
      <c r="V776">
        <f>HYPERLINK("https://klasma.github.io/Logging_2421/klagomål/A 48337-2021 FSC-klagomål.docx", "A 48337-2021")</f>
        <v/>
      </c>
      <c r="W776">
        <f>HYPERLINK("https://klasma.github.io/Logging_2421/klagomålsmail/A 48337-2021 FSC-klagomål mail.docx", "A 48337-2021")</f>
        <v/>
      </c>
      <c r="X776">
        <f>HYPERLINK("https://klasma.github.io/Logging_2421/tillsyn/A 48337-2021 tillsynsbegäran.docx", "A 48337-2021")</f>
        <v/>
      </c>
      <c r="Y776">
        <f>HYPERLINK("https://klasma.github.io/Logging_2421/tillsynsmail/A 48337-2021 tillsynsbegäran mail.docx", "A 48337-2021")</f>
        <v/>
      </c>
    </row>
    <row r="777" ht="15" customHeight="1">
      <c r="A777" t="inlineStr">
        <is>
          <t>A 49370-2021</t>
        </is>
      </c>
      <c r="B777" s="1" t="n">
        <v>44454</v>
      </c>
      <c r="C777" s="1" t="n">
        <v>45357</v>
      </c>
      <c r="D777" t="inlineStr">
        <is>
          <t>VÄSTERBOTTENS LÄN</t>
        </is>
      </c>
      <c r="E777" t="inlineStr">
        <is>
          <t>MALÅ</t>
        </is>
      </c>
      <c r="F777" t="inlineStr">
        <is>
          <t>Sveaskog</t>
        </is>
      </c>
      <c r="G777" t="n">
        <v>26.5</v>
      </c>
      <c r="H777" t="n">
        <v>1</v>
      </c>
      <c r="I777" t="n">
        <v>0</v>
      </c>
      <c r="J777" t="n">
        <v>0</v>
      </c>
      <c r="K777" t="n">
        <v>1</v>
      </c>
      <c r="L777" t="n">
        <v>0</v>
      </c>
      <c r="M777" t="n">
        <v>0</v>
      </c>
      <c r="N777" t="n">
        <v>0</v>
      </c>
      <c r="O777" t="n">
        <v>1</v>
      </c>
      <c r="P777" t="n">
        <v>1</v>
      </c>
      <c r="Q777" t="n">
        <v>1</v>
      </c>
      <c r="R777" s="2" t="inlineStr">
        <is>
          <t>Norna</t>
        </is>
      </c>
      <c r="S777">
        <f>HYPERLINK("https://klasma.github.io/Logging_2418/artfynd/A 49370-2021 artfynd.xlsx", "A 49370-2021")</f>
        <v/>
      </c>
      <c r="T777">
        <f>HYPERLINK("https://klasma.github.io/Logging_2418/kartor/A 49370-2021 karta.png", "A 49370-2021")</f>
        <v/>
      </c>
      <c r="V777">
        <f>HYPERLINK("https://klasma.github.io/Logging_2418/klagomål/A 49370-2021 FSC-klagomål.docx", "A 49370-2021")</f>
        <v/>
      </c>
      <c r="W777">
        <f>HYPERLINK("https://klasma.github.io/Logging_2418/klagomålsmail/A 49370-2021 FSC-klagomål mail.docx", "A 49370-2021")</f>
        <v/>
      </c>
      <c r="X777">
        <f>HYPERLINK("https://klasma.github.io/Logging_2418/tillsyn/A 49370-2021 tillsynsbegäran.docx", "A 49370-2021")</f>
        <v/>
      </c>
      <c r="Y777">
        <f>HYPERLINK("https://klasma.github.io/Logging_2418/tillsynsmail/A 49370-2021 tillsynsbegäran mail.docx", "A 49370-2021")</f>
        <v/>
      </c>
    </row>
    <row r="778" ht="15" customHeight="1">
      <c r="A778" t="inlineStr">
        <is>
          <t>A 49774-2021</t>
        </is>
      </c>
      <c r="B778" s="1" t="n">
        <v>44455</v>
      </c>
      <c r="C778" s="1" t="n">
        <v>45357</v>
      </c>
      <c r="D778" t="inlineStr">
        <is>
          <t>VÄSTERBOTTENS LÄN</t>
        </is>
      </c>
      <c r="E778" t="inlineStr">
        <is>
          <t>UMEÅ</t>
        </is>
      </c>
      <c r="G778" t="n">
        <v>1.7</v>
      </c>
      <c r="H778" t="n">
        <v>0</v>
      </c>
      <c r="I778" t="n">
        <v>0</v>
      </c>
      <c r="J778" t="n">
        <v>1</v>
      </c>
      <c r="K778" t="n">
        <v>0</v>
      </c>
      <c r="L778" t="n">
        <v>0</v>
      </c>
      <c r="M778" t="n">
        <v>0</v>
      </c>
      <c r="N778" t="n">
        <v>0</v>
      </c>
      <c r="O778" t="n">
        <v>1</v>
      </c>
      <c r="P778" t="n">
        <v>0</v>
      </c>
      <c r="Q778" t="n">
        <v>1</v>
      </c>
      <c r="R778" s="2" t="inlineStr">
        <is>
          <t>Granticka</t>
        </is>
      </c>
      <c r="S778">
        <f>HYPERLINK("https://klasma.github.io/Logging_2480/artfynd/A 49774-2021 artfynd.xlsx", "A 49774-2021")</f>
        <v/>
      </c>
      <c r="T778">
        <f>HYPERLINK("https://klasma.github.io/Logging_2480/kartor/A 49774-2021 karta.png", "A 49774-2021")</f>
        <v/>
      </c>
      <c r="V778">
        <f>HYPERLINK("https://klasma.github.io/Logging_2480/klagomål/A 49774-2021 FSC-klagomål.docx", "A 49774-2021")</f>
        <v/>
      </c>
      <c r="W778">
        <f>HYPERLINK("https://klasma.github.io/Logging_2480/klagomålsmail/A 49774-2021 FSC-klagomål mail.docx", "A 49774-2021")</f>
        <v/>
      </c>
      <c r="X778">
        <f>HYPERLINK("https://klasma.github.io/Logging_2480/tillsyn/A 49774-2021 tillsynsbegäran.docx", "A 49774-2021")</f>
        <v/>
      </c>
      <c r="Y778">
        <f>HYPERLINK("https://klasma.github.io/Logging_2480/tillsynsmail/A 49774-2021 tillsynsbegäran mail.docx", "A 49774-2021")</f>
        <v/>
      </c>
    </row>
    <row r="779" ht="15" customHeight="1">
      <c r="A779" t="inlineStr">
        <is>
          <t>A 51640-2021</t>
        </is>
      </c>
      <c r="B779" s="1" t="n">
        <v>44462</v>
      </c>
      <c r="C779" s="1" t="n">
        <v>45357</v>
      </c>
      <c r="D779" t="inlineStr">
        <is>
          <t>VÄSTERBOTTENS LÄN</t>
        </is>
      </c>
      <c r="E779" t="inlineStr">
        <is>
          <t>NORSJÖ</t>
        </is>
      </c>
      <c r="F779" t="inlineStr">
        <is>
          <t>Sveaskog</t>
        </is>
      </c>
      <c r="G779" t="n">
        <v>7.5</v>
      </c>
      <c r="H779" t="n">
        <v>0</v>
      </c>
      <c r="I779" t="n">
        <v>1</v>
      </c>
      <c r="J779" t="n">
        <v>0</v>
      </c>
      <c r="K779" t="n">
        <v>0</v>
      </c>
      <c r="L779" t="n">
        <v>0</v>
      </c>
      <c r="M779" t="n">
        <v>0</v>
      </c>
      <c r="N779" t="n">
        <v>0</v>
      </c>
      <c r="O779" t="n">
        <v>0</v>
      </c>
      <c r="P779" t="n">
        <v>0</v>
      </c>
      <c r="Q779" t="n">
        <v>1</v>
      </c>
      <c r="R779" s="2" t="inlineStr">
        <is>
          <t>Dropptaggsvamp</t>
        </is>
      </c>
      <c r="S779">
        <f>HYPERLINK("https://klasma.github.io/Logging_2417/artfynd/A 51640-2021 artfynd.xlsx", "A 51640-2021")</f>
        <v/>
      </c>
      <c r="T779">
        <f>HYPERLINK("https://klasma.github.io/Logging_2417/kartor/A 51640-2021 karta.png", "A 51640-2021")</f>
        <v/>
      </c>
      <c r="V779">
        <f>HYPERLINK("https://klasma.github.io/Logging_2417/klagomål/A 51640-2021 FSC-klagomål.docx", "A 51640-2021")</f>
        <v/>
      </c>
      <c r="W779">
        <f>HYPERLINK("https://klasma.github.io/Logging_2417/klagomålsmail/A 51640-2021 FSC-klagomål mail.docx", "A 51640-2021")</f>
        <v/>
      </c>
      <c r="X779">
        <f>HYPERLINK("https://klasma.github.io/Logging_2417/tillsyn/A 51640-2021 tillsynsbegäran.docx", "A 51640-2021")</f>
        <v/>
      </c>
      <c r="Y779">
        <f>HYPERLINK("https://klasma.github.io/Logging_2417/tillsynsmail/A 51640-2021 tillsynsbegäran mail.docx", "A 51640-2021")</f>
        <v/>
      </c>
    </row>
    <row r="780" ht="15" customHeight="1">
      <c r="A780" t="inlineStr">
        <is>
          <t>A 51723-2021</t>
        </is>
      </c>
      <c r="B780" s="1" t="n">
        <v>44462</v>
      </c>
      <c r="C780" s="1" t="n">
        <v>45357</v>
      </c>
      <c r="D780" t="inlineStr">
        <is>
          <t>VÄSTERBOTTENS LÄN</t>
        </is>
      </c>
      <c r="E780" t="inlineStr">
        <is>
          <t>BJURHOLM</t>
        </is>
      </c>
      <c r="F780" t="inlineStr">
        <is>
          <t>Sveaskog</t>
        </is>
      </c>
      <c r="G780" t="n">
        <v>14.1</v>
      </c>
      <c r="H780" t="n">
        <v>0</v>
      </c>
      <c r="I780" t="n">
        <v>0</v>
      </c>
      <c r="J780" t="n">
        <v>1</v>
      </c>
      <c r="K780" t="n">
        <v>0</v>
      </c>
      <c r="L780" t="n">
        <v>0</v>
      </c>
      <c r="M780" t="n">
        <v>0</v>
      </c>
      <c r="N780" t="n">
        <v>0</v>
      </c>
      <c r="O780" t="n">
        <v>1</v>
      </c>
      <c r="P780" t="n">
        <v>0</v>
      </c>
      <c r="Q780" t="n">
        <v>1</v>
      </c>
      <c r="R780" s="2" t="inlineStr">
        <is>
          <t>Vaddporing</t>
        </is>
      </c>
      <c r="S780">
        <f>HYPERLINK("https://klasma.github.io/Logging_2403/artfynd/A 51723-2021 artfynd.xlsx", "A 51723-2021")</f>
        <v/>
      </c>
      <c r="T780">
        <f>HYPERLINK("https://klasma.github.io/Logging_2403/kartor/A 51723-2021 karta.png", "A 51723-2021")</f>
        <v/>
      </c>
      <c r="V780">
        <f>HYPERLINK("https://klasma.github.io/Logging_2403/klagomål/A 51723-2021 FSC-klagomål.docx", "A 51723-2021")</f>
        <v/>
      </c>
      <c r="W780">
        <f>HYPERLINK("https://klasma.github.io/Logging_2403/klagomålsmail/A 51723-2021 FSC-klagomål mail.docx", "A 51723-2021")</f>
        <v/>
      </c>
      <c r="X780">
        <f>HYPERLINK("https://klasma.github.io/Logging_2403/tillsyn/A 51723-2021 tillsynsbegäran.docx", "A 51723-2021")</f>
        <v/>
      </c>
      <c r="Y780">
        <f>HYPERLINK("https://klasma.github.io/Logging_2403/tillsynsmail/A 51723-2021 tillsynsbegäran mail.docx", "A 51723-2021")</f>
        <v/>
      </c>
    </row>
    <row r="781" ht="15" customHeight="1">
      <c r="A781" t="inlineStr">
        <is>
          <t>A 54142-2021</t>
        </is>
      </c>
      <c r="B781" s="1" t="n">
        <v>44470</v>
      </c>
      <c r="C781" s="1" t="n">
        <v>45357</v>
      </c>
      <c r="D781" t="inlineStr">
        <is>
          <t>VÄSTERBOTTENS LÄN</t>
        </is>
      </c>
      <c r="E781" t="inlineStr">
        <is>
          <t>LYCKSELE</t>
        </is>
      </c>
      <c r="F781" t="inlineStr">
        <is>
          <t>Sveaskog</t>
        </is>
      </c>
      <c r="G781" t="n">
        <v>15.5</v>
      </c>
      <c r="H781" t="n">
        <v>0</v>
      </c>
      <c r="I781" t="n">
        <v>0</v>
      </c>
      <c r="J781" t="n">
        <v>1</v>
      </c>
      <c r="K781" t="n">
        <v>0</v>
      </c>
      <c r="L781" t="n">
        <v>0</v>
      </c>
      <c r="M781" t="n">
        <v>0</v>
      </c>
      <c r="N781" t="n">
        <v>0</v>
      </c>
      <c r="O781" t="n">
        <v>1</v>
      </c>
      <c r="P781" t="n">
        <v>0</v>
      </c>
      <c r="Q781" t="n">
        <v>1</v>
      </c>
      <c r="R781" s="2" t="inlineStr">
        <is>
          <t>Garnlav</t>
        </is>
      </c>
      <c r="S781">
        <f>HYPERLINK("https://klasma.github.io/Logging_2481/artfynd/A 54142-2021 artfynd.xlsx", "A 54142-2021")</f>
        <v/>
      </c>
      <c r="T781">
        <f>HYPERLINK("https://klasma.github.io/Logging_2481/kartor/A 54142-2021 karta.png", "A 54142-2021")</f>
        <v/>
      </c>
      <c r="U781">
        <f>HYPERLINK("https://klasma.github.io/Logging_2481/knärot/A 54142-2021 karta knärot.png", "A 54142-2021")</f>
        <v/>
      </c>
      <c r="V781">
        <f>HYPERLINK("https://klasma.github.io/Logging_2481/klagomål/A 54142-2021 FSC-klagomål.docx", "A 54142-2021")</f>
        <v/>
      </c>
      <c r="W781">
        <f>HYPERLINK("https://klasma.github.io/Logging_2481/klagomålsmail/A 54142-2021 FSC-klagomål mail.docx", "A 54142-2021")</f>
        <v/>
      </c>
      <c r="X781">
        <f>HYPERLINK("https://klasma.github.io/Logging_2481/tillsyn/A 54142-2021 tillsynsbegäran.docx", "A 54142-2021")</f>
        <v/>
      </c>
      <c r="Y781">
        <f>HYPERLINK("https://klasma.github.io/Logging_2481/tillsynsmail/A 54142-2021 tillsynsbegäran mail.docx", "A 54142-2021")</f>
        <v/>
      </c>
    </row>
    <row r="782" ht="15" customHeight="1">
      <c r="A782" t="inlineStr">
        <is>
          <t>A 55739-2021</t>
        </is>
      </c>
      <c r="B782" s="1" t="n">
        <v>44476</v>
      </c>
      <c r="C782" s="1" t="n">
        <v>45357</v>
      </c>
      <c r="D782" t="inlineStr">
        <is>
          <t>VÄSTERBOTTENS LÄN</t>
        </is>
      </c>
      <c r="E782" t="inlineStr">
        <is>
          <t>VILHELMINA</t>
        </is>
      </c>
      <c r="G782" t="n">
        <v>5.5</v>
      </c>
      <c r="H782" t="n">
        <v>0</v>
      </c>
      <c r="I782" t="n">
        <v>0</v>
      </c>
      <c r="J782" t="n">
        <v>1</v>
      </c>
      <c r="K782" t="n">
        <v>0</v>
      </c>
      <c r="L782" t="n">
        <v>0</v>
      </c>
      <c r="M782" t="n">
        <v>0</v>
      </c>
      <c r="N782" t="n">
        <v>0</v>
      </c>
      <c r="O782" t="n">
        <v>1</v>
      </c>
      <c r="P782" t="n">
        <v>0</v>
      </c>
      <c r="Q782" t="n">
        <v>1</v>
      </c>
      <c r="R782" s="2" t="inlineStr">
        <is>
          <t>Garnlav</t>
        </is>
      </c>
      <c r="S782">
        <f>HYPERLINK("https://klasma.github.io/Logging_2462/artfynd/A 55739-2021 artfynd.xlsx", "A 55739-2021")</f>
        <v/>
      </c>
      <c r="T782">
        <f>HYPERLINK("https://klasma.github.io/Logging_2462/kartor/A 55739-2021 karta.png", "A 55739-2021")</f>
        <v/>
      </c>
      <c r="V782">
        <f>HYPERLINK("https://klasma.github.io/Logging_2462/klagomål/A 55739-2021 FSC-klagomål.docx", "A 55739-2021")</f>
        <v/>
      </c>
      <c r="W782">
        <f>HYPERLINK("https://klasma.github.io/Logging_2462/klagomålsmail/A 55739-2021 FSC-klagomål mail.docx", "A 55739-2021")</f>
        <v/>
      </c>
      <c r="X782">
        <f>HYPERLINK("https://klasma.github.io/Logging_2462/tillsyn/A 55739-2021 tillsynsbegäran.docx", "A 55739-2021")</f>
        <v/>
      </c>
      <c r="Y782">
        <f>HYPERLINK("https://klasma.github.io/Logging_2462/tillsynsmail/A 55739-2021 tillsynsbegäran mail.docx", "A 55739-2021")</f>
        <v/>
      </c>
    </row>
    <row r="783" ht="15" customHeight="1">
      <c r="A783" t="inlineStr">
        <is>
          <t>A 57738-2021</t>
        </is>
      </c>
      <c r="B783" s="1" t="n">
        <v>44484</v>
      </c>
      <c r="C783" s="1" t="n">
        <v>45357</v>
      </c>
      <c r="D783" t="inlineStr">
        <is>
          <t>VÄSTERBOTTENS LÄN</t>
        </is>
      </c>
      <c r="E783" t="inlineStr">
        <is>
          <t>SKELLEFTEÅ</t>
        </is>
      </c>
      <c r="G783" t="n">
        <v>11.4</v>
      </c>
      <c r="H783" t="n">
        <v>0</v>
      </c>
      <c r="I783" t="n">
        <v>0</v>
      </c>
      <c r="J783" t="n">
        <v>1</v>
      </c>
      <c r="K783" t="n">
        <v>0</v>
      </c>
      <c r="L783" t="n">
        <v>0</v>
      </c>
      <c r="M783" t="n">
        <v>0</v>
      </c>
      <c r="N783" t="n">
        <v>0</v>
      </c>
      <c r="O783" t="n">
        <v>1</v>
      </c>
      <c r="P783" t="n">
        <v>0</v>
      </c>
      <c r="Q783" t="n">
        <v>1</v>
      </c>
      <c r="R783" s="2" t="inlineStr">
        <is>
          <t>Doftskinn</t>
        </is>
      </c>
      <c r="S783">
        <f>HYPERLINK("https://klasma.github.io/Logging_2482/artfynd/A 57738-2021 artfynd.xlsx", "A 57738-2021")</f>
        <v/>
      </c>
      <c r="T783">
        <f>HYPERLINK("https://klasma.github.io/Logging_2482/kartor/A 57738-2021 karta.png", "A 57738-2021")</f>
        <v/>
      </c>
      <c r="V783">
        <f>HYPERLINK("https://klasma.github.io/Logging_2482/klagomål/A 57738-2021 FSC-klagomål.docx", "A 57738-2021")</f>
        <v/>
      </c>
      <c r="W783">
        <f>HYPERLINK("https://klasma.github.io/Logging_2482/klagomålsmail/A 57738-2021 FSC-klagomål mail.docx", "A 57738-2021")</f>
        <v/>
      </c>
      <c r="X783">
        <f>HYPERLINK("https://klasma.github.io/Logging_2482/tillsyn/A 57738-2021 tillsynsbegäran.docx", "A 57738-2021")</f>
        <v/>
      </c>
      <c r="Y783">
        <f>HYPERLINK("https://klasma.github.io/Logging_2482/tillsynsmail/A 57738-2021 tillsynsbegäran mail.docx", "A 57738-2021")</f>
        <v/>
      </c>
    </row>
    <row r="784" ht="15" customHeight="1">
      <c r="A784" t="inlineStr">
        <is>
          <t>A 57865-2021</t>
        </is>
      </c>
      <c r="B784" s="1" t="n">
        <v>44484</v>
      </c>
      <c r="C784" s="1" t="n">
        <v>45357</v>
      </c>
      <c r="D784" t="inlineStr">
        <is>
          <t>VÄSTERBOTTENS LÄN</t>
        </is>
      </c>
      <c r="E784" t="inlineStr">
        <is>
          <t>BJURHOLM</t>
        </is>
      </c>
      <c r="F784" t="inlineStr">
        <is>
          <t>SCA</t>
        </is>
      </c>
      <c r="G784" t="n">
        <v>2.6</v>
      </c>
      <c r="H784" t="n">
        <v>0</v>
      </c>
      <c r="I784" t="n">
        <v>1</v>
      </c>
      <c r="J784" t="n">
        <v>0</v>
      </c>
      <c r="K784" t="n">
        <v>0</v>
      </c>
      <c r="L784" t="n">
        <v>0</v>
      </c>
      <c r="M784" t="n">
        <v>0</v>
      </c>
      <c r="N784" t="n">
        <v>0</v>
      </c>
      <c r="O784" t="n">
        <v>0</v>
      </c>
      <c r="P784" t="n">
        <v>0</v>
      </c>
      <c r="Q784" t="n">
        <v>1</v>
      </c>
      <c r="R784" s="2" t="inlineStr">
        <is>
          <t>Stor aspticka</t>
        </is>
      </c>
      <c r="S784">
        <f>HYPERLINK("https://klasma.github.io/Logging_2403/artfynd/A 57865-2021 artfynd.xlsx", "A 57865-2021")</f>
        <v/>
      </c>
      <c r="T784">
        <f>HYPERLINK("https://klasma.github.io/Logging_2403/kartor/A 57865-2021 karta.png", "A 57865-2021")</f>
        <v/>
      </c>
      <c r="V784">
        <f>HYPERLINK("https://klasma.github.io/Logging_2403/klagomål/A 57865-2021 FSC-klagomål.docx", "A 57865-2021")</f>
        <v/>
      </c>
      <c r="W784">
        <f>HYPERLINK("https://klasma.github.io/Logging_2403/klagomålsmail/A 57865-2021 FSC-klagomål mail.docx", "A 57865-2021")</f>
        <v/>
      </c>
      <c r="X784">
        <f>HYPERLINK("https://klasma.github.io/Logging_2403/tillsyn/A 57865-2021 tillsynsbegäran.docx", "A 57865-2021")</f>
        <v/>
      </c>
      <c r="Y784">
        <f>HYPERLINK("https://klasma.github.io/Logging_2403/tillsynsmail/A 57865-2021 tillsynsbegäran mail.docx", "A 57865-2021")</f>
        <v/>
      </c>
    </row>
    <row r="785" ht="15" customHeight="1">
      <c r="A785" t="inlineStr">
        <is>
          <t>A 58766-2021</t>
        </is>
      </c>
      <c r="B785" s="1" t="n">
        <v>44489</v>
      </c>
      <c r="C785" s="1" t="n">
        <v>45357</v>
      </c>
      <c r="D785" t="inlineStr">
        <is>
          <t>VÄSTERBOTTENS LÄN</t>
        </is>
      </c>
      <c r="E785" t="inlineStr">
        <is>
          <t>SKELLEFTEÅ</t>
        </is>
      </c>
      <c r="G785" t="n">
        <v>5.5</v>
      </c>
      <c r="H785" t="n">
        <v>0</v>
      </c>
      <c r="I785" t="n">
        <v>0</v>
      </c>
      <c r="J785" t="n">
        <v>1</v>
      </c>
      <c r="K785" t="n">
        <v>0</v>
      </c>
      <c r="L785" t="n">
        <v>0</v>
      </c>
      <c r="M785" t="n">
        <v>0</v>
      </c>
      <c r="N785" t="n">
        <v>0</v>
      </c>
      <c r="O785" t="n">
        <v>1</v>
      </c>
      <c r="P785" t="n">
        <v>0</v>
      </c>
      <c r="Q785" t="n">
        <v>1</v>
      </c>
      <c r="R785" s="2" t="inlineStr">
        <is>
          <t>Stjärntagging</t>
        </is>
      </c>
      <c r="S785">
        <f>HYPERLINK("https://klasma.github.io/Logging_2482/artfynd/A 58766-2021 artfynd.xlsx", "A 58766-2021")</f>
        <v/>
      </c>
      <c r="T785">
        <f>HYPERLINK("https://klasma.github.io/Logging_2482/kartor/A 58766-2021 karta.png", "A 58766-2021")</f>
        <v/>
      </c>
      <c r="V785">
        <f>HYPERLINK("https://klasma.github.io/Logging_2482/klagomål/A 58766-2021 FSC-klagomål.docx", "A 58766-2021")</f>
        <v/>
      </c>
      <c r="W785">
        <f>HYPERLINK("https://klasma.github.io/Logging_2482/klagomålsmail/A 58766-2021 FSC-klagomål mail.docx", "A 58766-2021")</f>
        <v/>
      </c>
      <c r="X785">
        <f>HYPERLINK("https://klasma.github.io/Logging_2482/tillsyn/A 58766-2021 tillsynsbegäran.docx", "A 58766-2021")</f>
        <v/>
      </c>
      <c r="Y785">
        <f>HYPERLINK("https://klasma.github.io/Logging_2482/tillsynsmail/A 58766-2021 tillsynsbegäran mail.docx", "A 58766-2021")</f>
        <v/>
      </c>
    </row>
    <row r="786" ht="15" customHeight="1">
      <c r="A786" t="inlineStr">
        <is>
          <t>A 59780-2021</t>
        </is>
      </c>
      <c r="B786" s="1" t="n">
        <v>44494</v>
      </c>
      <c r="C786" s="1" t="n">
        <v>45357</v>
      </c>
      <c r="D786" t="inlineStr">
        <is>
          <t>VÄSTERBOTTENS LÄN</t>
        </is>
      </c>
      <c r="E786" t="inlineStr">
        <is>
          <t>LYCKSELE</t>
        </is>
      </c>
      <c r="F786" t="inlineStr">
        <is>
          <t>Sveaskog</t>
        </is>
      </c>
      <c r="G786" t="n">
        <v>5</v>
      </c>
      <c r="H786" t="n">
        <v>0</v>
      </c>
      <c r="I786" t="n">
        <v>0</v>
      </c>
      <c r="J786" t="n">
        <v>1</v>
      </c>
      <c r="K786" t="n">
        <v>0</v>
      </c>
      <c r="L786" t="n">
        <v>0</v>
      </c>
      <c r="M786" t="n">
        <v>0</v>
      </c>
      <c r="N786" t="n">
        <v>0</v>
      </c>
      <c r="O786" t="n">
        <v>1</v>
      </c>
      <c r="P786" t="n">
        <v>0</v>
      </c>
      <c r="Q786" t="n">
        <v>1</v>
      </c>
      <c r="R786" s="2" t="inlineStr">
        <is>
          <t>Lunglav</t>
        </is>
      </c>
      <c r="S786">
        <f>HYPERLINK("https://klasma.github.io/Logging_2481/artfynd/A 59780-2021 artfynd.xlsx", "A 59780-2021")</f>
        <v/>
      </c>
      <c r="T786">
        <f>HYPERLINK("https://klasma.github.io/Logging_2481/kartor/A 59780-2021 karta.png", "A 59780-2021")</f>
        <v/>
      </c>
      <c r="V786">
        <f>HYPERLINK("https://klasma.github.io/Logging_2481/klagomål/A 59780-2021 FSC-klagomål.docx", "A 59780-2021")</f>
        <v/>
      </c>
      <c r="W786">
        <f>HYPERLINK("https://klasma.github.io/Logging_2481/klagomålsmail/A 59780-2021 FSC-klagomål mail.docx", "A 59780-2021")</f>
        <v/>
      </c>
      <c r="X786">
        <f>HYPERLINK("https://klasma.github.io/Logging_2481/tillsyn/A 59780-2021 tillsynsbegäran.docx", "A 59780-2021")</f>
        <v/>
      </c>
      <c r="Y786">
        <f>HYPERLINK("https://klasma.github.io/Logging_2481/tillsynsmail/A 59780-2021 tillsynsbegäran mail.docx", "A 59780-2021")</f>
        <v/>
      </c>
    </row>
    <row r="787" ht="15" customHeight="1">
      <c r="A787" t="inlineStr">
        <is>
          <t>A 60369-2021</t>
        </is>
      </c>
      <c r="B787" s="1" t="n">
        <v>44494</v>
      </c>
      <c r="C787" s="1" t="n">
        <v>45357</v>
      </c>
      <c r="D787" t="inlineStr">
        <is>
          <t>VÄSTERBOTTENS LÄN</t>
        </is>
      </c>
      <c r="E787" t="inlineStr">
        <is>
          <t>VILHELMINA</t>
        </is>
      </c>
      <c r="G787" t="n">
        <v>0.6</v>
      </c>
      <c r="H787" t="n">
        <v>0</v>
      </c>
      <c r="I787" t="n">
        <v>1</v>
      </c>
      <c r="J787" t="n">
        <v>0</v>
      </c>
      <c r="K787" t="n">
        <v>0</v>
      </c>
      <c r="L787" t="n">
        <v>0</v>
      </c>
      <c r="M787" t="n">
        <v>0</v>
      </c>
      <c r="N787" t="n">
        <v>0</v>
      </c>
      <c r="O787" t="n">
        <v>0</v>
      </c>
      <c r="P787" t="n">
        <v>0</v>
      </c>
      <c r="Q787" t="n">
        <v>1</v>
      </c>
      <c r="R787" s="2" t="inlineStr">
        <is>
          <t>Stuplav</t>
        </is>
      </c>
      <c r="S787">
        <f>HYPERLINK("https://klasma.github.io/Logging_2462/artfynd/A 60369-2021 artfynd.xlsx", "A 60369-2021")</f>
        <v/>
      </c>
      <c r="T787">
        <f>HYPERLINK("https://klasma.github.io/Logging_2462/kartor/A 60369-2021 karta.png", "A 60369-2021")</f>
        <v/>
      </c>
      <c r="V787">
        <f>HYPERLINK("https://klasma.github.io/Logging_2462/klagomål/A 60369-2021 FSC-klagomål.docx", "A 60369-2021")</f>
        <v/>
      </c>
      <c r="W787">
        <f>HYPERLINK("https://klasma.github.io/Logging_2462/klagomålsmail/A 60369-2021 FSC-klagomål mail.docx", "A 60369-2021")</f>
        <v/>
      </c>
      <c r="X787">
        <f>HYPERLINK("https://klasma.github.io/Logging_2462/tillsyn/A 60369-2021 tillsynsbegäran.docx", "A 60369-2021")</f>
        <v/>
      </c>
      <c r="Y787">
        <f>HYPERLINK("https://klasma.github.io/Logging_2462/tillsynsmail/A 60369-2021 tillsynsbegäran mail.docx", "A 60369-2021")</f>
        <v/>
      </c>
    </row>
    <row r="788" ht="15" customHeight="1">
      <c r="A788" t="inlineStr">
        <is>
          <t>A 60045-2021</t>
        </is>
      </c>
      <c r="B788" s="1" t="n">
        <v>44495</v>
      </c>
      <c r="C788" s="1" t="n">
        <v>45357</v>
      </c>
      <c r="D788" t="inlineStr">
        <is>
          <t>VÄSTERBOTTENS LÄN</t>
        </is>
      </c>
      <c r="E788" t="inlineStr">
        <is>
          <t>LYCKSELE</t>
        </is>
      </c>
      <c r="F788" t="inlineStr">
        <is>
          <t>Sveaskog</t>
        </is>
      </c>
      <c r="G788" t="n">
        <v>0.6</v>
      </c>
      <c r="H788" t="n">
        <v>0</v>
      </c>
      <c r="I788" t="n">
        <v>0</v>
      </c>
      <c r="J788" t="n">
        <v>1</v>
      </c>
      <c r="K788" t="n">
        <v>0</v>
      </c>
      <c r="L788" t="n">
        <v>0</v>
      </c>
      <c r="M788" t="n">
        <v>0</v>
      </c>
      <c r="N788" t="n">
        <v>0</v>
      </c>
      <c r="O788" t="n">
        <v>1</v>
      </c>
      <c r="P788" t="n">
        <v>0</v>
      </c>
      <c r="Q788" t="n">
        <v>1</v>
      </c>
      <c r="R788" s="2" t="inlineStr">
        <is>
          <t>Lunglav</t>
        </is>
      </c>
      <c r="S788">
        <f>HYPERLINK("https://klasma.github.io/Logging_2481/artfynd/A 60045-2021 artfynd.xlsx", "A 60045-2021")</f>
        <v/>
      </c>
      <c r="T788">
        <f>HYPERLINK("https://klasma.github.io/Logging_2481/kartor/A 60045-2021 karta.png", "A 60045-2021")</f>
        <v/>
      </c>
      <c r="V788">
        <f>HYPERLINK("https://klasma.github.io/Logging_2481/klagomål/A 60045-2021 FSC-klagomål.docx", "A 60045-2021")</f>
        <v/>
      </c>
      <c r="W788">
        <f>HYPERLINK("https://klasma.github.io/Logging_2481/klagomålsmail/A 60045-2021 FSC-klagomål mail.docx", "A 60045-2021")</f>
        <v/>
      </c>
      <c r="X788">
        <f>HYPERLINK("https://klasma.github.io/Logging_2481/tillsyn/A 60045-2021 tillsynsbegäran.docx", "A 60045-2021")</f>
        <v/>
      </c>
      <c r="Y788">
        <f>HYPERLINK("https://klasma.github.io/Logging_2481/tillsynsmail/A 60045-2021 tillsynsbegäran mail.docx", "A 60045-2021")</f>
        <v/>
      </c>
    </row>
    <row r="789" ht="15" customHeight="1">
      <c r="A789" t="inlineStr">
        <is>
          <t>A 60309-2021</t>
        </is>
      </c>
      <c r="B789" s="1" t="n">
        <v>44495</v>
      </c>
      <c r="C789" s="1" t="n">
        <v>45357</v>
      </c>
      <c r="D789" t="inlineStr">
        <is>
          <t>VÄSTERBOTTENS LÄN</t>
        </is>
      </c>
      <c r="E789" t="inlineStr">
        <is>
          <t>NORDMALING</t>
        </is>
      </c>
      <c r="F789" t="inlineStr">
        <is>
          <t>SCA</t>
        </is>
      </c>
      <c r="G789" t="n">
        <v>1.5</v>
      </c>
      <c r="H789" t="n">
        <v>0</v>
      </c>
      <c r="I789" t="n">
        <v>0</v>
      </c>
      <c r="J789" t="n">
        <v>1</v>
      </c>
      <c r="K789" t="n">
        <v>0</v>
      </c>
      <c r="L789" t="n">
        <v>0</v>
      </c>
      <c r="M789" t="n">
        <v>0</v>
      </c>
      <c r="N789" t="n">
        <v>0</v>
      </c>
      <c r="O789" t="n">
        <v>1</v>
      </c>
      <c r="P789" t="n">
        <v>0</v>
      </c>
      <c r="Q789" t="n">
        <v>1</v>
      </c>
      <c r="R789" s="2" t="inlineStr">
        <is>
          <t>Gränsticka</t>
        </is>
      </c>
      <c r="S789">
        <f>HYPERLINK("https://klasma.github.io/Logging_2401/artfynd/A 60309-2021 artfynd.xlsx", "A 60309-2021")</f>
        <v/>
      </c>
      <c r="T789">
        <f>HYPERLINK("https://klasma.github.io/Logging_2401/kartor/A 60309-2021 karta.png", "A 60309-2021")</f>
        <v/>
      </c>
      <c r="V789">
        <f>HYPERLINK("https://klasma.github.io/Logging_2401/klagomål/A 60309-2021 FSC-klagomål.docx", "A 60309-2021")</f>
        <v/>
      </c>
      <c r="W789">
        <f>HYPERLINK("https://klasma.github.io/Logging_2401/klagomålsmail/A 60309-2021 FSC-klagomål mail.docx", "A 60309-2021")</f>
        <v/>
      </c>
      <c r="X789">
        <f>HYPERLINK("https://klasma.github.io/Logging_2401/tillsyn/A 60309-2021 tillsynsbegäran.docx", "A 60309-2021")</f>
        <v/>
      </c>
      <c r="Y789">
        <f>HYPERLINK("https://klasma.github.io/Logging_2401/tillsynsmail/A 60309-2021 tillsynsbegäran mail.docx", "A 60309-2021")</f>
        <v/>
      </c>
    </row>
    <row r="790" ht="15" customHeight="1">
      <c r="A790" t="inlineStr">
        <is>
          <t>A 60310-2021</t>
        </is>
      </c>
      <c r="B790" s="1" t="n">
        <v>44495</v>
      </c>
      <c r="C790" s="1" t="n">
        <v>45357</v>
      </c>
      <c r="D790" t="inlineStr">
        <is>
          <t>VÄSTERBOTTENS LÄN</t>
        </is>
      </c>
      <c r="E790" t="inlineStr">
        <is>
          <t>NORDMALING</t>
        </is>
      </c>
      <c r="F790" t="inlineStr">
        <is>
          <t>SCA</t>
        </is>
      </c>
      <c r="G790" t="n">
        <v>1.2</v>
      </c>
      <c r="H790" t="n">
        <v>0</v>
      </c>
      <c r="I790" t="n">
        <v>1</v>
      </c>
      <c r="J790" t="n">
        <v>0</v>
      </c>
      <c r="K790" t="n">
        <v>0</v>
      </c>
      <c r="L790" t="n">
        <v>0</v>
      </c>
      <c r="M790" t="n">
        <v>0</v>
      </c>
      <c r="N790" t="n">
        <v>0</v>
      </c>
      <c r="O790" t="n">
        <v>0</v>
      </c>
      <c r="P790" t="n">
        <v>0</v>
      </c>
      <c r="Q790" t="n">
        <v>1</v>
      </c>
      <c r="R790" s="2" t="inlineStr">
        <is>
          <t>Stor aspticka</t>
        </is>
      </c>
      <c r="S790">
        <f>HYPERLINK("https://klasma.github.io/Logging_2401/artfynd/A 60310-2021 artfynd.xlsx", "A 60310-2021")</f>
        <v/>
      </c>
      <c r="T790">
        <f>HYPERLINK("https://klasma.github.io/Logging_2401/kartor/A 60310-2021 karta.png", "A 60310-2021")</f>
        <v/>
      </c>
      <c r="V790">
        <f>HYPERLINK("https://klasma.github.io/Logging_2401/klagomål/A 60310-2021 FSC-klagomål.docx", "A 60310-2021")</f>
        <v/>
      </c>
      <c r="W790">
        <f>HYPERLINK("https://klasma.github.io/Logging_2401/klagomålsmail/A 60310-2021 FSC-klagomål mail.docx", "A 60310-2021")</f>
        <v/>
      </c>
      <c r="X790">
        <f>HYPERLINK("https://klasma.github.io/Logging_2401/tillsyn/A 60310-2021 tillsynsbegäran.docx", "A 60310-2021")</f>
        <v/>
      </c>
      <c r="Y790">
        <f>HYPERLINK("https://klasma.github.io/Logging_2401/tillsynsmail/A 60310-2021 tillsynsbegäran mail.docx", "A 60310-2021")</f>
        <v/>
      </c>
    </row>
    <row r="791" ht="15" customHeight="1">
      <c r="A791" t="inlineStr">
        <is>
          <t>A 60651-2021</t>
        </is>
      </c>
      <c r="B791" s="1" t="n">
        <v>44496</v>
      </c>
      <c r="C791" s="1" t="n">
        <v>45357</v>
      </c>
      <c r="D791" t="inlineStr">
        <is>
          <t>VÄSTERBOTTENS LÄN</t>
        </is>
      </c>
      <c r="E791" t="inlineStr">
        <is>
          <t>VINDELN</t>
        </is>
      </c>
      <c r="F791" t="inlineStr">
        <is>
          <t>Sveaskog</t>
        </is>
      </c>
      <c r="G791" t="n">
        <v>3.7</v>
      </c>
      <c r="H791" t="n">
        <v>0</v>
      </c>
      <c r="I791" t="n">
        <v>0</v>
      </c>
      <c r="J791" t="n">
        <v>1</v>
      </c>
      <c r="K791" t="n">
        <v>0</v>
      </c>
      <c r="L791" t="n">
        <v>0</v>
      </c>
      <c r="M791" t="n">
        <v>0</v>
      </c>
      <c r="N791" t="n">
        <v>0</v>
      </c>
      <c r="O791" t="n">
        <v>1</v>
      </c>
      <c r="P791" t="n">
        <v>0</v>
      </c>
      <c r="Q791" t="n">
        <v>1</v>
      </c>
      <c r="R791" s="2" t="inlineStr">
        <is>
          <t>Lunglav</t>
        </is>
      </c>
      <c r="S791">
        <f>HYPERLINK("https://klasma.github.io/Logging_2404/artfynd/A 60651-2021 artfynd.xlsx", "A 60651-2021")</f>
        <v/>
      </c>
      <c r="T791">
        <f>HYPERLINK("https://klasma.github.io/Logging_2404/kartor/A 60651-2021 karta.png", "A 60651-2021")</f>
        <v/>
      </c>
      <c r="V791">
        <f>HYPERLINK("https://klasma.github.io/Logging_2404/klagomål/A 60651-2021 FSC-klagomål.docx", "A 60651-2021")</f>
        <v/>
      </c>
      <c r="W791">
        <f>HYPERLINK("https://klasma.github.io/Logging_2404/klagomålsmail/A 60651-2021 FSC-klagomål mail.docx", "A 60651-2021")</f>
        <v/>
      </c>
      <c r="X791">
        <f>HYPERLINK("https://klasma.github.io/Logging_2404/tillsyn/A 60651-2021 tillsynsbegäran.docx", "A 60651-2021")</f>
        <v/>
      </c>
      <c r="Y791">
        <f>HYPERLINK("https://klasma.github.io/Logging_2404/tillsynsmail/A 60651-2021 tillsynsbegäran mail.docx", "A 60651-2021")</f>
        <v/>
      </c>
    </row>
    <row r="792" ht="15" customHeight="1">
      <c r="A792" t="inlineStr">
        <is>
          <t>A 60833-2021</t>
        </is>
      </c>
      <c r="B792" s="1" t="n">
        <v>44497</v>
      </c>
      <c r="C792" s="1" t="n">
        <v>45357</v>
      </c>
      <c r="D792" t="inlineStr">
        <is>
          <t>VÄSTERBOTTENS LÄN</t>
        </is>
      </c>
      <c r="E792" t="inlineStr">
        <is>
          <t>ROBERTSFORS</t>
        </is>
      </c>
      <c r="G792" t="n">
        <v>1.9</v>
      </c>
      <c r="H792" t="n">
        <v>0</v>
      </c>
      <c r="I792" t="n">
        <v>1</v>
      </c>
      <c r="J792" t="n">
        <v>0</v>
      </c>
      <c r="K792" t="n">
        <v>0</v>
      </c>
      <c r="L792" t="n">
        <v>0</v>
      </c>
      <c r="M792" t="n">
        <v>0</v>
      </c>
      <c r="N792" t="n">
        <v>0</v>
      </c>
      <c r="O792" t="n">
        <v>0</v>
      </c>
      <c r="P792" t="n">
        <v>0</v>
      </c>
      <c r="Q792" t="n">
        <v>1</v>
      </c>
      <c r="R792" s="2" t="inlineStr">
        <is>
          <t>Stuplav</t>
        </is>
      </c>
      <c r="S792">
        <f>HYPERLINK("https://klasma.github.io/Logging_2409/artfynd/A 60833-2021 artfynd.xlsx", "A 60833-2021")</f>
        <v/>
      </c>
      <c r="T792">
        <f>HYPERLINK("https://klasma.github.io/Logging_2409/kartor/A 60833-2021 karta.png", "A 60833-2021")</f>
        <v/>
      </c>
      <c r="V792">
        <f>HYPERLINK("https://klasma.github.io/Logging_2409/klagomål/A 60833-2021 FSC-klagomål.docx", "A 60833-2021")</f>
        <v/>
      </c>
      <c r="W792">
        <f>HYPERLINK("https://klasma.github.io/Logging_2409/klagomålsmail/A 60833-2021 FSC-klagomål mail.docx", "A 60833-2021")</f>
        <v/>
      </c>
      <c r="X792">
        <f>HYPERLINK("https://klasma.github.io/Logging_2409/tillsyn/A 60833-2021 tillsynsbegäran.docx", "A 60833-2021")</f>
        <v/>
      </c>
      <c r="Y792">
        <f>HYPERLINK("https://klasma.github.io/Logging_2409/tillsynsmail/A 60833-2021 tillsynsbegäran mail.docx", "A 60833-2021")</f>
        <v/>
      </c>
    </row>
    <row r="793" ht="15" customHeight="1">
      <c r="A793" t="inlineStr">
        <is>
          <t>A 61658-2021</t>
        </is>
      </c>
      <c r="B793" s="1" t="n">
        <v>44501</v>
      </c>
      <c r="C793" s="1" t="n">
        <v>45357</v>
      </c>
      <c r="D793" t="inlineStr">
        <is>
          <t>VÄSTERBOTTENS LÄN</t>
        </is>
      </c>
      <c r="E793" t="inlineStr">
        <is>
          <t>SKELLEFTEÅ</t>
        </is>
      </c>
      <c r="F793" t="inlineStr">
        <is>
          <t>Sveaskog</t>
        </is>
      </c>
      <c r="G793" t="n">
        <v>16.3</v>
      </c>
      <c r="H793" t="n">
        <v>1</v>
      </c>
      <c r="I793" t="n">
        <v>0</v>
      </c>
      <c r="J793" t="n">
        <v>0</v>
      </c>
      <c r="K793" t="n">
        <v>0</v>
      </c>
      <c r="L793" t="n">
        <v>0</v>
      </c>
      <c r="M793" t="n">
        <v>0</v>
      </c>
      <c r="N793" t="n">
        <v>0</v>
      </c>
      <c r="O793" t="n">
        <v>0</v>
      </c>
      <c r="P793" t="n">
        <v>0</v>
      </c>
      <c r="Q793" t="n">
        <v>1</v>
      </c>
      <c r="R793" s="2" t="inlineStr">
        <is>
          <t>Revlummer</t>
        </is>
      </c>
      <c r="S793">
        <f>HYPERLINK("https://klasma.github.io/Logging_2482/artfynd/A 61658-2021 artfynd.xlsx", "A 61658-2021")</f>
        <v/>
      </c>
      <c r="T793">
        <f>HYPERLINK("https://klasma.github.io/Logging_2482/kartor/A 61658-2021 karta.png", "A 61658-2021")</f>
        <v/>
      </c>
      <c r="V793">
        <f>HYPERLINK("https://klasma.github.io/Logging_2482/klagomål/A 61658-2021 FSC-klagomål.docx", "A 61658-2021")</f>
        <v/>
      </c>
      <c r="W793">
        <f>HYPERLINK("https://klasma.github.io/Logging_2482/klagomålsmail/A 61658-2021 FSC-klagomål mail.docx", "A 61658-2021")</f>
        <v/>
      </c>
      <c r="X793">
        <f>HYPERLINK("https://klasma.github.io/Logging_2482/tillsyn/A 61658-2021 tillsynsbegäran.docx", "A 61658-2021")</f>
        <v/>
      </c>
      <c r="Y793">
        <f>HYPERLINK("https://klasma.github.io/Logging_2482/tillsynsmail/A 61658-2021 tillsynsbegäran mail.docx", "A 61658-2021")</f>
        <v/>
      </c>
    </row>
    <row r="794" ht="15" customHeight="1">
      <c r="A794" t="inlineStr">
        <is>
          <t>A 61850-2021</t>
        </is>
      </c>
      <c r="B794" s="1" t="n">
        <v>44501</v>
      </c>
      <c r="C794" s="1" t="n">
        <v>45357</v>
      </c>
      <c r="D794" t="inlineStr">
        <is>
          <t>VÄSTERBOTTENS LÄN</t>
        </is>
      </c>
      <c r="E794" t="inlineStr">
        <is>
          <t>ÅSELE</t>
        </is>
      </c>
      <c r="F794" t="inlineStr">
        <is>
          <t>SCA</t>
        </is>
      </c>
      <c r="G794" t="n">
        <v>12.9</v>
      </c>
      <c r="H794" t="n">
        <v>0</v>
      </c>
      <c r="I794" t="n">
        <v>1</v>
      </c>
      <c r="J794" t="n">
        <v>0</v>
      </c>
      <c r="K794" t="n">
        <v>0</v>
      </c>
      <c r="L794" t="n">
        <v>0</v>
      </c>
      <c r="M794" t="n">
        <v>0</v>
      </c>
      <c r="N794" t="n">
        <v>0</v>
      </c>
      <c r="O794" t="n">
        <v>0</v>
      </c>
      <c r="P794" t="n">
        <v>0</v>
      </c>
      <c r="Q794" t="n">
        <v>1</v>
      </c>
      <c r="R794" s="2" t="inlineStr">
        <is>
          <t>Skinnlav</t>
        </is>
      </c>
      <c r="S794">
        <f>HYPERLINK("https://klasma.github.io/Logging_2463/artfynd/A 61850-2021 artfynd.xlsx", "A 61850-2021")</f>
        <v/>
      </c>
      <c r="T794">
        <f>HYPERLINK("https://klasma.github.io/Logging_2463/kartor/A 61850-2021 karta.png", "A 61850-2021")</f>
        <v/>
      </c>
      <c r="V794">
        <f>HYPERLINK("https://klasma.github.io/Logging_2463/klagomål/A 61850-2021 FSC-klagomål.docx", "A 61850-2021")</f>
        <v/>
      </c>
      <c r="W794">
        <f>HYPERLINK("https://klasma.github.io/Logging_2463/klagomålsmail/A 61850-2021 FSC-klagomål mail.docx", "A 61850-2021")</f>
        <v/>
      </c>
      <c r="X794">
        <f>HYPERLINK("https://klasma.github.io/Logging_2463/tillsyn/A 61850-2021 tillsynsbegäran.docx", "A 61850-2021")</f>
        <v/>
      </c>
      <c r="Y794">
        <f>HYPERLINK("https://klasma.github.io/Logging_2463/tillsynsmail/A 61850-2021 tillsynsbegäran mail.docx", "A 61850-2021")</f>
        <v/>
      </c>
    </row>
    <row r="795" ht="15" customHeight="1">
      <c r="A795" t="inlineStr">
        <is>
          <t>A 62436-2021</t>
        </is>
      </c>
      <c r="B795" s="1" t="n">
        <v>44503</v>
      </c>
      <c r="C795" s="1" t="n">
        <v>45357</v>
      </c>
      <c r="D795" t="inlineStr">
        <is>
          <t>VÄSTERBOTTENS LÄN</t>
        </is>
      </c>
      <c r="E795" t="inlineStr">
        <is>
          <t>SKELLEFTEÅ</t>
        </is>
      </c>
      <c r="F795" t="inlineStr">
        <is>
          <t>Holmen skog AB</t>
        </is>
      </c>
      <c r="G795" t="n">
        <v>19.5</v>
      </c>
      <c r="H795" t="n">
        <v>0</v>
      </c>
      <c r="I795" t="n">
        <v>0</v>
      </c>
      <c r="J795" t="n">
        <v>1</v>
      </c>
      <c r="K795" t="n">
        <v>0</v>
      </c>
      <c r="L795" t="n">
        <v>0</v>
      </c>
      <c r="M795" t="n">
        <v>0</v>
      </c>
      <c r="N795" t="n">
        <v>0</v>
      </c>
      <c r="O795" t="n">
        <v>1</v>
      </c>
      <c r="P795" t="n">
        <v>0</v>
      </c>
      <c r="Q795" t="n">
        <v>1</v>
      </c>
      <c r="R795" s="2" t="inlineStr">
        <is>
          <t>Lunglav</t>
        </is>
      </c>
      <c r="S795">
        <f>HYPERLINK("https://klasma.github.io/Logging_2482/artfynd/A 62436-2021 artfynd.xlsx", "A 62436-2021")</f>
        <v/>
      </c>
      <c r="T795">
        <f>HYPERLINK("https://klasma.github.io/Logging_2482/kartor/A 62436-2021 karta.png", "A 62436-2021")</f>
        <v/>
      </c>
      <c r="V795">
        <f>HYPERLINK("https://klasma.github.io/Logging_2482/klagomål/A 62436-2021 FSC-klagomål.docx", "A 62436-2021")</f>
        <v/>
      </c>
      <c r="W795">
        <f>HYPERLINK("https://klasma.github.io/Logging_2482/klagomålsmail/A 62436-2021 FSC-klagomål mail.docx", "A 62436-2021")</f>
        <v/>
      </c>
      <c r="X795">
        <f>HYPERLINK("https://klasma.github.io/Logging_2482/tillsyn/A 62436-2021 tillsynsbegäran.docx", "A 62436-2021")</f>
        <v/>
      </c>
      <c r="Y795">
        <f>HYPERLINK("https://klasma.github.io/Logging_2482/tillsynsmail/A 62436-2021 tillsynsbegäran mail.docx", "A 62436-2021")</f>
        <v/>
      </c>
    </row>
    <row r="796" ht="15" customHeight="1">
      <c r="A796" t="inlineStr">
        <is>
          <t>A 66924-2021</t>
        </is>
      </c>
      <c r="B796" s="1" t="n">
        <v>44522</v>
      </c>
      <c r="C796" s="1" t="n">
        <v>45357</v>
      </c>
      <c r="D796" t="inlineStr">
        <is>
          <t>VÄSTERBOTTENS LÄN</t>
        </is>
      </c>
      <c r="E796" t="inlineStr">
        <is>
          <t>VILHELMINA</t>
        </is>
      </c>
      <c r="F796" t="inlineStr">
        <is>
          <t>Allmännings- och besparingsskogar</t>
        </is>
      </c>
      <c r="G796" t="n">
        <v>335.4</v>
      </c>
      <c r="H796" t="n">
        <v>1</v>
      </c>
      <c r="I796" t="n">
        <v>0</v>
      </c>
      <c r="J796" t="n">
        <v>1</v>
      </c>
      <c r="K796" t="n">
        <v>0</v>
      </c>
      <c r="L796" t="n">
        <v>0</v>
      </c>
      <c r="M796" t="n">
        <v>0</v>
      </c>
      <c r="N796" t="n">
        <v>0</v>
      </c>
      <c r="O796" t="n">
        <v>1</v>
      </c>
      <c r="P796" t="n">
        <v>0</v>
      </c>
      <c r="Q796" t="n">
        <v>1</v>
      </c>
      <c r="R796" s="2" t="inlineStr">
        <is>
          <t>Utter</t>
        </is>
      </c>
      <c r="S796">
        <f>HYPERLINK("https://klasma.github.io/Logging_2462/artfynd/A 66924-2021 artfynd.xlsx", "A 66924-2021")</f>
        <v/>
      </c>
      <c r="T796">
        <f>HYPERLINK("https://klasma.github.io/Logging_2462/kartor/A 66924-2021 karta.png", "A 66924-2021")</f>
        <v/>
      </c>
      <c r="V796">
        <f>HYPERLINK("https://klasma.github.io/Logging_2462/klagomål/A 66924-2021 FSC-klagomål.docx", "A 66924-2021")</f>
        <v/>
      </c>
      <c r="W796">
        <f>HYPERLINK("https://klasma.github.io/Logging_2462/klagomålsmail/A 66924-2021 FSC-klagomål mail.docx", "A 66924-2021")</f>
        <v/>
      </c>
      <c r="X796">
        <f>HYPERLINK("https://klasma.github.io/Logging_2462/tillsyn/A 66924-2021 tillsynsbegäran.docx", "A 66924-2021")</f>
        <v/>
      </c>
      <c r="Y796">
        <f>HYPERLINK("https://klasma.github.io/Logging_2462/tillsynsmail/A 66924-2021 tillsynsbegäran mail.docx", "A 66924-2021")</f>
        <v/>
      </c>
    </row>
    <row r="797" ht="15" customHeight="1">
      <c r="A797" t="inlineStr">
        <is>
          <t>A 68783-2021</t>
        </is>
      </c>
      <c r="B797" s="1" t="n">
        <v>44529</v>
      </c>
      <c r="C797" s="1" t="n">
        <v>45357</v>
      </c>
      <c r="D797" t="inlineStr">
        <is>
          <t>VÄSTERBOTTENS LÄN</t>
        </is>
      </c>
      <c r="E797" t="inlineStr">
        <is>
          <t>VILHELMINA</t>
        </is>
      </c>
      <c r="F797" t="inlineStr">
        <is>
          <t>SCA</t>
        </is>
      </c>
      <c r="G797" t="n">
        <v>7.3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68783-2021 artfynd.xlsx", "A 68783-2021")</f>
        <v/>
      </c>
      <c r="T797">
        <f>HYPERLINK("https://klasma.github.io/Logging_2462/kartor/A 68783-2021 karta.png", "A 68783-2021")</f>
        <v/>
      </c>
      <c r="V797">
        <f>HYPERLINK("https://klasma.github.io/Logging_2462/klagomål/A 68783-2021 FSC-klagomål.docx", "A 68783-2021")</f>
        <v/>
      </c>
      <c r="W797">
        <f>HYPERLINK("https://klasma.github.io/Logging_2462/klagomålsmail/A 68783-2021 FSC-klagomål mail.docx", "A 68783-2021")</f>
        <v/>
      </c>
      <c r="X797">
        <f>HYPERLINK("https://klasma.github.io/Logging_2462/tillsyn/A 68783-2021 tillsynsbegäran.docx", "A 68783-2021")</f>
        <v/>
      </c>
      <c r="Y797">
        <f>HYPERLINK("https://klasma.github.io/Logging_2462/tillsynsmail/A 68783-2021 tillsynsbegäran mail.docx", "A 68783-2021")</f>
        <v/>
      </c>
      <c r="Z797">
        <f>HYPERLINK("https://klasma.github.io/Logging_2462/fåglar/A 68783-2021 prioriterade fågelarter.docx", "A 68783-2021")</f>
        <v/>
      </c>
    </row>
    <row r="798" ht="15" customHeight="1">
      <c r="A798" t="inlineStr">
        <is>
          <t>A 69545-2021</t>
        </is>
      </c>
      <c r="B798" s="1" t="n">
        <v>44531</v>
      </c>
      <c r="C798" s="1" t="n">
        <v>45357</v>
      </c>
      <c r="D798" t="inlineStr">
        <is>
          <t>VÄSTERBOTTENS LÄN</t>
        </is>
      </c>
      <c r="E798" t="inlineStr">
        <is>
          <t>VILHELMINA</t>
        </is>
      </c>
      <c r="F798" t="inlineStr">
        <is>
          <t>SCA</t>
        </is>
      </c>
      <c r="G798" t="n">
        <v>3.8</v>
      </c>
      <c r="H798" t="n">
        <v>0</v>
      </c>
      <c r="I798" t="n">
        <v>1</v>
      </c>
      <c r="J798" t="n">
        <v>0</v>
      </c>
      <c r="K798" t="n">
        <v>0</v>
      </c>
      <c r="L798" t="n">
        <v>0</v>
      </c>
      <c r="M798" t="n">
        <v>0</v>
      </c>
      <c r="N798" t="n">
        <v>0</v>
      </c>
      <c r="O798" t="n">
        <v>0</v>
      </c>
      <c r="P798" t="n">
        <v>0</v>
      </c>
      <c r="Q798" t="n">
        <v>1</v>
      </c>
      <c r="R798" s="2" t="inlineStr">
        <is>
          <t>Norrlandslav</t>
        </is>
      </c>
      <c r="S798">
        <f>HYPERLINK("https://klasma.github.io/Logging_2462/artfynd/A 69545-2021 artfynd.xlsx", "A 69545-2021")</f>
        <v/>
      </c>
      <c r="T798">
        <f>HYPERLINK("https://klasma.github.io/Logging_2462/kartor/A 69545-2021 karta.png", "A 69545-2021")</f>
        <v/>
      </c>
      <c r="V798">
        <f>HYPERLINK("https://klasma.github.io/Logging_2462/klagomål/A 69545-2021 FSC-klagomål.docx", "A 69545-2021")</f>
        <v/>
      </c>
      <c r="W798">
        <f>HYPERLINK("https://klasma.github.io/Logging_2462/klagomålsmail/A 69545-2021 FSC-klagomål mail.docx", "A 69545-2021")</f>
        <v/>
      </c>
      <c r="X798">
        <f>HYPERLINK("https://klasma.github.io/Logging_2462/tillsyn/A 69545-2021 tillsynsbegäran.docx", "A 69545-2021")</f>
        <v/>
      </c>
      <c r="Y798">
        <f>HYPERLINK("https://klasma.github.io/Logging_2462/tillsynsmail/A 69545-2021 tillsynsbegäran mail.docx", "A 69545-2021")</f>
        <v/>
      </c>
    </row>
    <row r="799" ht="15" customHeight="1">
      <c r="A799" t="inlineStr">
        <is>
          <t>A 69915-2021</t>
        </is>
      </c>
      <c r="B799" s="1" t="n">
        <v>44532</v>
      </c>
      <c r="C799" s="1" t="n">
        <v>45357</v>
      </c>
      <c r="D799" t="inlineStr">
        <is>
          <t>VÄSTERBOTTENS LÄN</t>
        </is>
      </c>
      <c r="E799" t="inlineStr">
        <is>
          <t>VILHELMINA</t>
        </is>
      </c>
      <c r="F799" t="inlineStr">
        <is>
          <t>SCA</t>
        </is>
      </c>
      <c r="G799" t="n">
        <v>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69915-2021 artfynd.xlsx", "A 69915-2021")</f>
        <v/>
      </c>
      <c r="T799">
        <f>HYPERLINK("https://klasma.github.io/Logging_2462/kartor/A 69915-2021 karta.png", "A 69915-2021")</f>
        <v/>
      </c>
      <c r="V799">
        <f>HYPERLINK("https://klasma.github.io/Logging_2462/klagomål/A 69915-2021 FSC-klagomål.docx", "A 69915-2021")</f>
        <v/>
      </c>
      <c r="W799">
        <f>HYPERLINK("https://klasma.github.io/Logging_2462/klagomålsmail/A 69915-2021 FSC-klagomål mail.docx", "A 69915-2021")</f>
        <v/>
      </c>
      <c r="X799">
        <f>HYPERLINK("https://klasma.github.io/Logging_2462/tillsyn/A 69915-2021 tillsynsbegäran.docx", "A 69915-2021")</f>
        <v/>
      </c>
      <c r="Y799">
        <f>HYPERLINK("https://klasma.github.io/Logging_2462/tillsynsmail/A 69915-2021 tillsynsbegäran mail.docx", "A 69915-2021")</f>
        <v/>
      </c>
      <c r="Z799">
        <f>HYPERLINK("https://klasma.github.io/Logging_2462/fåglar/A 69915-2021 prioriterade fågelarter.docx", "A 69915-2021")</f>
        <v/>
      </c>
    </row>
    <row r="800" ht="15" customHeight="1">
      <c r="A800" t="inlineStr">
        <is>
          <t>A 70868-2021</t>
        </is>
      </c>
      <c r="B800" s="1" t="n">
        <v>44536</v>
      </c>
      <c r="C800" s="1" t="n">
        <v>45357</v>
      </c>
      <c r="D800" t="inlineStr">
        <is>
          <t>VÄSTERBOTTENS LÄN</t>
        </is>
      </c>
      <c r="E800" t="inlineStr">
        <is>
          <t>SKELLEFTEÅ</t>
        </is>
      </c>
      <c r="G800" t="n">
        <v>4.4</v>
      </c>
      <c r="H800" t="n">
        <v>0</v>
      </c>
      <c r="I800" t="n">
        <v>1</v>
      </c>
      <c r="J800" t="n">
        <v>0</v>
      </c>
      <c r="K800" t="n">
        <v>0</v>
      </c>
      <c r="L800" t="n">
        <v>0</v>
      </c>
      <c r="M800" t="n">
        <v>0</v>
      </c>
      <c r="N800" t="n">
        <v>0</v>
      </c>
      <c r="O800" t="n">
        <v>0</v>
      </c>
      <c r="P800" t="n">
        <v>0</v>
      </c>
      <c r="Q800" t="n">
        <v>1</v>
      </c>
      <c r="R800" s="2" t="inlineStr">
        <is>
          <t>Dropptaggsvamp</t>
        </is>
      </c>
      <c r="S800">
        <f>HYPERLINK("https://klasma.github.io/Logging_2482/artfynd/A 70868-2021 artfynd.xlsx", "A 70868-2021")</f>
        <v/>
      </c>
      <c r="T800">
        <f>HYPERLINK("https://klasma.github.io/Logging_2482/kartor/A 70868-2021 karta.png", "A 70868-2021")</f>
        <v/>
      </c>
      <c r="V800">
        <f>HYPERLINK("https://klasma.github.io/Logging_2482/klagomål/A 70868-2021 FSC-klagomål.docx", "A 70868-2021")</f>
        <v/>
      </c>
      <c r="W800">
        <f>HYPERLINK("https://klasma.github.io/Logging_2482/klagomålsmail/A 70868-2021 FSC-klagomål mail.docx", "A 70868-2021")</f>
        <v/>
      </c>
      <c r="X800">
        <f>HYPERLINK("https://klasma.github.io/Logging_2482/tillsyn/A 70868-2021 tillsynsbegäran.docx", "A 70868-2021")</f>
        <v/>
      </c>
      <c r="Y800">
        <f>HYPERLINK("https://klasma.github.io/Logging_2482/tillsynsmail/A 70868-2021 tillsynsbegäran mail.docx", "A 70868-2021")</f>
        <v/>
      </c>
    </row>
    <row r="801" ht="15" customHeight="1">
      <c r="A801" t="inlineStr">
        <is>
          <t>A 72939-2021</t>
        </is>
      </c>
      <c r="B801" s="1" t="n">
        <v>44547</v>
      </c>
      <c r="C801" s="1" t="n">
        <v>45357</v>
      </c>
      <c r="D801" t="inlineStr">
        <is>
          <t>VÄSTERBOTTENS LÄN</t>
        </is>
      </c>
      <c r="E801" t="inlineStr">
        <is>
          <t>SKELLEFTEÅ</t>
        </is>
      </c>
      <c r="G801" t="n">
        <v>14.8</v>
      </c>
      <c r="H801" t="n">
        <v>0</v>
      </c>
      <c r="I801" t="n">
        <v>1</v>
      </c>
      <c r="J801" t="n">
        <v>0</v>
      </c>
      <c r="K801" t="n">
        <v>0</v>
      </c>
      <c r="L801" t="n">
        <v>0</v>
      </c>
      <c r="M801" t="n">
        <v>0</v>
      </c>
      <c r="N801" t="n">
        <v>0</v>
      </c>
      <c r="O801" t="n">
        <v>0</v>
      </c>
      <c r="P801" t="n">
        <v>0</v>
      </c>
      <c r="Q801" t="n">
        <v>1</v>
      </c>
      <c r="R801" s="2" t="inlineStr">
        <is>
          <t>Dropptaggsvamp</t>
        </is>
      </c>
      <c r="S801">
        <f>HYPERLINK("https://klasma.github.io/Logging_2482/artfynd/A 72939-2021 artfynd.xlsx", "A 72939-2021")</f>
        <v/>
      </c>
      <c r="T801">
        <f>HYPERLINK("https://klasma.github.io/Logging_2482/kartor/A 72939-2021 karta.png", "A 72939-2021")</f>
        <v/>
      </c>
      <c r="V801">
        <f>HYPERLINK("https://klasma.github.io/Logging_2482/klagomål/A 72939-2021 FSC-klagomål.docx", "A 72939-2021")</f>
        <v/>
      </c>
      <c r="W801">
        <f>HYPERLINK("https://klasma.github.io/Logging_2482/klagomålsmail/A 72939-2021 FSC-klagomål mail.docx", "A 72939-2021")</f>
        <v/>
      </c>
      <c r="X801">
        <f>HYPERLINK("https://klasma.github.io/Logging_2482/tillsyn/A 72939-2021 tillsynsbegäran.docx", "A 72939-2021")</f>
        <v/>
      </c>
      <c r="Y801">
        <f>HYPERLINK("https://klasma.github.io/Logging_2482/tillsynsmail/A 72939-2021 tillsynsbegäran mail.docx", "A 72939-2021")</f>
        <v/>
      </c>
    </row>
    <row r="802" ht="15" customHeight="1">
      <c r="A802" t="inlineStr">
        <is>
          <t>A 74395-2021</t>
        </is>
      </c>
      <c r="B802" s="1" t="n">
        <v>44560</v>
      </c>
      <c r="C802" s="1" t="n">
        <v>45357</v>
      </c>
      <c r="D802" t="inlineStr">
        <is>
          <t>VÄSTERBOTTENS LÄN</t>
        </is>
      </c>
      <c r="E802" t="inlineStr">
        <is>
          <t>VILHELMINA</t>
        </is>
      </c>
      <c r="G802" t="n">
        <v>37.6</v>
      </c>
      <c r="H802" t="n">
        <v>1</v>
      </c>
      <c r="I802" t="n">
        <v>0</v>
      </c>
      <c r="J802" t="n">
        <v>1</v>
      </c>
      <c r="K802" t="n">
        <v>0</v>
      </c>
      <c r="L802" t="n">
        <v>0</v>
      </c>
      <c r="M802" t="n">
        <v>0</v>
      </c>
      <c r="N802" t="n">
        <v>0</v>
      </c>
      <c r="O802" t="n">
        <v>1</v>
      </c>
      <c r="P802" t="n">
        <v>0</v>
      </c>
      <c r="Q802" t="n">
        <v>1</v>
      </c>
      <c r="R802" s="2" t="inlineStr">
        <is>
          <t>Tretåig hackspett</t>
        </is>
      </c>
      <c r="S802">
        <f>HYPERLINK("https://klasma.github.io/Logging_2462/artfynd/A 74395-2021 artfynd.xlsx", "A 74395-2021")</f>
        <v/>
      </c>
      <c r="T802">
        <f>HYPERLINK("https://klasma.github.io/Logging_2462/kartor/A 74395-2021 karta.png", "A 74395-2021")</f>
        <v/>
      </c>
      <c r="V802">
        <f>HYPERLINK("https://klasma.github.io/Logging_2462/klagomål/A 74395-2021 FSC-klagomål.docx", "A 74395-2021")</f>
        <v/>
      </c>
      <c r="W802">
        <f>HYPERLINK("https://klasma.github.io/Logging_2462/klagomålsmail/A 74395-2021 FSC-klagomål mail.docx", "A 74395-2021")</f>
        <v/>
      </c>
      <c r="X802">
        <f>HYPERLINK("https://klasma.github.io/Logging_2462/tillsyn/A 74395-2021 tillsynsbegäran.docx", "A 74395-2021")</f>
        <v/>
      </c>
      <c r="Y802">
        <f>HYPERLINK("https://klasma.github.io/Logging_2462/tillsynsmail/A 74395-2021 tillsynsbegäran mail.docx", "A 74395-2021")</f>
        <v/>
      </c>
      <c r="Z802">
        <f>HYPERLINK("https://klasma.github.io/Logging_2462/fåglar/A 74395-2021 prioriterade fågelarter.docx", "A 74395-2021")</f>
        <v/>
      </c>
    </row>
    <row r="803" ht="15" customHeight="1">
      <c r="A803" t="inlineStr">
        <is>
          <t>A 3929-2022</t>
        </is>
      </c>
      <c r="B803" s="1" t="n">
        <v>44587</v>
      </c>
      <c r="C803" s="1" t="n">
        <v>45357</v>
      </c>
      <c r="D803" t="inlineStr">
        <is>
          <t>VÄSTERBOTTENS LÄN</t>
        </is>
      </c>
      <c r="E803" t="inlineStr">
        <is>
          <t>LYCKSELE</t>
        </is>
      </c>
      <c r="F803" t="inlineStr">
        <is>
          <t>Sveaskog</t>
        </is>
      </c>
      <c r="G803" t="n">
        <v>6.7</v>
      </c>
      <c r="H803" t="n">
        <v>0</v>
      </c>
      <c r="I803" t="n">
        <v>0</v>
      </c>
      <c r="J803" t="n">
        <v>1</v>
      </c>
      <c r="K803" t="n">
        <v>0</v>
      </c>
      <c r="L803" t="n">
        <v>0</v>
      </c>
      <c r="M803" t="n">
        <v>0</v>
      </c>
      <c r="N803" t="n">
        <v>0</v>
      </c>
      <c r="O803" t="n">
        <v>1</v>
      </c>
      <c r="P803" t="n">
        <v>0</v>
      </c>
      <c r="Q803" t="n">
        <v>1</v>
      </c>
      <c r="R803" s="2" t="inlineStr">
        <is>
          <t>Kolflarnlav</t>
        </is>
      </c>
      <c r="S803">
        <f>HYPERLINK("https://klasma.github.io/Logging_2481/artfynd/A 3929-2022 artfynd.xlsx", "A 3929-2022")</f>
        <v/>
      </c>
      <c r="T803">
        <f>HYPERLINK("https://klasma.github.io/Logging_2481/kartor/A 3929-2022 karta.png", "A 3929-2022")</f>
        <v/>
      </c>
      <c r="V803">
        <f>HYPERLINK("https://klasma.github.io/Logging_2481/klagomål/A 3929-2022 FSC-klagomål.docx", "A 3929-2022")</f>
        <v/>
      </c>
      <c r="W803">
        <f>HYPERLINK("https://klasma.github.io/Logging_2481/klagomålsmail/A 3929-2022 FSC-klagomål mail.docx", "A 3929-2022")</f>
        <v/>
      </c>
      <c r="X803">
        <f>HYPERLINK("https://klasma.github.io/Logging_2481/tillsyn/A 3929-2022 tillsynsbegäran.docx", "A 3929-2022")</f>
        <v/>
      </c>
      <c r="Y803">
        <f>HYPERLINK("https://klasma.github.io/Logging_2481/tillsynsmail/A 3929-2022 tillsynsbegäran mail.docx", "A 3929-2022")</f>
        <v/>
      </c>
    </row>
    <row r="804" ht="15" customHeight="1">
      <c r="A804" t="inlineStr">
        <is>
          <t>A 9073-2022</t>
        </is>
      </c>
      <c r="B804" s="1" t="n">
        <v>44615</v>
      </c>
      <c r="C804" s="1" t="n">
        <v>45357</v>
      </c>
      <c r="D804" t="inlineStr">
        <is>
          <t>VÄSTERBOTTENS LÄN</t>
        </is>
      </c>
      <c r="E804" t="inlineStr">
        <is>
          <t>LYCKSELE</t>
        </is>
      </c>
      <c r="G804" t="n">
        <v>3</v>
      </c>
      <c r="H804" t="n">
        <v>1</v>
      </c>
      <c r="I804" t="n">
        <v>0</v>
      </c>
      <c r="J804" t="n">
        <v>1</v>
      </c>
      <c r="K804" t="n">
        <v>0</v>
      </c>
      <c r="L804" t="n">
        <v>0</v>
      </c>
      <c r="M804" t="n">
        <v>0</v>
      </c>
      <c r="N804" t="n">
        <v>0</v>
      </c>
      <c r="O804" t="n">
        <v>1</v>
      </c>
      <c r="P804" t="n">
        <v>0</v>
      </c>
      <c r="Q804" t="n">
        <v>1</v>
      </c>
      <c r="R804" s="2" t="inlineStr">
        <is>
          <t>Utter</t>
        </is>
      </c>
      <c r="S804">
        <f>HYPERLINK("https://klasma.github.io/Logging_2481/artfynd/A 9073-2022 artfynd.xlsx", "A 9073-2022")</f>
        <v/>
      </c>
      <c r="T804">
        <f>HYPERLINK("https://klasma.github.io/Logging_2481/kartor/A 9073-2022 karta.png", "A 9073-2022")</f>
        <v/>
      </c>
      <c r="V804">
        <f>HYPERLINK("https://klasma.github.io/Logging_2481/klagomål/A 9073-2022 FSC-klagomål.docx", "A 9073-2022")</f>
        <v/>
      </c>
      <c r="W804">
        <f>HYPERLINK("https://klasma.github.io/Logging_2481/klagomålsmail/A 9073-2022 FSC-klagomål mail.docx", "A 9073-2022")</f>
        <v/>
      </c>
      <c r="X804">
        <f>HYPERLINK("https://klasma.github.io/Logging_2481/tillsyn/A 9073-2022 tillsynsbegäran.docx", "A 9073-2022")</f>
        <v/>
      </c>
      <c r="Y804">
        <f>HYPERLINK("https://klasma.github.io/Logging_2481/tillsynsmail/A 9073-2022 tillsynsbegäran mail.docx", "A 9073-2022")</f>
        <v/>
      </c>
    </row>
    <row r="805" ht="15" customHeight="1">
      <c r="A805" t="inlineStr">
        <is>
          <t>A 11502-2022</t>
        </is>
      </c>
      <c r="B805" s="1" t="n">
        <v>44631</v>
      </c>
      <c r="C805" s="1" t="n">
        <v>45357</v>
      </c>
      <c r="D805" t="inlineStr">
        <is>
          <t>VÄSTERBOTTENS LÄN</t>
        </is>
      </c>
      <c r="E805" t="inlineStr">
        <is>
          <t>UMEÅ</t>
        </is>
      </c>
      <c r="F805" t="inlineStr">
        <is>
          <t>Kommuner</t>
        </is>
      </c>
      <c r="G805" t="n">
        <v>1.8</v>
      </c>
      <c r="H805" t="n">
        <v>0</v>
      </c>
      <c r="I805" t="n">
        <v>0</v>
      </c>
      <c r="J805" t="n">
        <v>1</v>
      </c>
      <c r="K805" t="n">
        <v>0</v>
      </c>
      <c r="L805" t="n">
        <v>0</v>
      </c>
      <c r="M805" t="n">
        <v>0</v>
      </c>
      <c r="N805" t="n">
        <v>0</v>
      </c>
      <c r="O805" t="n">
        <v>1</v>
      </c>
      <c r="P805" t="n">
        <v>0</v>
      </c>
      <c r="Q805" t="n">
        <v>1</v>
      </c>
      <c r="R805" s="2" t="inlineStr">
        <is>
          <t>Violettgrå tagellav</t>
        </is>
      </c>
      <c r="S805">
        <f>HYPERLINK("https://klasma.github.io/Logging_2480/artfynd/A 11502-2022 artfynd.xlsx", "A 11502-2022")</f>
        <v/>
      </c>
      <c r="T805">
        <f>HYPERLINK("https://klasma.github.io/Logging_2480/kartor/A 11502-2022 karta.png", "A 11502-2022")</f>
        <v/>
      </c>
      <c r="V805">
        <f>HYPERLINK("https://klasma.github.io/Logging_2480/klagomål/A 11502-2022 FSC-klagomål.docx", "A 11502-2022")</f>
        <v/>
      </c>
      <c r="W805">
        <f>HYPERLINK("https://klasma.github.io/Logging_2480/klagomålsmail/A 11502-2022 FSC-klagomål mail.docx", "A 11502-2022")</f>
        <v/>
      </c>
      <c r="X805">
        <f>HYPERLINK("https://klasma.github.io/Logging_2480/tillsyn/A 11502-2022 tillsynsbegäran.docx", "A 11502-2022")</f>
        <v/>
      </c>
      <c r="Y805">
        <f>HYPERLINK("https://klasma.github.io/Logging_2480/tillsynsmail/A 11502-2022 tillsynsbegäran mail.docx", "A 11502-2022")</f>
        <v/>
      </c>
    </row>
    <row r="806" ht="15" customHeight="1">
      <c r="A806" t="inlineStr">
        <is>
          <t>A 12486-2022</t>
        </is>
      </c>
      <c r="B806" s="1" t="n">
        <v>44638</v>
      </c>
      <c r="C806" s="1" t="n">
        <v>45357</v>
      </c>
      <c r="D806" t="inlineStr">
        <is>
          <t>VÄSTERBOTTENS LÄN</t>
        </is>
      </c>
      <c r="E806" t="inlineStr">
        <is>
          <t>VILHELMINA</t>
        </is>
      </c>
      <c r="G806" t="n">
        <v>19.3</v>
      </c>
      <c r="H806" t="n">
        <v>1</v>
      </c>
      <c r="I806" t="n">
        <v>0</v>
      </c>
      <c r="J806" t="n">
        <v>1</v>
      </c>
      <c r="K806" t="n">
        <v>0</v>
      </c>
      <c r="L806" t="n">
        <v>0</v>
      </c>
      <c r="M806" t="n">
        <v>0</v>
      </c>
      <c r="N806" t="n">
        <v>0</v>
      </c>
      <c r="O806" t="n">
        <v>1</v>
      </c>
      <c r="P806" t="n">
        <v>0</v>
      </c>
      <c r="Q806" t="n">
        <v>1</v>
      </c>
      <c r="R806" s="2" t="inlineStr">
        <is>
          <t>Tretåig hackspett</t>
        </is>
      </c>
      <c r="S806">
        <f>HYPERLINK("https://klasma.github.io/Logging_2462/artfynd/A 12486-2022 artfynd.xlsx", "A 12486-2022")</f>
        <v/>
      </c>
      <c r="T806">
        <f>HYPERLINK("https://klasma.github.io/Logging_2462/kartor/A 12486-2022 karta.png", "A 12486-2022")</f>
        <v/>
      </c>
      <c r="V806">
        <f>HYPERLINK("https://klasma.github.io/Logging_2462/klagomål/A 12486-2022 FSC-klagomål.docx", "A 12486-2022")</f>
        <v/>
      </c>
      <c r="W806">
        <f>HYPERLINK("https://klasma.github.io/Logging_2462/klagomålsmail/A 12486-2022 FSC-klagomål mail.docx", "A 12486-2022")</f>
        <v/>
      </c>
      <c r="X806">
        <f>HYPERLINK("https://klasma.github.io/Logging_2462/tillsyn/A 12486-2022 tillsynsbegäran.docx", "A 12486-2022")</f>
        <v/>
      </c>
      <c r="Y806">
        <f>HYPERLINK("https://klasma.github.io/Logging_2462/tillsynsmail/A 12486-2022 tillsynsbegäran mail.docx", "A 12486-2022")</f>
        <v/>
      </c>
      <c r="Z806">
        <f>HYPERLINK("https://klasma.github.io/Logging_2462/fåglar/A 12486-2022 prioriterade fågelarter.docx", "A 12486-2022")</f>
        <v/>
      </c>
    </row>
    <row r="807" ht="15" customHeight="1">
      <c r="A807" t="inlineStr">
        <is>
          <t>A 14277-2022</t>
        </is>
      </c>
      <c r="B807" s="1" t="n">
        <v>44651</v>
      </c>
      <c r="C807" s="1" t="n">
        <v>45357</v>
      </c>
      <c r="D807" t="inlineStr">
        <is>
          <t>VÄSTERBOTTENS LÄN</t>
        </is>
      </c>
      <c r="E807" t="inlineStr">
        <is>
          <t>SKELLEFTEÅ</t>
        </is>
      </c>
      <c r="G807" t="n">
        <v>7.4</v>
      </c>
      <c r="H807" t="n">
        <v>1</v>
      </c>
      <c r="I807" t="n">
        <v>0</v>
      </c>
      <c r="J807" t="n">
        <v>0</v>
      </c>
      <c r="K807" t="n">
        <v>0</v>
      </c>
      <c r="L807" t="n">
        <v>0</v>
      </c>
      <c r="M807" t="n">
        <v>0</v>
      </c>
      <c r="N807" t="n">
        <v>0</v>
      </c>
      <c r="O807" t="n">
        <v>0</v>
      </c>
      <c r="P807" t="n">
        <v>0</v>
      </c>
      <c r="Q807" t="n">
        <v>1</v>
      </c>
      <c r="R807" s="2" t="inlineStr">
        <is>
          <t>Fläcknycklar</t>
        </is>
      </c>
      <c r="S807">
        <f>HYPERLINK("https://klasma.github.io/Logging_2482/artfynd/A 14277-2022 artfynd.xlsx", "A 14277-2022")</f>
        <v/>
      </c>
      <c r="T807">
        <f>HYPERLINK("https://klasma.github.io/Logging_2482/kartor/A 14277-2022 karta.png", "A 14277-2022")</f>
        <v/>
      </c>
      <c r="V807">
        <f>HYPERLINK("https://klasma.github.io/Logging_2482/klagomål/A 14277-2022 FSC-klagomål.docx", "A 14277-2022")</f>
        <v/>
      </c>
      <c r="W807">
        <f>HYPERLINK("https://klasma.github.io/Logging_2482/klagomålsmail/A 14277-2022 FSC-klagomål mail.docx", "A 14277-2022")</f>
        <v/>
      </c>
      <c r="X807">
        <f>HYPERLINK("https://klasma.github.io/Logging_2482/tillsyn/A 14277-2022 tillsynsbegäran.docx", "A 14277-2022")</f>
        <v/>
      </c>
      <c r="Y807">
        <f>HYPERLINK("https://klasma.github.io/Logging_2482/tillsynsmail/A 14277-2022 tillsynsbegäran mail.docx", "A 14277-2022")</f>
        <v/>
      </c>
    </row>
    <row r="808" ht="15" customHeight="1">
      <c r="A808" t="inlineStr">
        <is>
          <t>A 16145-2022</t>
        </is>
      </c>
      <c r="B808" s="1" t="n">
        <v>44665</v>
      </c>
      <c r="C808" s="1" t="n">
        <v>45357</v>
      </c>
      <c r="D808" t="inlineStr">
        <is>
          <t>VÄSTERBOTTENS LÄN</t>
        </is>
      </c>
      <c r="E808" t="inlineStr">
        <is>
          <t>BJURHOLM</t>
        </is>
      </c>
      <c r="F808" t="inlineStr">
        <is>
          <t>SCA</t>
        </is>
      </c>
      <c r="G808" t="n">
        <v>5.9</v>
      </c>
      <c r="H808" t="n">
        <v>0</v>
      </c>
      <c r="I808" t="n">
        <v>1</v>
      </c>
      <c r="J808" t="n">
        <v>0</v>
      </c>
      <c r="K808" t="n">
        <v>0</v>
      </c>
      <c r="L808" t="n">
        <v>0</v>
      </c>
      <c r="M808" t="n">
        <v>0</v>
      </c>
      <c r="N808" t="n">
        <v>0</v>
      </c>
      <c r="O808" t="n">
        <v>0</v>
      </c>
      <c r="P808" t="n">
        <v>0</v>
      </c>
      <c r="Q808" t="n">
        <v>1</v>
      </c>
      <c r="R808" s="2" t="inlineStr">
        <is>
          <t>Stor aspticka</t>
        </is>
      </c>
      <c r="S808">
        <f>HYPERLINK("https://klasma.github.io/Logging_2403/artfynd/A 16145-2022 artfynd.xlsx", "A 16145-2022")</f>
        <v/>
      </c>
      <c r="T808">
        <f>HYPERLINK("https://klasma.github.io/Logging_2403/kartor/A 16145-2022 karta.png", "A 16145-2022")</f>
        <v/>
      </c>
      <c r="V808">
        <f>HYPERLINK("https://klasma.github.io/Logging_2403/klagomål/A 16145-2022 FSC-klagomål.docx", "A 16145-2022")</f>
        <v/>
      </c>
      <c r="W808">
        <f>HYPERLINK("https://klasma.github.io/Logging_2403/klagomålsmail/A 16145-2022 FSC-klagomål mail.docx", "A 16145-2022")</f>
        <v/>
      </c>
      <c r="X808">
        <f>HYPERLINK("https://klasma.github.io/Logging_2403/tillsyn/A 16145-2022 tillsynsbegäran.docx", "A 16145-2022")</f>
        <v/>
      </c>
      <c r="Y808">
        <f>HYPERLINK("https://klasma.github.io/Logging_2403/tillsynsmail/A 16145-2022 tillsynsbegäran mail.docx", "A 16145-2022")</f>
        <v/>
      </c>
    </row>
    <row r="809" ht="15" customHeight="1">
      <c r="A809" t="inlineStr">
        <is>
          <t>A 16839-2022</t>
        </is>
      </c>
      <c r="B809" s="1" t="n">
        <v>44673</v>
      </c>
      <c r="C809" s="1" t="n">
        <v>45357</v>
      </c>
      <c r="D809" t="inlineStr">
        <is>
          <t>VÄSTERBOTTENS LÄN</t>
        </is>
      </c>
      <c r="E809" t="inlineStr">
        <is>
          <t>UMEÅ</t>
        </is>
      </c>
      <c r="G809" t="n">
        <v>3</v>
      </c>
      <c r="H809" t="n">
        <v>1</v>
      </c>
      <c r="I809" t="n">
        <v>0</v>
      </c>
      <c r="J809" t="n">
        <v>1</v>
      </c>
      <c r="K809" t="n">
        <v>0</v>
      </c>
      <c r="L809" t="n">
        <v>0</v>
      </c>
      <c r="M809" t="n">
        <v>0</v>
      </c>
      <c r="N809" t="n">
        <v>0</v>
      </c>
      <c r="O809" t="n">
        <v>1</v>
      </c>
      <c r="P809" t="n">
        <v>0</v>
      </c>
      <c r="Q809" t="n">
        <v>1</v>
      </c>
      <c r="R809" s="2" t="inlineStr">
        <is>
          <t>Kråka</t>
        </is>
      </c>
      <c r="S809">
        <f>HYPERLINK("https://klasma.github.io/Logging_2480/artfynd/A 16839-2022 artfynd.xlsx", "A 16839-2022")</f>
        <v/>
      </c>
      <c r="T809">
        <f>HYPERLINK("https://klasma.github.io/Logging_2480/kartor/A 16839-2022 karta.png", "A 16839-2022")</f>
        <v/>
      </c>
      <c r="V809">
        <f>HYPERLINK("https://klasma.github.io/Logging_2480/klagomål/A 16839-2022 FSC-klagomål.docx", "A 16839-2022")</f>
        <v/>
      </c>
      <c r="W809">
        <f>HYPERLINK("https://klasma.github.io/Logging_2480/klagomålsmail/A 16839-2022 FSC-klagomål mail.docx", "A 16839-2022")</f>
        <v/>
      </c>
      <c r="X809">
        <f>HYPERLINK("https://klasma.github.io/Logging_2480/tillsyn/A 16839-2022 tillsynsbegäran.docx", "A 16839-2022")</f>
        <v/>
      </c>
      <c r="Y809">
        <f>HYPERLINK("https://klasma.github.io/Logging_2480/tillsynsmail/A 16839-2022 tillsynsbegäran mail.docx", "A 16839-2022")</f>
        <v/>
      </c>
    </row>
    <row r="810" ht="15" customHeight="1">
      <c r="A810" t="inlineStr">
        <is>
          <t>A 17336-2022</t>
        </is>
      </c>
      <c r="B810" s="1" t="n">
        <v>44678</v>
      </c>
      <c r="C810" s="1" t="n">
        <v>45357</v>
      </c>
      <c r="D810" t="inlineStr">
        <is>
          <t>VÄSTERBOTTENS LÄN</t>
        </is>
      </c>
      <c r="E810" t="inlineStr">
        <is>
          <t>SKELLEFTEÅ</t>
        </is>
      </c>
      <c r="G810" t="n">
        <v>0.5</v>
      </c>
      <c r="H810" t="n">
        <v>0</v>
      </c>
      <c r="I810" t="n">
        <v>0</v>
      </c>
      <c r="J810" t="n">
        <v>1</v>
      </c>
      <c r="K810" t="n">
        <v>0</v>
      </c>
      <c r="L810" t="n">
        <v>0</v>
      </c>
      <c r="M810" t="n">
        <v>0</v>
      </c>
      <c r="N810" t="n">
        <v>0</v>
      </c>
      <c r="O810" t="n">
        <v>1</v>
      </c>
      <c r="P810" t="n">
        <v>0</v>
      </c>
      <c r="Q810" t="n">
        <v>1</v>
      </c>
      <c r="R810" s="2" t="inlineStr">
        <is>
          <t>Doftskinn</t>
        </is>
      </c>
      <c r="S810">
        <f>HYPERLINK("https://klasma.github.io/Logging_2482/artfynd/A 17336-2022 artfynd.xlsx", "A 17336-2022")</f>
        <v/>
      </c>
      <c r="T810">
        <f>HYPERLINK("https://klasma.github.io/Logging_2482/kartor/A 17336-2022 karta.png", "A 17336-2022")</f>
        <v/>
      </c>
      <c r="V810">
        <f>HYPERLINK("https://klasma.github.io/Logging_2482/klagomål/A 17336-2022 FSC-klagomål.docx", "A 17336-2022")</f>
        <v/>
      </c>
      <c r="W810">
        <f>HYPERLINK("https://klasma.github.io/Logging_2482/klagomålsmail/A 17336-2022 FSC-klagomål mail.docx", "A 17336-2022")</f>
        <v/>
      </c>
      <c r="X810">
        <f>HYPERLINK("https://klasma.github.io/Logging_2482/tillsyn/A 17336-2022 tillsynsbegäran.docx", "A 17336-2022")</f>
        <v/>
      </c>
      <c r="Y810">
        <f>HYPERLINK("https://klasma.github.io/Logging_2482/tillsynsmail/A 17336-2022 tillsynsbegäran mail.docx", "A 17336-2022")</f>
        <v/>
      </c>
    </row>
    <row r="811" ht="15" customHeight="1">
      <c r="A811" t="inlineStr">
        <is>
          <t>A 20192-2022</t>
        </is>
      </c>
      <c r="B811" s="1" t="n">
        <v>44698</v>
      </c>
      <c r="C811" s="1" t="n">
        <v>45357</v>
      </c>
      <c r="D811" t="inlineStr">
        <is>
          <t>VÄSTERBOTTENS LÄN</t>
        </is>
      </c>
      <c r="E811" t="inlineStr">
        <is>
          <t>STORUMAN</t>
        </is>
      </c>
      <c r="F811" t="inlineStr">
        <is>
          <t>Sveaskog</t>
        </is>
      </c>
      <c r="G811" t="n">
        <v>3.4</v>
      </c>
      <c r="H811" t="n">
        <v>0</v>
      </c>
      <c r="I811" t="n">
        <v>1</v>
      </c>
      <c r="J811" t="n">
        <v>0</v>
      </c>
      <c r="K811" t="n">
        <v>0</v>
      </c>
      <c r="L811" t="n">
        <v>0</v>
      </c>
      <c r="M811" t="n">
        <v>0</v>
      </c>
      <c r="N811" t="n">
        <v>0</v>
      </c>
      <c r="O811" t="n">
        <v>0</v>
      </c>
      <c r="P811" t="n">
        <v>0</v>
      </c>
      <c r="Q811" t="n">
        <v>1</v>
      </c>
      <c r="R811" s="2" t="inlineStr">
        <is>
          <t>Stuplav</t>
        </is>
      </c>
      <c r="S811">
        <f>HYPERLINK("https://klasma.github.io/Logging_2421/artfynd/A 20192-2022 artfynd.xlsx", "A 20192-2022")</f>
        <v/>
      </c>
      <c r="T811">
        <f>HYPERLINK("https://klasma.github.io/Logging_2421/kartor/A 20192-2022 karta.png", "A 20192-2022")</f>
        <v/>
      </c>
      <c r="V811">
        <f>HYPERLINK("https://klasma.github.io/Logging_2421/klagomål/A 20192-2022 FSC-klagomål.docx", "A 20192-2022")</f>
        <v/>
      </c>
      <c r="W811">
        <f>HYPERLINK("https://klasma.github.io/Logging_2421/klagomålsmail/A 20192-2022 FSC-klagomål mail.docx", "A 20192-2022")</f>
        <v/>
      </c>
      <c r="X811">
        <f>HYPERLINK("https://klasma.github.io/Logging_2421/tillsyn/A 20192-2022 tillsynsbegäran.docx", "A 20192-2022")</f>
        <v/>
      </c>
      <c r="Y811">
        <f>HYPERLINK("https://klasma.github.io/Logging_2421/tillsynsmail/A 20192-2022 tillsynsbegäran mail.docx", "A 20192-2022")</f>
        <v/>
      </c>
    </row>
    <row r="812" ht="15" customHeight="1">
      <c r="A812" t="inlineStr">
        <is>
          <t>A 20434-2022</t>
        </is>
      </c>
      <c r="B812" s="1" t="n">
        <v>44699</v>
      </c>
      <c r="C812" s="1" t="n">
        <v>45357</v>
      </c>
      <c r="D812" t="inlineStr">
        <is>
          <t>VÄSTERBOTTENS LÄN</t>
        </is>
      </c>
      <c r="E812" t="inlineStr">
        <is>
          <t>STORUMAN</t>
        </is>
      </c>
      <c r="G812" t="n">
        <v>5.6</v>
      </c>
      <c r="H812" t="n">
        <v>1</v>
      </c>
      <c r="I812" t="n">
        <v>0</v>
      </c>
      <c r="J812" t="n">
        <v>0</v>
      </c>
      <c r="K812" t="n">
        <v>1</v>
      </c>
      <c r="L812" t="n">
        <v>0</v>
      </c>
      <c r="M812" t="n">
        <v>0</v>
      </c>
      <c r="N812" t="n">
        <v>0</v>
      </c>
      <c r="O812" t="n">
        <v>1</v>
      </c>
      <c r="P812" t="n">
        <v>1</v>
      </c>
      <c r="Q812" t="n">
        <v>1</v>
      </c>
      <c r="R812" s="2" t="inlineStr">
        <is>
          <t>Knärot</t>
        </is>
      </c>
      <c r="S812">
        <f>HYPERLINK("https://klasma.github.io/Logging_2421/artfynd/A 20434-2022 artfynd.xlsx", "A 20434-2022")</f>
        <v/>
      </c>
      <c r="T812">
        <f>HYPERLINK("https://klasma.github.io/Logging_2421/kartor/A 20434-2022 karta.png", "A 20434-2022")</f>
        <v/>
      </c>
      <c r="U812">
        <f>HYPERLINK("https://klasma.github.io/Logging_2421/knärot/A 20434-2022 karta knärot.png", "A 20434-2022")</f>
        <v/>
      </c>
      <c r="V812">
        <f>HYPERLINK("https://klasma.github.io/Logging_2421/klagomål/A 20434-2022 FSC-klagomål.docx", "A 20434-2022")</f>
        <v/>
      </c>
      <c r="W812">
        <f>HYPERLINK("https://klasma.github.io/Logging_2421/klagomålsmail/A 20434-2022 FSC-klagomål mail.docx", "A 20434-2022")</f>
        <v/>
      </c>
      <c r="X812">
        <f>HYPERLINK("https://klasma.github.io/Logging_2421/tillsyn/A 20434-2022 tillsynsbegäran.docx", "A 20434-2022")</f>
        <v/>
      </c>
      <c r="Y812">
        <f>HYPERLINK("https://klasma.github.io/Logging_2421/tillsynsmail/A 20434-2022 tillsynsbegäran mail.docx", "A 20434-2022")</f>
        <v/>
      </c>
    </row>
    <row r="813" ht="15" customHeight="1">
      <c r="A813" t="inlineStr">
        <is>
          <t>A 23035-2022</t>
        </is>
      </c>
      <c r="B813" s="1" t="n">
        <v>44715</v>
      </c>
      <c r="C813" s="1" t="n">
        <v>45357</v>
      </c>
      <c r="D813" t="inlineStr">
        <is>
          <t>VÄSTERBOTTENS LÄN</t>
        </is>
      </c>
      <c r="E813" t="inlineStr">
        <is>
          <t>UMEÅ</t>
        </is>
      </c>
      <c r="G813" t="n">
        <v>1.2</v>
      </c>
      <c r="H813" t="n">
        <v>0</v>
      </c>
      <c r="I813" t="n">
        <v>0</v>
      </c>
      <c r="J813" t="n">
        <v>1</v>
      </c>
      <c r="K813" t="n">
        <v>0</v>
      </c>
      <c r="L813" t="n">
        <v>0</v>
      </c>
      <c r="M813" t="n">
        <v>0</v>
      </c>
      <c r="N813" t="n">
        <v>0</v>
      </c>
      <c r="O813" t="n">
        <v>1</v>
      </c>
      <c r="P813" t="n">
        <v>0</v>
      </c>
      <c r="Q813" t="n">
        <v>1</v>
      </c>
      <c r="R813" s="2" t="inlineStr">
        <is>
          <t>Granticka</t>
        </is>
      </c>
      <c r="S813">
        <f>HYPERLINK("https://klasma.github.io/Logging_2480/artfynd/A 23035-2022 artfynd.xlsx", "A 23035-2022")</f>
        <v/>
      </c>
      <c r="T813">
        <f>HYPERLINK("https://klasma.github.io/Logging_2480/kartor/A 23035-2022 karta.png", "A 23035-2022")</f>
        <v/>
      </c>
      <c r="V813">
        <f>HYPERLINK("https://klasma.github.io/Logging_2480/klagomål/A 23035-2022 FSC-klagomål.docx", "A 23035-2022")</f>
        <v/>
      </c>
      <c r="W813">
        <f>HYPERLINK("https://klasma.github.io/Logging_2480/klagomålsmail/A 23035-2022 FSC-klagomål mail.docx", "A 23035-2022")</f>
        <v/>
      </c>
      <c r="X813">
        <f>HYPERLINK("https://klasma.github.io/Logging_2480/tillsyn/A 23035-2022 tillsynsbegäran.docx", "A 23035-2022")</f>
        <v/>
      </c>
      <c r="Y813">
        <f>HYPERLINK("https://klasma.github.io/Logging_2480/tillsynsmail/A 23035-2022 tillsynsbegäran mail.docx", "A 23035-2022")</f>
        <v/>
      </c>
    </row>
    <row r="814" ht="15" customHeight="1">
      <c r="A814" t="inlineStr">
        <is>
          <t>A 23232-2022</t>
        </is>
      </c>
      <c r="B814" s="1" t="n">
        <v>44719</v>
      </c>
      <c r="C814" s="1" t="n">
        <v>45357</v>
      </c>
      <c r="D814" t="inlineStr">
        <is>
          <t>VÄSTERBOTTENS LÄN</t>
        </is>
      </c>
      <c r="E814" t="inlineStr">
        <is>
          <t>SORSELE</t>
        </is>
      </c>
      <c r="G814" t="n">
        <v>11.5</v>
      </c>
      <c r="H814" t="n">
        <v>1</v>
      </c>
      <c r="I814" t="n">
        <v>0</v>
      </c>
      <c r="J814" t="n">
        <v>1</v>
      </c>
      <c r="K814" t="n">
        <v>0</v>
      </c>
      <c r="L814" t="n">
        <v>0</v>
      </c>
      <c r="M814" t="n">
        <v>0</v>
      </c>
      <c r="N814" t="n">
        <v>0</v>
      </c>
      <c r="O814" t="n">
        <v>1</v>
      </c>
      <c r="P814" t="n">
        <v>0</v>
      </c>
      <c r="Q814" t="n">
        <v>1</v>
      </c>
      <c r="R814" s="2" t="inlineStr">
        <is>
          <t>Tretåig hackspett</t>
        </is>
      </c>
      <c r="S814">
        <f>HYPERLINK("https://klasma.github.io/Logging_2422/artfynd/A 23232-2022 artfynd.xlsx", "A 23232-2022")</f>
        <v/>
      </c>
      <c r="T814">
        <f>HYPERLINK("https://klasma.github.io/Logging_2422/kartor/A 23232-2022 karta.png", "A 23232-2022")</f>
        <v/>
      </c>
      <c r="V814">
        <f>HYPERLINK("https://klasma.github.io/Logging_2422/klagomål/A 23232-2022 FSC-klagomål.docx", "A 23232-2022")</f>
        <v/>
      </c>
      <c r="W814">
        <f>HYPERLINK("https://klasma.github.io/Logging_2422/klagomålsmail/A 23232-2022 FSC-klagomål mail.docx", "A 23232-2022")</f>
        <v/>
      </c>
      <c r="X814">
        <f>HYPERLINK("https://klasma.github.io/Logging_2422/tillsyn/A 23232-2022 tillsynsbegäran.docx", "A 23232-2022")</f>
        <v/>
      </c>
      <c r="Y814">
        <f>HYPERLINK("https://klasma.github.io/Logging_2422/tillsynsmail/A 23232-2022 tillsynsbegäran mail.docx", "A 23232-2022")</f>
        <v/>
      </c>
      <c r="Z814">
        <f>HYPERLINK("https://klasma.github.io/Logging_2422/fåglar/A 23232-2022 prioriterade fågelarter.docx", "A 23232-2022")</f>
        <v/>
      </c>
    </row>
    <row r="815" ht="15" customHeight="1">
      <c r="A815" t="inlineStr">
        <is>
          <t>A 23308-2022</t>
        </is>
      </c>
      <c r="B815" s="1" t="n">
        <v>44720</v>
      </c>
      <c r="C815" s="1" t="n">
        <v>45357</v>
      </c>
      <c r="D815" t="inlineStr">
        <is>
          <t>VÄSTERBOTTENS LÄN</t>
        </is>
      </c>
      <c r="E815" t="inlineStr">
        <is>
          <t>LYCKSELE</t>
        </is>
      </c>
      <c r="G815" t="n">
        <v>2.4</v>
      </c>
      <c r="H815" t="n">
        <v>0</v>
      </c>
      <c r="I815" t="n">
        <v>1</v>
      </c>
      <c r="J815" t="n">
        <v>0</v>
      </c>
      <c r="K815" t="n">
        <v>0</v>
      </c>
      <c r="L815" t="n">
        <v>0</v>
      </c>
      <c r="M815" t="n">
        <v>0</v>
      </c>
      <c r="N815" t="n">
        <v>0</v>
      </c>
      <c r="O815" t="n">
        <v>0</v>
      </c>
      <c r="P815" t="n">
        <v>0</v>
      </c>
      <c r="Q815" t="n">
        <v>1</v>
      </c>
      <c r="R815" s="2" t="inlineStr">
        <is>
          <t>Dropptaggsvamp</t>
        </is>
      </c>
      <c r="S815">
        <f>HYPERLINK("https://klasma.github.io/Logging_2481/artfynd/A 23308-2022 artfynd.xlsx", "A 23308-2022")</f>
        <v/>
      </c>
      <c r="T815">
        <f>HYPERLINK("https://klasma.github.io/Logging_2481/kartor/A 23308-2022 karta.png", "A 23308-2022")</f>
        <v/>
      </c>
      <c r="V815">
        <f>HYPERLINK("https://klasma.github.io/Logging_2481/klagomål/A 23308-2022 FSC-klagomål.docx", "A 23308-2022")</f>
        <v/>
      </c>
      <c r="W815">
        <f>HYPERLINK("https://klasma.github.io/Logging_2481/klagomålsmail/A 23308-2022 FSC-klagomål mail.docx", "A 23308-2022")</f>
        <v/>
      </c>
      <c r="X815">
        <f>HYPERLINK("https://klasma.github.io/Logging_2481/tillsyn/A 23308-2022 tillsynsbegäran.docx", "A 23308-2022")</f>
        <v/>
      </c>
      <c r="Y815">
        <f>HYPERLINK("https://klasma.github.io/Logging_2481/tillsynsmail/A 23308-2022 tillsynsbegäran mail.docx", "A 23308-2022")</f>
        <v/>
      </c>
    </row>
    <row r="816" ht="15" customHeight="1">
      <c r="A816" t="inlineStr">
        <is>
          <t>A 23496-2022</t>
        </is>
      </c>
      <c r="B816" s="1" t="n">
        <v>44721</v>
      </c>
      <c r="C816" s="1" t="n">
        <v>45357</v>
      </c>
      <c r="D816" t="inlineStr">
        <is>
          <t>VÄSTERBOTTENS LÄN</t>
        </is>
      </c>
      <c r="E816" t="inlineStr">
        <is>
          <t>NORDMALING</t>
        </is>
      </c>
      <c r="G816" t="n">
        <v>0.7</v>
      </c>
      <c r="H816" t="n">
        <v>1</v>
      </c>
      <c r="I816" t="n">
        <v>0</v>
      </c>
      <c r="J816" t="n">
        <v>1</v>
      </c>
      <c r="K816" t="n">
        <v>0</v>
      </c>
      <c r="L816" t="n">
        <v>0</v>
      </c>
      <c r="M816" t="n">
        <v>0</v>
      </c>
      <c r="N816" t="n">
        <v>0</v>
      </c>
      <c r="O816" t="n">
        <v>1</v>
      </c>
      <c r="P816" t="n">
        <v>0</v>
      </c>
      <c r="Q816" t="n">
        <v>1</v>
      </c>
      <c r="R816" s="2" t="inlineStr">
        <is>
          <t>Järpe</t>
        </is>
      </c>
      <c r="S816">
        <f>HYPERLINK("https://klasma.github.io/Logging_2401/artfynd/A 23496-2022 artfynd.xlsx", "A 23496-2022")</f>
        <v/>
      </c>
      <c r="T816">
        <f>HYPERLINK("https://klasma.github.io/Logging_2401/kartor/A 23496-2022 karta.png", "A 23496-2022")</f>
        <v/>
      </c>
      <c r="V816">
        <f>HYPERLINK("https://klasma.github.io/Logging_2401/klagomål/A 23496-2022 FSC-klagomål.docx", "A 23496-2022")</f>
        <v/>
      </c>
      <c r="W816">
        <f>HYPERLINK("https://klasma.github.io/Logging_2401/klagomålsmail/A 23496-2022 FSC-klagomål mail.docx", "A 23496-2022")</f>
        <v/>
      </c>
      <c r="X816">
        <f>HYPERLINK("https://klasma.github.io/Logging_2401/tillsyn/A 23496-2022 tillsynsbegäran.docx", "A 23496-2022")</f>
        <v/>
      </c>
      <c r="Y816">
        <f>HYPERLINK("https://klasma.github.io/Logging_2401/tillsynsmail/A 23496-2022 tillsynsbegäran mail.docx", "A 23496-2022")</f>
        <v/>
      </c>
      <c r="Z816">
        <f>HYPERLINK("https://klasma.github.io/Logging_2401/fåglar/A 23496-2022 prioriterade fågelarter.docx", "A 23496-2022")</f>
        <v/>
      </c>
    </row>
    <row r="817" ht="15" customHeight="1">
      <c r="A817" t="inlineStr">
        <is>
          <t>A 24807-2022</t>
        </is>
      </c>
      <c r="B817" s="1" t="n">
        <v>44727</v>
      </c>
      <c r="C817" s="1" t="n">
        <v>45357</v>
      </c>
      <c r="D817" t="inlineStr">
        <is>
          <t>VÄSTERBOTTENS LÄN</t>
        </is>
      </c>
      <c r="E817" t="inlineStr">
        <is>
          <t>ROBERTSFORS</t>
        </is>
      </c>
      <c r="G817" t="n">
        <v>4.1</v>
      </c>
      <c r="H817" t="n">
        <v>0</v>
      </c>
      <c r="I817" t="n">
        <v>0</v>
      </c>
      <c r="J817" t="n">
        <v>1</v>
      </c>
      <c r="K817" t="n">
        <v>0</v>
      </c>
      <c r="L817" t="n">
        <v>0</v>
      </c>
      <c r="M817" t="n">
        <v>0</v>
      </c>
      <c r="N817" t="n">
        <v>0</v>
      </c>
      <c r="O817" t="n">
        <v>1</v>
      </c>
      <c r="P817" t="n">
        <v>0</v>
      </c>
      <c r="Q817" t="n">
        <v>1</v>
      </c>
      <c r="R817" s="2" t="inlineStr">
        <is>
          <t>Granticka</t>
        </is>
      </c>
      <c r="S817">
        <f>HYPERLINK("https://klasma.github.io/Logging_2409/artfynd/A 24807-2022 artfynd.xlsx", "A 24807-2022")</f>
        <v/>
      </c>
      <c r="T817">
        <f>HYPERLINK("https://klasma.github.io/Logging_2409/kartor/A 24807-2022 karta.png", "A 24807-2022")</f>
        <v/>
      </c>
      <c r="V817">
        <f>HYPERLINK("https://klasma.github.io/Logging_2409/klagomål/A 24807-2022 FSC-klagomål.docx", "A 24807-2022")</f>
        <v/>
      </c>
      <c r="W817">
        <f>HYPERLINK("https://klasma.github.io/Logging_2409/klagomålsmail/A 24807-2022 FSC-klagomål mail.docx", "A 24807-2022")</f>
        <v/>
      </c>
      <c r="X817">
        <f>HYPERLINK("https://klasma.github.io/Logging_2409/tillsyn/A 24807-2022 tillsynsbegäran.docx", "A 24807-2022")</f>
        <v/>
      </c>
      <c r="Y817">
        <f>HYPERLINK("https://klasma.github.io/Logging_2409/tillsynsmail/A 24807-2022 tillsynsbegäran mail.docx", "A 24807-2022")</f>
        <v/>
      </c>
    </row>
    <row r="818" ht="15" customHeight="1">
      <c r="A818" t="inlineStr">
        <is>
          <t>A 24885-2022</t>
        </is>
      </c>
      <c r="B818" s="1" t="n">
        <v>44728</v>
      </c>
      <c r="C818" s="1" t="n">
        <v>45357</v>
      </c>
      <c r="D818" t="inlineStr">
        <is>
          <t>VÄSTERBOTTENS LÄN</t>
        </is>
      </c>
      <c r="E818" t="inlineStr">
        <is>
          <t>SKELLEFTEÅ</t>
        </is>
      </c>
      <c r="F818" t="inlineStr">
        <is>
          <t>Holmen skog AB</t>
        </is>
      </c>
      <c r="G818" t="n">
        <v>2.7</v>
      </c>
      <c r="H818" t="n">
        <v>0</v>
      </c>
      <c r="I818" t="n">
        <v>0</v>
      </c>
      <c r="J818" t="n">
        <v>1</v>
      </c>
      <c r="K818" t="n">
        <v>0</v>
      </c>
      <c r="L818" t="n">
        <v>0</v>
      </c>
      <c r="M818" t="n">
        <v>0</v>
      </c>
      <c r="N818" t="n">
        <v>0</v>
      </c>
      <c r="O818" t="n">
        <v>1</v>
      </c>
      <c r="P818" t="n">
        <v>0</v>
      </c>
      <c r="Q818" t="n">
        <v>1</v>
      </c>
      <c r="R818" s="2" t="inlineStr">
        <is>
          <t>Lunglav</t>
        </is>
      </c>
      <c r="S818">
        <f>HYPERLINK("https://klasma.github.io/Logging_2482/artfynd/A 24885-2022 artfynd.xlsx", "A 24885-2022")</f>
        <v/>
      </c>
      <c r="T818">
        <f>HYPERLINK("https://klasma.github.io/Logging_2482/kartor/A 24885-2022 karta.png", "A 24885-2022")</f>
        <v/>
      </c>
      <c r="V818">
        <f>HYPERLINK("https://klasma.github.io/Logging_2482/klagomål/A 24885-2022 FSC-klagomål.docx", "A 24885-2022")</f>
        <v/>
      </c>
      <c r="W818">
        <f>HYPERLINK("https://klasma.github.io/Logging_2482/klagomålsmail/A 24885-2022 FSC-klagomål mail.docx", "A 24885-2022")</f>
        <v/>
      </c>
      <c r="X818">
        <f>HYPERLINK("https://klasma.github.io/Logging_2482/tillsyn/A 24885-2022 tillsynsbegäran.docx", "A 24885-2022")</f>
        <v/>
      </c>
      <c r="Y818">
        <f>HYPERLINK("https://klasma.github.io/Logging_2482/tillsynsmail/A 24885-2022 tillsynsbegäran mail.docx", "A 24885-2022")</f>
        <v/>
      </c>
    </row>
    <row r="819" ht="15" customHeight="1">
      <c r="A819" t="inlineStr">
        <is>
          <t>A 25702-2022</t>
        </is>
      </c>
      <c r="B819" s="1" t="n">
        <v>44733</v>
      </c>
      <c r="C819" s="1" t="n">
        <v>45357</v>
      </c>
      <c r="D819" t="inlineStr">
        <is>
          <t>VÄSTERBOTTENS LÄN</t>
        </is>
      </c>
      <c r="E819" t="inlineStr">
        <is>
          <t>UMEÅ</t>
        </is>
      </c>
      <c r="F819" t="inlineStr">
        <is>
          <t>Holmen skog AB</t>
        </is>
      </c>
      <c r="G819" t="n">
        <v>8.5</v>
      </c>
      <c r="H819" t="n">
        <v>1</v>
      </c>
      <c r="I819" t="n">
        <v>0</v>
      </c>
      <c r="J819" t="n">
        <v>1</v>
      </c>
      <c r="K819" t="n">
        <v>0</v>
      </c>
      <c r="L819" t="n">
        <v>0</v>
      </c>
      <c r="M819" t="n">
        <v>0</v>
      </c>
      <c r="N819" t="n">
        <v>0</v>
      </c>
      <c r="O819" t="n">
        <v>1</v>
      </c>
      <c r="P819" t="n">
        <v>0</v>
      </c>
      <c r="Q819" t="n">
        <v>1</v>
      </c>
      <c r="R819" s="2" t="inlineStr">
        <is>
          <t>Järpe</t>
        </is>
      </c>
      <c r="S819">
        <f>HYPERLINK("https://klasma.github.io/Logging_2480/artfynd/A 25702-2022 artfynd.xlsx", "A 25702-2022")</f>
        <v/>
      </c>
      <c r="T819">
        <f>HYPERLINK("https://klasma.github.io/Logging_2480/kartor/A 25702-2022 karta.png", "A 25702-2022")</f>
        <v/>
      </c>
      <c r="V819">
        <f>HYPERLINK("https://klasma.github.io/Logging_2480/klagomål/A 25702-2022 FSC-klagomål.docx", "A 25702-2022")</f>
        <v/>
      </c>
      <c r="W819">
        <f>HYPERLINK("https://klasma.github.io/Logging_2480/klagomålsmail/A 25702-2022 FSC-klagomål mail.docx", "A 25702-2022")</f>
        <v/>
      </c>
      <c r="X819">
        <f>HYPERLINK("https://klasma.github.io/Logging_2480/tillsyn/A 25702-2022 tillsynsbegäran.docx", "A 25702-2022")</f>
        <v/>
      </c>
      <c r="Y819">
        <f>HYPERLINK("https://klasma.github.io/Logging_2480/tillsynsmail/A 25702-2022 tillsynsbegäran mail.docx", "A 25702-2022")</f>
        <v/>
      </c>
      <c r="Z819">
        <f>HYPERLINK("https://klasma.github.io/Logging_2480/fåglar/A 25702-2022 prioriterade fågelarter.docx", "A 25702-2022")</f>
        <v/>
      </c>
    </row>
    <row r="820" ht="15" customHeight="1">
      <c r="A820" t="inlineStr">
        <is>
          <t>A 27583-2022</t>
        </is>
      </c>
      <c r="B820" s="1" t="n">
        <v>44742</v>
      </c>
      <c r="C820" s="1" t="n">
        <v>45357</v>
      </c>
      <c r="D820" t="inlineStr">
        <is>
          <t>VÄSTERBOTTENS LÄN</t>
        </is>
      </c>
      <c r="E820" t="inlineStr">
        <is>
          <t>VINDELN</t>
        </is>
      </c>
      <c r="F820" t="inlineStr">
        <is>
          <t>SCA</t>
        </is>
      </c>
      <c r="G820" t="n">
        <v>2.1</v>
      </c>
      <c r="H820" t="n">
        <v>0</v>
      </c>
      <c r="I820" t="n">
        <v>0</v>
      </c>
      <c r="J820" t="n">
        <v>1</v>
      </c>
      <c r="K820" t="n">
        <v>0</v>
      </c>
      <c r="L820" t="n">
        <v>0</v>
      </c>
      <c r="M820" t="n">
        <v>0</v>
      </c>
      <c r="N820" t="n">
        <v>0</v>
      </c>
      <c r="O820" t="n">
        <v>1</v>
      </c>
      <c r="P820" t="n">
        <v>0</v>
      </c>
      <c r="Q820" t="n">
        <v>1</v>
      </c>
      <c r="R820" s="2" t="inlineStr">
        <is>
          <t>Ullticka</t>
        </is>
      </c>
      <c r="S820">
        <f>HYPERLINK("https://klasma.github.io/Logging_2404/artfynd/A 27583-2022 artfynd.xlsx", "A 27583-2022")</f>
        <v/>
      </c>
      <c r="T820">
        <f>HYPERLINK("https://klasma.github.io/Logging_2404/kartor/A 27583-2022 karta.png", "A 27583-2022")</f>
        <v/>
      </c>
      <c r="V820">
        <f>HYPERLINK("https://klasma.github.io/Logging_2404/klagomål/A 27583-2022 FSC-klagomål.docx", "A 27583-2022")</f>
        <v/>
      </c>
      <c r="W820">
        <f>HYPERLINK("https://klasma.github.io/Logging_2404/klagomålsmail/A 27583-2022 FSC-klagomål mail.docx", "A 27583-2022")</f>
        <v/>
      </c>
      <c r="X820">
        <f>HYPERLINK("https://klasma.github.io/Logging_2404/tillsyn/A 27583-2022 tillsynsbegäran.docx", "A 27583-2022")</f>
        <v/>
      </c>
      <c r="Y820">
        <f>HYPERLINK("https://klasma.github.io/Logging_2404/tillsynsmail/A 27583-2022 tillsynsbegäran mail.docx", "A 27583-2022")</f>
        <v/>
      </c>
    </row>
    <row r="821" ht="15" customHeight="1">
      <c r="A821" t="inlineStr">
        <is>
          <t>A 30809-2022</t>
        </is>
      </c>
      <c r="B821" s="1" t="n">
        <v>44764</v>
      </c>
      <c r="C821" s="1" t="n">
        <v>45357</v>
      </c>
      <c r="D821" t="inlineStr">
        <is>
          <t>VÄSTERBOTTENS LÄN</t>
        </is>
      </c>
      <c r="E821" t="inlineStr">
        <is>
          <t>ÅSELE</t>
        </is>
      </c>
      <c r="F821" t="inlineStr">
        <is>
          <t>SCA</t>
        </is>
      </c>
      <c r="G821" t="n">
        <v>10.6</v>
      </c>
      <c r="H821" t="n">
        <v>1</v>
      </c>
      <c r="I821" t="n">
        <v>0</v>
      </c>
      <c r="J821" t="n">
        <v>1</v>
      </c>
      <c r="K821" t="n">
        <v>0</v>
      </c>
      <c r="L821" t="n">
        <v>0</v>
      </c>
      <c r="M821" t="n">
        <v>0</v>
      </c>
      <c r="N821" t="n">
        <v>0</v>
      </c>
      <c r="O821" t="n">
        <v>1</v>
      </c>
      <c r="P821" t="n">
        <v>0</v>
      </c>
      <c r="Q821" t="n">
        <v>1</v>
      </c>
      <c r="R821" s="2" t="inlineStr">
        <is>
          <t>Buskskvätta</t>
        </is>
      </c>
      <c r="S821">
        <f>HYPERLINK("https://klasma.github.io/Logging_2463/artfynd/A 30809-2022 artfynd.xlsx", "A 30809-2022")</f>
        <v/>
      </c>
      <c r="T821">
        <f>HYPERLINK("https://klasma.github.io/Logging_2463/kartor/A 30809-2022 karta.png", "A 30809-2022")</f>
        <v/>
      </c>
      <c r="V821">
        <f>HYPERLINK("https://klasma.github.io/Logging_2463/klagomål/A 30809-2022 FSC-klagomål.docx", "A 30809-2022")</f>
        <v/>
      </c>
      <c r="W821">
        <f>HYPERLINK("https://klasma.github.io/Logging_2463/klagomålsmail/A 30809-2022 FSC-klagomål mail.docx", "A 30809-2022")</f>
        <v/>
      </c>
      <c r="X821">
        <f>HYPERLINK("https://klasma.github.io/Logging_2463/tillsyn/A 30809-2022 tillsynsbegäran.docx", "A 30809-2022")</f>
        <v/>
      </c>
      <c r="Y821">
        <f>HYPERLINK("https://klasma.github.io/Logging_2463/tillsynsmail/A 30809-2022 tillsynsbegäran mail.docx", "A 30809-2022")</f>
        <v/>
      </c>
    </row>
    <row r="822" ht="15" customHeight="1">
      <c r="A822" t="inlineStr">
        <is>
          <t>A 32638-2022</t>
        </is>
      </c>
      <c r="B822" s="1" t="n">
        <v>44783</v>
      </c>
      <c r="C822" s="1" t="n">
        <v>45357</v>
      </c>
      <c r="D822" t="inlineStr">
        <is>
          <t>VÄSTERBOTTENS LÄN</t>
        </is>
      </c>
      <c r="E822" t="inlineStr">
        <is>
          <t>LYCKSELE</t>
        </is>
      </c>
      <c r="F822" t="inlineStr">
        <is>
          <t>Holmen skog AB</t>
        </is>
      </c>
      <c r="G822" t="n">
        <v>4.2</v>
      </c>
      <c r="H822" t="n">
        <v>0</v>
      </c>
      <c r="I822" t="n">
        <v>1</v>
      </c>
      <c r="J822" t="n">
        <v>0</v>
      </c>
      <c r="K822" t="n">
        <v>0</v>
      </c>
      <c r="L822" t="n">
        <v>0</v>
      </c>
      <c r="M822" t="n">
        <v>0</v>
      </c>
      <c r="N822" t="n">
        <v>0</v>
      </c>
      <c r="O822" t="n">
        <v>0</v>
      </c>
      <c r="P822" t="n">
        <v>0</v>
      </c>
      <c r="Q822" t="n">
        <v>1</v>
      </c>
      <c r="R822" s="2" t="inlineStr">
        <is>
          <t>Dropptaggsvamp</t>
        </is>
      </c>
      <c r="S822">
        <f>HYPERLINK("https://klasma.github.io/Logging_2481/artfynd/A 32638-2022 artfynd.xlsx", "A 32638-2022")</f>
        <v/>
      </c>
      <c r="T822">
        <f>HYPERLINK("https://klasma.github.io/Logging_2481/kartor/A 32638-2022 karta.png", "A 32638-2022")</f>
        <v/>
      </c>
      <c r="V822">
        <f>HYPERLINK("https://klasma.github.io/Logging_2481/klagomål/A 32638-2022 FSC-klagomål.docx", "A 32638-2022")</f>
        <v/>
      </c>
      <c r="W822">
        <f>HYPERLINK("https://klasma.github.io/Logging_2481/klagomålsmail/A 32638-2022 FSC-klagomål mail.docx", "A 32638-2022")</f>
        <v/>
      </c>
      <c r="X822">
        <f>HYPERLINK("https://klasma.github.io/Logging_2481/tillsyn/A 32638-2022 tillsynsbegäran.docx", "A 32638-2022")</f>
        <v/>
      </c>
      <c r="Y822">
        <f>HYPERLINK("https://klasma.github.io/Logging_2481/tillsynsmail/A 32638-2022 tillsynsbegäran mail.docx", "A 32638-2022")</f>
        <v/>
      </c>
    </row>
    <row r="823" ht="15" customHeight="1">
      <c r="A823" t="inlineStr">
        <is>
          <t>A 34810-2022</t>
        </is>
      </c>
      <c r="B823" s="1" t="n">
        <v>44795</v>
      </c>
      <c r="C823" s="1" t="n">
        <v>45357</v>
      </c>
      <c r="D823" t="inlineStr">
        <is>
          <t>VÄSTERBOTTENS LÄN</t>
        </is>
      </c>
      <c r="E823" t="inlineStr">
        <is>
          <t>LYCKSELE</t>
        </is>
      </c>
      <c r="F823" t="inlineStr">
        <is>
          <t>SCA</t>
        </is>
      </c>
      <c r="G823" t="n">
        <v>2.3</v>
      </c>
      <c r="H823" t="n">
        <v>0</v>
      </c>
      <c r="I823" t="n">
        <v>0</v>
      </c>
      <c r="J823" t="n">
        <v>1</v>
      </c>
      <c r="K823" t="n">
        <v>0</v>
      </c>
      <c r="L823" t="n">
        <v>0</v>
      </c>
      <c r="M823" t="n">
        <v>0</v>
      </c>
      <c r="N823" t="n">
        <v>0</v>
      </c>
      <c r="O823" t="n">
        <v>1</v>
      </c>
      <c r="P823" t="n">
        <v>0</v>
      </c>
      <c r="Q823" t="n">
        <v>1</v>
      </c>
      <c r="R823" s="2" t="inlineStr">
        <is>
          <t>Lunglav</t>
        </is>
      </c>
      <c r="S823">
        <f>HYPERLINK("https://klasma.github.io/Logging_2481/artfynd/A 34810-2022 artfynd.xlsx", "A 34810-2022")</f>
        <v/>
      </c>
      <c r="T823">
        <f>HYPERLINK("https://klasma.github.io/Logging_2481/kartor/A 34810-2022 karta.png", "A 34810-2022")</f>
        <v/>
      </c>
      <c r="V823">
        <f>HYPERLINK("https://klasma.github.io/Logging_2481/klagomål/A 34810-2022 FSC-klagomål.docx", "A 34810-2022")</f>
        <v/>
      </c>
      <c r="W823">
        <f>HYPERLINK("https://klasma.github.io/Logging_2481/klagomålsmail/A 34810-2022 FSC-klagomål mail.docx", "A 34810-2022")</f>
        <v/>
      </c>
      <c r="X823">
        <f>HYPERLINK("https://klasma.github.io/Logging_2481/tillsyn/A 34810-2022 tillsynsbegäran.docx", "A 34810-2022")</f>
        <v/>
      </c>
      <c r="Y823">
        <f>HYPERLINK("https://klasma.github.io/Logging_2481/tillsynsmail/A 34810-2022 tillsynsbegäran mail.docx", "A 34810-2022")</f>
        <v/>
      </c>
    </row>
    <row r="824" ht="15" customHeight="1">
      <c r="A824" t="inlineStr">
        <is>
          <t>A 34809-2022</t>
        </is>
      </c>
      <c r="B824" s="1" t="n">
        <v>44795</v>
      </c>
      <c r="C824" s="1" t="n">
        <v>45357</v>
      </c>
      <c r="D824" t="inlineStr">
        <is>
          <t>VÄSTERBOTTENS LÄN</t>
        </is>
      </c>
      <c r="E824" t="inlineStr">
        <is>
          <t>LYCKSELE</t>
        </is>
      </c>
      <c r="F824" t="inlineStr">
        <is>
          <t>SCA</t>
        </is>
      </c>
      <c r="G824" t="n">
        <v>1</v>
      </c>
      <c r="H824" t="n">
        <v>0</v>
      </c>
      <c r="I824" t="n">
        <v>0</v>
      </c>
      <c r="J824" t="n">
        <v>1</v>
      </c>
      <c r="K824" t="n">
        <v>0</v>
      </c>
      <c r="L824" t="n">
        <v>0</v>
      </c>
      <c r="M824" t="n">
        <v>0</v>
      </c>
      <c r="N824" t="n">
        <v>0</v>
      </c>
      <c r="O824" t="n">
        <v>1</v>
      </c>
      <c r="P824" t="n">
        <v>0</v>
      </c>
      <c r="Q824" t="n">
        <v>1</v>
      </c>
      <c r="R824" s="2" t="inlineStr">
        <is>
          <t>Gammelgransskål</t>
        </is>
      </c>
      <c r="S824">
        <f>HYPERLINK("https://klasma.github.io/Logging_2481/artfynd/A 34809-2022 artfynd.xlsx", "A 34809-2022")</f>
        <v/>
      </c>
      <c r="T824">
        <f>HYPERLINK("https://klasma.github.io/Logging_2481/kartor/A 34809-2022 karta.png", "A 34809-2022")</f>
        <v/>
      </c>
      <c r="V824">
        <f>HYPERLINK("https://klasma.github.io/Logging_2481/klagomål/A 34809-2022 FSC-klagomål.docx", "A 34809-2022")</f>
        <v/>
      </c>
      <c r="W824">
        <f>HYPERLINK("https://klasma.github.io/Logging_2481/klagomålsmail/A 34809-2022 FSC-klagomål mail.docx", "A 34809-2022")</f>
        <v/>
      </c>
      <c r="X824">
        <f>HYPERLINK("https://klasma.github.io/Logging_2481/tillsyn/A 34809-2022 tillsynsbegäran.docx", "A 34809-2022")</f>
        <v/>
      </c>
      <c r="Y824">
        <f>HYPERLINK("https://klasma.github.io/Logging_2481/tillsynsmail/A 34809-2022 tillsynsbegäran mail.docx", "A 34809-2022")</f>
        <v/>
      </c>
    </row>
    <row r="825" ht="15" customHeight="1">
      <c r="A825" t="inlineStr">
        <is>
          <t>A 36531-2022</t>
        </is>
      </c>
      <c r="B825" s="1" t="n">
        <v>44804</v>
      </c>
      <c r="C825" s="1" t="n">
        <v>45357</v>
      </c>
      <c r="D825" t="inlineStr">
        <is>
          <t>VÄSTERBOTTENS LÄN</t>
        </is>
      </c>
      <c r="E825" t="inlineStr">
        <is>
          <t>SKELLEFTEÅ</t>
        </is>
      </c>
      <c r="F825" t="inlineStr">
        <is>
          <t>Kommuner</t>
        </is>
      </c>
      <c r="G825" t="n">
        <v>3.1</v>
      </c>
      <c r="H825" t="n">
        <v>0</v>
      </c>
      <c r="I825" t="n">
        <v>1</v>
      </c>
      <c r="J825" t="n">
        <v>0</v>
      </c>
      <c r="K825" t="n">
        <v>0</v>
      </c>
      <c r="L825" t="n">
        <v>0</v>
      </c>
      <c r="M825" t="n">
        <v>0</v>
      </c>
      <c r="N825" t="n">
        <v>0</v>
      </c>
      <c r="O825" t="n">
        <v>0</v>
      </c>
      <c r="P825" t="n">
        <v>0</v>
      </c>
      <c r="Q825" t="n">
        <v>1</v>
      </c>
      <c r="R825" s="2" t="inlineStr">
        <is>
          <t>Dropptaggsvamp</t>
        </is>
      </c>
      <c r="S825">
        <f>HYPERLINK("https://klasma.github.io/Logging_2482/artfynd/A 36531-2022 artfynd.xlsx", "A 36531-2022")</f>
        <v/>
      </c>
      <c r="T825">
        <f>HYPERLINK("https://klasma.github.io/Logging_2482/kartor/A 36531-2022 karta.png", "A 36531-2022")</f>
        <v/>
      </c>
      <c r="V825">
        <f>HYPERLINK("https://klasma.github.io/Logging_2482/klagomål/A 36531-2022 FSC-klagomål.docx", "A 36531-2022")</f>
        <v/>
      </c>
      <c r="W825">
        <f>HYPERLINK("https://klasma.github.io/Logging_2482/klagomålsmail/A 36531-2022 FSC-klagomål mail.docx", "A 36531-2022")</f>
        <v/>
      </c>
      <c r="X825">
        <f>HYPERLINK("https://klasma.github.io/Logging_2482/tillsyn/A 36531-2022 tillsynsbegäran.docx", "A 36531-2022")</f>
        <v/>
      </c>
      <c r="Y825">
        <f>HYPERLINK("https://klasma.github.io/Logging_2482/tillsynsmail/A 36531-2022 tillsynsbegäran mail.docx", "A 36531-2022")</f>
        <v/>
      </c>
    </row>
    <row r="826" ht="15" customHeight="1">
      <c r="A826" t="inlineStr">
        <is>
          <t>A 38421-2022</t>
        </is>
      </c>
      <c r="B826" s="1" t="n">
        <v>44812</v>
      </c>
      <c r="C826" s="1" t="n">
        <v>45357</v>
      </c>
      <c r="D826" t="inlineStr">
        <is>
          <t>VÄSTERBOTTENS LÄN</t>
        </is>
      </c>
      <c r="E826" t="inlineStr">
        <is>
          <t>VILHELMINA</t>
        </is>
      </c>
      <c r="F826" t="inlineStr">
        <is>
          <t>SCA</t>
        </is>
      </c>
      <c r="G826" t="n">
        <v>3.2</v>
      </c>
      <c r="H826" t="n">
        <v>0</v>
      </c>
      <c r="I826" t="n">
        <v>0</v>
      </c>
      <c r="J826" t="n">
        <v>1</v>
      </c>
      <c r="K826" t="n">
        <v>0</v>
      </c>
      <c r="L826" t="n">
        <v>0</v>
      </c>
      <c r="M826" t="n">
        <v>0</v>
      </c>
      <c r="N826" t="n">
        <v>0</v>
      </c>
      <c r="O826" t="n">
        <v>1</v>
      </c>
      <c r="P826" t="n">
        <v>0</v>
      </c>
      <c r="Q826" t="n">
        <v>1</v>
      </c>
      <c r="R826" s="2" t="inlineStr">
        <is>
          <t>Ullticka</t>
        </is>
      </c>
      <c r="S826">
        <f>HYPERLINK("https://klasma.github.io/Logging_2462/artfynd/A 38421-2022 artfynd.xlsx", "A 38421-2022")</f>
        <v/>
      </c>
      <c r="T826">
        <f>HYPERLINK("https://klasma.github.io/Logging_2462/kartor/A 38421-2022 karta.png", "A 38421-2022")</f>
        <v/>
      </c>
      <c r="V826">
        <f>HYPERLINK("https://klasma.github.io/Logging_2462/klagomål/A 38421-2022 FSC-klagomål.docx", "A 38421-2022")</f>
        <v/>
      </c>
      <c r="W826">
        <f>HYPERLINK("https://klasma.github.io/Logging_2462/klagomålsmail/A 38421-2022 FSC-klagomål mail.docx", "A 38421-2022")</f>
        <v/>
      </c>
      <c r="X826">
        <f>HYPERLINK("https://klasma.github.io/Logging_2462/tillsyn/A 38421-2022 tillsynsbegäran.docx", "A 38421-2022")</f>
        <v/>
      </c>
      <c r="Y826">
        <f>HYPERLINK("https://klasma.github.io/Logging_2462/tillsynsmail/A 38421-2022 tillsynsbegäran mail.docx", "A 38421-2022")</f>
        <v/>
      </c>
    </row>
    <row r="827" ht="15" customHeight="1">
      <c r="A827" t="inlineStr">
        <is>
          <t>A 39237-2022</t>
        </is>
      </c>
      <c r="B827" s="1" t="n">
        <v>44817</v>
      </c>
      <c r="C827" s="1" t="n">
        <v>45357</v>
      </c>
      <c r="D827" t="inlineStr">
        <is>
          <t>VÄSTERBOTTENS LÄN</t>
        </is>
      </c>
      <c r="E827" t="inlineStr">
        <is>
          <t>STORUMAN</t>
        </is>
      </c>
      <c r="F827" t="inlineStr">
        <is>
          <t>Sveaskog</t>
        </is>
      </c>
      <c r="G827" t="n">
        <v>1.1</v>
      </c>
      <c r="H827" t="n">
        <v>0</v>
      </c>
      <c r="I827" t="n">
        <v>1</v>
      </c>
      <c r="J827" t="n">
        <v>0</v>
      </c>
      <c r="K827" t="n">
        <v>0</v>
      </c>
      <c r="L827" t="n">
        <v>0</v>
      </c>
      <c r="M827" t="n">
        <v>0</v>
      </c>
      <c r="N827" t="n">
        <v>0</v>
      </c>
      <c r="O827" t="n">
        <v>0</v>
      </c>
      <c r="P827" t="n">
        <v>0</v>
      </c>
      <c r="Q827" t="n">
        <v>1</v>
      </c>
      <c r="R827" s="2" t="inlineStr">
        <is>
          <t>Skarp dropptaggsvamp</t>
        </is>
      </c>
      <c r="S827">
        <f>HYPERLINK("https://klasma.github.io/Logging_2421/artfynd/A 39237-2022 artfynd.xlsx", "A 39237-2022")</f>
        <v/>
      </c>
      <c r="T827">
        <f>HYPERLINK("https://klasma.github.io/Logging_2421/kartor/A 39237-2022 karta.png", "A 39237-2022")</f>
        <v/>
      </c>
      <c r="V827">
        <f>HYPERLINK("https://klasma.github.io/Logging_2421/klagomål/A 39237-2022 FSC-klagomål.docx", "A 39237-2022")</f>
        <v/>
      </c>
      <c r="W827">
        <f>HYPERLINK("https://klasma.github.io/Logging_2421/klagomålsmail/A 39237-2022 FSC-klagomål mail.docx", "A 39237-2022")</f>
        <v/>
      </c>
      <c r="X827">
        <f>HYPERLINK("https://klasma.github.io/Logging_2421/tillsyn/A 39237-2022 tillsynsbegäran.docx", "A 39237-2022")</f>
        <v/>
      </c>
      <c r="Y827">
        <f>HYPERLINK("https://klasma.github.io/Logging_2421/tillsynsmail/A 39237-2022 tillsynsbegäran mail.docx", "A 39237-2022")</f>
        <v/>
      </c>
    </row>
    <row r="828" ht="15" customHeight="1">
      <c r="A828" t="inlineStr">
        <is>
          <t>A 39380-2022</t>
        </is>
      </c>
      <c r="B828" s="1" t="n">
        <v>44817</v>
      </c>
      <c r="C828" s="1" t="n">
        <v>45357</v>
      </c>
      <c r="D828" t="inlineStr">
        <is>
          <t>VÄSTERBOTTENS LÄN</t>
        </is>
      </c>
      <c r="E828" t="inlineStr">
        <is>
          <t>ÅSELE</t>
        </is>
      </c>
      <c r="F828" t="inlineStr">
        <is>
          <t>SCA</t>
        </is>
      </c>
      <c r="G828" t="n">
        <v>2.4</v>
      </c>
      <c r="H828" t="n">
        <v>1</v>
      </c>
      <c r="I828" t="n">
        <v>1</v>
      </c>
      <c r="J828" t="n">
        <v>0</v>
      </c>
      <c r="K828" t="n">
        <v>0</v>
      </c>
      <c r="L828" t="n">
        <v>0</v>
      </c>
      <c r="M828" t="n">
        <v>0</v>
      </c>
      <c r="N828" t="n">
        <v>0</v>
      </c>
      <c r="O828" t="n">
        <v>0</v>
      </c>
      <c r="P828" t="n">
        <v>0</v>
      </c>
      <c r="Q828" t="n">
        <v>1</v>
      </c>
      <c r="R828" s="2" t="inlineStr">
        <is>
          <t>Lappranunkel</t>
        </is>
      </c>
      <c r="S828">
        <f>HYPERLINK("https://klasma.github.io/Logging_2463/artfynd/A 39380-2022 artfynd.xlsx", "A 39380-2022")</f>
        <v/>
      </c>
      <c r="T828">
        <f>HYPERLINK("https://klasma.github.io/Logging_2463/kartor/A 39380-2022 karta.png", "A 39380-2022")</f>
        <v/>
      </c>
      <c r="V828">
        <f>HYPERLINK("https://klasma.github.io/Logging_2463/klagomål/A 39380-2022 FSC-klagomål.docx", "A 39380-2022")</f>
        <v/>
      </c>
      <c r="W828">
        <f>HYPERLINK("https://klasma.github.io/Logging_2463/klagomålsmail/A 39380-2022 FSC-klagomål mail.docx", "A 39380-2022")</f>
        <v/>
      </c>
      <c r="X828">
        <f>HYPERLINK("https://klasma.github.io/Logging_2463/tillsyn/A 39380-2022 tillsynsbegäran.docx", "A 39380-2022")</f>
        <v/>
      </c>
      <c r="Y828">
        <f>HYPERLINK("https://klasma.github.io/Logging_2463/tillsynsmail/A 39380-2022 tillsynsbegäran mail.docx", "A 39380-2022")</f>
        <v/>
      </c>
    </row>
    <row r="829" ht="15" customHeight="1">
      <c r="A829" t="inlineStr">
        <is>
          <t>A 40133-2022</t>
        </is>
      </c>
      <c r="B829" s="1" t="n">
        <v>44820</v>
      </c>
      <c r="C829" s="1" t="n">
        <v>45357</v>
      </c>
      <c r="D829" t="inlineStr">
        <is>
          <t>VÄSTERBOTTENS LÄN</t>
        </is>
      </c>
      <c r="E829" t="inlineStr">
        <is>
          <t>LYCKSELE</t>
        </is>
      </c>
      <c r="F829" t="inlineStr">
        <is>
          <t>Sveaskog</t>
        </is>
      </c>
      <c r="G829" t="n">
        <v>15.3</v>
      </c>
      <c r="H829" t="n">
        <v>0</v>
      </c>
      <c r="I829" t="n">
        <v>0</v>
      </c>
      <c r="J829" t="n">
        <v>0</v>
      </c>
      <c r="K829" t="n">
        <v>1</v>
      </c>
      <c r="L829" t="n">
        <v>0</v>
      </c>
      <c r="M829" t="n">
        <v>0</v>
      </c>
      <c r="N829" t="n">
        <v>0</v>
      </c>
      <c r="O829" t="n">
        <v>1</v>
      </c>
      <c r="P829" t="n">
        <v>1</v>
      </c>
      <c r="Q829" t="n">
        <v>1</v>
      </c>
      <c r="R829" s="2" t="inlineStr">
        <is>
          <t>Gräddporing</t>
        </is>
      </c>
      <c r="S829">
        <f>HYPERLINK("https://klasma.github.io/Logging_2481/artfynd/A 40133-2022 artfynd.xlsx", "A 40133-2022")</f>
        <v/>
      </c>
      <c r="T829">
        <f>HYPERLINK("https://klasma.github.io/Logging_2481/kartor/A 40133-2022 karta.png", "A 40133-2022")</f>
        <v/>
      </c>
      <c r="V829">
        <f>HYPERLINK("https://klasma.github.io/Logging_2481/klagomål/A 40133-2022 FSC-klagomål.docx", "A 40133-2022")</f>
        <v/>
      </c>
      <c r="W829">
        <f>HYPERLINK("https://klasma.github.io/Logging_2481/klagomålsmail/A 40133-2022 FSC-klagomål mail.docx", "A 40133-2022")</f>
        <v/>
      </c>
      <c r="X829">
        <f>HYPERLINK("https://klasma.github.io/Logging_2481/tillsyn/A 40133-2022 tillsynsbegäran.docx", "A 40133-2022")</f>
        <v/>
      </c>
      <c r="Y829">
        <f>HYPERLINK("https://klasma.github.io/Logging_2481/tillsynsmail/A 40133-2022 tillsynsbegäran mail.docx", "A 40133-2022")</f>
        <v/>
      </c>
    </row>
    <row r="830" ht="15" customHeight="1">
      <c r="A830" t="inlineStr">
        <is>
          <t>A 40328-2022</t>
        </is>
      </c>
      <c r="B830" s="1" t="n">
        <v>44823</v>
      </c>
      <c r="C830" s="1" t="n">
        <v>45357</v>
      </c>
      <c r="D830" t="inlineStr">
        <is>
          <t>VÄSTERBOTTENS LÄN</t>
        </is>
      </c>
      <c r="E830" t="inlineStr">
        <is>
          <t>ÅSELE</t>
        </is>
      </c>
      <c r="G830" t="n">
        <v>5</v>
      </c>
      <c r="H830" t="n">
        <v>1</v>
      </c>
      <c r="I830" t="n">
        <v>0</v>
      </c>
      <c r="J830" t="n">
        <v>1</v>
      </c>
      <c r="K830" t="n">
        <v>0</v>
      </c>
      <c r="L830" t="n">
        <v>0</v>
      </c>
      <c r="M830" t="n">
        <v>0</v>
      </c>
      <c r="N830" t="n">
        <v>0</v>
      </c>
      <c r="O830" t="n">
        <v>1</v>
      </c>
      <c r="P830" t="n">
        <v>0</v>
      </c>
      <c r="Q830" t="n">
        <v>1</v>
      </c>
      <c r="R830" s="2" t="inlineStr">
        <is>
          <t>Utter</t>
        </is>
      </c>
      <c r="S830">
        <f>HYPERLINK("https://klasma.github.io/Logging_2463/artfynd/A 40328-2022 artfynd.xlsx", "A 40328-2022")</f>
        <v/>
      </c>
      <c r="T830">
        <f>HYPERLINK("https://klasma.github.io/Logging_2463/kartor/A 40328-2022 karta.png", "A 40328-2022")</f>
        <v/>
      </c>
      <c r="V830">
        <f>HYPERLINK("https://klasma.github.io/Logging_2463/klagomål/A 40328-2022 FSC-klagomål.docx", "A 40328-2022")</f>
        <v/>
      </c>
      <c r="W830">
        <f>HYPERLINK("https://klasma.github.io/Logging_2463/klagomålsmail/A 40328-2022 FSC-klagomål mail.docx", "A 40328-2022")</f>
        <v/>
      </c>
      <c r="X830">
        <f>HYPERLINK("https://klasma.github.io/Logging_2463/tillsyn/A 40328-2022 tillsynsbegäran.docx", "A 40328-2022")</f>
        <v/>
      </c>
      <c r="Y830">
        <f>HYPERLINK("https://klasma.github.io/Logging_2463/tillsynsmail/A 40328-2022 tillsynsbegäran mail.docx", "A 40328-2022")</f>
        <v/>
      </c>
    </row>
    <row r="831" ht="15" customHeight="1">
      <c r="A831" t="inlineStr">
        <is>
          <t>A 41483-2022</t>
        </is>
      </c>
      <c r="B831" s="1" t="n">
        <v>44827</v>
      </c>
      <c r="C831" s="1" t="n">
        <v>45357</v>
      </c>
      <c r="D831" t="inlineStr">
        <is>
          <t>VÄSTERBOTTENS LÄN</t>
        </is>
      </c>
      <c r="E831" t="inlineStr">
        <is>
          <t>VILHELMINA</t>
        </is>
      </c>
      <c r="F831" t="inlineStr">
        <is>
          <t>SCA</t>
        </is>
      </c>
      <c r="G831" t="n">
        <v>4.6</v>
      </c>
      <c r="H831" t="n">
        <v>1</v>
      </c>
      <c r="I831" t="n">
        <v>0</v>
      </c>
      <c r="J831" t="n">
        <v>1</v>
      </c>
      <c r="K831" t="n">
        <v>0</v>
      </c>
      <c r="L831" t="n">
        <v>0</v>
      </c>
      <c r="M831" t="n">
        <v>0</v>
      </c>
      <c r="N831" t="n">
        <v>0</v>
      </c>
      <c r="O831" t="n">
        <v>1</v>
      </c>
      <c r="P831" t="n">
        <v>0</v>
      </c>
      <c r="Q831" t="n">
        <v>1</v>
      </c>
      <c r="R831" s="2" t="inlineStr">
        <is>
          <t>Tretåig hackspett</t>
        </is>
      </c>
      <c r="S831">
        <f>HYPERLINK("https://klasma.github.io/Logging_2462/artfynd/A 41483-2022 artfynd.xlsx", "A 41483-2022")</f>
        <v/>
      </c>
      <c r="T831">
        <f>HYPERLINK("https://klasma.github.io/Logging_2462/kartor/A 41483-2022 karta.png", "A 41483-2022")</f>
        <v/>
      </c>
      <c r="V831">
        <f>HYPERLINK("https://klasma.github.io/Logging_2462/klagomål/A 41483-2022 FSC-klagomål.docx", "A 41483-2022")</f>
        <v/>
      </c>
      <c r="W831">
        <f>HYPERLINK("https://klasma.github.io/Logging_2462/klagomålsmail/A 41483-2022 FSC-klagomål mail.docx", "A 41483-2022")</f>
        <v/>
      </c>
      <c r="X831">
        <f>HYPERLINK("https://klasma.github.io/Logging_2462/tillsyn/A 41483-2022 tillsynsbegäran.docx", "A 41483-2022")</f>
        <v/>
      </c>
      <c r="Y831">
        <f>HYPERLINK("https://klasma.github.io/Logging_2462/tillsynsmail/A 41483-2022 tillsynsbegäran mail.docx", "A 41483-2022")</f>
        <v/>
      </c>
      <c r="Z831">
        <f>HYPERLINK("https://klasma.github.io/Logging_2462/fåglar/A 41483-2022 prioriterade fågelarter.docx", "A 41483-2022")</f>
        <v/>
      </c>
    </row>
    <row r="832" ht="15" customHeight="1">
      <c r="A832" t="inlineStr">
        <is>
          <t>A 42674-2022</t>
        </is>
      </c>
      <c r="B832" s="1" t="n">
        <v>44831</v>
      </c>
      <c r="C832" s="1" t="n">
        <v>45357</v>
      </c>
      <c r="D832" t="inlineStr">
        <is>
          <t>VÄSTERBOTTENS LÄN</t>
        </is>
      </c>
      <c r="E832" t="inlineStr">
        <is>
          <t>SKELLEFTEÅ</t>
        </is>
      </c>
      <c r="G832" t="n">
        <v>4.4</v>
      </c>
      <c r="H832" t="n">
        <v>0</v>
      </c>
      <c r="I832" t="n">
        <v>0</v>
      </c>
      <c r="J832" t="n">
        <v>1</v>
      </c>
      <c r="K832" t="n">
        <v>0</v>
      </c>
      <c r="L832" t="n">
        <v>0</v>
      </c>
      <c r="M832" t="n">
        <v>0</v>
      </c>
      <c r="N832" t="n">
        <v>0</v>
      </c>
      <c r="O832" t="n">
        <v>1</v>
      </c>
      <c r="P832" t="n">
        <v>0</v>
      </c>
      <c r="Q832" t="n">
        <v>1</v>
      </c>
      <c r="R832" s="2" t="inlineStr">
        <is>
          <t>Granticka</t>
        </is>
      </c>
      <c r="S832">
        <f>HYPERLINK("https://klasma.github.io/Logging_2482/artfynd/A 42674-2022 artfynd.xlsx", "A 42674-2022")</f>
        <v/>
      </c>
      <c r="T832">
        <f>HYPERLINK("https://klasma.github.io/Logging_2482/kartor/A 42674-2022 karta.png", "A 42674-2022")</f>
        <v/>
      </c>
      <c r="V832">
        <f>HYPERLINK("https://klasma.github.io/Logging_2482/klagomål/A 42674-2022 FSC-klagomål.docx", "A 42674-2022")</f>
        <v/>
      </c>
      <c r="W832">
        <f>HYPERLINK("https://klasma.github.io/Logging_2482/klagomålsmail/A 42674-2022 FSC-klagomål mail.docx", "A 42674-2022")</f>
        <v/>
      </c>
      <c r="X832">
        <f>HYPERLINK("https://klasma.github.io/Logging_2482/tillsyn/A 42674-2022 tillsynsbegäran.docx", "A 42674-2022")</f>
        <v/>
      </c>
      <c r="Y832">
        <f>HYPERLINK("https://klasma.github.io/Logging_2482/tillsynsmail/A 42674-2022 tillsynsbegäran mail.docx", "A 42674-2022")</f>
        <v/>
      </c>
    </row>
    <row r="833" ht="15" customHeight="1">
      <c r="A833" t="inlineStr">
        <is>
          <t>A 43418-2022</t>
        </is>
      </c>
      <c r="B833" s="1" t="n">
        <v>44834</v>
      </c>
      <c r="C833" s="1" t="n">
        <v>45357</v>
      </c>
      <c r="D833" t="inlineStr">
        <is>
          <t>VÄSTERBOTTENS LÄN</t>
        </is>
      </c>
      <c r="E833" t="inlineStr">
        <is>
          <t>LYCKSELE</t>
        </is>
      </c>
      <c r="F833" t="inlineStr">
        <is>
          <t>SCA</t>
        </is>
      </c>
      <c r="G833" t="n">
        <v>8.4</v>
      </c>
      <c r="H833" t="n">
        <v>0</v>
      </c>
      <c r="I833" t="n">
        <v>1</v>
      </c>
      <c r="J833" t="n">
        <v>0</v>
      </c>
      <c r="K833" t="n">
        <v>0</v>
      </c>
      <c r="L833" t="n">
        <v>0</v>
      </c>
      <c r="M833" t="n">
        <v>0</v>
      </c>
      <c r="N833" t="n">
        <v>0</v>
      </c>
      <c r="O833" t="n">
        <v>0</v>
      </c>
      <c r="P833" t="n">
        <v>0</v>
      </c>
      <c r="Q833" t="n">
        <v>1</v>
      </c>
      <c r="R833" s="2" t="inlineStr">
        <is>
          <t>Skarp dropptaggsvamp</t>
        </is>
      </c>
      <c r="S833">
        <f>HYPERLINK("https://klasma.github.io/Logging_2481/artfynd/A 43418-2022 artfynd.xlsx", "A 43418-2022")</f>
        <v/>
      </c>
      <c r="T833">
        <f>HYPERLINK("https://klasma.github.io/Logging_2481/kartor/A 43418-2022 karta.png", "A 43418-2022")</f>
        <v/>
      </c>
      <c r="V833">
        <f>HYPERLINK("https://klasma.github.io/Logging_2481/klagomål/A 43418-2022 FSC-klagomål.docx", "A 43418-2022")</f>
        <v/>
      </c>
      <c r="W833">
        <f>HYPERLINK("https://klasma.github.io/Logging_2481/klagomålsmail/A 43418-2022 FSC-klagomål mail.docx", "A 43418-2022")</f>
        <v/>
      </c>
      <c r="X833">
        <f>HYPERLINK("https://klasma.github.io/Logging_2481/tillsyn/A 43418-2022 tillsynsbegäran.docx", "A 43418-2022")</f>
        <v/>
      </c>
      <c r="Y833">
        <f>HYPERLINK("https://klasma.github.io/Logging_2481/tillsynsmail/A 43418-2022 tillsynsbegäran mail.docx", "A 43418-2022")</f>
        <v/>
      </c>
    </row>
    <row r="834" ht="15" customHeight="1">
      <c r="A834" t="inlineStr">
        <is>
          <t>A 43519-2022</t>
        </is>
      </c>
      <c r="B834" s="1" t="n">
        <v>44837</v>
      </c>
      <c r="C834" s="1" t="n">
        <v>45357</v>
      </c>
      <c r="D834" t="inlineStr">
        <is>
          <t>VÄSTERBOTTENS LÄN</t>
        </is>
      </c>
      <c r="E834" t="inlineStr">
        <is>
          <t>UMEÅ</t>
        </is>
      </c>
      <c r="G834" t="n">
        <v>4.2</v>
      </c>
      <c r="H834" t="n">
        <v>0</v>
      </c>
      <c r="I834" t="n">
        <v>0</v>
      </c>
      <c r="J834" t="n">
        <v>1</v>
      </c>
      <c r="K834" t="n">
        <v>0</v>
      </c>
      <c r="L834" t="n">
        <v>0</v>
      </c>
      <c r="M834" t="n">
        <v>0</v>
      </c>
      <c r="N834" t="n">
        <v>0</v>
      </c>
      <c r="O834" t="n">
        <v>1</v>
      </c>
      <c r="P834" t="n">
        <v>0</v>
      </c>
      <c r="Q834" t="n">
        <v>1</v>
      </c>
      <c r="R834" s="2" t="inlineStr">
        <is>
          <t>Skogshare</t>
        </is>
      </c>
      <c r="S834">
        <f>HYPERLINK("https://klasma.github.io/Logging_2480/artfynd/A 43519-2022 artfynd.xlsx", "A 43519-2022")</f>
        <v/>
      </c>
      <c r="T834">
        <f>HYPERLINK("https://klasma.github.io/Logging_2480/kartor/A 43519-2022 karta.png", "A 43519-2022")</f>
        <v/>
      </c>
      <c r="V834">
        <f>HYPERLINK("https://klasma.github.io/Logging_2480/klagomål/A 43519-2022 FSC-klagomål.docx", "A 43519-2022")</f>
        <v/>
      </c>
      <c r="W834">
        <f>HYPERLINK("https://klasma.github.io/Logging_2480/klagomålsmail/A 43519-2022 FSC-klagomål mail.docx", "A 43519-2022")</f>
        <v/>
      </c>
      <c r="X834">
        <f>HYPERLINK("https://klasma.github.io/Logging_2480/tillsyn/A 43519-2022 tillsynsbegäran.docx", "A 43519-2022")</f>
        <v/>
      </c>
      <c r="Y834">
        <f>HYPERLINK("https://klasma.github.io/Logging_2480/tillsynsmail/A 43519-2022 tillsynsbegäran mail.docx", "A 43519-2022")</f>
        <v/>
      </c>
    </row>
    <row r="835" ht="15" customHeight="1">
      <c r="A835" t="inlineStr">
        <is>
          <t>A 43969-2022</t>
        </is>
      </c>
      <c r="B835" s="1" t="n">
        <v>44837</v>
      </c>
      <c r="C835" s="1" t="n">
        <v>45357</v>
      </c>
      <c r="D835" t="inlineStr">
        <is>
          <t>VÄSTERBOTTENS LÄN</t>
        </is>
      </c>
      <c r="E835" t="inlineStr">
        <is>
          <t>BJURHOLM</t>
        </is>
      </c>
      <c r="G835" t="n">
        <v>2.3</v>
      </c>
      <c r="H835" t="n">
        <v>1</v>
      </c>
      <c r="I835" t="n">
        <v>1</v>
      </c>
      <c r="J835" t="n">
        <v>0</v>
      </c>
      <c r="K835" t="n">
        <v>0</v>
      </c>
      <c r="L835" t="n">
        <v>0</v>
      </c>
      <c r="M835" t="n">
        <v>0</v>
      </c>
      <c r="N835" t="n">
        <v>0</v>
      </c>
      <c r="O835" t="n">
        <v>0</v>
      </c>
      <c r="P835" t="n">
        <v>0</v>
      </c>
      <c r="Q835" t="n">
        <v>1</v>
      </c>
      <c r="R835" s="2" t="inlineStr">
        <is>
          <t>Lappranunkel</t>
        </is>
      </c>
      <c r="S835">
        <f>HYPERLINK("https://klasma.github.io/Logging_2403/artfynd/A 43969-2022 artfynd.xlsx", "A 43969-2022")</f>
        <v/>
      </c>
      <c r="T835">
        <f>HYPERLINK("https://klasma.github.io/Logging_2403/kartor/A 43969-2022 karta.png", "A 43969-2022")</f>
        <v/>
      </c>
      <c r="V835">
        <f>HYPERLINK("https://klasma.github.io/Logging_2403/klagomål/A 43969-2022 FSC-klagomål.docx", "A 43969-2022")</f>
        <v/>
      </c>
      <c r="W835">
        <f>HYPERLINK("https://klasma.github.io/Logging_2403/klagomålsmail/A 43969-2022 FSC-klagomål mail.docx", "A 43969-2022")</f>
        <v/>
      </c>
      <c r="X835">
        <f>HYPERLINK("https://klasma.github.io/Logging_2403/tillsyn/A 43969-2022 tillsynsbegäran.docx", "A 43969-2022")</f>
        <v/>
      </c>
      <c r="Y835">
        <f>HYPERLINK("https://klasma.github.io/Logging_2403/tillsynsmail/A 43969-2022 tillsynsbegäran mail.docx", "A 43969-2022")</f>
        <v/>
      </c>
    </row>
    <row r="836" ht="15" customHeight="1">
      <c r="A836" t="inlineStr">
        <is>
          <t>A 44036-2022</t>
        </is>
      </c>
      <c r="B836" s="1" t="n">
        <v>44838</v>
      </c>
      <c r="C836" s="1" t="n">
        <v>45357</v>
      </c>
      <c r="D836" t="inlineStr">
        <is>
          <t>VÄSTERBOTTENS LÄN</t>
        </is>
      </c>
      <c r="E836" t="inlineStr">
        <is>
          <t>DOROTEA</t>
        </is>
      </c>
      <c r="F836" t="inlineStr">
        <is>
          <t>SCA</t>
        </is>
      </c>
      <c r="G836" t="n">
        <v>6.3</v>
      </c>
      <c r="H836" t="n">
        <v>0</v>
      </c>
      <c r="I836" t="n">
        <v>0</v>
      </c>
      <c r="J836" t="n">
        <v>1</v>
      </c>
      <c r="K836" t="n">
        <v>0</v>
      </c>
      <c r="L836" t="n">
        <v>0</v>
      </c>
      <c r="M836" t="n">
        <v>0</v>
      </c>
      <c r="N836" t="n">
        <v>0</v>
      </c>
      <c r="O836" t="n">
        <v>1</v>
      </c>
      <c r="P836" t="n">
        <v>0</v>
      </c>
      <c r="Q836" t="n">
        <v>1</v>
      </c>
      <c r="R836" s="2" t="inlineStr">
        <is>
          <t>Ullticka</t>
        </is>
      </c>
      <c r="S836">
        <f>HYPERLINK("https://klasma.github.io/Logging_2425/artfynd/A 44036-2022 artfynd.xlsx", "A 44036-2022")</f>
        <v/>
      </c>
      <c r="T836">
        <f>HYPERLINK("https://klasma.github.io/Logging_2425/kartor/A 44036-2022 karta.png", "A 44036-2022")</f>
        <v/>
      </c>
      <c r="V836">
        <f>HYPERLINK("https://klasma.github.io/Logging_2425/klagomål/A 44036-2022 FSC-klagomål.docx", "A 44036-2022")</f>
        <v/>
      </c>
      <c r="W836">
        <f>HYPERLINK("https://klasma.github.io/Logging_2425/klagomålsmail/A 44036-2022 FSC-klagomål mail.docx", "A 44036-2022")</f>
        <v/>
      </c>
      <c r="X836">
        <f>HYPERLINK("https://klasma.github.io/Logging_2425/tillsyn/A 44036-2022 tillsynsbegäran.docx", "A 44036-2022")</f>
        <v/>
      </c>
      <c r="Y836">
        <f>HYPERLINK("https://klasma.github.io/Logging_2425/tillsynsmail/A 44036-2022 tillsynsbegäran mail.docx", "A 44036-2022")</f>
        <v/>
      </c>
    </row>
    <row r="837" ht="15" customHeight="1">
      <c r="A837" t="inlineStr">
        <is>
          <t>A 44389-2022</t>
        </is>
      </c>
      <c r="B837" s="1" t="n">
        <v>44838</v>
      </c>
      <c r="C837" s="1" t="n">
        <v>45357</v>
      </c>
      <c r="D837" t="inlineStr">
        <is>
          <t>VÄSTERBOTTENS LÄN</t>
        </is>
      </c>
      <c r="E837" t="inlineStr">
        <is>
          <t>DOROTEA</t>
        </is>
      </c>
      <c r="G837" t="n">
        <v>1.8</v>
      </c>
      <c r="H837" t="n">
        <v>0</v>
      </c>
      <c r="I837" t="n">
        <v>0</v>
      </c>
      <c r="J837" t="n">
        <v>1</v>
      </c>
      <c r="K837" t="n">
        <v>0</v>
      </c>
      <c r="L837" t="n">
        <v>0</v>
      </c>
      <c r="M837" t="n">
        <v>0</v>
      </c>
      <c r="N837" t="n">
        <v>0</v>
      </c>
      <c r="O837" t="n">
        <v>1</v>
      </c>
      <c r="P837" t="n">
        <v>0</v>
      </c>
      <c r="Q837" t="n">
        <v>1</v>
      </c>
      <c r="R837" s="2" t="inlineStr">
        <is>
          <t>Granticka</t>
        </is>
      </c>
      <c r="S837">
        <f>HYPERLINK("https://klasma.github.io/Logging_2425/artfynd/A 44389-2022 artfynd.xlsx", "A 44389-2022")</f>
        <v/>
      </c>
      <c r="T837">
        <f>HYPERLINK("https://klasma.github.io/Logging_2425/kartor/A 44389-2022 karta.png", "A 44389-2022")</f>
        <v/>
      </c>
      <c r="V837">
        <f>HYPERLINK("https://klasma.github.io/Logging_2425/klagomål/A 44389-2022 FSC-klagomål.docx", "A 44389-2022")</f>
        <v/>
      </c>
      <c r="W837">
        <f>HYPERLINK("https://klasma.github.io/Logging_2425/klagomålsmail/A 44389-2022 FSC-klagomål mail.docx", "A 44389-2022")</f>
        <v/>
      </c>
      <c r="X837">
        <f>HYPERLINK("https://klasma.github.io/Logging_2425/tillsyn/A 44389-2022 tillsynsbegäran.docx", "A 44389-2022")</f>
        <v/>
      </c>
      <c r="Y837">
        <f>HYPERLINK("https://klasma.github.io/Logging_2425/tillsynsmail/A 44389-2022 tillsynsbegäran mail.docx", "A 44389-2022")</f>
        <v/>
      </c>
    </row>
    <row r="838" ht="15" customHeight="1">
      <c r="A838" t="inlineStr">
        <is>
          <t>A 44222-2022</t>
        </is>
      </c>
      <c r="B838" s="1" t="n">
        <v>44839</v>
      </c>
      <c r="C838" s="1" t="n">
        <v>45357</v>
      </c>
      <c r="D838" t="inlineStr">
        <is>
          <t>VÄSTERBOTTENS LÄN</t>
        </is>
      </c>
      <c r="E838" t="inlineStr">
        <is>
          <t>ROBERTSFORS</t>
        </is>
      </c>
      <c r="F838" t="inlineStr">
        <is>
          <t>Holmen skog AB</t>
        </is>
      </c>
      <c r="G838" t="n">
        <v>23.5</v>
      </c>
      <c r="H838" t="n">
        <v>0</v>
      </c>
      <c r="I838" t="n">
        <v>0</v>
      </c>
      <c r="J838" t="n">
        <v>1</v>
      </c>
      <c r="K838" t="n">
        <v>0</v>
      </c>
      <c r="L838" t="n">
        <v>0</v>
      </c>
      <c r="M838" t="n">
        <v>0</v>
      </c>
      <c r="N838" t="n">
        <v>0</v>
      </c>
      <c r="O838" t="n">
        <v>1</v>
      </c>
      <c r="P838" t="n">
        <v>0</v>
      </c>
      <c r="Q838" t="n">
        <v>1</v>
      </c>
      <c r="R838" s="2" t="inlineStr">
        <is>
          <t>Kortskaftad ärgspik</t>
        </is>
      </c>
      <c r="S838">
        <f>HYPERLINK("https://klasma.github.io/Logging_2409/artfynd/A 44222-2022 artfynd.xlsx", "A 44222-2022")</f>
        <v/>
      </c>
      <c r="T838">
        <f>HYPERLINK("https://klasma.github.io/Logging_2409/kartor/A 44222-2022 karta.png", "A 44222-2022")</f>
        <v/>
      </c>
      <c r="V838">
        <f>HYPERLINK("https://klasma.github.io/Logging_2409/klagomål/A 44222-2022 FSC-klagomål.docx", "A 44222-2022")</f>
        <v/>
      </c>
      <c r="W838">
        <f>HYPERLINK("https://klasma.github.io/Logging_2409/klagomålsmail/A 44222-2022 FSC-klagomål mail.docx", "A 44222-2022")</f>
        <v/>
      </c>
      <c r="X838">
        <f>HYPERLINK("https://klasma.github.io/Logging_2409/tillsyn/A 44222-2022 tillsynsbegäran.docx", "A 44222-2022")</f>
        <v/>
      </c>
      <c r="Y838">
        <f>HYPERLINK("https://klasma.github.io/Logging_2409/tillsynsmail/A 44222-2022 tillsynsbegäran mail.docx", "A 44222-2022")</f>
        <v/>
      </c>
    </row>
    <row r="839" ht="15" customHeight="1">
      <c r="A839" t="inlineStr">
        <is>
          <t>A 44990-2022</t>
        </is>
      </c>
      <c r="B839" s="1" t="n">
        <v>44840</v>
      </c>
      <c r="C839" s="1" t="n">
        <v>45357</v>
      </c>
      <c r="D839" t="inlineStr">
        <is>
          <t>VÄSTERBOTTENS LÄN</t>
        </is>
      </c>
      <c r="E839" t="inlineStr">
        <is>
          <t>ROBERTSFORS</t>
        </is>
      </c>
      <c r="G839" t="n">
        <v>2.4</v>
      </c>
      <c r="H839" t="n">
        <v>0</v>
      </c>
      <c r="I839" t="n">
        <v>0</v>
      </c>
      <c r="J839" t="n">
        <v>1</v>
      </c>
      <c r="K839" t="n">
        <v>0</v>
      </c>
      <c r="L839" t="n">
        <v>0</v>
      </c>
      <c r="M839" t="n">
        <v>0</v>
      </c>
      <c r="N839" t="n">
        <v>0</v>
      </c>
      <c r="O839" t="n">
        <v>1</v>
      </c>
      <c r="P839" t="n">
        <v>0</v>
      </c>
      <c r="Q839" t="n">
        <v>1</v>
      </c>
      <c r="R839" s="2" t="inlineStr">
        <is>
          <t>Ullticka</t>
        </is>
      </c>
      <c r="S839">
        <f>HYPERLINK("https://klasma.github.io/Logging_2409/artfynd/A 44990-2022 artfynd.xlsx", "A 44990-2022")</f>
        <v/>
      </c>
      <c r="T839">
        <f>HYPERLINK("https://klasma.github.io/Logging_2409/kartor/A 44990-2022 karta.png", "A 44990-2022")</f>
        <v/>
      </c>
      <c r="V839">
        <f>HYPERLINK("https://klasma.github.io/Logging_2409/klagomål/A 44990-2022 FSC-klagomål.docx", "A 44990-2022")</f>
        <v/>
      </c>
      <c r="W839">
        <f>HYPERLINK("https://klasma.github.io/Logging_2409/klagomålsmail/A 44990-2022 FSC-klagomål mail.docx", "A 44990-2022")</f>
        <v/>
      </c>
      <c r="X839">
        <f>HYPERLINK("https://klasma.github.io/Logging_2409/tillsyn/A 44990-2022 tillsynsbegäran.docx", "A 44990-2022")</f>
        <v/>
      </c>
      <c r="Y839">
        <f>HYPERLINK("https://klasma.github.io/Logging_2409/tillsynsmail/A 44990-2022 tillsynsbegäran mail.docx", "A 44990-2022")</f>
        <v/>
      </c>
    </row>
    <row r="840" ht="15" customHeight="1">
      <c r="A840" t="inlineStr">
        <is>
          <t>A 46317-2022</t>
        </is>
      </c>
      <c r="B840" s="1" t="n">
        <v>44847</v>
      </c>
      <c r="C840" s="1" t="n">
        <v>45357</v>
      </c>
      <c r="D840" t="inlineStr">
        <is>
          <t>VÄSTERBOTTENS LÄN</t>
        </is>
      </c>
      <c r="E840" t="inlineStr">
        <is>
          <t>MALÅ</t>
        </is>
      </c>
      <c r="G840" t="n">
        <v>76.40000000000001</v>
      </c>
      <c r="H840" t="n">
        <v>0</v>
      </c>
      <c r="I840" t="n">
        <v>0</v>
      </c>
      <c r="J840" t="n">
        <v>1</v>
      </c>
      <c r="K840" t="n">
        <v>0</v>
      </c>
      <c r="L840" t="n">
        <v>0</v>
      </c>
      <c r="M840" t="n">
        <v>0</v>
      </c>
      <c r="N840" t="n">
        <v>0</v>
      </c>
      <c r="O840" t="n">
        <v>1</v>
      </c>
      <c r="P840" t="n">
        <v>0</v>
      </c>
      <c r="Q840" t="n">
        <v>1</v>
      </c>
      <c r="R840" s="2" t="inlineStr">
        <is>
          <t>Rosenticka</t>
        </is>
      </c>
      <c r="S840">
        <f>HYPERLINK("https://klasma.github.io/Logging_2418/artfynd/A 46317-2022 artfynd.xlsx", "A 46317-2022")</f>
        <v/>
      </c>
      <c r="T840">
        <f>HYPERLINK("https://klasma.github.io/Logging_2418/kartor/A 46317-2022 karta.png", "A 46317-2022")</f>
        <v/>
      </c>
      <c r="V840">
        <f>HYPERLINK("https://klasma.github.io/Logging_2418/klagomål/A 46317-2022 FSC-klagomål.docx", "A 46317-2022")</f>
        <v/>
      </c>
      <c r="W840">
        <f>HYPERLINK("https://klasma.github.io/Logging_2418/klagomålsmail/A 46317-2022 FSC-klagomål mail.docx", "A 46317-2022")</f>
        <v/>
      </c>
      <c r="X840">
        <f>HYPERLINK("https://klasma.github.io/Logging_2418/tillsyn/A 46317-2022 tillsynsbegäran.docx", "A 46317-2022")</f>
        <v/>
      </c>
      <c r="Y840">
        <f>HYPERLINK("https://klasma.github.io/Logging_2418/tillsynsmail/A 46317-2022 tillsynsbegäran mail.docx", "A 46317-2022")</f>
        <v/>
      </c>
    </row>
    <row r="841" ht="15" customHeight="1">
      <c r="A841" t="inlineStr">
        <is>
          <t>A 46990-2022</t>
        </is>
      </c>
      <c r="B841" s="1" t="n">
        <v>44851</v>
      </c>
      <c r="C841" s="1" t="n">
        <v>45357</v>
      </c>
      <c r="D841" t="inlineStr">
        <is>
          <t>VÄSTERBOTTENS LÄN</t>
        </is>
      </c>
      <c r="E841" t="inlineStr">
        <is>
          <t>NORDMALING</t>
        </is>
      </c>
      <c r="F841" t="inlineStr">
        <is>
          <t>SCA</t>
        </is>
      </c>
      <c r="G841" t="n">
        <v>7.7</v>
      </c>
      <c r="H841" t="n">
        <v>0</v>
      </c>
      <c r="I841" t="n">
        <v>0</v>
      </c>
      <c r="J841" t="n">
        <v>1</v>
      </c>
      <c r="K841" t="n">
        <v>0</v>
      </c>
      <c r="L841" t="n">
        <v>0</v>
      </c>
      <c r="M841" t="n">
        <v>0</v>
      </c>
      <c r="N841" t="n">
        <v>0</v>
      </c>
      <c r="O841" t="n">
        <v>1</v>
      </c>
      <c r="P841" t="n">
        <v>0</v>
      </c>
      <c r="Q841" t="n">
        <v>1</v>
      </c>
      <c r="R841" s="2" t="inlineStr">
        <is>
          <t>Lunglav</t>
        </is>
      </c>
      <c r="S841">
        <f>HYPERLINK("https://klasma.github.io/Logging_2401/artfynd/A 46990-2022 artfynd.xlsx", "A 46990-2022")</f>
        <v/>
      </c>
      <c r="T841">
        <f>HYPERLINK("https://klasma.github.io/Logging_2401/kartor/A 46990-2022 karta.png", "A 46990-2022")</f>
        <v/>
      </c>
      <c r="V841">
        <f>HYPERLINK("https://klasma.github.io/Logging_2401/klagomål/A 46990-2022 FSC-klagomål.docx", "A 46990-2022")</f>
        <v/>
      </c>
      <c r="W841">
        <f>HYPERLINK("https://klasma.github.io/Logging_2401/klagomålsmail/A 46990-2022 FSC-klagomål mail.docx", "A 46990-2022")</f>
        <v/>
      </c>
      <c r="X841">
        <f>HYPERLINK("https://klasma.github.io/Logging_2401/tillsyn/A 46990-2022 tillsynsbegäran.docx", "A 46990-2022")</f>
        <v/>
      </c>
      <c r="Y841">
        <f>HYPERLINK("https://klasma.github.io/Logging_2401/tillsynsmail/A 46990-2022 tillsynsbegäran mail.docx", "A 46990-2022")</f>
        <v/>
      </c>
    </row>
    <row r="842" ht="15" customHeight="1">
      <c r="A842" t="inlineStr">
        <is>
          <t>A 47251-2022</t>
        </is>
      </c>
      <c r="B842" s="1" t="n">
        <v>44852</v>
      </c>
      <c r="C842" s="1" t="n">
        <v>45357</v>
      </c>
      <c r="D842" t="inlineStr">
        <is>
          <t>VÄSTERBOTTENS LÄN</t>
        </is>
      </c>
      <c r="E842" t="inlineStr">
        <is>
          <t>VILHELMINA</t>
        </is>
      </c>
      <c r="F842" t="inlineStr">
        <is>
          <t>SCA</t>
        </is>
      </c>
      <c r="G842" t="n">
        <v>16.4</v>
      </c>
      <c r="H842" t="n">
        <v>0</v>
      </c>
      <c r="I842" t="n">
        <v>0</v>
      </c>
      <c r="J842" t="n">
        <v>1</v>
      </c>
      <c r="K842" t="n">
        <v>0</v>
      </c>
      <c r="L842" t="n">
        <v>0</v>
      </c>
      <c r="M842" t="n">
        <v>0</v>
      </c>
      <c r="N842" t="n">
        <v>0</v>
      </c>
      <c r="O842" t="n">
        <v>1</v>
      </c>
      <c r="P842" t="n">
        <v>0</v>
      </c>
      <c r="Q842" t="n">
        <v>1</v>
      </c>
      <c r="R842" s="2" t="inlineStr">
        <is>
          <t>Rosenticka</t>
        </is>
      </c>
      <c r="S842">
        <f>HYPERLINK("https://klasma.github.io/Logging_2462/artfynd/A 47251-2022 artfynd.xlsx", "A 47251-2022")</f>
        <v/>
      </c>
      <c r="T842">
        <f>HYPERLINK("https://klasma.github.io/Logging_2462/kartor/A 47251-2022 karta.png", "A 47251-2022")</f>
        <v/>
      </c>
      <c r="V842">
        <f>HYPERLINK("https://klasma.github.io/Logging_2462/klagomål/A 47251-2022 FSC-klagomål.docx", "A 47251-2022")</f>
        <v/>
      </c>
      <c r="W842">
        <f>HYPERLINK("https://klasma.github.io/Logging_2462/klagomålsmail/A 47251-2022 FSC-klagomål mail.docx", "A 47251-2022")</f>
        <v/>
      </c>
      <c r="X842">
        <f>HYPERLINK("https://klasma.github.io/Logging_2462/tillsyn/A 47251-2022 tillsynsbegäran.docx", "A 47251-2022")</f>
        <v/>
      </c>
      <c r="Y842">
        <f>HYPERLINK("https://klasma.github.io/Logging_2462/tillsynsmail/A 47251-2022 tillsynsbegäran mail.docx", "A 47251-2022")</f>
        <v/>
      </c>
    </row>
    <row r="843" ht="15" customHeight="1">
      <c r="A843" t="inlineStr">
        <is>
          <t>A 47963-2022</t>
        </is>
      </c>
      <c r="B843" s="1" t="n">
        <v>44855</v>
      </c>
      <c r="C843" s="1" t="n">
        <v>45357</v>
      </c>
      <c r="D843" t="inlineStr">
        <is>
          <t>VÄSTERBOTTENS LÄN</t>
        </is>
      </c>
      <c r="E843" t="inlineStr">
        <is>
          <t>SKELLEFTEÅ</t>
        </is>
      </c>
      <c r="F843" t="inlineStr">
        <is>
          <t>Holmen skog AB</t>
        </is>
      </c>
      <c r="G843" t="n">
        <v>18.7</v>
      </c>
      <c r="H843" t="n">
        <v>0</v>
      </c>
      <c r="I843" t="n">
        <v>1</v>
      </c>
      <c r="J843" t="n">
        <v>0</v>
      </c>
      <c r="K843" t="n">
        <v>0</v>
      </c>
      <c r="L843" t="n">
        <v>0</v>
      </c>
      <c r="M843" t="n">
        <v>0</v>
      </c>
      <c r="N843" t="n">
        <v>0</v>
      </c>
      <c r="O843" t="n">
        <v>0</v>
      </c>
      <c r="P843" t="n">
        <v>0</v>
      </c>
      <c r="Q843" t="n">
        <v>1</v>
      </c>
      <c r="R843" s="2" t="inlineStr">
        <is>
          <t>Skinnlav</t>
        </is>
      </c>
      <c r="S843">
        <f>HYPERLINK("https://klasma.github.io/Logging_2482/artfynd/A 47963-2022 artfynd.xlsx", "A 47963-2022")</f>
        <v/>
      </c>
      <c r="T843">
        <f>HYPERLINK("https://klasma.github.io/Logging_2482/kartor/A 47963-2022 karta.png", "A 47963-2022")</f>
        <v/>
      </c>
      <c r="V843">
        <f>HYPERLINK("https://klasma.github.io/Logging_2482/klagomål/A 47963-2022 FSC-klagomål.docx", "A 47963-2022")</f>
        <v/>
      </c>
      <c r="W843">
        <f>HYPERLINK("https://klasma.github.io/Logging_2482/klagomålsmail/A 47963-2022 FSC-klagomål mail.docx", "A 47963-2022")</f>
        <v/>
      </c>
      <c r="X843">
        <f>HYPERLINK("https://klasma.github.io/Logging_2482/tillsyn/A 47963-2022 tillsynsbegäran.docx", "A 47963-2022")</f>
        <v/>
      </c>
      <c r="Y843">
        <f>HYPERLINK("https://klasma.github.io/Logging_2482/tillsynsmail/A 47963-2022 tillsynsbegäran mail.docx", "A 47963-2022")</f>
        <v/>
      </c>
    </row>
    <row r="844" ht="15" customHeight="1">
      <c r="A844" t="inlineStr">
        <is>
          <t>A 48089-2022</t>
        </is>
      </c>
      <c r="B844" s="1" t="n">
        <v>44855</v>
      </c>
      <c r="C844" s="1" t="n">
        <v>45357</v>
      </c>
      <c r="D844" t="inlineStr">
        <is>
          <t>VÄSTERBOTTENS LÄN</t>
        </is>
      </c>
      <c r="E844" t="inlineStr">
        <is>
          <t>DOROTEA</t>
        </is>
      </c>
      <c r="F844" t="inlineStr">
        <is>
          <t>SCA</t>
        </is>
      </c>
      <c r="G844" t="n">
        <v>9.199999999999999</v>
      </c>
      <c r="H844" t="n">
        <v>0</v>
      </c>
      <c r="I844" t="n">
        <v>0</v>
      </c>
      <c r="J844" t="n">
        <v>1</v>
      </c>
      <c r="K844" t="n">
        <v>0</v>
      </c>
      <c r="L844" t="n">
        <v>0</v>
      </c>
      <c r="M844" t="n">
        <v>0</v>
      </c>
      <c r="N844" t="n">
        <v>0</v>
      </c>
      <c r="O844" t="n">
        <v>1</v>
      </c>
      <c r="P844" t="n">
        <v>0</v>
      </c>
      <c r="Q844" t="n">
        <v>1</v>
      </c>
      <c r="R844" s="2" t="inlineStr">
        <is>
          <t>Gammelgransskål</t>
        </is>
      </c>
      <c r="S844">
        <f>HYPERLINK("https://klasma.github.io/Logging_2425/artfynd/A 48089-2022 artfynd.xlsx", "A 48089-2022")</f>
        <v/>
      </c>
      <c r="T844">
        <f>HYPERLINK("https://klasma.github.io/Logging_2425/kartor/A 48089-2022 karta.png", "A 48089-2022")</f>
        <v/>
      </c>
      <c r="V844">
        <f>HYPERLINK("https://klasma.github.io/Logging_2425/klagomål/A 48089-2022 FSC-klagomål.docx", "A 48089-2022")</f>
        <v/>
      </c>
      <c r="W844">
        <f>HYPERLINK("https://klasma.github.io/Logging_2425/klagomålsmail/A 48089-2022 FSC-klagomål mail.docx", "A 48089-2022")</f>
        <v/>
      </c>
      <c r="X844">
        <f>HYPERLINK("https://klasma.github.io/Logging_2425/tillsyn/A 48089-2022 tillsynsbegäran.docx", "A 48089-2022")</f>
        <v/>
      </c>
      <c r="Y844">
        <f>HYPERLINK("https://klasma.github.io/Logging_2425/tillsynsmail/A 48089-2022 tillsynsbegäran mail.docx", "A 48089-2022")</f>
        <v/>
      </c>
    </row>
    <row r="845" ht="15" customHeight="1">
      <c r="A845" t="inlineStr">
        <is>
          <t>A 48947-2022</t>
        </is>
      </c>
      <c r="B845" s="1" t="n">
        <v>44859</v>
      </c>
      <c r="C845" s="1" t="n">
        <v>45357</v>
      </c>
      <c r="D845" t="inlineStr">
        <is>
          <t>VÄSTERBOTTENS LÄN</t>
        </is>
      </c>
      <c r="E845" t="inlineStr">
        <is>
          <t>NORDMALING</t>
        </is>
      </c>
      <c r="F845" t="inlineStr">
        <is>
          <t>SCA</t>
        </is>
      </c>
      <c r="G845" t="n">
        <v>3.4</v>
      </c>
      <c r="H845" t="n">
        <v>0</v>
      </c>
      <c r="I845" t="n">
        <v>1</v>
      </c>
      <c r="J845" t="n">
        <v>0</v>
      </c>
      <c r="K845" t="n">
        <v>0</v>
      </c>
      <c r="L845" t="n">
        <v>0</v>
      </c>
      <c r="M845" t="n">
        <v>0</v>
      </c>
      <c r="N845" t="n">
        <v>0</v>
      </c>
      <c r="O845" t="n">
        <v>0</v>
      </c>
      <c r="P845" t="n">
        <v>0</v>
      </c>
      <c r="Q845" t="n">
        <v>1</v>
      </c>
      <c r="R845" s="2" t="inlineStr">
        <is>
          <t>Trådticka</t>
        </is>
      </c>
      <c r="S845">
        <f>HYPERLINK("https://klasma.github.io/Logging_2401/artfynd/A 48947-2022 artfynd.xlsx", "A 48947-2022")</f>
        <v/>
      </c>
      <c r="T845">
        <f>HYPERLINK("https://klasma.github.io/Logging_2401/kartor/A 48947-2022 karta.png", "A 48947-2022")</f>
        <v/>
      </c>
      <c r="V845">
        <f>HYPERLINK("https://klasma.github.io/Logging_2401/klagomål/A 48947-2022 FSC-klagomål.docx", "A 48947-2022")</f>
        <v/>
      </c>
      <c r="W845">
        <f>HYPERLINK("https://klasma.github.io/Logging_2401/klagomålsmail/A 48947-2022 FSC-klagomål mail.docx", "A 48947-2022")</f>
        <v/>
      </c>
      <c r="X845">
        <f>HYPERLINK("https://klasma.github.io/Logging_2401/tillsyn/A 48947-2022 tillsynsbegäran.docx", "A 48947-2022")</f>
        <v/>
      </c>
      <c r="Y845">
        <f>HYPERLINK("https://klasma.github.io/Logging_2401/tillsynsmail/A 48947-2022 tillsynsbegäran mail.docx", "A 48947-2022")</f>
        <v/>
      </c>
    </row>
    <row r="846" ht="15" customHeight="1">
      <c r="A846" t="inlineStr">
        <is>
          <t>A 49658-2022</t>
        </is>
      </c>
      <c r="B846" s="1" t="n">
        <v>44862</v>
      </c>
      <c r="C846" s="1" t="n">
        <v>45357</v>
      </c>
      <c r="D846" t="inlineStr">
        <is>
          <t>VÄSTERBOTTENS LÄN</t>
        </is>
      </c>
      <c r="E846" t="inlineStr">
        <is>
          <t>UMEÅ</t>
        </is>
      </c>
      <c r="F846" t="inlineStr">
        <is>
          <t>Holmen skog AB</t>
        </is>
      </c>
      <c r="G846" t="n">
        <v>2.2</v>
      </c>
      <c r="H846" t="n">
        <v>1</v>
      </c>
      <c r="I846" t="n">
        <v>0</v>
      </c>
      <c r="J846" t="n">
        <v>0</v>
      </c>
      <c r="K846" t="n">
        <v>0</v>
      </c>
      <c r="L846" t="n">
        <v>0</v>
      </c>
      <c r="M846" t="n">
        <v>0</v>
      </c>
      <c r="N846" t="n">
        <v>0</v>
      </c>
      <c r="O846" t="n">
        <v>0</v>
      </c>
      <c r="P846" t="n">
        <v>0</v>
      </c>
      <c r="Q846" t="n">
        <v>1</v>
      </c>
      <c r="R846" s="2" t="inlineStr">
        <is>
          <t>Vanlig groda</t>
        </is>
      </c>
      <c r="S846">
        <f>HYPERLINK("https://klasma.github.io/Logging_2480/artfynd/A 49658-2022 artfynd.xlsx", "A 49658-2022")</f>
        <v/>
      </c>
      <c r="T846">
        <f>HYPERLINK("https://klasma.github.io/Logging_2480/kartor/A 49658-2022 karta.png", "A 49658-2022")</f>
        <v/>
      </c>
      <c r="V846">
        <f>HYPERLINK("https://klasma.github.io/Logging_2480/klagomål/A 49658-2022 FSC-klagomål.docx", "A 49658-2022")</f>
        <v/>
      </c>
      <c r="W846">
        <f>HYPERLINK("https://klasma.github.io/Logging_2480/klagomålsmail/A 49658-2022 FSC-klagomål mail.docx", "A 49658-2022")</f>
        <v/>
      </c>
      <c r="X846">
        <f>HYPERLINK("https://klasma.github.io/Logging_2480/tillsyn/A 49658-2022 tillsynsbegäran.docx", "A 49658-2022")</f>
        <v/>
      </c>
      <c r="Y846">
        <f>HYPERLINK("https://klasma.github.io/Logging_2480/tillsynsmail/A 49658-2022 tillsynsbegäran mail.docx", "A 49658-2022")</f>
        <v/>
      </c>
    </row>
    <row r="847" ht="15" customHeight="1">
      <c r="A847" t="inlineStr">
        <is>
          <t>A 49588-2022</t>
        </is>
      </c>
      <c r="B847" s="1" t="n">
        <v>44862</v>
      </c>
      <c r="C847" s="1" t="n">
        <v>45357</v>
      </c>
      <c r="D847" t="inlineStr">
        <is>
          <t>VÄSTERBOTTENS LÄN</t>
        </is>
      </c>
      <c r="E847" t="inlineStr">
        <is>
          <t>SKELLEFTEÅ</t>
        </is>
      </c>
      <c r="F847" t="inlineStr">
        <is>
          <t>Holmen skog AB</t>
        </is>
      </c>
      <c r="G847" t="n">
        <v>6.1</v>
      </c>
      <c r="H847" t="n">
        <v>0</v>
      </c>
      <c r="I847" t="n">
        <v>0</v>
      </c>
      <c r="J847" t="n">
        <v>1</v>
      </c>
      <c r="K847" t="n">
        <v>0</v>
      </c>
      <c r="L847" t="n">
        <v>0</v>
      </c>
      <c r="M847" t="n">
        <v>0</v>
      </c>
      <c r="N847" t="n">
        <v>0</v>
      </c>
      <c r="O847" t="n">
        <v>1</v>
      </c>
      <c r="P847" t="n">
        <v>0</v>
      </c>
      <c r="Q847" t="n">
        <v>1</v>
      </c>
      <c r="R847" s="2" t="inlineStr">
        <is>
          <t>Lunglav</t>
        </is>
      </c>
      <c r="S847">
        <f>HYPERLINK("https://klasma.github.io/Logging_2482/artfynd/A 49588-2022 artfynd.xlsx", "A 49588-2022")</f>
        <v/>
      </c>
      <c r="T847">
        <f>HYPERLINK("https://klasma.github.io/Logging_2482/kartor/A 49588-2022 karta.png", "A 49588-2022")</f>
        <v/>
      </c>
      <c r="V847">
        <f>HYPERLINK("https://klasma.github.io/Logging_2482/klagomål/A 49588-2022 FSC-klagomål.docx", "A 49588-2022")</f>
        <v/>
      </c>
      <c r="W847">
        <f>HYPERLINK("https://klasma.github.io/Logging_2482/klagomålsmail/A 49588-2022 FSC-klagomål mail.docx", "A 49588-2022")</f>
        <v/>
      </c>
      <c r="X847">
        <f>HYPERLINK("https://klasma.github.io/Logging_2482/tillsyn/A 49588-2022 tillsynsbegäran.docx", "A 49588-2022")</f>
        <v/>
      </c>
      <c r="Y847">
        <f>HYPERLINK("https://klasma.github.io/Logging_2482/tillsynsmail/A 49588-2022 tillsynsbegäran mail.docx", "A 49588-2022")</f>
        <v/>
      </c>
    </row>
    <row r="848" ht="15" customHeight="1">
      <c r="A848" t="inlineStr">
        <is>
          <t>A 49842-2022</t>
        </is>
      </c>
      <c r="B848" s="1" t="n">
        <v>44862</v>
      </c>
      <c r="C848" s="1" t="n">
        <v>45357</v>
      </c>
      <c r="D848" t="inlineStr">
        <is>
          <t>VÄSTERBOTTENS LÄN</t>
        </is>
      </c>
      <c r="E848" t="inlineStr">
        <is>
          <t>SKELLEFTEÅ</t>
        </is>
      </c>
      <c r="G848" t="n">
        <v>7</v>
      </c>
      <c r="H848" t="n">
        <v>0</v>
      </c>
      <c r="I848" t="n">
        <v>0</v>
      </c>
      <c r="J848" t="n">
        <v>1</v>
      </c>
      <c r="K848" t="n">
        <v>0</v>
      </c>
      <c r="L848" t="n">
        <v>0</v>
      </c>
      <c r="M848" t="n">
        <v>0</v>
      </c>
      <c r="N848" t="n">
        <v>0</v>
      </c>
      <c r="O848" t="n">
        <v>1</v>
      </c>
      <c r="P848" t="n">
        <v>0</v>
      </c>
      <c r="Q848" t="n">
        <v>1</v>
      </c>
      <c r="R848" s="2" t="inlineStr">
        <is>
          <t>Blå taggsvamp</t>
        </is>
      </c>
      <c r="S848">
        <f>HYPERLINK("https://klasma.github.io/Logging_2482/artfynd/A 49842-2022 artfynd.xlsx", "A 49842-2022")</f>
        <v/>
      </c>
      <c r="T848">
        <f>HYPERLINK("https://klasma.github.io/Logging_2482/kartor/A 49842-2022 karta.png", "A 49842-2022")</f>
        <v/>
      </c>
      <c r="V848">
        <f>HYPERLINK("https://klasma.github.io/Logging_2482/klagomål/A 49842-2022 FSC-klagomål.docx", "A 49842-2022")</f>
        <v/>
      </c>
      <c r="W848">
        <f>HYPERLINK("https://klasma.github.io/Logging_2482/klagomålsmail/A 49842-2022 FSC-klagomål mail.docx", "A 49842-2022")</f>
        <v/>
      </c>
      <c r="X848">
        <f>HYPERLINK("https://klasma.github.io/Logging_2482/tillsyn/A 49842-2022 tillsynsbegäran.docx", "A 49842-2022")</f>
        <v/>
      </c>
      <c r="Y848">
        <f>HYPERLINK("https://klasma.github.io/Logging_2482/tillsynsmail/A 49842-2022 tillsynsbegäran mail.docx", "A 49842-2022")</f>
        <v/>
      </c>
    </row>
    <row r="849" ht="15" customHeight="1">
      <c r="A849" t="inlineStr">
        <is>
          <t>A 50257-2022</t>
        </is>
      </c>
      <c r="B849" s="1" t="n">
        <v>44865</v>
      </c>
      <c r="C849" s="1" t="n">
        <v>45357</v>
      </c>
      <c r="D849" t="inlineStr">
        <is>
          <t>VÄSTERBOTTENS LÄN</t>
        </is>
      </c>
      <c r="E849" t="inlineStr">
        <is>
          <t>NORDMALING</t>
        </is>
      </c>
      <c r="F849" t="inlineStr">
        <is>
          <t>Holmen skog AB</t>
        </is>
      </c>
      <c r="G849" t="n">
        <v>9.6</v>
      </c>
      <c r="H849" t="n">
        <v>0</v>
      </c>
      <c r="I849" t="n">
        <v>0</v>
      </c>
      <c r="J849" t="n">
        <v>1</v>
      </c>
      <c r="K849" t="n">
        <v>0</v>
      </c>
      <c r="L849" t="n">
        <v>0</v>
      </c>
      <c r="M849" t="n">
        <v>0</v>
      </c>
      <c r="N849" t="n">
        <v>0</v>
      </c>
      <c r="O849" t="n">
        <v>1</v>
      </c>
      <c r="P849" t="n">
        <v>0</v>
      </c>
      <c r="Q849" t="n">
        <v>1</v>
      </c>
      <c r="R849" s="2" t="inlineStr">
        <is>
          <t>Garnlav</t>
        </is>
      </c>
      <c r="S849">
        <f>HYPERLINK("https://klasma.github.io/Logging_2401/artfynd/A 50257-2022 artfynd.xlsx", "A 50257-2022")</f>
        <v/>
      </c>
      <c r="T849">
        <f>HYPERLINK("https://klasma.github.io/Logging_2401/kartor/A 50257-2022 karta.png", "A 50257-2022")</f>
        <v/>
      </c>
      <c r="V849">
        <f>HYPERLINK("https://klasma.github.io/Logging_2401/klagomål/A 50257-2022 FSC-klagomål.docx", "A 50257-2022")</f>
        <v/>
      </c>
      <c r="W849">
        <f>HYPERLINK("https://klasma.github.io/Logging_2401/klagomålsmail/A 50257-2022 FSC-klagomål mail.docx", "A 50257-2022")</f>
        <v/>
      </c>
      <c r="X849">
        <f>HYPERLINK("https://klasma.github.io/Logging_2401/tillsyn/A 50257-2022 tillsynsbegäran.docx", "A 50257-2022")</f>
        <v/>
      </c>
      <c r="Y849">
        <f>HYPERLINK("https://klasma.github.io/Logging_2401/tillsynsmail/A 50257-2022 tillsynsbegäran mail.docx", "A 50257-2022")</f>
        <v/>
      </c>
    </row>
    <row r="850" ht="15" customHeight="1">
      <c r="A850" t="inlineStr">
        <is>
          <t>A 51554-2022</t>
        </is>
      </c>
      <c r="B850" s="1" t="n">
        <v>44869</v>
      </c>
      <c r="C850" s="1" t="n">
        <v>45357</v>
      </c>
      <c r="D850" t="inlineStr">
        <is>
          <t>VÄSTERBOTTENS LÄN</t>
        </is>
      </c>
      <c r="E850" t="inlineStr">
        <is>
          <t>LYCKSELE</t>
        </is>
      </c>
      <c r="F850" t="inlineStr">
        <is>
          <t>SCA</t>
        </is>
      </c>
      <c r="G850" t="n">
        <v>4.2</v>
      </c>
      <c r="H850" t="n">
        <v>1</v>
      </c>
      <c r="I850" t="n">
        <v>0</v>
      </c>
      <c r="J850" t="n">
        <v>1</v>
      </c>
      <c r="K850" t="n">
        <v>0</v>
      </c>
      <c r="L850" t="n">
        <v>0</v>
      </c>
      <c r="M850" t="n">
        <v>0</v>
      </c>
      <c r="N850" t="n">
        <v>0</v>
      </c>
      <c r="O850" t="n">
        <v>1</v>
      </c>
      <c r="P850" t="n">
        <v>0</v>
      </c>
      <c r="Q850" t="n">
        <v>1</v>
      </c>
      <c r="R850" s="2" t="inlineStr">
        <is>
          <t>Kungsörn</t>
        </is>
      </c>
      <c r="S850">
        <f>HYPERLINK("https://klasma.github.io/Logging_2481/artfynd/A 51554-2022 artfynd.xlsx", "A 51554-2022")</f>
        <v/>
      </c>
      <c r="T850">
        <f>HYPERLINK("https://klasma.github.io/Logging_2481/kartor/A 51554-2022 karta.png", "A 51554-2022")</f>
        <v/>
      </c>
      <c r="V850">
        <f>HYPERLINK("https://klasma.github.io/Logging_2481/klagomål/A 51554-2022 FSC-klagomål.docx", "A 51554-2022")</f>
        <v/>
      </c>
      <c r="W850">
        <f>HYPERLINK("https://klasma.github.io/Logging_2481/klagomålsmail/A 51554-2022 FSC-klagomål mail.docx", "A 51554-2022")</f>
        <v/>
      </c>
      <c r="X850">
        <f>HYPERLINK("https://klasma.github.io/Logging_2481/tillsyn/A 51554-2022 tillsynsbegäran.docx", "A 51554-2022")</f>
        <v/>
      </c>
      <c r="Y850">
        <f>HYPERLINK("https://klasma.github.io/Logging_2481/tillsynsmail/A 51554-2022 tillsynsbegäran mail.docx", "A 51554-2022")</f>
        <v/>
      </c>
      <c r="Z850">
        <f>HYPERLINK("https://klasma.github.io/Logging_2481/fåglar/A 51554-2022 prioriterade fågelarter.docx", "A 51554-2022")</f>
        <v/>
      </c>
    </row>
    <row r="851" ht="15" customHeight="1">
      <c r="A851" t="inlineStr">
        <is>
          <t>A 53071-2022</t>
        </is>
      </c>
      <c r="B851" s="1" t="n">
        <v>44873</v>
      </c>
      <c r="C851" s="1" t="n">
        <v>45357</v>
      </c>
      <c r="D851" t="inlineStr">
        <is>
          <t>VÄSTERBOTTENS LÄN</t>
        </is>
      </c>
      <c r="E851" t="inlineStr">
        <is>
          <t>SKELLEFTEÅ</t>
        </is>
      </c>
      <c r="G851" t="n">
        <v>10.6</v>
      </c>
      <c r="H851" t="n">
        <v>0</v>
      </c>
      <c r="I851" t="n">
        <v>0</v>
      </c>
      <c r="J851" t="n">
        <v>1</v>
      </c>
      <c r="K851" t="n">
        <v>0</v>
      </c>
      <c r="L851" t="n">
        <v>0</v>
      </c>
      <c r="M851" t="n">
        <v>0</v>
      </c>
      <c r="N851" t="n">
        <v>0</v>
      </c>
      <c r="O851" t="n">
        <v>1</v>
      </c>
      <c r="P851" t="n">
        <v>0</v>
      </c>
      <c r="Q851" t="n">
        <v>1</v>
      </c>
      <c r="R851" s="2" t="inlineStr">
        <is>
          <t>Granticka</t>
        </is>
      </c>
      <c r="S851">
        <f>HYPERLINK("https://klasma.github.io/Logging_2482/artfynd/A 53071-2022 artfynd.xlsx", "A 53071-2022")</f>
        <v/>
      </c>
      <c r="T851">
        <f>HYPERLINK("https://klasma.github.io/Logging_2482/kartor/A 53071-2022 karta.png", "A 53071-2022")</f>
        <v/>
      </c>
      <c r="V851">
        <f>HYPERLINK("https://klasma.github.io/Logging_2482/klagomål/A 53071-2022 FSC-klagomål.docx", "A 53071-2022")</f>
        <v/>
      </c>
      <c r="W851">
        <f>HYPERLINK("https://klasma.github.io/Logging_2482/klagomålsmail/A 53071-2022 FSC-klagomål mail.docx", "A 53071-2022")</f>
        <v/>
      </c>
      <c r="X851">
        <f>HYPERLINK("https://klasma.github.io/Logging_2482/tillsyn/A 53071-2022 tillsynsbegäran.docx", "A 53071-2022")</f>
        <v/>
      </c>
      <c r="Y851">
        <f>HYPERLINK("https://klasma.github.io/Logging_2482/tillsynsmail/A 53071-2022 tillsynsbegäran mail.docx", "A 53071-2022")</f>
        <v/>
      </c>
    </row>
    <row r="852" ht="15" customHeight="1">
      <c r="A852" t="inlineStr">
        <is>
          <t>A 52690-2022</t>
        </is>
      </c>
      <c r="B852" s="1" t="n">
        <v>44874</v>
      </c>
      <c r="C852" s="1" t="n">
        <v>45357</v>
      </c>
      <c r="D852" t="inlineStr">
        <is>
          <t>VÄSTERBOTTENS LÄN</t>
        </is>
      </c>
      <c r="E852" t="inlineStr">
        <is>
          <t>BJURHOLM</t>
        </is>
      </c>
      <c r="F852" t="inlineStr">
        <is>
          <t>Sveaskog</t>
        </is>
      </c>
      <c r="G852" t="n">
        <v>17.3</v>
      </c>
      <c r="H852" t="n">
        <v>0</v>
      </c>
      <c r="I852" t="n">
        <v>0</v>
      </c>
      <c r="J852" t="n">
        <v>1</v>
      </c>
      <c r="K852" t="n">
        <v>0</v>
      </c>
      <c r="L852" t="n">
        <v>0</v>
      </c>
      <c r="M852" t="n">
        <v>0</v>
      </c>
      <c r="N852" t="n">
        <v>0</v>
      </c>
      <c r="O852" t="n">
        <v>1</v>
      </c>
      <c r="P852" t="n">
        <v>0</v>
      </c>
      <c r="Q852" t="n">
        <v>1</v>
      </c>
      <c r="R852" s="2" t="inlineStr">
        <is>
          <t>Motaggsvamp</t>
        </is>
      </c>
      <c r="S852">
        <f>HYPERLINK("https://klasma.github.io/Logging_2403/artfynd/A 52690-2022 artfynd.xlsx", "A 52690-2022")</f>
        <v/>
      </c>
      <c r="T852">
        <f>HYPERLINK("https://klasma.github.io/Logging_2403/kartor/A 52690-2022 karta.png", "A 52690-2022")</f>
        <v/>
      </c>
      <c r="V852">
        <f>HYPERLINK("https://klasma.github.io/Logging_2403/klagomål/A 52690-2022 FSC-klagomål.docx", "A 52690-2022")</f>
        <v/>
      </c>
      <c r="W852">
        <f>HYPERLINK("https://klasma.github.io/Logging_2403/klagomålsmail/A 52690-2022 FSC-klagomål mail.docx", "A 52690-2022")</f>
        <v/>
      </c>
      <c r="X852">
        <f>HYPERLINK("https://klasma.github.io/Logging_2403/tillsyn/A 52690-2022 tillsynsbegäran.docx", "A 52690-2022")</f>
        <v/>
      </c>
      <c r="Y852">
        <f>HYPERLINK("https://klasma.github.io/Logging_2403/tillsynsmail/A 52690-2022 tillsynsbegäran mail.docx", "A 52690-2022")</f>
        <v/>
      </c>
    </row>
    <row r="853" ht="15" customHeight="1">
      <c r="A853" t="inlineStr">
        <is>
          <t>A 53137-2022</t>
        </is>
      </c>
      <c r="B853" s="1" t="n">
        <v>44876</v>
      </c>
      <c r="C853" s="1" t="n">
        <v>45357</v>
      </c>
      <c r="D853" t="inlineStr">
        <is>
          <t>VÄSTERBOTTENS LÄN</t>
        </is>
      </c>
      <c r="E853" t="inlineStr">
        <is>
          <t>SKELLEFTEÅ</t>
        </is>
      </c>
      <c r="F853" t="inlineStr">
        <is>
          <t>Holmen skog AB</t>
        </is>
      </c>
      <c r="G853" t="n">
        <v>7.5</v>
      </c>
      <c r="H853" t="n">
        <v>0</v>
      </c>
      <c r="I853" t="n">
        <v>0</v>
      </c>
      <c r="J853" t="n">
        <v>1</v>
      </c>
      <c r="K853" t="n">
        <v>0</v>
      </c>
      <c r="L853" t="n">
        <v>0</v>
      </c>
      <c r="M853" t="n">
        <v>0</v>
      </c>
      <c r="N853" t="n">
        <v>0</v>
      </c>
      <c r="O853" t="n">
        <v>1</v>
      </c>
      <c r="P853" t="n">
        <v>0</v>
      </c>
      <c r="Q853" t="n">
        <v>1</v>
      </c>
      <c r="R853" s="2" t="inlineStr">
        <is>
          <t>Garnlav</t>
        </is>
      </c>
      <c r="S853">
        <f>HYPERLINK("https://klasma.github.io/Logging_2482/artfynd/A 53137-2022 artfynd.xlsx", "A 53137-2022")</f>
        <v/>
      </c>
      <c r="T853">
        <f>HYPERLINK("https://klasma.github.io/Logging_2482/kartor/A 53137-2022 karta.png", "A 53137-2022")</f>
        <v/>
      </c>
      <c r="V853">
        <f>HYPERLINK("https://klasma.github.io/Logging_2482/klagomål/A 53137-2022 FSC-klagomål.docx", "A 53137-2022")</f>
        <v/>
      </c>
      <c r="W853">
        <f>HYPERLINK("https://klasma.github.io/Logging_2482/klagomålsmail/A 53137-2022 FSC-klagomål mail.docx", "A 53137-2022")</f>
        <v/>
      </c>
      <c r="X853">
        <f>HYPERLINK("https://klasma.github.io/Logging_2482/tillsyn/A 53137-2022 tillsynsbegäran.docx", "A 53137-2022")</f>
        <v/>
      </c>
      <c r="Y853">
        <f>HYPERLINK("https://klasma.github.io/Logging_2482/tillsynsmail/A 53137-2022 tillsynsbegäran mail.docx", "A 53137-2022")</f>
        <v/>
      </c>
    </row>
    <row r="854" ht="15" customHeight="1">
      <c r="A854" t="inlineStr">
        <is>
          <t>A 54058-2022</t>
        </is>
      </c>
      <c r="B854" s="1" t="n">
        <v>44881</v>
      </c>
      <c r="C854" s="1" t="n">
        <v>45357</v>
      </c>
      <c r="D854" t="inlineStr">
        <is>
          <t>VÄSTERBOTTENS LÄN</t>
        </is>
      </c>
      <c r="E854" t="inlineStr">
        <is>
          <t>SKELLEFTEÅ</t>
        </is>
      </c>
      <c r="F854" t="inlineStr">
        <is>
          <t>Sveaskog</t>
        </is>
      </c>
      <c r="G854" t="n">
        <v>1.2</v>
      </c>
      <c r="H854" t="n">
        <v>0</v>
      </c>
      <c r="I854" t="n">
        <v>1</v>
      </c>
      <c r="J854" t="n">
        <v>0</v>
      </c>
      <c r="K854" t="n">
        <v>0</v>
      </c>
      <c r="L854" t="n">
        <v>0</v>
      </c>
      <c r="M854" t="n">
        <v>0</v>
      </c>
      <c r="N854" t="n">
        <v>0</v>
      </c>
      <c r="O854" t="n">
        <v>0</v>
      </c>
      <c r="P854" t="n">
        <v>0</v>
      </c>
      <c r="Q854" t="n">
        <v>1</v>
      </c>
      <c r="R854" s="2" t="inlineStr">
        <is>
          <t>Luddlav</t>
        </is>
      </c>
      <c r="S854">
        <f>HYPERLINK("https://klasma.github.io/Logging_2482/artfynd/A 54058-2022 artfynd.xlsx", "A 54058-2022")</f>
        <v/>
      </c>
      <c r="T854">
        <f>HYPERLINK("https://klasma.github.io/Logging_2482/kartor/A 54058-2022 karta.png", "A 54058-2022")</f>
        <v/>
      </c>
      <c r="V854">
        <f>HYPERLINK("https://klasma.github.io/Logging_2482/klagomål/A 54058-2022 FSC-klagomål.docx", "A 54058-2022")</f>
        <v/>
      </c>
      <c r="W854">
        <f>HYPERLINK("https://klasma.github.io/Logging_2482/klagomålsmail/A 54058-2022 FSC-klagomål mail.docx", "A 54058-2022")</f>
        <v/>
      </c>
      <c r="X854">
        <f>HYPERLINK("https://klasma.github.io/Logging_2482/tillsyn/A 54058-2022 tillsynsbegäran.docx", "A 54058-2022")</f>
        <v/>
      </c>
      <c r="Y854">
        <f>HYPERLINK("https://klasma.github.io/Logging_2482/tillsynsmail/A 54058-2022 tillsynsbegäran mail.docx", "A 54058-2022")</f>
        <v/>
      </c>
    </row>
    <row r="855" ht="15" customHeight="1">
      <c r="A855" t="inlineStr">
        <is>
          <t>A 57618-2022</t>
        </is>
      </c>
      <c r="B855" s="1" t="n">
        <v>44897</v>
      </c>
      <c r="C855" s="1" t="n">
        <v>45357</v>
      </c>
      <c r="D855" t="inlineStr">
        <is>
          <t>VÄSTERBOTTENS LÄN</t>
        </is>
      </c>
      <c r="E855" t="inlineStr">
        <is>
          <t>LYCKSELE</t>
        </is>
      </c>
      <c r="F855" t="inlineStr">
        <is>
          <t>Holmen skog AB</t>
        </is>
      </c>
      <c r="G855" t="n">
        <v>3.4</v>
      </c>
      <c r="H855" t="n">
        <v>0</v>
      </c>
      <c r="I855" t="n">
        <v>0</v>
      </c>
      <c r="J855" t="n">
        <v>0</v>
      </c>
      <c r="K855" t="n">
        <v>0</v>
      </c>
      <c r="L855" t="n">
        <v>1</v>
      </c>
      <c r="M855" t="n">
        <v>0</v>
      </c>
      <c r="N855" t="n">
        <v>0</v>
      </c>
      <c r="O855" t="n">
        <v>1</v>
      </c>
      <c r="P855" t="n">
        <v>1</v>
      </c>
      <c r="Q855" t="n">
        <v>1</v>
      </c>
      <c r="R855" s="2" t="inlineStr">
        <is>
          <t>Flodpärlmussla</t>
        </is>
      </c>
      <c r="S855">
        <f>HYPERLINK("https://klasma.github.io/Logging_2481/artfynd/A 57618-2022 artfynd.xlsx", "A 57618-2022")</f>
        <v/>
      </c>
      <c r="T855">
        <f>HYPERLINK("https://klasma.github.io/Logging_2481/kartor/A 57618-2022 karta.png", "A 57618-2022")</f>
        <v/>
      </c>
      <c r="V855">
        <f>HYPERLINK("https://klasma.github.io/Logging_2481/klagomål/A 57618-2022 FSC-klagomål.docx", "A 57618-2022")</f>
        <v/>
      </c>
      <c r="W855">
        <f>HYPERLINK("https://klasma.github.io/Logging_2481/klagomålsmail/A 57618-2022 FSC-klagomål mail.docx", "A 57618-2022")</f>
        <v/>
      </c>
      <c r="X855">
        <f>HYPERLINK("https://klasma.github.io/Logging_2481/tillsyn/A 57618-2022 tillsynsbegäran.docx", "A 57618-2022")</f>
        <v/>
      </c>
      <c r="Y855">
        <f>HYPERLINK("https://klasma.github.io/Logging_2481/tillsynsmail/A 57618-2022 tillsynsbegäran mail.docx", "A 57618-2022")</f>
        <v/>
      </c>
    </row>
    <row r="856" ht="15" customHeight="1">
      <c r="A856" t="inlineStr">
        <is>
          <t>A 58306-2022</t>
        </is>
      </c>
      <c r="B856" s="1" t="n">
        <v>44901</v>
      </c>
      <c r="C856" s="1" t="n">
        <v>45357</v>
      </c>
      <c r="D856" t="inlineStr">
        <is>
          <t>VÄSTERBOTTENS LÄN</t>
        </is>
      </c>
      <c r="E856" t="inlineStr">
        <is>
          <t>SKELLEFTEÅ</t>
        </is>
      </c>
      <c r="F856" t="inlineStr">
        <is>
          <t>Sveaskog</t>
        </is>
      </c>
      <c r="G856" t="n">
        <v>10.8</v>
      </c>
      <c r="H856" t="n">
        <v>0</v>
      </c>
      <c r="I856" t="n">
        <v>0</v>
      </c>
      <c r="J856" t="n">
        <v>1</v>
      </c>
      <c r="K856" t="n">
        <v>0</v>
      </c>
      <c r="L856" t="n">
        <v>0</v>
      </c>
      <c r="M856" t="n">
        <v>0</v>
      </c>
      <c r="N856" t="n">
        <v>0</v>
      </c>
      <c r="O856" t="n">
        <v>1</v>
      </c>
      <c r="P856" t="n">
        <v>0</v>
      </c>
      <c r="Q856" t="n">
        <v>1</v>
      </c>
      <c r="R856" s="2" t="inlineStr">
        <is>
          <t>Lunglav</t>
        </is>
      </c>
      <c r="S856">
        <f>HYPERLINK("https://klasma.github.io/Logging_2482/artfynd/A 58306-2022 artfynd.xlsx", "A 58306-2022")</f>
        <v/>
      </c>
      <c r="T856">
        <f>HYPERLINK("https://klasma.github.io/Logging_2482/kartor/A 58306-2022 karta.png", "A 58306-2022")</f>
        <v/>
      </c>
      <c r="V856">
        <f>HYPERLINK("https://klasma.github.io/Logging_2482/klagomål/A 58306-2022 FSC-klagomål.docx", "A 58306-2022")</f>
        <v/>
      </c>
      <c r="W856">
        <f>HYPERLINK("https://klasma.github.io/Logging_2482/klagomålsmail/A 58306-2022 FSC-klagomål mail.docx", "A 58306-2022")</f>
        <v/>
      </c>
      <c r="X856">
        <f>HYPERLINK("https://klasma.github.io/Logging_2482/tillsyn/A 58306-2022 tillsynsbegäran.docx", "A 58306-2022")</f>
        <v/>
      </c>
      <c r="Y856">
        <f>HYPERLINK("https://klasma.github.io/Logging_2482/tillsynsmail/A 58306-2022 tillsynsbegäran mail.docx", "A 58306-2022")</f>
        <v/>
      </c>
    </row>
    <row r="857" ht="15" customHeight="1">
      <c r="A857" t="inlineStr">
        <is>
          <t>A 59075-2022</t>
        </is>
      </c>
      <c r="B857" s="1" t="n">
        <v>44904</v>
      </c>
      <c r="C857" s="1" t="n">
        <v>45357</v>
      </c>
      <c r="D857" t="inlineStr">
        <is>
          <t>VÄSTERBOTTENS LÄN</t>
        </is>
      </c>
      <c r="E857" t="inlineStr">
        <is>
          <t>UMEÅ</t>
        </is>
      </c>
      <c r="G857" t="n">
        <v>0.4</v>
      </c>
      <c r="H857" t="n">
        <v>0</v>
      </c>
      <c r="I857" t="n">
        <v>1</v>
      </c>
      <c r="J857" t="n">
        <v>0</v>
      </c>
      <c r="K857" t="n">
        <v>0</v>
      </c>
      <c r="L857" t="n">
        <v>0</v>
      </c>
      <c r="M857" t="n">
        <v>0</v>
      </c>
      <c r="N857" t="n">
        <v>0</v>
      </c>
      <c r="O857" t="n">
        <v>0</v>
      </c>
      <c r="P857" t="n">
        <v>0</v>
      </c>
      <c r="Q857" t="n">
        <v>1</v>
      </c>
      <c r="R857" s="2" t="inlineStr">
        <is>
          <t>Vedticka</t>
        </is>
      </c>
      <c r="S857">
        <f>HYPERLINK("https://klasma.github.io/Logging_2480/artfynd/A 59075-2022 artfynd.xlsx", "A 59075-2022")</f>
        <v/>
      </c>
      <c r="T857">
        <f>HYPERLINK("https://klasma.github.io/Logging_2480/kartor/A 59075-2022 karta.png", "A 59075-2022")</f>
        <v/>
      </c>
      <c r="V857">
        <f>HYPERLINK("https://klasma.github.io/Logging_2480/klagomål/A 59075-2022 FSC-klagomål.docx", "A 59075-2022")</f>
        <v/>
      </c>
      <c r="W857">
        <f>HYPERLINK("https://klasma.github.io/Logging_2480/klagomålsmail/A 59075-2022 FSC-klagomål mail.docx", "A 59075-2022")</f>
        <v/>
      </c>
      <c r="X857">
        <f>HYPERLINK("https://klasma.github.io/Logging_2480/tillsyn/A 59075-2022 tillsynsbegäran.docx", "A 59075-2022")</f>
        <v/>
      </c>
      <c r="Y857">
        <f>HYPERLINK("https://klasma.github.io/Logging_2480/tillsynsmail/A 59075-2022 tillsynsbegäran mail.docx", "A 59075-2022")</f>
        <v/>
      </c>
    </row>
    <row r="858" ht="15" customHeight="1">
      <c r="A858" t="inlineStr">
        <is>
          <t>A 59480-2022</t>
        </is>
      </c>
      <c r="B858" s="1" t="n">
        <v>44907</v>
      </c>
      <c r="C858" s="1" t="n">
        <v>45357</v>
      </c>
      <c r="D858" t="inlineStr">
        <is>
          <t>VÄSTERBOTTENS LÄN</t>
        </is>
      </c>
      <c r="E858" t="inlineStr">
        <is>
          <t>VÄNNÄS</t>
        </is>
      </c>
      <c r="G858" t="n">
        <v>0.6</v>
      </c>
      <c r="H858" t="n">
        <v>1</v>
      </c>
      <c r="I858" t="n">
        <v>1</v>
      </c>
      <c r="J858" t="n">
        <v>0</v>
      </c>
      <c r="K858" t="n">
        <v>0</v>
      </c>
      <c r="L858" t="n">
        <v>0</v>
      </c>
      <c r="M858" t="n">
        <v>0</v>
      </c>
      <c r="N858" t="n">
        <v>0</v>
      </c>
      <c r="O858" t="n">
        <v>0</v>
      </c>
      <c r="P858" t="n">
        <v>0</v>
      </c>
      <c r="Q858" t="n">
        <v>1</v>
      </c>
      <c r="R858" s="2" t="inlineStr">
        <is>
          <t>Korallrot</t>
        </is>
      </c>
      <c r="S858">
        <f>HYPERLINK("https://klasma.github.io/Logging_2460/artfynd/A 59480-2022 artfynd.xlsx", "A 59480-2022")</f>
        <v/>
      </c>
      <c r="T858">
        <f>HYPERLINK("https://klasma.github.io/Logging_2460/kartor/A 59480-2022 karta.png", "A 59480-2022")</f>
        <v/>
      </c>
      <c r="V858">
        <f>HYPERLINK("https://klasma.github.io/Logging_2460/klagomål/A 59480-2022 FSC-klagomål.docx", "A 59480-2022")</f>
        <v/>
      </c>
      <c r="W858">
        <f>HYPERLINK("https://klasma.github.io/Logging_2460/klagomålsmail/A 59480-2022 FSC-klagomål mail.docx", "A 59480-2022")</f>
        <v/>
      </c>
      <c r="X858">
        <f>HYPERLINK("https://klasma.github.io/Logging_2460/tillsyn/A 59480-2022 tillsynsbegäran.docx", "A 59480-2022")</f>
        <v/>
      </c>
      <c r="Y858">
        <f>HYPERLINK("https://klasma.github.io/Logging_2460/tillsynsmail/A 59480-2022 tillsynsbegäran mail.docx", "A 59480-2022")</f>
        <v/>
      </c>
    </row>
    <row r="859" ht="15" customHeight="1">
      <c r="A859" t="inlineStr">
        <is>
          <t>A 60231-2022</t>
        </is>
      </c>
      <c r="B859" s="1" t="n">
        <v>44910</v>
      </c>
      <c r="C859" s="1" t="n">
        <v>45357</v>
      </c>
      <c r="D859" t="inlineStr">
        <is>
          <t>VÄSTERBOTTENS LÄN</t>
        </is>
      </c>
      <c r="E859" t="inlineStr">
        <is>
          <t>SKELLEFTEÅ</t>
        </is>
      </c>
      <c r="F859" t="inlineStr">
        <is>
          <t>Holmen skog AB</t>
        </is>
      </c>
      <c r="G859" t="n">
        <v>6.4</v>
      </c>
      <c r="H859" t="n">
        <v>1</v>
      </c>
      <c r="I859" t="n">
        <v>0</v>
      </c>
      <c r="J859" t="n">
        <v>0</v>
      </c>
      <c r="K859" t="n">
        <v>0</v>
      </c>
      <c r="L859" t="n">
        <v>0</v>
      </c>
      <c r="M859" t="n">
        <v>0</v>
      </c>
      <c r="N859" t="n">
        <v>0</v>
      </c>
      <c r="O859" t="n">
        <v>0</v>
      </c>
      <c r="P859" t="n">
        <v>0</v>
      </c>
      <c r="Q859" t="n">
        <v>1</v>
      </c>
      <c r="R859" s="2" t="inlineStr">
        <is>
          <t>Fläcknycklar</t>
        </is>
      </c>
      <c r="S859">
        <f>HYPERLINK("https://klasma.github.io/Logging_2482/artfynd/A 60231-2022 artfynd.xlsx", "A 60231-2022")</f>
        <v/>
      </c>
      <c r="T859">
        <f>HYPERLINK("https://klasma.github.io/Logging_2482/kartor/A 60231-2022 karta.png", "A 60231-2022")</f>
        <v/>
      </c>
      <c r="V859">
        <f>HYPERLINK("https://klasma.github.io/Logging_2482/klagomål/A 60231-2022 FSC-klagomål.docx", "A 60231-2022")</f>
        <v/>
      </c>
      <c r="W859">
        <f>HYPERLINK("https://klasma.github.io/Logging_2482/klagomålsmail/A 60231-2022 FSC-klagomål mail.docx", "A 60231-2022")</f>
        <v/>
      </c>
      <c r="X859">
        <f>HYPERLINK("https://klasma.github.io/Logging_2482/tillsyn/A 60231-2022 tillsynsbegäran.docx", "A 60231-2022")</f>
        <v/>
      </c>
      <c r="Y859">
        <f>HYPERLINK("https://klasma.github.io/Logging_2482/tillsynsmail/A 60231-2022 tillsynsbegäran mail.docx", "A 60231-2022")</f>
        <v/>
      </c>
    </row>
    <row r="860" ht="15" customHeight="1">
      <c r="A860" t="inlineStr">
        <is>
          <t>A 60586-2022</t>
        </is>
      </c>
      <c r="B860" s="1" t="n">
        <v>44911</v>
      </c>
      <c r="C860" s="1" t="n">
        <v>45357</v>
      </c>
      <c r="D860" t="inlineStr">
        <is>
          <t>VÄSTERBOTTENS LÄN</t>
        </is>
      </c>
      <c r="E860" t="inlineStr">
        <is>
          <t>SKELLEFTEÅ</t>
        </is>
      </c>
      <c r="F860" t="inlineStr">
        <is>
          <t>Sveaskog</t>
        </is>
      </c>
      <c r="G860" t="n">
        <v>10.8</v>
      </c>
      <c r="H860" t="n">
        <v>0</v>
      </c>
      <c r="I860" t="n">
        <v>0</v>
      </c>
      <c r="J860" t="n">
        <v>1</v>
      </c>
      <c r="K860" t="n">
        <v>0</v>
      </c>
      <c r="L860" t="n">
        <v>0</v>
      </c>
      <c r="M860" t="n">
        <v>0</v>
      </c>
      <c r="N860" t="n">
        <v>0</v>
      </c>
      <c r="O860" t="n">
        <v>1</v>
      </c>
      <c r="P860" t="n">
        <v>0</v>
      </c>
      <c r="Q860" t="n">
        <v>1</v>
      </c>
      <c r="R860" s="2" t="inlineStr">
        <is>
          <t>Garnlav</t>
        </is>
      </c>
      <c r="S860">
        <f>HYPERLINK("https://klasma.github.io/Logging_2482/artfynd/A 60586-2022 artfynd.xlsx", "A 60586-2022")</f>
        <v/>
      </c>
      <c r="T860">
        <f>HYPERLINK("https://klasma.github.io/Logging_2482/kartor/A 60586-2022 karta.png", "A 60586-2022")</f>
        <v/>
      </c>
      <c r="V860">
        <f>HYPERLINK("https://klasma.github.io/Logging_2482/klagomål/A 60586-2022 FSC-klagomål.docx", "A 60586-2022")</f>
        <v/>
      </c>
      <c r="W860">
        <f>HYPERLINK("https://klasma.github.io/Logging_2482/klagomålsmail/A 60586-2022 FSC-klagomål mail.docx", "A 60586-2022")</f>
        <v/>
      </c>
      <c r="X860">
        <f>HYPERLINK("https://klasma.github.io/Logging_2482/tillsyn/A 60586-2022 tillsynsbegäran.docx", "A 60586-2022")</f>
        <v/>
      </c>
      <c r="Y860">
        <f>HYPERLINK("https://klasma.github.io/Logging_2482/tillsynsmail/A 60586-2022 tillsynsbegäran mail.docx", "A 60586-2022")</f>
        <v/>
      </c>
    </row>
    <row r="861" ht="15" customHeight="1">
      <c r="A861" t="inlineStr">
        <is>
          <t>A 61508-2022</t>
        </is>
      </c>
      <c r="B861" s="1" t="n">
        <v>44916</v>
      </c>
      <c r="C861" s="1" t="n">
        <v>45357</v>
      </c>
      <c r="D861" t="inlineStr">
        <is>
          <t>VÄSTERBOTTENS LÄN</t>
        </is>
      </c>
      <c r="E861" t="inlineStr">
        <is>
          <t>VÄNNÄS</t>
        </is>
      </c>
      <c r="G861" t="n">
        <v>4.2</v>
      </c>
      <c r="H861" t="n">
        <v>1</v>
      </c>
      <c r="I861" t="n">
        <v>0</v>
      </c>
      <c r="J861" t="n">
        <v>1</v>
      </c>
      <c r="K861" t="n">
        <v>0</v>
      </c>
      <c r="L861" t="n">
        <v>0</v>
      </c>
      <c r="M861" t="n">
        <v>0</v>
      </c>
      <c r="N861" t="n">
        <v>0</v>
      </c>
      <c r="O861" t="n">
        <v>1</v>
      </c>
      <c r="P861" t="n">
        <v>0</v>
      </c>
      <c r="Q861" t="n">
        <v>1</v>
      </c>
      <c r="R861" s="2" t="inlineStr">
        <is>
          <t>Lundsångare</t>
        </is>
      </c>
      <c r="S861">
        <f>HYPERLINK("https://klasma.github.io/Logging_2460/artfynd/A 61508-2022 artfynd.xlsx", "A 61508-2022")</f>
        <v/>
      </c>
      <c r="T861">
        <f>HYPERLINK("https://klasma.github.io/Logging_2460/kartor/A 61508-2022 karta.png", "A 61508-2022")</f>
        <v/>
      </c>
      <c r="V861">
        <f>HYPERLINK("https://klasma.github.io/Logging_2460/klagomål/A 61508-2022 FSC-klagomål.docx", "A 61508-2022")</f>
        <v/>
      </c>
      <c r="W861">
        <f>HYPERLINK("https://klasma.github.io/Logging_2460/klagomålsmail/A 61508-2022 FSC-klagomål mail.docx", "A 61508-2022")</f>
        <v/>
      </c>
      <c r="X861">
        <f>HYPERLINK("https://klasma.github.io/Logging_2460/tillsyn/A 61508-2022 tillsynsbegäran.docx", "A 61508-2022")</f>
        <v/>
      </c>
      <c r="Y861">
        <f>HYPERLINK("https://klasma.github.io/Logging_2460/tillsynsmail/A 61508-2022 tillsynsbegäran mail.docx", "A 61508-2022")</f>
        <v/>
      </c>
      <c r="Z861">
        <f>HYPERLINK("https://klasma.github.io/Logging_2460/fåglar/A 61508-2022 prioriterade fågelarter.docx", "A 61508-2022")</f>
        <v/>
      </c>
    </row>
    <row r="862" ht="15" customHeight="1">
      <c r="A862" t="inlineStr">
        <is>
          <t>A 61826-2022</t>
        </is>
      </c>
      <c r="B862" s="1" t="n">
        <v>44917</v>
      </c>
      <c r="C862" s="1" t="n">
        <v>45357</v>
      </c>
      <c r="D862" t="inlineStr">
        <is>
          <t>VÄSTERBOTTENS LÄN</t>
        </is>
      </c>
      <c r="E862" t="inlineStr">
        <is>
          <t>VINDELN</t>
        </is>
      </c>
      <c r="G862" t="n">
        <v>3.1</v>
      </c>
      <c r="H862" t="n">
        <v>0</v>
      </c>
      <c r="I862" t="n">
        <v>1</v>
      </c>
      <c r="J862" t="n">
        <v>0</v>
      </c>
      <c r="K862" t="n">
        <v>0</v>
      </c>
      <c r="L862" t="n">
        <v>0</v>
      </c>
      <c r="M862" t="n">
        <v>0</v>
      </c>
      <c r="N862" t="n">
        <v>0</v>
      </c>
      <c r="O862" t="n">
        <v>0</v>
      </c>
      <c r="P862" t="n">
        <v>0</v>
      </c>
      <c r="Q862" t="n">
        <v>1</v>
      </c>
      <c r="R862" s="2" t="inlineStr">
        <is>
          <t>Mindre märgborre</t>
        </is>
      </c>
      <c r="S862">
        <f>HYPERLINK("https://klasma.github.io/Logging_2404/artfynd/A 61826-2022 artfynd.xlsx", "A 61826-2022")</f>
        <v/>
      </c>
      <c r="T862">
        <f>HYPERLINK("https://klasma.github.io/Logging_2404/kartor/A 61826-2022 karta.png", "A 61826-2022")</f>
        <v/>
      </c>
      <c r="V862">
        <f>HYPERLINK("https://klasma.github.io/Logging_2404/klagomål/A 61826-2022 FSC-klagomål.docx", "A 61826-2022")</f>
        <v/>
      </c>
      <c r="W862">
        <f>HYPERLINK("https://klasma.github.io/Logging_2404/klagomålsmail/A 61826-2022 FSC-klagomål mail.docx", "A 61826-2022")</f>
        <v/>
      </c>
      <c r="X862">
        <f>HYPERLINK("https://klasma.github.io/Logging_2404/tillsyn/A 61826-2022 tillsynsbegäran.docx", "A 61826-2022")</f>
        <v/>
      </c>
      <c r="Y862">
        <f>HYPERLINK("https://klasma.github.io/Logging_2404/tillsynsmail/A 61826-2022 tillsynsbegäran mail.docx", "A 61826-2022")</f>
        <v/>
      </c>
    </row>
    <row r="863" ht="15" customHeight="1">
      <c r="A863" t="inlineStr">
        <is>
          <t>A 62112-2022</t>
        </is>
      </c>
      <c r="B863" s="1" t="n">
        <v>44920</v>
      </c>
      <c r="C863" s="1" t="n">
        <v>45357</v>
      </c>
      <c r="D863" t="inlineStr">
        <is>
          <t>VÄSTERBOTTENS LÄN</t>
        </is>
      </c>
      <c r="E863" t="inlineStr">
        <is>
          <t>BJURHOLM</t>
        </is>
      </c>
      <c r="G863" t="n">
        <v>4.1</v>
      </c>
      <c r="H863" t="n">
        <v>0</v>
      </c>
      <c r="I863" t="n">
        <v>0</v>
      </c>
      <c r="J863" t="n">
        <v>1</v>
      </c>
      <c r="K863" t="n">
        <v>0</v>
      </c>
      <c r="L863" t="n">
        <v>0</v>
      </c>
      <c r="M863" t="n">
        <v>0</v>
      </c>
      <c r="N863" t="n">
        <v>0</v>
      </c>
      <c r="O863" t="n">
        <v>1</v>
      </c>
      <c r="P863" t="n">
        <v>0</v>
      </c>
      <c r="Q863" t="n">
        <v>1</v>
      </c>
      <c r="R863" s="2" t="inlineStr">
        <is>
          <t>Harticka</t>
        </is>
      </c>
      <c r="S863">
        <f>HYPERLINK("https://klasma.github.io/Logging_2403/artfynd/A 62112-2022 artfynd.xlsx", "A 62112-2022")</f>
        <v/>
      </c>
      <c r="T863">
        <f>HYPERLINK("https://klasma.github.io/Logging_2403/kartor/A 62112-2022 karta.png", "A 62112-2022")</f>
        <v/>
      </c>
      <c r="V863">
        <f>HYPERLINK("https://klasma.github.io/Logging_2403/klagomål/A 62112-2022 FSC-klagomål.docx", "A 62112-2022")</f>
        <v/>
      </c>
      <c r="W863">
        <f>HYPERLINK("https://klasma.github.io/Logging_2403/klagomålsmail/A 62112-2022 FSC-klagomål mail.docx", "A 62112-2022")</f>
        <v/>
      </c>
      <c r="X863">
        <f>HYPERLINK("https://klasma.github.io/Logging_2403/tillsyn/A 62112-2022 tillsynsbegäran.docx", "A 62112-2022")</f>
        <v/>
      </c>
      <c r="Y863">
        <f>HYPERLINK("https://klasma.github.io/Logging_2403/tillsynsmail/A 62112-2022 tillsynsbegäran mail.docx", "A 62112-2022")</f>
        <v/>
      </c>
    </row>
    <row r="864" ht="15" customHeight="1">
      <c r="A864" t="inlineStr">
        <is>
          <t>A 62578-2022</t>
        </is>
      </c>
      <c r="B864" s="1" t="n">
        <v>44924</v>
      </c>
      <c r="C864" s="1" t="n">
        <v>45357</v>
      </c>
      <c r="D864" t="inlineStr">
        <is>
          <t>VÄSTERBOTTENS LÄN</t>
        </is>
      </c>
      <c r="E864" t="inlineStr">
        <is>
          <t>VINDELN</t>
        </is>
      </c>
      <c r="G864" t="n">
        <v>4.6</v>
      </c>
      <c r="H864" t="n">
        <v>1</v>
      </c>
      <c r="I864" t="n">
        <v>0</v>
      </c>
      <c r="J864" t="n">
        <v>1</v>
      </c>
      <c r="K864" t="n">
        <v>0</v>
      </c>
      <c r="L864" t="n">
        <v>0</v>
      </c>
      <c r="M864" t="n">
        <v>0</v>
      </c>
      <c r="N864" t="n">
        <v>0</v>
      </c>
      <c r="O864" t="n">
        <v>1</v>
      </c>
      <c r="P864" t="n">
        <v>0</v>
      </c>
      <c r="Q864" t="n">
        <v>1</v>
      </c>
      <c r="R864" s="2" t="inlineStr">
        <is>
          <t>Tretåig hackspett</t>
        </is>
      </c>
      <c r="S864">
        <f>HYPERLINK("https://klasma.github.io/Logging_2404/artfynd/A 62578-2022 artfynd.xlsx", "A 62578-2022")</f>
        <v/>
      </c>
      <c r="T864">
        <f>HYPERLINK("https://klasma.github.io/Logging_2404/kartor/A 62578-2022 karta.png", "A 62578-2022")</f>
        <v/>
      </c>
      <c r="V864">
        <f>HYPERLINK("https://klasma.github.io/Logging_2404/klagomål/A 62578-2022 FSC-klagomål.docx", "A 62578-2022")</f>
        <v/>
      </c>
      <c r="W864">
        <f>HYPERLINK("https://klasma.github.io/Logging_2404/klagomålsmail/A 62578-2022 FSC-klagomål mail.docx", "A 62578-2022")</f>
        <v/>
      </c>
      <c r="X864">
        <f>HYPERLINK("https://klasma.github.io/Logging_2404/tillsyn/A 62578-2022 tillsynsbegäran.docx", "A 62578-2022")</f>
        <v/>
      </c>
      <c r="Y864">
        <f>HYPERLINK("https://klasma.github.io/Logging_2404/tillsynsmail/A 62578-2022 tillsynsbegäran mail.docx", "A 62578-2022")</f>
        <v/>
      </c>
      <c r="Z864">
        <f>HYPERLINK("https://klasma.github.io/Logging_2404/fåglar/A 62578-2022 prioriterade fågelarter.docx", "A 62578-2022")</f>
        <v/>
      </c>
    </row>
    <row r="865" ht="15" customHeight="1">
      <c r="A865" t="inlineStr">
        <is>
          <t>A 62698-2022</t>
        </is>
      </c>
      <c r="B865" s="1" t="n">
        <v>44925</v>
      </c>
      <c r="C865" s="1" t="n">
        <v>45357</v>
      </c>
      <c r="D865" t="inlineStr">
        <is>
          <t>VÄSTERBOTTENS LÄN</t>
        </is>
      </c>
      <c r="E865" t="inlineStr">
        <is>
          <t>VINDELN</t>
        </is>
      </c>
      <c r="G865" t="n">
        <v>14.8</v>
      </c>
      <c r="H865" t="n">
        <v>0</v>
      </c>
      <c r="I865" t="n">
        <v>0</v>
      </c>
      <c r="J865" t="n">
        <v>1</v>
      </c>
      <c r="K865" t="n">
        <v>0</v>
      </c>
      <c r="L865" t="n">
        <v>0</v>
      </c>
      <c r="M865" t="n">
        <v>0</v>
      </c>
      <c r="N865" t="n">
        <v>0</v>
      </c>
      <c r="O865" t="n">
        <v>1</v>
      </c>
      <c r="P865" t="n">
        <v>0</v>
      </c>
      <c r="Q865" t="n">
        <v>1</v>
      </c>
      <c r="R865" s="2" t="inlineStr">
        <is>
          <t>Garnlav</t>
        </is>
      </c>
      <c r="S865">
        <f>HYPERLINK("https://klasma.github.io/Logging_2404/artfynd/A 62698-2022 artfynd.xlsx", "A 62698-2022")</f>
        <v/>
      </c>
      <c r="T865">
        <f>HYPERLINK("https://klasma.github.io/Logging_2404/kartor/A 62698-2022 karta.png", "A 62698-2022")</f>
        <v/>
      </c>
      <c r="V865">
        <f>HYPERLINK("https://klasma.github.io/Logging_2404/klagomål/A 62698-2022 FSC-klagomål.docx", "A 62698-2022")</f>
        <v/>
      </c>
      <c r="W865">
        <f>HYPERLINK("https://klasma.github.io/Logging_2404/klagomålsmail/A 62698-2022 FSC-klagomål mail.docx", "A 62698-2022")</f>
        <v/>
      </c>
      <c r="X865">
        <f>HYPERLINK("https://klasma.github.io/Logging_2404/tillsyn/A 62698-2022 tillsynsbegäran.docx", "A 62698-2022")</f>
        <v/>
      </c>
      <c r="Y865">
        <f>HYPERLINK("https://klasma.github.io/Logging_2404/tillsynsmail/A 62698-2022 tillsynsbegäran mail.docx", "A 62698-2022")</f>
        <v/>
      </c>
    </row>
    <row r="866" ht="15" customHeight="1">
      <c r="A866" t="inlineStr">
        <is>
          <t>A 62744-2022</t>
        </is>
      </c>
      <c r="B866" s="1" t="n">
        <v>44925</v>
      </c>
      <c r="C866" s="1" t="n">
        <v>45357</v>
      </c>
      <c r="D866" t="inlineStr">
        <is>
          <t>VÄSTERBOTTENS LÄN</t>
        </is>
      </c>
      <c r="E866" t="inlineStr">
        <is>
          <t>ÅSELE</t>
        </is>
      </c>
      <c r="F866" t="inlineStr">
        <is>
          <t>SCA</t>
        </is>
      </c>
      <c r="G866" t="n">
        <v>13.7</v>
      </c>
      <c r="H866" t="n">
        <v>0</v>
      </c>
      <c r="I866" t="n">
        <v>0</v>
      </c>
      <c r="J866" t="n">
        <v>1</v>
      </c>
      <c r="K866" t="n">
        <v>0</v>
      </c>
      <c r="L866" t="n">
        <v>0</v>
      </c>
      <c r="M866" t="n">
        <v>0</v>
      </c>
      <c r="N866" t="n">
        <v>0</v>
      </c>
      <c r="O866" t="n">
        <v>1</v>
      </c>
      <c r="P866" t="n">
        <v>0</v>
      </c>
      <c r="Q866" t="n">
        <v>1</v>
      </c>
      <c r="R866" s="2" t="inlineStr">
        <is>
          <t>Granticka</t>
        </is>
      </c>
      <c r="S866">
        <f>HYPERLINK("https://klasma.github.io/Logging_2463/artfynd/A 62744-2022 artfynd.xlsx", "A 62744-2022")</f>
        <v/>
      </c>
      <c r="T866">
        <f>HYPERLINK("https://klasma.github.io/Logging_2463/kartor/A 62744-2022 karta.png", "A 62744-2022")</f>
        <v/>
      </c>
      <c r="V866">
        <f>HYPERLINK("https://klasma.github.io/Logging_2463/klagomål/A 62744-2022 FSC-klagomål.docx", "A 62744-2022")</f>
        <v/>
      </c>
      <c r="W866">
        <f>HYPERLINK("https://klasma.github.io/Logging_2463/klagomålsmail/A 62744-2022 FSC-klagomål mail.docx", "A 62744-2022")</f>
        <v/>
      </c>
      <c r="X866">
        <f>HYPERLINK("https://klasma.github.io/Logging_2463/tillsyn/A 62744-2022 tillsynsbegäran.docx", "A 62744-2022")</f>
        <v/>
      </c>
      <c r="Y866">
        <f>HYPERLINK("https://klasma.github.io/Logging_2463/tillsynsmail/A 62744-2022 tillsynsbegäran mail.docx", "A 62744-2022")</f>
        <v/>
      </c>
    </row>
    <row r="867" ht="15" customHeight="1">
      <c r="A867" t="inlineStr">
        <is>
          <t>A 609-2023</t>
        </is>
      </c>
      <c r="B867" s="1" t="n">
        <v>44928</v>
      </c>
      <c r="C867" s="1" t="n">
        <v>45357</v>
      </c>
      <c r="D867" t="inlineStr">
        <is>
          <t>VÄSTERBOTTENS LÄN</t>
        </is>
      </c>
      <c r="E867" t="inlineStr">
        <is>
          <t>SKELLEFTEÅ</t>
        </is>
      </c>
      <c r="G867" t="n">
        <v>20.1</v>
      </c>
      <c r="H867" t="n">
        <v>0</v>
      </c>
      <c r="I867" t="n">
        <v>0</v>
      </c>
      <c r="J867" t="n">
        <v>1</v>
      </c>
      <c r="K867" t="n">
        <v>0</v>
      </c>
      <c r="L867" t="n">
        <v>0</v>
      </c>
      <c r="M867" t="n">
        <v>0</v>
      </c>
      <c r="N867" t="n">
        <v>0</v>
      </c>
      <c r="O867" t="n">
        <v>1</v>
      </c>
      <c r="P867" t="n">
        <v>0</v>
      </c>
      <c r="Q867" t="n">
        <v>1</v>
      </c>
      <c r="R867" s="2" t="inlineStr">
        <is>
          <t>Granticka</t>
        </is>
      </c>
      <c r="S867">
        <f>HYPERLINK("https://klasma.github.io/Logging_2482/artfynd/A 609-2023 artfynd.xlsx", "A 609-2023")</f>
        <v/>
      </c>
      <c r="T867">
        <f>HYPERLINK("https://klasma.github.io/Logging_2482/kartor/A 609-2023 karta.png", "A 609-2023")</f>
        <v/>
      </c>
      <c r="V867">
        <f>HYPERLINK("https://klasma.github.io/Logging_2482/klagomål/A 609-2023 FSC-klagomål.docx", "A 609-2023")</f>
        <v/>
      </c>
      <c r="W867">
        <f>HYPERLINK("https://klasma.github.io/Logging_2482/klagomålsmail/A 609-2023 FSC-klagomål mail.docx", "A 609-2023")</f>
        <v/>
      </c>
      <c r="X867">
        <f>HYPERLINK("https://klasma.github.io/Logging_2482/tillsyn/A 609-2023 tillsynsbegäran.docx", "A 609-2023")</f>
        <v/>
      </c>
      <c r="Y867">
        <f>HYPERLINK("https://klasma.github.io/Logging_2482/tillsynsmail/A 609-2023 tillsynsbegäran mail.docx", "A 609-2023")</f>
        <v/>
      </c>
    </row>
    <row r="868" ht="15" customHeight="1">
      <c r="A868" t="inlineStr">
        <is>
          <t>A 3826-2023</t>
        </is>
      </c>
      <c r="B868" s="1" t="n">
        <v>44950</v>
      </c>
      <c r="C868" s="1" t="n">
        <v>45357</v>
      </c>
      <c r="D868" t="inlineStr">
        <is>
          <t>VÄSTERBOTTENS LÄN</t>
        </is>
      </c>
      <c r="E868" t="inlineStr">
        <is>
          <t>STORUMAN</t>
        </is>
      </c>
      <c r="G868" t="n">
        <v>0.7</v>
      </c>
      <c r="H868" t="n">
        <v>1</v>
      </c>
      <c r="I868" t="n">
        <v>0</v>
      </c>
      <c r="J868" t="n">
        <v>1</v>
      </c>
      <c r="K868" t="n">
        <v>0</v>
      </c>
      <c r="L868" t="n">
        <v>0</v>
      </c>
      <c r="M868" t="n">
        <v>0</v>
      </c>
      <c r="N868" t="n">
        <v>0</v>
      </c>
      <c r="O868" t="n">
        <v>1</v>
      </c>
      <c r="P868" t="n">
        <v>0</v>
      </c>
      <c r="Q868" t="n">
        <v>1</v>
      </c>
      <c r="R868" s="2" t="inlineStr">
        <is>
          <t>Tretåig hackspett</t>
        </is>
      </c>
      <c r="S868">
        <f>HYPERLINK("https://klasma.github.io/Logging_2421/artfynd/A 3826-2023 artfynd.xlsx", "A 3826-2023")</f>
        <v/>
      </c>
      <c r="T868">
        <f>HYPERLINK("https://klasma.github.io/Logging_2421/kartor/A 3826-2023 karta.png", "A 3826-2023")</f>
        <v/>
      </c>
      <c r="V868">
        <f>HYPERLINK("https://klasma.github.io/Logging_2421/klagomål/A 3826-2023 FSC-klagomål.docx", "A 3826-2023")</f>
        <v/>
      </c>
      <c r="W868">
        <f>HYPERLINK("https://klasma.github.io/Logging_2421/klagomålsmail/A 3826-2023 FSC-klagomål mail.docx", "A 3826-2023")</f>
        <v/>
      </c>
      <c r="X868">
        <f>HYPERLINK("https://klasma.github.io/Logging_2421/tillsyn/A 3826-2023 tillsynsbegäran.docx", "A 3826-2023")</f>
        <v/>
      </c>
      <c r="Y868">
        <f>HYPERLINK("https://klasma.github.io/Logging_2421/tillsynsmail/A 3826-2023 tillsynsbegäran mail.docx", "A 3826-2023")</f>
        <v/>
      </c>
      <c r="Z868">
        <f>HYPERLINK("https://klasma.github.io/Logging_2421/fåglar/A 3826-2023 prioriterade fågelarter.docx", "A 3826-2023")</f>
        <v/>
      </c>
    </row>
    <row r="869" ht="15" customHeight="1">
      <c r="A869" t="inlineStr">
        <is>
          <t>A 3894-2023</t>
        </is>
      </c>
      <c r="B869" s="1" t="n">
        <v>44951</v>
      </c>
      <c r="C869" s="1" t="n">
        <v>45357</v>
      </c>
      <c r="D869" t="inlineStr">
        <is>
          <t>VÄSTERBOTTENS LÄN</t>
        </is>
      </c>
      <c r="E869" t="inlineStr">
        <is>
          <t>STORUMAN</t>
        </is>
      </c>
      <c r="F869" t="inlineStr">
        <is>
          <t>SCA</t>
        </is>
      </c>
      <c r="G869" t="n">
        <v>9.800000000000001</v>
      </c>
      <c r="H869" t="n">
        <v>1</v>
      </c>
      <c r="I869" t="n">
        <v>0</v>
      </c>
      <c r="J869" t="n">
        <v>0</v>
      </c>
      <c r="K869" t="n">
        <v>1</v>
      </c>
      <c r="L869" t="n">
        <v>0</v>
      </c>
      <c r="M869" t="n">
        <v>0</v>
      </c>
      <c r="N869" t="n">
        <v>0</v>
      </c>
      <c r="O869" t="n">
        <v>1</v>
      </c>
      <c r="P869" t="n">
        <v>1</v>
      </c>
      <c r="Q869" t="n">
        <v>1</v>
      </c>
      <c r="R869" s="2" t="inlineStr">
        <is>
          <t>Knärot</t>
        </is>
      </c>
      <c r="S869">
        <f>HYPERLINK("https://klasma.github.io/Logging_2421/artfynd/A 3894-2023 artfynd.xlsx", "A 3894-2023")</f>
        <v/>
      </c>
      <c r="T869">
        <f>HYPERLINK("https://klasma.github.io/Logging_2421/kartor/A 3894-2023 karta.png", "A 3894-2023")</f>
        <v/>
      </c>
      <c r="U869">
        <f>HYPERLINK("https://klasma.github.io/Logging_2421/knärot/A 3894-2023 karta knärot.png", "A 3894-2023")</f>
        <v/>
      </c>
      <c r="V869">
        <f>HYPERLINK("https://klasma.github.io/Logging_2421/klagomål/A 3894-2023 FSC-klagomål.docx", "A 3894-2023")</f>
        <v/>
      </c>
      <c r="W869">
        <f>HYPERLINK("https://klasma.github.io/Logging_2421/klagomålsmail/A 3894-2023 FSC-klagomål mail.docx", "A 3894-2023")</f>
        <v/>
      </c>
      <c r="X869">
        <f>HYPERLINK("https://klasma.github.io/Logging_2421/tillsyn/A 3894-2023 tillsynsbegäran.docx", "A 3894-2023")</f>
        <v/>
      </c>
      <c r="Y869">
        <f>HYPERLINK("https://klasma.github.io/Logging_2421/tillsynsmail/A 3894-2023 tillsynsbegäran mail.docx", "A 3894-2023")</f>
        <v/>
      </c>
    </row>
    <row r="870" ht="15" customHeight="1">
      <c r="A870" t="inlineStr">
        <is>
          <t>A 4341-2023</t>
        </is>
      </c>
      <c r="B870" s="1" t="n">
        <v>44953</v>
      </c>
      <c r="C870" s="1" t="n">
        <v>45357</v>
      </c>
      <c r="D870" t="inlineStr">
        <is>
          <t>VÄSTERBOTTENS LÄN</t>
        </is>
      </c>
      <c r="E870" t="inlineStr">
        <is>
          <t>DOROTEA</t>
        </is>
      </c>
      <c r="F870" t="inlineStr">
        <is>
          <t>SCA</t>
        </is>
      </c>
      <c r="G870" t="n">
        <v>1.7</v>
      </c>
      <c r="H870" t="n">
        <v>0</v>
      </c>
      <c r="I870" t="n">
        <v>1</v>
      </c>
      <c r="J870" t="n">
        <v>0</v>
      </c>
      <c r="K870" t="n">
        <v>0</v>
      </c>
      <c r="L870" t="n">
        <v>0</v>
      </c>
      <c r="M870" t="n">
        <v>0</v>
      </c>
      <c r="N870" t="n">
        <v>0</v>
      </c>
      <c r="O870" t="n">
        <v>0</v>
      </c>
      <c r="P870" t="n">
        <v>0</v>
      </c>
      <c r="Q870" t="n">
        <v>1</v>
      </c>
      <c r="R870" s="2" t="inlineStr">
        <is>
          <t>Luddlav</t>
        </is>
      </c>
      <c r="S870">
        <f>HYPERLINK("https://klasma.github.io/Logging_2425/artfynd/A 4341-2023 artfynd.xlsx", "A 4341-2023")</f>
        <v/>
      </c>
      <c r="T870">
        <f>HYPERLINK("https://klasma.github.io/Logging_2425/kartor/A 4341-2023 karta.png", "A 4341-2023")</f>
        <v/>
      </c>
      <c r="V870">
        <f>HYPERLINK("https://klasma.github.io/Logging_2425/klagomål/A 4341-2023 FSC-klagomål.docx", "A 4341-2023")</f>
        <v/>
      </c>
      <c r="W870">
        <f>HYPERLINK("https://klasma.github.io/Logging_2425/klagomålsmail/A 4341-2023 FSC-klagomål mail.docx", "A 4341-2023")</f>
        <v/>
      </c>
      <c r="X870">
        <f>HYPERLINK("https://klasma.github.io/Logging_2425/tillsyn/A 4341-2023 tillsynsbegäran.docx", "A 4341-2023")</f>
        <v/>
      </c>
      <c r="Y870">
        <f>HYPERLINK("https://klasma.github.io/Logging_2425/tillsynsmail/A 4341-2023 tillsynsbegäran mail.docx", "A 4341-2023")</f>
        <v/>
      </c>
    </row>
    <row r="871" ht="15" customHeight="1">
      <c r="A871" t="inlineStr">
        <is>
          <t>A 5376-2023</t>
        </is>
      </c>
      <c r="B871" s="1" t="n">
        <v>44959</v>
      </c>
      <c r="C871" s="1" t="n">
        <v>45357</v>
      </c>
      <c r="D871" t="inlineStr">
        <is>
          <t>VÄSTERBOTTENS LÄN</t>
        </is>
      </c>
      <c r="E871" t="inlineStr">
        <is>
          <t>ROBERTSFORS</t>
        </is>
      </c>
      <c r="F871" t="inlineStr">
        <is>
          <t>Holmen skog AB</t>
        </is>
      </c>
      <c r="G871" t="n">
        <v>16.9</v>
      </c>
      <c r="H871" t="n">
        <v>1</v>
      </c>
      <c r="I871" t="n">
        <v>0</v>
      </c>
      <c r="J871" t="n">
        <v>1</v>
      </c>
      <c r="K871" t="n">
        <v>0</v>
      </c>
      <c r="L871" t="n">
        <v>0</v>
      </c>
      <c r="M871" t="n">
        <v>0</v>
      </c>
      <c r="N871" t="n">
        <v>0</v>
      </c>
      <c r="O871" t="n">
        <v>1</v>
      </c>
      <c r="P871" t="n">
        <v>0</v>
      </c>
      <c r="Q871" t="n">
        <v>1</v>
      </c>
      <c r="R871" s="2" t="inlineStr">
        <is>
          <t>Ärtsångare</t>
        </is>
      </c>
      <c r="S871">
        <f>HYPERLINK("https://klasma.github.io/Logging_2409/artfynd/A 5376-2023 artfynd.xlsx", "A 5376-2023")</f>
        <v/>
      </c>
      <c r="T871">
        <f>HYPERLINK("https://klasma.github.io/Logging_2409/kartor/A 5376-2023 karta.png", "A 5376-2023")</f>
        <v/>
      </c>
      <c r="V871">
        <f>HYPERLINK("https://klasma.github.io/Logging_2409/klagomål/A 5376-2023 FSC-klagomål.docx", "A 5376-2023")</f>
        <v/>
      </c>
      <c r="W871">
        <f>HYPERLINK("https://klasma.github.io/Logging_2409/klagomålsmail/A 5376-2023 FSC-klagomål mail.docx", "A 5376-2023")</f>
        <v/>
      </c>
      <c r="X871">
        <f>HYPERLINK("https://klasma.github.io/Logging_2409/tillsyn/A 5376-2023 tillsynsbegäran.docx", "A 5376-2023")</f>
        <v/>
      </c>
      <c r="Y871">
        <f>HYPERLINK("https://klasma.github.io/Logging_2409/tillsynsmail/A 5376-2023 tillsynsbegäran mail.docx", "A 5376-2023")</f>
        <v/>
      </c>
    </row>
    <row r="872" ht="15" customHeight="1">
      <c r="A872" t="inlineStr">
        <is>
          <t>A 6604-2023</t>
        </is>
      </c>
      <c r="B872" s="1" t="n">
        <v>44960</v>
      </c>
      <c r="C872" s="1" t="n">
        <v>45357</v>
      </c>
      <c r="D872" t="inlineStr">
        <is>
          <t>VÄSTERBOTTENS LÄN</t>
        </is>
      </c>
      <c r="E872" t="inlineStr">
        <is>
          <t>VILHELMINA</t>
        </is>
      </c>
      <c r="G872" t="n">
        <v>13.4</v>
      </c>
      <c r="H872" t="n">
        <v>0</v>
      </c>
      <c r="I872" t="n">
        <v>1</v>
      </c>
      <c r="J872" t="n">
        <v>0</v>
      </c>
      <c r="K872" t="n">
        <v>0</v>
      </c>
      <c r="L872" t="n">
        <v>0</v>
      </c>
      <c r="M872" t="n">
        <v>0</v>
      </c>
      <c r="N872" t="n">
        <v>0</v>
      </c>
      <c r="O872" t="n">
        <v>0</v>
      </c>
      <c r="P872" t="n">
        <v>0</v>
      </c>
      <c r="Q872" t="n">
        <v>1</v>
      </c>
      <c r="R872" s="2" t="inlineStr">
        <is>
          <t>Luddlav</t>
        </is>
      </c>
      <c r="S872">
        <f>HYPERLINK("https://klasma.github.io/Logging_2462/artfynd/A 6604-2023 artfynd.xlsx", "A 6604-2023")</f>
        <v/>
      </c>
      <c r="T872">
        <f>HYPERLINK("https://klasma.github.io/Logging_2462/kartor/A 6604-2023 karta.png", "A 6604-2023")</f>
        <v/>
      </c>
      <c r="V872">
        <f>HYPERLINK("https://klasma.github.io/Logging_2462/klagomål/A 6604-2023 FSC-klagomål.docx", "A 6604-2023")</f>
        <v/>
      </c>
      <c r="W872">
        <f>HYPERLINK("https://klasma.github.io/Logging_2462/klagomålsmail/A 6604-2023 FSC-klagomål mail.docx", "A 6604-2023")</f>
        <v/>
      </c>
      <c r="X872">
        <f>HYPERLINK("https://klasma.github.io/Logging_2462/tillsyn/A 6604-2023 tillsynsbegäran.docx", "A 6604-2023")</f>
        <v/>
      </c>
      <c r="Y872">
        <f>HYPERLINK("https://klasma.github.io/Logging_2462/tillsynsmail/A 6604-2023 tillsynsbegäran mail.docx", "A 6604-2023")</f>
        <v/>
      </c>
    </row>
    <row r="873" ht="15" customHeight="1">
      <c r="A873" t="inlineStr">
        <is>
          <t>A 6969-2023</t>
        </is>
      </c>
      <c r="B873" s="1" t="n">
        <v>44964</v>
      </c>
      <c r="C873" s="1" t="n">
        <v>45357</v>
      </c>
      <c r="D873" t="inlineStr">
        <is>
          <t>VÄSTERBOTTENS LÄN</t>
        </is>
      </c>
      <c r="E873" t="inlineStr">
        <is>
          <t>VILHELMINA</t>
        </is>
      </c>
      <c r="F873" t="inlineStr">
        <is>
          <t>Allmännings- och besparingsskogar</t>
        </is>
      </c>
      <c r="G873" t="n">
        <v>21.8</v>
      </c>
      <c r="H873" t="n">
        <v>0</v>
      </c>
      <c r="I873" t="n">
        <v>1</v>
      </c>
      <c r="J873" t="n">
        <v>0</v>
      </c>
      <c r="K873" t="n">
        <v>0</v>
      </c>
      <c r="L873" t="n">
        <v>0</v>
      </c>
      <c r="M873" t="n">
        <v>0</v>
      </c>
      <c r="N873" t="n">
        <v>0</v>
      </c>
      <c r="O873" t="n">
        <v>0</v>
      </c>
      <c r="P873" t="n">
        <v>0</v>
      </c>
      <c r="Q873" t="n">
        <v>1</v>
      </c>
      <c r="R873" s="2" t="inlineStr">
        <is>
          <t>Gulnål</t>
        </is>
      </c>
      <c r="S873">
        <f>HYPERLINK("https://klasma.github.io/Logging_2462/artfynd/A 6969-2023 artfynd.xlsx", "A 6969-2023")</f>
        <v/>
      </c>
      <c r="T873">
        <f>HYPERLINK("https://klasma.github.io/Logging_2462/kartor/A 6969-2023 karta.png", "A 6969-2023")</f>
        <v/>
      </c>
      <c r="V873">
        <f>HYPERLINK("https://klasma.github.io/Logging_2462/klagomål/A 6969-2023 FSC-klagomål.docx", "A 6969-2023")</f>
        <v/>
      </c>
      <c r="W873">
        <f>HYPERLINK("https://klasma.github.io/Logging_2462/klagomålsmail/A 6969-2023 FSC-klagomål mail.docx", "A 6969-2023")</f>
        <v/>
      </c>
      <c r="X873">
        <f>HYPERLINK("https://klasma.github.io/Logging_2462/tillsyn/A 6969-2023 tillsynsbegäran.docx", "A 6969-2023")</f>
        <v/>
      </c>
      <c r="Y873">
        <f>HYPERLINK("https://klasma.github.io/Logging_2462/tillsynsmail/A 6969-2023 tillsynsbegäran mail.docx", "A 6969-2023")</f>
        <v/>
      </c>
    </row>
    <row r="874" ht="15" customHeight="1">
      <c r="A874" t="inlineStr">
        <is>
          <t>A 6651-2023</t>
        </is>
      </c>
      <c r="B874" s="1" t="n">
        <v>44966</v>
      </c>
      <c r="C874" s="1" t="n">
        <v>45357</v>
      </c>
      <c r="D874" t="inlineStr">
        <is>
          <t>VÄSTERBOTTENS LÄN</t>
        </is>
      </c>
      <c r="E874" t="inlineStr">
        <is>
          <t>VINDELN</t>
        </is>
      </c>
      <c r="F874" t="inlineStr">
        <is>
          <t>Holmen skog AB</t>
        </is>
      </c>
      <c r="G874" t="n">
        <v>21.9</v>
      </c>
      <c r="H874" t="n">
        <v>0</v>
      </c>
      <c r="I874" t="n">
        <v>0</v>
      </c>
      <c r="J874" t="n">
        <v>1</v>
      </c>
      <c r="K874" t="n">
        <v>0</v>
      </c>
      <c r="L874" t="n">
        <v>0</v>
      </c>
      <c r="M874" t="n">
        <v>0</v>
      </c>
      <c r="N874" t="n">
        <v>0</v>
      </c>
      <c r="O874" t="n">
        <v>1</v>
      </c>
      <c r="P874" t="n">
        <v>0</v>
      </c>
      <c r="Q874" t="n">
        <v>1</v>
      </c>
      <c r="R874" s="2" t="inlineStr">
        <is>
          <t>Blå taggsvamp</t>
        </is>
      </c>
      <c r="S874">
        <f>HYPERLINK("https://klasma.github.io/Logging_2404/artfynd/A 6651-2023 artfynd.xlsx", "A 6651-2023")</f>
        <v/>
      </c>
      <c r="T874">
        <f>HYPERLINK("https://klasma.github.io/Logging_2404/kartor/A 6651-2023 karta.png", "A 6651-2023")</f>
        <v/>
      </c>
      <c r="V874">
        <f>HYPERLINK("https://klasma.github.io/Logging_2404/klagomål/A 6651-2023 FSC-klagomål.docx", "A 6651-2023")</f>
        <v/>
      </c>
      <c r="W874">
        <f>HYPERLINK("https://klasma.github.io/Logging_2404/klagomålsmail/A 6651-2023 FSC-klagomål mail.docx", "A 6651-2023")</f>
        <v/>
      </c>
      <c r="X874">
        <f>HYPERLINK("https://klasma.github.io/Logging_2404/tillsyn/A 6651-2023 tillsynsbegäran.docx", "A 6651-2023")</f>
        <v/>
      </c>
      <c r="Y874">
        <f>HYPERLINK("https://klasma.github.io/Logging_2404/tillsynsmail/A 6651-2023 tillsynsbegäran mail.docx", "A 6651-2023")</f>
        <v/>
      </c>
    </row>
    <row r="875" ht="15" customHeight="1">
      <c r="A875" t="inlineStr">
        <is>
          <t>A 9249-2023</t>
        </is>
      </c>
      <c r="B875" s="1" t="n">
        <v>44972</v>
      </c>
      <c r="C875" s="1" t="n">
        <v>45357</v>
      </c>
      <c r="D875" t="inlineStr">
        <is>
          <t>VÄSTERBOTTENS LÄN</t>
        </is>
      </c>
      <c r="E875" t="inlineStr">
        <is>
          <t>VILHELMINA</t>
        </is>
      </c>
      <c r="F875" t="inlineStr">
        <is>
          <t>Allmännings- och besparingsskogar</t>
        </is>
      </c>
      <c r="G875" t="n">
        <v>18</v>
      </c>
      <c r="H875" t="n">
        <v>1</v>
      </c>
      <c r="I875" t="n">
        <v>0</v>
      </c>
      <c r="J875" t="n">
        <v>1</v>
      </c>
      <c r="K875" t="n">
        <v>0</v>
      </c>
      <c r="L875" t="n">
        <v>0</v>
      </c>
      <c r="M875" t="n">
        <v>0</v>
      </c>
      <c r="N875" t="n">
        <v>0</v>
      </c>
      <c r="O875" t="n">
        <v>1</v>
      </c>
      <c r="P875" t="n">
        <v>0</v>
      </c>
      <c r="Q875" t="n">
        <v>1</v>
      </c>
      <c r="R875" s="2" t="inlineStr">
        <is>
          <t>Tretåig hackspett</t>
        </is>
      </c>
      <c r="S875">
        <f>HYPERLINK("https://klasma.github.io/Logging_2462/artfynd/A 9249-2023 artfynd.xlsx", "A 9249-2023")</f>
        <v/>
      </c>
      <c r="T875">
        <f>HYPERLINK("https://klasma.github.io/Logging_2462/kartor/A 9249-2023 karta.png", "A 9249-2023")</f>
        <v/>
      </c>
      <c r="V875">
        <f>HYPERLINK("https://klasma.github.io/Logging_2462/klagomål/A 9249-2023 FSC-klagomål.docx", "A 9249-2023")</f>
        <v/>
      </c>
      <c r="W875">
        <f>HYPERLINK("https://klasma.github.io/Logging_2462/klagomålsmail/A 9249-2023 FSC-klagomål mail.docx", "A 9249-2023")</f>
        <v/>
      </c>
      <c r="X875">
        <f>HYPERLINK("https://klasma.github.io/Logging_2462/tillsyn/A 9249-2023 tillsynsbegäran.docx", "A 9249-2023")</f>
        <v/>
      </c>
      <c r="Y875">
        <f>HYPERLINK("https://klasma.github.io/Logging_2462/tillsynsmail/A 9249-2023 tillsynsbegäran mail.docx", "A 9249-2023")</f>
        <v/>
      </c>
      <c r="Z875">
        <f>HYPERLINK("https://klasma.github.io/Logging_2462/fåglar/A 9249-2023 prioriterade fågelarter.docx", "A 9249-2023")</f>
        <v/>
      </c>
    </row>
    <row r="876" ht="15" customHeight="1">
      <c r="A876" t="inlineStr">
        <is>
          <t>A 9652-2023</t>
        </is>
      </c>
      <c r="B876" s="1" t="n">
        <v>44978</v>
      </c>
      <c r="C876" s="1" t="n">
        <v>45357</v>
      </c>
      <c r="D876" t="inlineStr">
        <is>
          <t>VÄSTERBOTTENS LÄN</t>
        </is>
      </c>
      <c r="E876" t="inlineStr">
        <is>
          <t>SKELLEFTEÅ</t>
        </is>
      </c>
      <c r="G876" t="n">
        <v>1.3</v>
      </c>
      <c r="H876" t="n">
        <v>0</v>
      </c>
      <c r="I876" t="n">
        <v>0</v>
      </c>
      <c r="J876" t="n">
        <v>1</v>
      </c>
      <c r="K876" t="n">
        <v>0</v>
      </c>
      <c r="L876" t="n">
        <v>0</v>
      </c>
      <c r="M876" t="n">
        <v>0</v>
      </c>
      <c r="N876" t="n">
        <v>0</v>
      </c>
      <c r="O876" t="n">
        <v>1</v>
      </c>
      <c r="P876" t="n">
        <v>0</v>
      </c>
      <c r="Q876" t="n">
        <v>1</v>
      </c>
      <c r="R876" s="2" t="inlineStr">
        <is>
          <t>Ullticka</t>
        </is>
      </c>
      <c r="S876">
        <f>HYPERLINK("https://klasma.github.io/Logging_2482/artfynd/A 9652-2023 artfynd.xlsx", "A 9652-2023")</f>
        <v/>
      </c>
      <c r="T876">
        <f>HYPERLINK("https://klasma.github.io/Logging_2482/kartor/A 9652-2023 karta.png", "A 9652-2023")</f>
        <v/>
      </c>
      <c r="V876">
        <f>HYPERLINK("https://klasma.github.io/Logging_2482/klagomål/A 9652-2023 FSC-klagomål.docx", "A 9652-2023")</f>
        <v/>
      </c>
      <c r="W876">
        <f>HYPERLINK("https://klasma.github.io/Logging_2482/klagomålsmail/A 9652-2023 FSC-klagomål mail.docx", "A 9652-2023")</f>
        <v/>
      </c>
      <c r="X876">
        <f>HYPERLINK("https://klasma.github.io/Logging_2482/tillsyn/A 9652-2023 tillsynsbegäran.docx", "A 9652-2023")</f>
        <v/>
      </c>
      <c r="Y876">
        <f>HYPERLINK("https://klasma.github.io/Logging_2482/tillsynsmail/A 9652-2023 tillsynsbegäran mail.docx", "A 9652-2023")</f>
        <v/>
      </c>
    </row>
    <row r="877" ht="15" customHeight="1">
      <c r="A877" t="inlineStr">
        <is>
          <t>A 10029-2023</t>
        </is>
      </c>
      <c r="B877" s="1" t="n">
        <v>44979</v>
      </c>
      <c r="C877" s="1" t="n">
        <v>45357</v>
      </c>
      <c r="D877" t="inlineStr">
        <is>
          <t>VÄSTERBOTTENS LÄN</t>
        </is>
      </c>
      <c r="E877" t="inlineStr">
        <is>
          <t>VINDELN</t>
        </is>
      </c>
      <c r="G877" t="n">
        <v>3.5</v>
      </c>
      <c r="H877" t="n">
        <v>0</v>
      </c>
      <c r="I877" t="n">
        <v>0</v>
      </c>
      <c r="J877" t="n">
        <v>1</v>
      </c>
      <c r="K877" t="n">
        <v>0</v>
      </c>
      <c r="L877" t="n">
        <v>0</v>
      </c>
      <c r="M877" t="n">
        <v>0</v>
      </c>
      <c r="N877" t="n">
        <v>0</v>
      </c>
      <c r="O877" t="n">
        <v>1</v>
      </c>
      <c r="P877" t="n">
        <v>0</v>
      </c>
      <c r="Q877" t="n">
        <v>1</v>
      </c>
      <c r="R877" s="2" t="inlineStr">
        <is>
          <t>Lunglav</t>
        </is>
      </c>
      <c r="S877">
        <f>HYPERLINK("https://klasma.github.io/Logging_2404/artfynd/A 10029-2023 artfynd.xlsx", "A 10029-2023")</f>
        <v/>
      </c>
      <c r="T877">
        <f>HYPERLINK("https://klasma.github.io/Logging_2404/kartor/A 10029-2023 karta.png", "A 10029-2023")</f>
        <v/>
      </c>
      <c r="V877">
        <f>HYPERLINK("https://klasma.github.io/Logging_2404/klagomål/A 10029-2023 FSC-klagomål.docx", "A 10029-2023")</f>
        <v/>
      </c>
      <c r="W877">
        <f>HYPERLINK("https://klasma.github.io/Logging_2404/klagomålsmail/A 10029-2023 FSC-klagomål mail.docx", "A 10029-2023")</f>
        <v/>
      </c>
      <c r="X877">
        <f>HYPERLINK("https://klasma.github.io/Logging_2404/tillsyn/A 10029-2023 tillsynsbegäran.docx", "A 10029-2023")</f>
        <v/>
      </c>
      <c r="Y877">
        <f>HYPERLINK("https://klasma.github.io/Logging_2404/tillsynsmail/A 10029-2023 tillsynsbegäran mail.docx", "A 10029-2023")</f>
        <v/>
      </c>
    </row>
    <row r="878" ht="15" customHeight="1">
      <c r="A878" t="inlineStr">
        <is>
          <t>A 10069-2023</t>
        </is>
      </c>
      <c r="B878" s="1" t="n">
        <v>44985</v>
      </c>
      <c r="C878" s="1" t="n">
        <v>45357</v>
      </c>
      <c r="D878" t="inlineStr">
        <is>
          <t>VÄSTERBOTTENS LÄN</t>
        </is>
      </c>
      <c r="E878" t="inlineStr">
        <is>
          <t>SKELLEFTEÅ</t>
        </is>
      </c>
      <c r="G878" t="n">
        <v>11.9</v>
      </c>
      <c r="H878" t="n">
        <v>1</v>
      </c>
      <c r="I878" t="n">
        <v>0</v>
      </c>
      <c r="J878" t="n">
        <v>0</v>
      </c>
      <c r="K878" t="n">
        <v>1</v>
      </c>
      <c r="L878" t="n">
        <v>0</v>
      </c>
      <c r="M878" t="n">
        <v>0</v>
      </c>
      <c r="N878" t="n">
        <v>0</v>
      </c>
      <c r="O878" t="n">
        <v>1</v>
      </c>
      <c r="P878" t="n">
        <v>1</v>
      </c>
      <c r="Q878" t="n">
        <v>1</v>
      </c>
      <c r="R878" s="2" t="inlineStr">
        <is>
          <t>Knärot</t>
        </is>
      </c>
      <c r="S878">
        <f>HYPERLINK("https://klasma.github.io/Logging_2482/artfynd/A 10069-2023 artfynd.xlsx", "A 10069-2023")</f>
        <v/>
      </c>
      <c r="T878">
        <f>HYPERLINK("https://klasma.github.io/Logging_2482/kartor/A 10069-2023 karta.png", "A 10069-2023")</f>
        <v/>
      </c>
      <c r="U878">
        <f>HYPERLINK("https://klasma.github.io/Logging_2482/knärot/A 10069-2023 karta knärot.png", "A 10069-2023")</f>
        <v/>
      </c>
      <c r="V878">
        <f>HYPERLINK("https://klasma.github.io/Logging_2482/klagomål/A 10069-2023 FSC-klagomål.docx", "A 10069-2023")</f>
        <v/>
      </c>
      <c r="W878">
        <f>HYPERLINK("https://klasma.github.io/Logging_2482/klagomålsmail/A 10069-2023 FSC-klagomål mail.docx", "A 10069-2023")</f>
        <v/>
      </c>
      <c r="X878">
        <f>HYPERLINK("https://klasma.github.io/Logging_2482/tillsyn/A 10069-2023 tillsynsbegäran.docx", "A 10069-2023")</f>
        <v/>
      </c>
      <c r="Y878">
        <f>HYPERLINK("https://klasma.github.io/Logging_2482/tillsynsmail/A 10069-2023 tillsynsbegäran mail.docx", "A 10069-2023")</f>
        <v/>
      </c>
    </row>
    <row r="879" ht="15" customHeight="1">
      <c r="A879" t="inlineStr">
        <is>
          <t>A 10081-2023</t>
        </is>
      </c>
      <c r="B879" s="1" t="n">
        <v>44985</v>
      </c>
      <c r="C879" s="1" t="n">
        <v>45357</v>
      </c>
      <c r="D879" t="inlineStr">
        <is>
          <t>VÄSTERBOTTENS LÄN</t>
        </is>
      </c>
      <c r="E879" t="inlineStr">
        <is>
          <t>ÅSELE</t>
        </is>
      </c>
      <c r="F879" t="inlineStr">
        <is>
          <t>SCA</t>
        </is>
      </c>
      <c r="G879" t="n">
        <v>3.2</v>
      </c>
      <c r="H879" t="n">
        <v>0</v>
      </c>
      <c r="I879" t="n">
        <v>0</v>
      </c>
      <c r="J879" t="n">
        <v>1</v>
      </c>
      <c r="K879" t="n">
        <v>0</v>
      </c>
      <c r="L879" t="n">
        <v>0</v>
      </c>
      <c r="M879" t="n">
        <v>0</v>
      </c>
      <c r="N879" t="n">
        <v>0</v>
      </c>
      <c r="O879" t="n">
        <v>1</v>
      </c>
      <c r="P879" t="n">
        <v>0</v>
      </c>
      <c r="Q879" t="n">
        <v>1</v>
      </c>
      <c r="R879" s="2" t="inlineStr">
        <is>
          <t>Harticka</t>
        </is>
      </c>
      <c r="S879">
        <f>HYPERLINK("https://klasma.github.io/Logging_2463/artfynd/A 10081-2023 artfynd.xlsx", "A 10081-2023")</f>
        <v/>
      </c>
      <c r="T879">
        <f>HYPERLINK("https://klasma.github.io/Logging_2463/kartor/A 10081-2023 karta.png", "A 10081-2023")</f>
        <v/>
      </c>
      <c r="V879">
        <f>HYPERLINK("https://klasma.github.io/Logging_2463/klagomål/A 10081-2023 FSC-klagomål.docx", "A 10081-2023")</f>
        <v/>
      </c>
      <c r="W879">
        <f>HYPERLINK("https://klasma.github.io/Logging_2463/klagomålsmail/A 10081-2023 FSC-klagomål mail.docx", "A 10081-2023")</f>
        <v/>
      </c>
      <c r="X879">
        <f>HYPERLINK("https://klasma.github.io/Logging_2463/tillsyn/A 10081-2023 tillsynsbegäran.docx", "A 10081-2023")</f>
        <v/>
      </c>
      <c r="Y879">
        <f>HYPERLINK("https://klasma.github.io/Logging_2463/tillsynsmail/A 10081-2023 tillsynsbegäran mail.docx", "A 10081-2023")</f>
        <v/>
      </c>
    </row>
    <row r="880" ht="15" customHeight="1">
      <c r="A880" t="inlineStr">
        <is>
          <t>A 10467-2023</t>
        </is>
      </c>
      <c r="B880" s="1" t="n">
        <v>44987</v>
      </c>
      <c r="C880" s="1" t="n">
        <v>45357</v>
      </c>
      <c r="D880" t="inlineStr">
        <is>
          <t>VÄSTERBOTTENS LÄN</t>
        </is>
      </c>
      <c r="E880" t="inlineStr">
        <is>
          <t>VINDELN</t>
        </is>
      </c>
      <c r="G880" t="n">
        <v>4.5</v>
      </c>
      <c r="H880" t="n">
        <v>0</v>
      </c>
      <c r="I880" t="n">
        <v>0</v>
      </c>
      <c r="J880" t="n">
        <v>1</v>
      </c>
      <c r="K880" t="n">
        <v>0</v>
      </c>
      <c r="L880" t="n">
        <v>0</v>
      </c>
      <c r="M880" t="n">
        <v>0</v>
      </c>
      <c r="N880" t="n">
        <v>0</v>
      </c>
      <c r="O880" t="n">
        <v>1</v>
      </c>
      <c r="P880" t="n">
        <v>0</v>
      </c>
      <c r="Q880" t="n">
        <v>1</v>
      </c>
      <c r="R880" s="2" t="inlineStr">
        <is>
          <t>Stjärntagging</t>
        </is>
      </c>
      <c r="S880">
        <f>HYPERLINK("https://klasma.github.io/Logging_2404/artfynd/A 10467-2023 artfynd.xlsx", "A 10467-2023")</f>
        <v/>
      </c>
      <c r="T880">
        <f>HYPERLINK("https://klasma.github.io/Logging_2404/kartor/A 10467-2023 karta.png", "A 10467-2023")</f>
        <v/>
      </c>
      <c r="V880">
        <f>HYPERLINK("https://klasma.github.io/Logging_2404/klagomål/A 10467-2023 FSC-klagomål.docx", "A 10467-2023")</f>
        <v/>
      </c>
      <c r="W880">
        <f>HYPERLINK("https://klasma.github.io/Logging_2404/klagomålsmail/A 10467-2023 FSC-klagomål mail.docx", "A 10467-2023")</f>
        <v/>
      </c>
      <c r="X880">
        <f>HYPERLINK("https://klasma.github.io/Logging_2404/tillsyn/A 10467-2023 tillsynsbegäran.docx", "A 10467-2023")</f>
        <v/>
      </c>
      <c r="Y880">
        <f>HYPERLINK("https://klasma.github.io/Logging_2404/tillsynsmail/A 10467-2023 tillsynsbegäran mail.docx", "A 10467-2023")</f>
        <v/>
      </c>
    </row>
    <row r="881" ht="15" customHeight="1">
      <c r="A881" t="inlineStr">
        <is>
          <t>A 10862-2023</t>
        </is>
      </c>
      <c r="B881" s="1" t="n">
        <v>44991</v>
      </c>
      <c r="C881" s="1" t="n">
        <v>45357</v>
      </c>
      <c r="D881" t="inlineStr">
        <is>
          <t>VÄSTERBOTTENS LÄN</t>
        </is>
      </c>
      <c r="E881" t="inlineStr">
        <is>
          <t>VINDELN</t>
        </is>
      </c>
      <c r="G881" t="n">
        <v>26</v>
      </c>
      <c r="H881" t="n">
        <v>0</v>
      </c>
      <c r="I881" t="n">
        <v>0</v>
      </c>
      <c r="J881" t="n">
        <v>1</v>
      </c>
      <c r="K881" t="n">
        <v>0</v>
      </c>
      <c r="L881" t="n">
        <v>0</v>
      </c>
      <c r="M881" t="n">
        <v>0</v>
      </c>
      <c r="N881" t="n">
        <v>0</v>
      </c>
      <c r="O881" t="n">
        <v>1</v>
      </c>
      <c r="P881" t="n">
        <v>0</v>
      </c>
      <c r="Q881" t="n">
        <v>1</v>
      </c>
      <c r="R881" s="2" t="inlineStr">
        <is>
          <t>Gammelgransskål</t>
        </is>
      </c>
      <c r="S881">
        <f>HYPERLINK("https://klasma.github.io/Logging_2404/artfynd/A 10862-2023 artfynd.xlsx", "A 10862-2023")</f>
        <v/>
      </c>
      <c r="T881">
        <f>HYPERLINK("https://klasma.github.io/Logging_2404/kartor/A 10862-2023 karta.png", "A 10862-2023")</f>
        <v/>
      </c>
      <c r="V881">
        <f>HYPERLINK("https://klasma.github.io/Logging_2404/klagomål/A 10862-2023 FSC-klagomål.docx", "A 10862-2023")</f>
        <v/>
      </c>
      <c r="W881">
        <f>HYPERLINK("https://klasma.github.io/Logging_2404/klagomålsmail/A 10862-2023 FSC-klagomål mail.docx", "A 10862-2023")</f>
        <v/>
      </c>
      <c r="X881">
        <f>HYPERLINK("https://klasma.github.io/Logging_2404/tillsyn/A 10862-2023 tillsynsbegäran.docx", "A 10862-2023")</f>
        <v/>
      </c>
      <c r="Y881">
        <f>HYPERLINK("https://klasma.github.io/Logging_2404/tillsynsmail/A 10862-2023 tillsynsbegäran mail.docx", "A 10862-2023")</f>
        <v/>
      </c>
    </row>
    <row r="882" ht="15" customHeight="1">
      <c r="A882" t="inlineStr">
        <is>
          <t>A 11056-2023</t>
        </is>
      </c>
      <c r="B882" s="1" t="n">
        <v>44991</v>
      </c>
      <c r="C882" s="1" t="n">
        <v>45357</v>
      </c>
      <c r="D882" t="inlineStr">
        <is>
          <t>VÄSTERBOTTENS LÄN</t>
        </is>
      </c>
      <c r="E882" t="inlineStr">
        <is>
          <t>NORDMALING</t>
        </is>
      </c>
      <c r="F882" t="inlineStr">
        <is>
          <t>SCA</t>
        </is>
      </c>
      <c r="G882" t="n">
        <v>1</v>
      </c>
      <c r="H882" t="n">
        <v>1</v>
      </c>
      <c r="I882" t="n">
        <v>1</v>
      </c>
      <c r="J882" t="n">
        <v>0</v>
      </c>
      <c r="K882" t="n">
        <v>0</v>
      </c>
      <c r="L882" t="n">
        <v>0</v>
      </c>
      <c r="M882" t="n">
        <v>0</v>
      </c>
      <c r="N882" t="n">
        <v>0</v>
      </c>
      <c r="O882" t="n">
        <v>0</v>
      </c>
      <c r="P882" t="n">
        <v>0</v>
      </c>
      <c r="Q882" t="n">
        <v>1</v>
      </c>
      <c r="R882" s="2" t="inlineStr">
        <is>
          <t>Plattlummer</t>
        </is>
      </c>
      <c r="S882">
        <f>HYPERLINK("https://klasma.github.io/Logging_2401/artfynd/A 11056-2023 artfynd.xlsx", "A 11056-2023")</f>
        <v/>
      </c>
      <c r="T882">
        <f>HYPERLINK("https://klasma.github.io/Logging_2401/kartor/A 11056-2023 karta.png", "A 11056-2023")</f>
        <v/>
      </c>
      <c r="V882">
        <f>HYPERLINK("https://klasma.github.io/Logging_2401/klagomål/A 11056-2023 FSC-klagomål.docx", "A 11056-2023")</f>
        <v/>
      </c>
      <c r="W882">
        <f>HYPERLINK("https://klasma.github.io/Logging_2401/klagomålsmail/A 11056-2023 FSC-klagomål mail.docx", "A 11056-2023")</f>
        <v/>
      </c>
      <c r="X882">
        <f>HYPERLINK("https://klasma.github.io/Logging_2401/tillsyn/A 11056-2023 tillsynsbegäran.docx", "A 11056-2023")</f>
        <v/>
      </c>
      <c r="Y882">
        <f>HYPERLINK("https://klasma.github.io/Logging_2401/tillsynsmail/A 11056-2023 tillsynsbegäran mail.docx", "A 11056-2023")</f>
        <v/>
      </c>
    </row>
    <row r="883" ht="15" customHeight="1">
      <c r="A883" t="inlineStr">
        <is>
          <t>A 11395-2023</t>
        </is>
      </c>
      <c r="B883" s="1" t="n">
        <v>44993</v>
      </c>
      <c r="C883" s="1" t="n">
        <v>45357</v>
      </c>
      <c r="D883" t="inlineStr">
        <is>
          <t>VÄSTERBOTTENS LÄN</t>
        </is>
      </c>
      <c r="E883" t="inlineStr">
        <is>
          <t>UMEÅ</t>
        </is>
      </c>
      <c r="G883" t="n">
        <v>6.1</v>
      </c>
      <c r="H883" t="n">
        <v>0</v>
      </c>
      <c r="I883" t="n">
        <v>1</v>
      </c>
      <c r="J883" t="n">
        <v>0</v>
      </c>
      <c r="K883" t="n">
        <v>0</v>
      </c>
      <c r="L883" t="n">
        <v>0</v>
      </c>
      <c r="M883" t="n">
        <v>0</v>
      </c>
      <c r="N883" t="n">
        <v>0</v>
      </c>
      <c r="O883" t="n">
        <v>0</v>
      </c>
      <c r="P883" t="n">
        <v>0</v>
      </c>
      <c r="Q883" t="n">
        <v>1</v>
      </c>
      <c r="R883" s="2" t="inlineStr">
        <is>
          <t>Skarp dropptaggsvamp</t>
        </is>
      </c>
      <c r="S883">
        <f>HYPERLINK("https://klasma.github.io/Logging_2480/artfynd/A 11395-2023 artfynd.xlsx", "A 11395-2023")</f>
        <v/>
      </c>
      <c r="T883">
        <f>HYPERLINK("https://klasma.github.io/Logging_2480/kartor/A 11395-2023 karta.png", "A 11395-2023")</f>
        <v/>
      </c>
      <c r="V883">
        <f>HYPERLINK("https://klasma.github.io/Logging_2480/klagomål/A 11395-2023 FSC-klagomål.docx", "A 11395-2023")</f>
        <v/>
      </c>
      <c r="W883">
        <f>HYPERLINK("https://klasma.github.io/Logging_2480/klagomålsmail/A 11395-2023 FSC-klagomål mail.docx", "A 11395-2023")</f>
        <v/>
      </c>
      <c r="X883">
        <f>HYPERLINK("https://klasma.github.io/Logging_2480/tillsyn/A 11395-2023 tillsynsbegäran.docx", "A 11395-2023")</f>
        <v/>
      </c>
      <c r="Y883">
        <f>HYPERLINK("https://klasma.github.io/Logging_2480/tillsynsmail/A 11395-2023 tillsynsbegäran mail.docx", "A 11395-2023")</f>
        <v/>
      </c>
    </row>
    <row r="884" ht="15" customHeight="1">
      <c r="A884" t="inlineStr">
        <is>
          <t>A 11552-2023</t>
        </is>
      </c>
      <c r="B884" s="1" t="n">
        <v>44993</v>
      </c>
      <c r="C884" s="1" t="n">
        <v>45357</v>
      </c>
      <c r="D884" t="inlineStr">
        <is>
          <t>VÄSTERBOTTENS LÄN</t>
        </is>
      </c>
      <c r="E884" t="inlineStr">
        <is>
          <t>LYCKSELE</t>
        </is>
      </c>
      <c r="F884" t="inlineStr">
        <is>
          <t>SCA</t>
        </is>
      </c>
      <c r="G884" t="n">
        <v>11</v>
      </c>
      <c r="H884" t="n">
        <v>1</v>
      </c>
      <c r="I884" t="n">
        <v>0</v>
      </c>
      <c r="J884" t="n">
        <v>0</v>
      </c>
      <c r="K884" t="n">
        <v>0</v>
      </c>
      <c r="L884" t="n">
        <v>1</v>
      </c>
      <c r="M884" t="n">
        <v>0</v>
      </c>
      <c r="N884" t="n">
        <v>0</v>
      </c>
      <c r="O884" t="n">
        <v>1</v>
      </c>
      <c r="P884" t="n">
        <v>1</v>
      </c>
      <c r="Q884" t="n">
        <v>1</v>
      </c>
      <c r="R884" s="2" t="inlineStr">
        <is>
          <t>Tornseglare</t>
        </is>
      </c>
      <c r="S884">
        <f>HYPERLINK("https://klasma.github.io/Logging_2481/artfynd/A 11552-2023 artfynd.xlsx", "A 11552-2023")</f>
        <v/>
      </c>
      <c r="T884">
        <f>HYPERLINK("https://klasma.github.io/Logging_2481/kartor/A 11552-2023 karta.png", "A 11552-2023")</f>
        <v/>
      </c>
      <c r="V884">
        <f>HYPERLINK("https://klasma.github.io/Logging_2481/klagomål/A 11552-2023 FSC-klagomål.docx", "A 11552-2023")</f>
        <v/>
      </c>
      <c r="W884">
        <f>HYPERLINK("https://klasma.github.io/Logging_2481/klagomålsmail/A 11552-2023 FSC-klagomål mail.docx", "A 11552-2023")</f>
        <v/>
      </c>
      <c r="X884">
        <f>HYPERLINK("https://klasma.github.io/Logging_2481/tillsyn/A 11552-2023 tillsynsbegäran.docx", "A 11552-2023")</f>
        <v/>
      </c>
      <c r="Y884">
        <f>HYPERLINK("https://klasma.github.io/Logging_2481/tillsynsmail/A 11552-2023 tillsynsbegäran mail.docx", "A 11552-2023")</f>
        <v/>
      </c>
      <c r="Z884">
        <f>HYPERLINK("https://klasma.github.io/Logging_2481/fåglar/A 11552-2023 prioriterade fågelarter.docx", "A 11552-2023")</f>
        <v/>
      </c>
    </row>
    <row r="885" ht="15" customHeight="1">
      <c r="A885" t="inlineStr">
        <is>
          <t>A 11819-2023</t>
        </is>
      </c>
      <c r="B885" s="1" t="n">
        <v>44994</v>
      </c>
      <c r="C885" s="1" t="n">
        <v>45357</v>
      </c>
      <c r="D885" t="inlineStr">
        <is>
          <t>VÄSTERBOTTENS LÄN</t>
        </is>
      </c>
      <c r="E885" t="inlineStr">
        <is>
          <t>BJURHOLM</t>
        </is>
      </c>
      <c r="F885" t="inlineStr">
        <is>
          <t>SCA</t>
        </is>
      </c>
      <c r="G885" t="n">
        <v>2.7</v>
      </c>
      <c r="H885" t="n">
        <v>0</v>
      </c>
      <c r="I885" t="n">
        <v>0</v>
      </c>
      <c r="J885" t="n">
        <v>1</v>
      </c>
      <c r="K885" t="n">
        <v>0</v>
      </c>
      <c r="L885" t="n">
        <v>0</v>
      </c>
      <c r="M885" t="n">
        <v>0</v>
      </c>
      <c r="N885" t="n">
        <v>0</v>
      </c>
      <c r="O885" t="n">
        <v>1</v>
      </c>
      <c r="P885" t="n">
        <v>0</v>
      </c>
      <c r="Q885" t="n">
        <v>1</v>
      </c>
      <c r="R885" s="2" t="inlineStr">
        <is>
          <t>Gammelgransskål</t>
        </is>
      </c>
      <c r="S885">
        <f>HYPERLINK("https://klasma.github.io/Logging_2403/artfynd/A 11819-2023 artfynd.xlsx", "A 11819-2023")</f>
        <v/>
      </c>
      <c r="T885">
        <f>HYPERLINK("https://klasma.github.io/Logging_2403/kartor/A 11819-2023 karta.png", "A 11819-2023")</f>
        <v/>
      </c>
      <c r="V885">
        <f>HYPERLINK("https://klasma.github.io/Logging_2403/klagomål/A 11819-2023 FSC-klagomål.docx", "A 11819-2023")</f>
        <v/>
      </c>
      <c r="W885">
        <f>HYPERLINK("https://klasma.github.io/Logging_2403/klagomålsmail/A 11819-2023 FSC-klagomål mail.docx", "A 11819-2023")</f>
        <v/>
      </c>
      <c r="X885">
        <f>HYPERLINK("https://klasma.github.io/Logging_2403/tillsyn/A 11819-2023 tillsynsbegäran.docx", "A 11819-2023")</f>
        <v/>
      </c>
      <c r="Y885">
        <f>HYPERLINK("https://klasma.github.io/Logging_2403/tillsynsmail/A 11819-2023 tillsynsbegäran mail.docx", "A 11819-2023")</f>
        <v/>
      </c>
    </row>
    <row r="886" ht="15" customHeight="1">
      <c r="A886" t="inlineStr">
        <is>
          <t>A 11891-2023</t>
        </is>
      </c>
      <c r="B886" s="1" t="n">
        <v>44994</v>
      </c>
      <c r="C886" s="1" t="n">
        <v>45357</v>
      </c>
      <c r="D886" t="inlineStr">
        <is>
          <t>VÄSTERBOTTENS LÄN</t>
        </is>
      </c>
      <c r="E886" t="inlineStr">
        <is>
          <t>SKELLEFTEÅ</t>
        </is>
      </c>
      <c r="G886" t="n">
        <v>10.5</v>
      </c>
      <c r="H886" t="n">
        <v>0</v>
      </c>
      <c r="I886" t="n">
        <v>0</v>
      </c>
      <c r="J886" t="n">
        <v>1</v>
      </c>
      <c r="K886" t="n">
        <v>0</v>
      </c>
      <c r="L886" t="n">
        <v>0</v>
      </c>
      <c r="M886" t="n">
        <v>0</v>
      </c>
      <c r="N886" t="n">
        <v>0</v>
      </c>
      <c r="O886" t="n">
        <v>1</v>
      </c>
      <c r="P886" t="n">
        <v>0</v>
      </c>
      <c r="Q886" t="n">
        <v>1</v>
      </c>
      <c r="R886" s="2" t="inlineStr">
        <is>
          <t>Violettgrå tagellav</t>
        </is>
      </c>
      <c r="S886">
        <f>HYPERLINK("https://klasma.github.io/Logging_2482/artfynd/A 11891-2023 artfynd.xlsx", "A 11891-2023")</f>
        <v/>
      </c>
      <c r="T886">
        <f>HYPERLINK("https://klasma.github.io/Logging_2482/kartor/A 11891-2023 karta.png", "A 11891-2023")</f>
        <v/>
      </c>
      <c r="V886">
        <f>HYPERLINK("https://klasma.github.io/Logging_2482/klagomål/A 11891-2023 FSC-klagomål.docx", "A 11891-2023")</f>
        <v/>
      </c>
      <c r="W886">
        <f>HYPERLINK("https://klasma.github.io/Logging_2482/klagomålsmail/A 11891-2023 FSC-klagomål mail.docx", "A 11891-2023")</f>
        <v/>
      </c>
      <c r="X886">
        <f>HYPERLINK("https://klasma.github.io/Logging_2482/tillsyn/A 11891-2023 tillsynsbegäran.docx", "A 11891-2023")</f>
        <v/>
      </c>
      <c r="Y886">
        <f>HYPERLINK("https://klasma.github.io/Logging_2482/tillsynsmail/A 11891-2023 tillsynsbegäran mail.docx", "A 11891-2023")</f>
        <v/>
      </c>
    </row>
    <row r="887" ht="15" customHeight="1">
      <c r="A887" t="inlineStr">
        <is>
          <t>A 11832-2023</t>
        </is>
      </c>
      <c r="B887" s="1" t="n">
        <v>44994</v>
      </c>
      <c r="C887" s="1" t="n">
        <v>45357</v>
      </c>
      <c r="D887" t="inlineStr">
        <is>
          <t>VÄSTERBOTTENS LÄN</t>
        </is>
      </c>
      <c r="E887" t="inlineStr">
        <is>
          <t>VILHELMINA</t>
        </is>
      </c>
      <c r="F887" t="inlineStr">
        <is>
          <t>SCA</t>
        </is>
      </c>
      <c r="G887" t="n">
        <v>6.7</v>
      </c>
      <c r="H887" t="n">
        <v>0</v>
      </c>
      <c r="I887" t="n">
        <v>0</v>
      </c>
      <c r="J887" t="n">
        <v>1</v>
      </c>
      <c r="K887" t="n">
        <v>0</v>
      </c>
      <c r="L887" t="n">
        <v>0</v>
      </c>
      <c r="M887" t="n">
        <v>0</v>
      </c>
      <c r="N887" t="n">
        <v>0</v>
      </c>
      <c r="O887" t="n">
        <v>1</v>
      </c>
      <c r="P887" t="n">
        <v>0</v>
      </c>
      <c r="Q887" t="n">
        <v>1</v>
      </c>
      <c r="R887" s="2" t="inlineStr">
        <is>
          <t>Granticka</t>
        </is>
      </c>
      <c r="S887">
        <f>HYPERLINK("https://klasma.github.io/Logging_2462/artfynd/A 11832-2023 artfynd.xlsx", "A 11832-2023")</f>
        <v/>
      </c>
      <c r="T887">
        <f>HYPERLINK("https://klasma.github.io/Logging_2462/kartor/A 11832-2023 karta.png", "A 11832-2023")</f>
        <v/>
      </c>
      <c r="V887">
        <f>HYPERLINK("https://klasma.github.io/Logging_2462/klagomål/A 11832-2023 FSC-klagomål.docx", "A 11832-2023")</f>
        <v/>
      </c>
      <c r="W887">
        <f>HYPERLINK("https://klasma.github.io/Logging_2462/klagomålsmail/A 11832-2023 FSC-klagomål mail.docx", "A 11832-2023")</f>
        <v/>
      </c>
      <c r="X887">
        <f>HYPERLINK("https://klasma.github.io/Logging_2462/tillsyn/A 11832-2023 tillsynsbegäran.docx", "A 11832-2023")</f>
        <v/>
      </c>
      <c r="Y887">
        <f>HYPERLINK("https://klasma.github.io/Logging_2462/tillsynsmail/A 11832-2023 tillsynsbegäran mail.docx", "A 11832-2023")</f>
        <v/>
      </c>
    </row>
    <row r="888" ht="15" customHeight="1">
      <c r="A888" t="inlineStr">
        <is>
          <t>A 13445-2023</t>
        </is>
      </c>
      <c r="B888" s="1" t="n">
        <v>45005</v>
      </c>
      <c r="C888" s="1" t="n">
        <v>45357</v>
      </c>
      <c r="D888" t="inlineStr">
        <is>
          <t>VÄSTERBOTTENS LÄN</t>
        </is>
      </c>
      <c r="E888" t="inlineStr">
        <is>
          <t>STORUMAN</t>
        </is>
      </c>
      <c r="G888" t="n">
        <v>3.6</v>
      </c>
      <c r="H888" t="n">
        <v>1</v>
      </c>
      <c r="I888" t="n">
        <v>0</v>
      </c>
      <c r="J888" t="n">
        <v>0</v>
      </c>
      <c r="K888" t="n">
        <v>0</v>
      </c>
      <c r="L888" t="n">
        <v>0</v>
      </c>
      <c r="M888" t="n">
        <v>0</v>
      </c>
      <c r="N888" t="n">
        <v>0</v>
      </c>
      <c r="O888" t="n">
        <v>0</v>
      </c>
      <c r="P888" t="n">
        <v>0</v>
      </c>
      <c r="Q888" t="n">
        <v>1</v>
      </c>
      <c r="R888" s="2" t="inlineStr">
        <is>
          <t>Skogsrör</t>
        </is>
      </c>
      <c r="S888">
        <f>HYPERLINK("https://klasma.github.io/Logging_2421/artfynd/A 13445-2023 artfynd.xlsx", "A 13445-2023")</f>
        <v/>
      </c>
      <c r="T888">
        <f>HYPERLINK("https://klasma.github.io/Logging_2421/kartor/A 13445-2023 karta.png", "A 13445-2023")</f>
        <v/>
      </c>
      <c r="V888">
        <f>HYPERLINK("https://klasma.github.io/Logging_2421/klagomål/A 13445-2023 FSC-klagomål.docx", "A 13445-2023")</f>
        <v/>
      </c>
      <c r="W888">
        <f>HYPERLINK("https://klasma.github.io/Logging_2421/klagomålsmail/A 13445-2023 FSC-klagomål mail.docx", "A 13445-2023")</f>
        <v/>
      </c>
      <c r="X888">
        <f>HYPERLINK("https://klasma.github.io/Logging_2421/tillsyn/A 13445-2023 tillsynsbegäran.docx", "A 13445-2023")</f>
        <v/>
      </c>
      <c r="Y888">
        <f>HYPERLINK("https://klasma.github.io/Logging_2421/tillsynsmail/A 13445-2023 tillsynsbegäran mail.docx", "A 13445-2023")</f>
        <v/>
      </c>
    </row>
    <row r="889" ht="15" customHeight="1">
      <c r="A889" t="inlineStr">
        <is>
          <t>A 15654-2023</t>
        </is>
      </c>
      <c r="B889" s="1" t="n">
        <v>45019</v>
      </c>
      <c r="C889" s="1" t="n">
        <v>45357</v>
      </c>
      <c r="D889" t="inlineStr">
        <is>
          <t>VÄSTERBOTTENS LÄN</t>
        </is>
      </c>
      <c r="E889" t="inlineStr">
        <is>
          <t>UMEÅ</t>
        </is>
      </c>
      <c r="F889" t="inlineStr">
        <is>
          <t>Kommuner</t>
        </is>
      </c>
      <c r="G889" t="n">
        <v>3.2</v>
      </c>
      <c r="H889" t="n">
        <v>0</v>
      </c>
      <c r="I889" t="n">
        <v>0</v>
      </c>
      <c r="J889" t="n">
        <v>1</v>
      </c>
      <c r="K889" t="n">
        <v>0</v>
      </c>
      <c r="L889" t="n">
        <v>0</v>
      </c>
      <c r="M889" t="n">
        <v>0</v>
      </c>
      <c r="N889" t="n">
        <v>0</v>
      </c>
      <c r="O889" t="n">
        <v>1</v>
      </c>
      <c r="P889" t="n">
        <v>0</v>
      </c>
      <c r="Q889" t="n">
        <v>1</v>
      </c>
      <c r="R889" s="2" t="inlineStr">
        <is>
          <t>Garnlav</t>
        </is>
      </c>
      <c r="S889">
        <f>HYPERLINK("https://klasma.github.io/Logging_2480/artfynd/A 15654-2023 artfynd.xlsx", "A 15654-2023")</f>
        <v/>
      </c>
      <c r="T889">
        <f>HYPERLINK("https://klasma.github.io/Logging_2480/kartor/A 15654-2023 karta.png", "A 15654-2023")</f>
        <v/>
      </c>
      <c r="V889">
        <f>HYPERLINK("https://klasma.github.io/Logging_2480/klagomål/A 15654-2023 FSC-klagomål.docx", "A 15654-2023")</f>
        <v/>
      </c>
      <c r="W889">
        <f>HYPERLINK("https://klasma.github.io/Logging_2480/klagomålsmail/A 15654-2023 FSC-klagomål mail.docx", "A 15654-2023")</f>
        <v/>
      </c>
      <c r="X889">
        <f>HYPERLINK("https://klasma.github.io/Logging_2480/tillsyn/A 15654-2023 tillsynsbegäran.docx", "A 15654-2023")</f>
        <v/>
      </c>
      <c r="Y889">
        <f>HYPERLINK("https://klasma.github.io/Logging_2480/tillsynsmail/A 15654-2023 tillsynsbegäran mail.docx", "A 15654-2023")</f>
        <v/>
      </c>
    </row>
    <row r="890" ht="15" customHeight="1">
      <c r="A890" t="inlineStr">
        <is>
          <t>A 15734-2023</t>
        </is>
      </c>
      <c r="B890" s="1" t="n">
        <v>45021</v>
      </c>
      <c r="C890" s="1" t="n">
        <v>45357</v>
      </c>
      <c r="D890" t="inlineStr">
        <is>
          <t>VÄSTERBOTTENS LÄN</t>
        </is>
      </c>
      <c r="E890" t="inlineStr">
        <is>
          <t>VÄNNÄS</t>
        </is>
      </c>
      <c r="G890" t="n">
        <v>2.6</v>
      </c>
      <c r="H890" t="n">
        <v>0</v>
      </c>
      <c r="I890" t="n">
        <v>0</v>
      </c>
      <c r="J890" t="n">
        <v>1</v>
      </c>
      <c r="K890" t="n">
        <v>0</v>
      </c>
      <c r="L890" t="n">
        <v>0</v>
      </c>
      <c r="M890" t="n">
        <v>0</v>
      </c>
      <c r="N890" t="n">
        <v>0</v>
      </c>
      <c r="O890" t="n">
        <v>1</v>
      </c>
      <c r="P890" t="n">
        <v>0</v>
      </c>
      <c r="Q890" t="n">
        <v>1</v>
      </c>
      <c r="R890" s="2" t="inlineStr">
        <is>
          <t>Skrovlig taggsvamp</t>
        </is>
      </c>
      <c r="S890">
        <f>HYPERLINK("https://klasma.github.io/Logging_2460/artfynd/A 15734-2023 artfynd.xlsx", "A 15734-2023")</f>
        <v/>
      </c>
      <c r="T890">
        <f>HYPERLINK("https://klasma.github.io/Logging_2460/kartor/A 15734-2023 karta.png", "A 15734-2023")</f>
        <v/>
      </c>
      <c r="V890">
        <f>HYPERLINK("https://klasma.github.io/Logging_2460/klagomål/A 15734-2023 FSC-klagomål.docx", "A 15734-2023")</f>
        <v/>
      </c>
      <c r="W890">
        <f>HYPERLINK("https://klasma.github.io/Logging_2460/klagomålsmail/A 15734-2023 FSC-klagomål mail.docx", "A 15734-2023")</f>
        <v/>
      </c>
      <c r="X890">
        <f>HYPERLINK("https://klasma.github.io/Logging_2460/tillsyn/A 15734-2023 tillsynsbegäran.docx", "A 15734-2023")</f>
        <v/>
      </c>
      <c r="Y890">
        <f>HYPERLINK("https://klasma.github.io/Logging_2460/tillsynsmail/A 15734-2023 tillsynsbegäran mail.docx", "A 15734-2023")</f>
        <v/>
      </c>
    </row>
    <row r="891" ht="15" customHeight="1">
      <c r="A891" t="inlineStr">
        <is>
          <t>A 19153-2023</t>
        </is>
      </c>
      <c r="B891" s="1" t="n">
        <v>45044</v>
      </c>
      <c r="C891" s="1" t="n">
        <v>45357</v>
      </c>
      <c r="D891" t="inlineStr">
        <is>
          <t>VÄSTERBOTTENS LÄN</t>
        </is>
      </c>
      <c r="E891" t="inlineStr">
        <is>
          <t>STORUMAN</t>
        </is>
      </c>
      <c r="G891" t="n">
        <v>16</v>
      </c>
      <c r="H891" t="n">
        <v>0</v>
      </c>
      <c r="I891" t="n">
        <v>0</v>
      </c>
      <c r="J891" t="n">
        <v>1</v>
      </c>
      <c r="K891" t="n">
        <v>0</v>
      </c>
      <c r="L891" t="n">
        <v>0</v>
      </c>
      <c r="M891" t="n">
        <v>0</v>
      </c>
      <c r="N891" t="n">
        <v>0</v>
      </c>
      <c r="O891" t="n">
        <v>1</v>
      </c>
      <c r="P891" t="n">
        <v>0</v>
      </c>
      <c r="Q891" t="n">
        <v>1</v>
      </c>
      <c r="R891" s="2" t="inlineStr">
        <is>
          <t>Ullticka</t>
        </is>
      </c>
      <c r="S891">
        <f>HYPERLINK("https://klasma.github.io/Logging_2421/artfynd/A 19153-2023 artfynd.xlsx", "A 19153-2023")</f>
        <v/>
      </c>
      <c r="T891">
        <f>HYPERLINK("https://klasma.github.io/Logging_2421/kartor/A 19153-2023 karta.png", "A 19153-2023")</f>
        <v/>
      </c>
      <c r="V891">
        <f>HYPERLINK("https://klasma.github.io/Logging_2421/klagomål/A 19153-2023 FSC-klagomål.docx", "A 19153-2023")</f>
        <v/>
      </c>
      <c r="W891">
        <f>HYPERLINK("https://klasma.github.io/Logging_2421/klagomålsmail/A 19153-2023 FSC-klagomål mail.docx", "A 19153-2023")</f>
        <v/>
      </c>
      <c r="X891">
        <f>HYPERLINK("https://klasma.github.io/Logging_2421/tillsyn/A 19153-2023 tillsynsbegäran.docx", "A 19153-2023")</f>
        <v/>
      </c>
      <c r="Y891">
        <f>HYPERLINK("https://klasma.github.io/Logging_2421/tillsynsmail/A 19153-2023 tillsynsbegäran mail.docx", "A 19153-2023")</f>
        <v/>
      </c>
    </row>
    <row r="892" ht="15" customHeight="1">
      <c r="A892" t="inlineStr">
        <is>
          <t>A 20608-2023</t>
        </is>
      </c>
      <c r="B892" s="1" t="n">
        <v>45057</v>
      </c>
      <c r="C892" s="1" t="n">
        <v>45357</v>
      </c>
      <c r="D892" t="inlineStr">
        <is>
          <t>VÄSTERBOTTENS LÄN</t>
        </is>
      </c>
      <c r="E892" t="inlineStr">
        <is>
          <t>BJURHOLM</t>
        </is>
      </c>
      <c r="F892" t="inlineStr">
        <is>
          <t>SCA</t>
        </is>
      </c>
      <c r="G892" t="n">
        <v>10.5</v>
      </c>
      <c r="H892" t="n">
        <v>0</v>
      </c>
      <c r="I892" t="n">
        <v>0</v>
      </c>
      <c r="J892" t="n">
        <v>0</v>
      </c>
      <c r="K892" t="n">
        <v>1</v>
      </c>
      <c r="L892" t="n">
        <v>0</v>
      </c>
      <c r="M892" t="n">
        <v>0</v>
      </c>
      <c r="N892" t="n">
        <v>0</v>
      </c>
      <c r="O892" t="n">
        <v>1</v>
      </c>
      <c r="P892" t="n">
        <v>1</v>
      </c>
      <c r="Q892" t="n">
        <v>1</v>
      </c>
      <c r="R892" s="2" t="inlineStr">
        <is>
          <t>Goliatmusseron</t>
        </is>
      </c>
      <c r="S892">
        <f>HYPERLINK("https://klasma.github.io/Logging_2403/artfynd/A 20608-2023 artfynd.xlsx", "A 20608-2023")</f>
        <v/>
      </c>
      <c r="T892">
        <f>HYPERLINK("https://klasma.github.io/Logging_2403/kartor/A 20608-2023 karta.png", "A 20608-2023")</f>
        <v/>
      </c>
      <c r="V892">
        <f>HYPERLINK("https://klasma.github.io/Logging_2403/klagomål/A 20608-2023 FSC-klagomål.docx", "A 20608-2023")</f>
        <v/>
      </c>
      <c r="W892">
        <f>HYPERLINK("https://klasma.github.io/Logging_2403/klagomålsmail/A 20608-2023 FSC-klagomål mail.docx", "A 20608-2023")</f>
        <v/>
      </c>
      <c r="X892">
        <f>HYPERLINK("https://klasma.github.io/Logging_2403/tillsyn/A 20608-2023 tillsynsbegäran.docx", "A 20608-2023")</f>
        <v/>
      </c>
      <c r="Y892">
        <f>HYPERLINK("https://klasma.github.io/Logging_2403/tillsynsmail/A 20608-2023 tillsynsbegäran mail.docx", "A 20608-2023")</f>
        <v/>
      </c>
    </row>
    <row r="893" ht="15" customHeight="1">
      <c r="A893" t="inlineStr">
        <is>
          <t>A 20940-2023</t>
        </is>
      </c>
      <c r="B893" s="1" t="n">
        <v>45061</v>
      </c>
      <c r="C893" s="1" t="n">
        <v>45357</v>
      </c>
      <c r="D893" t="inlineStr">
        <is>
          <t>VÄSTERBOTTENS LÄN</t>
        </is>
      </c>
      <c r="E893" t="inlineStr">
        <is>
          <t>LYCKSELE</t>
        </is>
      </c>
      <c r="G893" t="n">
        <v>4.6</v>
      </c>
      <c r="H893" t="n">
        <v>0</v>
      </c>
      <c r="I893" t="n">
        <v>1</v>
      </c>
      <c r="J893" t="n">
        <v>0</v>
      </c>
      <c r="K893" t="n">
        <v>0</v>
      </c>
      <c r="L893" t="n">
        <v>0</v>
      </c>
      <c r="M893" t="n">
        <v>0</v>
      </c>
      <c r="N893" t="n">
        <v>0</v>
      </c>
      <c r="O893" t="n">
        <v>0</v>
      </c>
      <c r="P893" t="n">
        <v>0</v>
      </c>
      <c r="Q893" t="n">
        <v>1</v>
      </c>
      <c r="R893" s="2" t="inlineStr">
        <is>
          <t>Dropptaggsvamp</t>
        </is>
      </c>
      <c r="S893">
        <f>HYPERLINK("https://klasma.github.io/Logging_2481/artfynd/A 20940-2023 artfynd.xlsx", "A 20940-2023")</f>
        <v/>
      </c>
      <c r="T893">
        <f>HYPERLINK("https://klasma.github.io/Logging_2481/kartor/A 20940-2023 karta.png", "A 20940-2023")</f>
        <v/>
      </c>
      <c r="V893">
        <f>HYPERLINK("https://klasma.github.io/Logging_2481/klagomål/A 20940-2023 FSC-klagomål.docx", "A 20940-2023")</f>
        <v/>
      </c>
      <c r="W893">
        <f>HYPERLINK("https://klasma.github.io/Logging_2481/klagomålsmail/A 20940-2023 FSC-klagomål mail.docx", "A 20940-2023")</f>
        <v/>
      </c>
      <c r="X893">
        <f>HYPERLINK("https://klasma.github.io/Logging_2481/tillsyn/A 20940-2023 tillsynsbegäran.docx", "A 20940-2023")</f>
        <v/>
      </c>
      <c r="Y893">
        <f>HYPERLINK("https://klasma.github.io/Logging_2481/tillsynsmail/A 20940-2023 tillsynsbegäran mail.docx", "A 20940-2023")</f>
        <v/>
      </c>
    </row>
    <row r="894" ht="15" customHeight="1">
      <c r="A894" t="inlineStr">
        <is>
          <t>A 23330-2023</t>
        </is>
      </c>
      <c r="B894" s="1" t="n">
        <v>45071</v>
      </c>
      <c r="C894" s="1" t="n">
        <v>45357</v>
      </c>
      <c r="D894" t="inlineStr">
        <is>
          <t>VÄSTERBOTTENS LÄN</t>
        </is>
      </c>
      <c r="E894" t="inlineStr">
        <is>
          <t>SORSELE</t>
        </is>
      </c>
      <c r="G894" t="n">
        <v>3.2</v>
      </c>
      <c r="H894" t="n">
        <v>0</v>
      </c>
      <c r="I894" t="n">
        <v>1</v>
      </c>
      <c r="J894" t="n">
        <v>0</v>
      </c>
      <c r="K894" t="n">
        <v>0</v>
      </c>
      <c r="L894" t="n">
        <v>0</v>
      </c>
      <c r="M894" t="n">
        <v>0</v>
      </c>
      <c r="N894" t="n">
        <v>0</v>
      </c>
      <c r="O894" t="n">
        <v>0</v>
      </c>
      <c r="P894" t="n">
        <v>0</v>
      </c>
      <c r="Q894" t="n">
        <v>1</v>
      </c>
      <c r="R894" s="2" t="inlineStr">
        <is>
          <t>Vedticka</t>
        </is>
      </c>
      <c r="S894">
        <f>HYPERLINK("https://klasma.github.io/Logging_2422/artfynd/A 23330-2023 artfynd.xlsx", "A 23330-2023")</f>
        <v/>
      </c>
      <c r="T894">
        <f>HYPERLINK("https://klasma.github.io/Logging_2422/kartor/A 23330-2023 karta.png", "A 23330-2023")</f>
        <v/>
      </c>
      <c r="V894">
        <f>HYPERLINK("https://klasma.github.io/Logging_2422/klagomål/A 23330-2023 FSC-klagomål.docx", "A 23330-2023")</f>
        <v/>
      </c>
      <c r="W894">
        <f>HYPERLINK("https://klasma.github.io/Logging_2422/klagomålsmail/A 23330-2023 FSC-klagomål mail.docx", "A 23330-2023")</f>
        <v/>
      </c>
      <c r="X894">
        <f>HYPERLINK("https://klasma.github.io/Logging_2422/tillsyn/A 23330-2023 tillsynsbegäran.docx", "A 23330-2023")</f>
        <v/>
      </c>
      <c r="Y894">
        <f>HYPERLINK("https://klasma.github.io/Logging_2422/tillsynsmail/A 23330-2023 tillsynsbegäran mail.docx", "A 23330-2023")</f>
        <v/>
      </c>
    </row>
    <row r="895" ht="15" customHeight="1">
      <c r="A895" t="inlineStr">
        <is>
          <t>A 25716-2023</t>
        </is>
      </c>
      <c r="B895" s="1" t="n">
        <v>45090</v>
      </c>
      <c r="C895" s="1" t="n">
        <v>45357</v>
      </c>
      <c r="D895" t="inlineStr">
        <is>
          <t>VÄSTERBOTTENS LÄN</t>
        </is>
      </c>
      <c r="E895" t="inlineStr">
        <is>
          <t>ROBERTSFORS</t>
        </is>
      </c>
      <c r="G895" t="n">
        <v>0.8</v>
      </c>
      <c r="H895" t="n">
        <v>0</v>
      </c>
      <c r="I895" t="n">
        <v>1</v>
      </c>
      <c r="J895" t="n">
        <v>0</v>
      </c>
      <c r="K895" t="n">
        <v>0</v>
      </c>
      <c r="L895" t="n">
        <v>0</v>
      </c>
      <c r="M895" t="n">
        <v>0</v>
      </c>
      <c r="N895" t="n">
        <v>0</v>
      </c>
      <c r="O895" t="n">
        <v>0</v>
      </c>
      <c r="P895" t="n">
        <v>0</v>
      </c>
      <c r="Q895" t="n">
        <v>1</v>
      </c>
      <c r="R895" s="2" t="inlineStr">
        <is>
          <t>Bollvitmossa</t>
        </is>
      </c>
      <c r="S895">
        <f>HYPERLINK("https://klasma.github.io/Logging_2409/artfynd/A 25716-2023 artfynd.xlsx", "A 25716-2023")</f>
        <v/>
      </c>
      <c r="T895">
        <f>HYPERLINK("https://klasma.github.io/Logging_2409/kartor/A 25716-2023 karta.png", "A 25716-2023")</f>
        <v/>
      </c>
      <c r="V895">
        <f>HYPERLINK("https://klasma.github.io/Logging_2409/klagomål/A 25716-2023 FSC-klagomål.docx", "A 25716-2023")</f>
        <v/>
      </c>
      <c r="W895">
        <f>HYPERLINK("https://klasma.github.io/Logging_2409/klagomålsmail/A 25716-2023 FSC-klagomål mail.docx", "A 25716-2023")</f>
        <v/>
      </c>
      <c r="X895">
        <f>HYPERLINK("https://klasma.github.io/Logging_2409/tillsyn/A 25716-2023 tillsynsbegäran.docx", "A 25716-2023")</f>
        <v/>
      </c>
      <c r="Y895">
        <f>HYPERLINK("https://klasma.github.io/Logging_2409/tillsynsmail/A 25716-2023 tillsynsbegäran mail.docx", "A 25716-2023")</f>
        <v/>
      </c>
    </row>
    <row r="896" ht="15" customHeight="1">
      <c r="A896" t="inlineStr">
        <is>
          <t>A 26034-2023</t>
        </is>
      </c>
      <c r="B896" s="1" t="n">
        <v>45091</v>
      </c>
      <c r="C896" s="1" t="n">
        <v>45357</v>
      </c>
      <c r="D896" t="inlineStr">
        <is>
          <t>VÄSTERBOTTENS LÄN</t>
        </is>
      </c>
      <c r="E896" t="inlineStr">
        <is>
          <t>ROBERTSFORS</t>
        </is>
      </c>
      <c r="G896" t="n">
        <v>2.5</v>
      </c>
      <c r="H896" t="n">
        <v>1</v>
      </c>
      <c r="I896" t="n">
        <v>0</v>
      </c>
      <c r="J896" t="n">
        <v>1</v>
      </c>
      <c r="K896" t="n">
        <v>0</v>
      </c>
      <c r="L896" t="n">
        <v>0</v>
      </c>
      <c r="M896" t="n">
        <v>0</v>
      </c>
      <c r="N896" t="n">
        <v>0</v>
      </c>
      <c r="O896" t="n">
        <v>1</v>
      </c>
      <c r="P896" t="n">
        <v>0</v>
      </c>
      <c r="Q896" t="n">
        <v>1</v>
      </c>
      <c r="R896" s="2" t="inlineStr">
        <is>
          <t>Ärtsångare</t>
        </is>
      </c>
      <c r="S896">
        <f>HYPERLINK("https://klasma.github.io/Logging_2409/artfynd/A 26034-2023 artfynd.xlsx", "A 26034-2023")</f>
        <v/>
      </c>
      <c r="T896">
        <f>HYPERLINK("https://klasma.github.io/Logging_2409/kartor/A 26034-2023 karta.png", "A 26034-2023")</f>
        <v/>
      </c>
      <c r="V896">
        <f>HYPERLINK("https://klasma.github.io/Logging_2409/klagomål/A 26034-2023 FSC-klagomål.docx", "A 26034-2023")</f>
        <v/>
      </c>
      <c r="W896">
        <f>HYPERLINK("https://klasma.github.io/Logging_2409/klagomålsmail/A 26034-2023 FSC-klagomål mail.docx", "A 26034-2023")</f>
        <v/>
      </c>
      <c r="X896">
        <f>HYPERLINK("https://klasma.github.io/Logging_2409/tillsyn/A 26034-2023 tillsynsbegäran.docx", "A 26034-2023")</f>
        <v/>
      </c>
      <c r="Y896">
        <f>HYPERLINK("https://klasma.github.io/Logging_2409/tillsynsmail/A 26034-2023 tillsynsbegäran mail.docx", "A 26034-2023")</f>
        <v/>
      </c>
    </row>
    <row r="897" ht="15" customHeight="1">
      <c r="A897" t="inlineStr">
        <is>
          <t>A 27358-2023</t>
        </is>
      </c>
      <c r="B897" s="1" t="n">
        <v>45096</v>
      </c>
      <c r="C897" s="1" t="n">
        <v>45357</v>
      </c>
      <c r="D897" t="inlineStr">
        <is>
          <t>VÄSTERBOTTENS LÄN</t>
        </is>
      </c>
      <c r="E897" t="inlineStr">
        <is>
          <t>SKELLEFTEÅ</t>
        </is>
      </c>
      <c r="G897" t="n">
        <v>5</v>
      </c>
      <c r="H897" t="n">
        <v>1</v>
      </c>
      <c r="I897" t="n">
        <v>0</v>
      </c>
      <c r="J897" t="n">
        <v>0</v>
      </c>
      <c r="K897" t="n">
        <v>1</v>
      </c>
      <c r="L897" t="n">
        <v>0</v>
      </c>
      <c r="M897" t="n">
        <v>0</v>
      </c>
      <c r="N897" t="n">
        <v>0</v>
      </c>
      <c r="O897" t="n">
        <v>1</v>
      </c>
      <c r="P897" t="n">
        <v>1</v>
      </c>
      <c r="Q897" t="n">
        <v>1</v>
      </c>
      <c r="R897" s="2" t="inlineStr">
        <is>
          <t>Knärot</t>
        </is>
      </c>
      <c r="S897">
        <f>HYPERLINK("https://klasma.github.io/Logging_2482/artfynd/A 27358-2023 artfynd.xlsx", "A 27358-2023")</f>
        <v/>
      </c>
      <c r="T897">
        <f>HYPERLINK("https://klasma.github.io/Logging_2482/kartor/A 27358-2023 karta.png", "A 27358-2023")</f>
        <v/>
      </c>
      <c r="U897">
        <f>HYPERLINK("https://klasma.github.io/Logging_2482/knärot/A 27358-2023 karta knärot.png", "A 27358-2023")</f>
        <v/>
      </c>
      <c r="V897">
        <f>HYPERLINK("https://klasma.github.io/Logging_2482/klagomål/A 27358-2023 FSC-klagomål.docx", "A 27358-2023")</f>
        <v/>
      </c>
      <c r="W897">
        <f>HYPERLINK("https://klasma.github.io/Logging_2482/klagomålsmail/A 27358-2023 FSC-klagomål mail.docx", "A 27358-2023")</f>
        <v/>
      </c>
      <c r="X897">
        <f>HYPERLINK("https://klasma.github.io/Logging_2482/tillsyn/A 27358-2023 tillsynsbegäran.docx", "A 27358-2023")</f>
        <v/>
      </c>
      <c r="Y897">
        <f>HYPERLINK("https://klasma.github.io/Logging_2482/tillsynsmail/A 27358-2023 tillsynsbegäran mail.docx", "A 27358-2023")</f>
        <v/>
      </c>
    </row>
    <row r="898" ht="15" customHeight="1">
      <c r="A898" t="inlineStr">
        <is>
          <t>A 27447-2023</t>
        </is>
      </c>
      <c r="B898" s="1" t="n">
        <v>45097</v>
      </c>
      <c r="C898" s="1" t="n">
        <v>45357</v>
      </c>
      <c r="D898" t="inlineStr">
        <is>
          <t>VÄSTERBOTTENS LÄN</t>
        </is>
      </c>
      <c r="E898" t="inlineStr">
        <is>
          <t>LYCKSELE</t>
        </is>
      </c>
      <c r="F898" t="inlineStr">
        <is>
          <t>Sveaskog</t>
        </is>
      </c>
      <c r="G898" t="n">
        <v>13.8</v>
      </c>
      <c r="H898" t="n">
        <v>0</v>
      </c>
      <c r="I898" t="n">
        <v>0</v>
      </c>
      <c r="J898" t="n">
        <v>0</v>
      </c>
      <c r="K898" t="n">
        <v>1</v>
      </c>
      <c r="L898" t="n">
        <v>0</v>
      </c>
      <c r="M898" t="n">
        <v>0</v>
      </c>
      <c r="N898" t="n">
        <v>0</v>
      </c>
      <c r="O898" t="n">
        <v>1</v>
      </c>
      <c r="P898" t="n">
        <v>1</v>
      </c>
      <c r="Q898" t="n">
        <v>1</v>
      </c>
      <c r="R898" s="2" t="inlineStr">
        <is>
          <t>Gräddticka</t>
        </is>
      </c>
      <c r="S898">
        <f>HYPERLINK("https://klasma.github.io/Logging_2481/artfynd/A 27447-2023 artfynd.xlsx", "A 27447-2023")</f>
        <v/>
      </c>
      <c r="T898">
        <f>HYPERLINK("https://klasma.github.io/Logging_2481/kartor/A 27447-2023 karta.png", "A 27447-2023")</f>
        <v/>
      </c>
      <c r="V898">
        <f>HYPERLINK("https://klasma.github.io/Logging_2481/klagomål/A 27447-2023 FSC-klagomål.docx", "A 27447-2023")</f>
        <v/>
      </c>
      <c r="W898">
        <f>HYPERLINK("https://klasma.github.io/Logging_2481/klagomålsmail/A 27447-2023 FSC-klagomål mail.docx", "A 27447-2023")</f>
        <v/>
      </c>
      <c r="X898">
        <f>HYPERLINK("https://klasma.github.io/Logging_2481/tillsyn/A 27447-2023 tillsynsbegäran.docx", "A 27447-2023")</f>
        <v/>
      </c>
      <c r="Y898">
        <f>HYPERLINK("https://klasma.github.io/Logging_2481/tillsynsmail/A 27447-2023 tillsynsbegäran mail.docx", "A 27447-2023")</f>
        <v/>
      </c>
    </row>
    <row r="899" ht="15" customHeight="1">
      <c r="A899" t="inlineStr">
        <is>
          <t>A 29223-2023</t>
        </is>
      </c>
      <c r="B899" s="1" t="n">
        <v>45097</v>
      </c>
      <c r="C899" s="1" t="n">
        <v>45357</v>
      </c>
      <c r="D899" t="inlineStr">
        <is>
          <t>VÄSTERBOTTENS LÄN</t>
        </is>
      </c>
      <c r="E899" t="inlineStr">
        <is>
          <t>STORUMAN</t>
        </is>
      </c>
      <c r="G899" t="n">
        <v>20</v>
      </c>
      <c r="H899" t="n">
        <v>1</v>
      </c>
      <c r="I899" t="n">
        <v>0</v>
      </c>
      <c r="J899" t="n">
        <v>0</v>
      </c>
      <c r="K899" t="n">
        <v>1</v>
      </c>
      <c r="L899" t="n">
        <v>0</v>
      </c>
      <c r="M899" t="n">
        <v>0</v>
      </c>
      <c r="N899" t="n">
        <v>0</v>
      </c>
      <c r="O899" t="n">
        <v>1</v>
      </c>
      <c r="P899" t="n">
        <v>1</v>
      </c>
      <c r="Q899" t="n">
        <v>1</v>
      </c>
      <c r="R899" s="2" t="inlineStr">
        <is>
          <t>Norna</t>
        </is>
      </c>
      <c r="S899">
        <f>HYPERLINK("https://klasma.github.io/Logging_2421/artfynd/A 29223-2023 artfynd.xlsx", "A 29223-2023")</f>
        <v/>
      </c>
      <c r="T899">
        <f>HYPERLINK("https://klasma.github.io/Logging_2421/kartor/A 29223-2023 karta.png", "A 29223-2023")</f>
        <v/>
      </c>
      <c r="V899">
        <f>HYPERLINK("https://klasma.github.io/Logging_2421/klagomål/A 29223-2023 FSC-klagomål.docx", "A 29223-2023")</f>
        <v/>
      </c>
      <c r="W899">
        <f>HYPERLINK("https://klasma.github.io/Logging_2421/klagomålsmail/A 29223-2023 FSC-klagomål mail.docx", "A 29223-2023")</f>
        <v/>
      </c>
      <c r="X899">
        <f>HYPERLINK("https://klasma.github.io/Logging_2421/tillsyn/A 29223-2023 tillsynsbegäran.docx", "A 29223-2023")</f>
        <v/>
      </c>
      <c r="Y899">
        <f>HYPERLINK("https://klasma.github.io/Logging_2421/tillsynsmail/A 29223-2023 tillsynsbegäran mail.docx", "A 29223-2023")</f>
        <v/>
      </c>
    </row>
    <row r="900" ht="15" customHeight="1">
      <c r="A900" t="inlineStr">
        <is>
          <t>A 29774-2023</t>
        </is>
      </c>
      <c r="B900" s="1" t="n">
        <v>45098</v>
      </c>
      <c r="C900" s="1" t="n">
        <v>45357</v>
      </c>
      <c r="D900" t="inlineStr">
        <is>
          <t>VÄSTERBOTTENS LÄN</t>
        </is>
      </c>
      <c r="E900" t="inlineStr">
        <is>
          <t>ROBERTSFORS</t>
        </is>
      </c>
      <c r="G900" t="n">
        <v>5.1</v>
      </c>
      <c r="H900" t="n">
        <v>0</v>
      </c>
      <c r="I900" t="n">
        <v>0</v>
      </c>
      <c r="J900" t="n">
        <v>1</v>
      </c>
      <c r="K900" t="n">
        <v>0</v>
      </c>
      <c r="L900" t="n">
        <v>0</v>
      </c>
      <c r="M900" t="n">
        <v>0</v>
      </c>
      <c r="N900" t="n">
        <v>0</v>
      </c>
      <c r="O900" t="n">
        <v>1</v>
      </c>
      <c r="P900" t="n">
        <v>0</v>
      </c>
      <c r="Q900" t="n">
        <v>1</v>
      </c>
      <c r="R900" s="2" t="inlineStr">
        <is>
          <t>Gammelgransskål</t>
        </is>
      </c>
      <c r="S900">
        <f>HYPERLINK("https://klasma.github.io/Logging_2409/artfynd/A 29774-2023 artfynd.xlsx", "A 29774-2023")</f>
        <v/>
      </c>
      <c r="T900">
        <f>HYPERLINK("https://klasma.github.io/Logging_2409/kartor/A 29774-2023 karta.png", "A 29774-2023")</f>
        <v/>
      </c>
      <c r="V900">
        <f>HYPERLINK("https://klasma.github.io/Logging_2409/klagomål/A 29774-2023 FSC-klagomål.docx", "A 29774-2023")</f>
        <v/>
      </c>
      <c r="W900">
        <f>HYPERLINK("https://klasma.github.io/Logging_2409/klagomålsmail/A 29774-2023 FSC-klagomål mail.docx", "A 29774-2023")</f>
        <v/>
      </c>
      <c r="X900">
        <f>HYPERLINK("https://klasma.github.io/Logging_2409/tillsyn/A 29774-2023 tillsynsbegäran.docx", "A 29774-2023")</f>
        <v/>
      </c>
      <c r="Y900">
        <f>HYPERLINK("https://klasma.github.io/Logging_2409/tillsynsmail/A 29774-2023 tillsynsbegäran mail.docx", "A 29774-2023")</f>
        <v/>
      </c>
    </row>
    <row r="901" ht="15" customHeight="1">
      <c r="A901" t="inlineStr">
        <is>
          <t>A 28262-2023</t>
        </is>
      </c>
      <c r="B901" s="1" t="n">
        <v>45099</v>
      </c>
      <c r="C901" s="1" t="n">
        <v>45357</v>
      </c>
      <c r="D901" t="inlineStr">
        <is>
          <t>VÄSTERBOTTENS LÄN</t>
        </is>
      </c>
      <c r="E901" t="inlineStr">
        <is>
          <t>UMEÅ</t>
        </is>
      </c>
      <c r="F901" t="inlineStr">
        <is>
          <t>Holmen skog AB</t>
        </is>
      </c>
      <c r="G901" t="n">
        <v>2.6</v>
      </c>
      <c r="H901" t="n">
        <v>0</v>
      </c>
      <c r="I901" t="n">
        <v>1</v>
      </c>
      <c r="J901" t="n">
        <v>0</v>
      </c>
      <c r="K901" t="n">
        <v>0</v>
      </c>
      <c r="L901" t="n">
        <v>0</v>
      </c>
      <c r="M901" t="n">
        <v>0</v>
      </c>
      <c r="N901" t="n">
        <v>0</v>
      </c>
      <c r="O901" t="n">
        <v>0</v>
      </c>
      <c r="P901" t="n">
        <v>0</v>
      </c>
      <c r="Q901" t="n">
        <v>1</v>
      </c>
      <c r="R901" s="2" t="inlineStr">
        <is>
          <t>Gulskölding</t>
        </is>
      </c>
      <c r="S901">
        <f>HYPERLINK("https://klasma.github.io/Logging_2480/artfynd/A 28262-2023 artfynd.xlsx", "A 28262-2023")</f>
        <v/>
      </c>
      <c r="T901">
        <f>HYPERLINK("https://klasma.github.io/Logging_2480/kartor/A 28262-2023 karta.png", "A 28262-2023")</f>
        <v/>
      </c>
      <c r="V901">
        <f>HYPERLINK("https://klasma.github.io/Logging_2480/klagomål/A 28262-2023 FSC-klagomål.docx", "A 28262-2023")</f>
        <v/>
      </c>
      <c r="W901">
        <f>HYPERLINK("https://klasma.github.io/Logging_2480/klagomålsmail/A 28262-2023 FSC-klagomål mail.docx", "A 28262-2023")</f>
        <v/>
      </c>
      <c r="X901">
        <f>HYPERLINK("https://klasma.github.io/Logging_2480/tillsyn/A 28262-2023 tillsynsbegäran.docx", "A 28262-2023")</f>
        <v/>
      </c>
      <c r="Y901">
        <f>HYPERLINK("https://klasma.github.io/Logging_2480/tillsynsmail/A 28262-2023 tillsynsbegäran mail.docx", "A 28262-2023")</f>
        <v/>
      </c>
    </row>
    <row r="902" ht="15" customHeight="1">
      <c r="A902" t="inlineStr">
        <is>
          <t>A 28448-2023</t>
        </is>
      </c>
      <c r="B902" s="1" t="n">
        <v>45103</v>
      </c>
      <c r="C902" s="1" t="n">
        <v>45357</v>
      </c>
      <c r="D902" t="inlineStr">
        <is>
          <t>VÄSTERBOTTENS LÄN</t>
        </is>
      </c>
      <c r="E902" t="inlineStr">
        <is>
          <t>SKELLEFTEÅ</t>
        </is>
      </c>
      <c r="F902" t="inlineStr">
        <is>
          <t>Kyrkan</t>
        </is>
      </c>
      <c r="G902" t="n">
        <v>9.4</v>
      </c>
      <c r="H902" t="n">
        <v>0</v>
      </c>
      <c r="I902" t="n">
        <v>0</v>
      </c>
      <c r="J902" t="n">
        <v>1</v>
      </c>
      <c r="K902" t="n">
        <v>0</v>
      </c>
      <c r="L902" t="n">
        <v>0</v>
      </c>
      <c r="M902" t="n">
        <v>0</v>
      </c>
      <c r="N902" t="n">
        <v>0</v>
      </c>
      <c r="O902" t="n">
        <v>1</v>
      </c>
      <c r="P902" t="n">
        <v>0</v>
      </c>
      <c r="Q902" t="n">
        <v>1</v>
      </c>
      <c r="R902" s="2" t="inlineStr">
        <is>
          <t>Tallriska</t>
        </is>
      </c>
      <c r="S902">
        <f>HYPERLINK("https://klasma.github.io/Logging_2482/artfynd/A 28448-2023 artfynd.xlsx", "A 28448-2023")</f>
        <v/>
      </c>
      <c r="T902">
        <f>HYPERLINK("https://klasma.github.io/Logging_2482/kartor/A 28448-2023 karta.png", "A 28448-2023")</f>
        <v/>
      </c>
      <c r="V902">
        <f>HYPERLINK("https://klasma.github.io/Logging_2482/klagomål/A 28448-2023 FSC-klagomål.docx", "A 28448-2023")</f>
        <v/>
      </c>
      <c r="W902">
        <f>HYPERLINK("https://klasma.github.io/Logging_2482/klagomålsmail/A 28448-2023 FSC-klagomål mail.docx", "A 28448-2023")</f>
        <v/>
      </c>
      <c r="X902">
        <f>HYPERLINK("https://klasma.github.io/Logging_2482/tillsyn/A 28448-2023 tillsynsbegäran.docx", "A 28448-2023")</f>
        <v/>
      </c>
      <c r="Y902">
        <f>HYPERLINK("https://klasma.github.io/Logging_2482/tillsynsmail/A 28448-2023 tillsynsbegäran mail.docx", "A 28448-2023")</f>
        <v/>
      </c>
    </row>
    <row r="903" ht="15" customHeight="1">
      <c r="A903" t="inlineStr">
        <is>
          <t>A 28716-2023</t>
        </is>
      </c>
      <c r="B903" s="1" t="n">
        <v>45103</v>
      </c>
      <c r="C903" s="1" t="n">
        <v>45357</v>
      </c>
      <c r="D903" t="inlineStr">
        <is>
          <t>VÄSTERBOTTENS LÄN</t>
        </is>
      </c>
      <c r="E903" t="inlineStr">
        <is>
          <t>DOROTEA</t>
        </is>
      </c>
      <c r="F903" t="inlineStr">
        <is>
          <t>Sveaskog</t>
        </is>
      </c>
      <c r="G903" t="n">
        <v>10</v>
      </c>
      <c r="H903" t="n">
        <v>0</v>
      </c>
      <c r="I903" t="n">
        <v>1</v>
      </c>
      <c r="J903" t="n">
        <v>0</v>
      </c>
      <c r="K903" t="n">
        <v>0</v>
      </c>
      <c r="L903" t="n">
        <v>0</v>
      </c>
      <c r="M903" t="n">
        <v>0</v>
      </c>
      <c r="N903" t="n">
        <v>0</v>
      </c>
      <c r="O903" t="n">
        <v>0</v>
      </c>
      <c r="P903" t="n">
        <v>0</v>
      </c>
      <c r="Q903" t="n">
        <v>1</v>
      </c>
      <c r="R903" s="2" t="inlineStr">
        <is>
          <t>Bårdlav</t>
        </is>
      </c>
      <c r="S903">
        <f>HYPERLINK("https://klasma.github.io/Logging_2425/artfynd/A 28716-2023 artfynd.xlsx", "A 28716-2023")</f>
        <v/>
      </c>
      <c r="T903">
        <f>HYPERLINK("https://klasma.github.io/Logging_2425/kartor/A 28716-2023 karta.png", "A 28716-2023")</f>
        <v/>
      </c>
      <c r="V903">
        <f>HYPERLINK("https://klasma.github.io/Logging_2425/klagomål/A 28716-2023 FSC-klagomål.docx", "A 28716-2023")</f>
        <v/>
      </c>
      <c r="W903">
        <f>HYPERLINK("https://klasma.github.io/Logging_2425/klagomålsmail/A 28716-2023 FSC-klagomål mail.docx", "A 28716-2023")</f>
        <v/>
      </c>
      <c r="X903">
        <f>HYPERLINK("https://klasma.github.io/Logging_2425/tillsyn/A 28716-2023 tillsynsbegäran.docx", "A 28716-2023")</f>
        <v/>
      </c>
      <c r="Y903">
        <f>HYPERLINK("https://klasma.github.io/Logging_2425/tillsynsmail/A 28716-2023 tillsynsbegäran mail.docx", "A 28716-2023")</f>
        <v/>
      </c>
    </row>
    <row r="904" ht="15" customHeight="1">
      <c r="A904" t="inlineStr">
        <is>
          <t>A 31311-2023</t>
        </is>
      </c>
      <c r="B904" s="1" t="n">
        <v>45104</v>
      </c>
      <c r="C904" s="1" t="n">
        <v>45357</v>
      </c>
      <c r="D904" t="inlineStr">
        <is>
          <t>VÄSTERBOTTENS LÄN</t>
        </is>
      </c>
      <c r="E904" t="inlineStr">
        <is>
          <t>UMEÅ</t>
        </is>
      </c>
      <c r="G904" t="n">
        <v>3.2</v>
      </c>
      <c r="H904" t="n">
        <v>0</v>
      </c>
      <c r="I904" t="n">
        <v>0</v>
      </c>
      <c r="J904" t="n">
        <v>1</v>
      </c>
      <c r="K904" t="n">
        <v>0</v>
      </c>
      <c r="L904" t="n">
        <v>0</v>
      </c>
      <c r="M904" t="n">
        <v>0</v>
      </c>
      <c r="N904" t="n">
        <v>0</v>
      </c>
      <c r="O904" t="n">
        <v>1</v>
      </c>
      <c r="P904" t="n">
        <v>0</v>
      </c>
      <c r="Q904" t="n">
        <v>1</v>
      </c>
      <c r="R904" s="2" t="inlineStr">
        <is>
          <t>Garnlav</t>
        </is>
      </c>
      <c r="S904">
        <f>HYPERLINK("https://klasma.github.io/Logging_2480/artfynd/A 31311-2023 artfynd.xlsx", "A 31311-2023")</f>
        <v/>
      </c>
      <c r="T904">
        <f>HYPERLINK("https://klasma.github.io/Logging_2480/kartor/A 31311-2023 karta.png", "A 31311-2023")</f>
        <v/>
      </c>
      <c r="V904">
        <f>HYPERLINK("https://klasma.github.io/Logging_2480/klagomål/A 31311-2023 FSC-klagomål.docx", "A 31311-2023")</f>
        <v/>
      </c>
      <c r="W904">
        <f>HYPERLINK("https://klasma.github.io/Logging_2480/klagomålsmail/A 31311-2023 FSC-klagomål mail.docx", "A 31311-2023")</f>
        <v/>
      </c>
      <c r="X904">
        <f>HYPERLINK("https://klasma.github.io/Logging_2480/tillsyn/A 31311-2023 tillsynsbegäran.docx", "A 31311-2023")</f>
        <v/>
      </c>
      <c r="Y904">
        <f>HYPERLINK("https://klasma.github.io/Logging_2480/tillsynsmail/A 31311-2023 tillsynsbegäran mail.docx", "A 31311-2023")</f>
        <v/>
      </c>
    </row>
    <row r="905" ht="15" customHeight="1">
      <c r="A905" t="inlineStr">
        <is>
          <t>A 29317-2023</t>
        </is>
      </c>
      <c r="B905" s="1" t="n">
        <v>45105</v>
      </c>
      <c r="C905" s="1" t="n">
        <v>45357</v>
      </c>
      <c r="D905" t="inlineStr">
        <is>
          <t>VÄSTERBOTTENS LÄN</t>
        </is>
      </c>
      <c r="E905" t="inlineStr">
        <is>
          <t>VILHELMINA</t>
        </is>
      </c>
      <c r="F905" t="inlineStr">
        <is>
          <t>SCA</t>
        </is>
      </c>
      <c r="G905" t="n">
        <v>18.8</v>
      </c>
      <c r="H905" t="n">
        <v>1</v>
      </c>
      <c r="I905" t="n">
        <v>0</v>
      </c>
      <c r="J905" t="n">
        <v>1</v>
      </c>
      <c r="K905" t="n">
        <v>0</v>
      </c>
      <c r="L905" t="n">
        <v>0</v>
      </c>
      <c r="M905" t="n">
        <v>0</v>
      </c>
      <c r="N905" t="n">
        <v>0</v>
      </c>
      <c r="O905" t="n">
        <v>1</v>
      </c>
      <c r="P905" t="n">
        <v>0</v>
      </c>
      <c r="Q905" t="n">
        <v>1</v>
      </c>
      <c r="R905" s="2" t="inlineStr">
        <is>
          <t>Tretåig hackspett</t>
        </is>
      </c>
      <c r="S905">
        <f>HYPERLINK("https://klasma.github.io/Logging_2462/artfynd/A 29317-2023 artfynd.xlsx", "A 29317-2023")</f>
        <v/>
      </c>
      <c r="T905">
        <f>HYPERLINK("https://klasma.github.io/Logging_2462/kartor/A 29317-2023 karta.png", "A 29317-2023")</f>
        <v/>
      </c>
      <c r="V905">
        <f>HYPERLINK("https://klasma.github.io/Logging_2462/klagomål/A 29317-2023 FSC-klagomål.docx", "A 29317-2023")</f>
        <v/>
      </c>
      <c r="W905">
        <f>HYPERLINK("https://klasma.github.io/Logging_2462/klagomålsmail/A 29317-2023 FSC-klagomål mail.docx", "A 29317-2023")</f>
        <v/>
      </c>
      <c r="X905">
        <f>HYPERLINK("https://klasma.github.io/Logging_2462/tillsyn/A 29317-2023 tillsynsbegäran.docx", "A 29317-2023")</f>
        <v/>
      </c>
      <c r="Y905">
        <f>HYPERLINK("https://klasma.github.io/Logging_2462/tillsynsmail/A 29317-2023 tillsynsbegäran mail.docx", "A 29317-2023")</f>
        <v/>
      </c>
      <c r="Z905">
        <f>HYPERLINK("https://klasma.github.io/Logging_2462/fåglar/A 29317-2023 prioriterade fågelarter.docx", "A 29317-2023")</f>
        <v/>
      </c>
    </row>
    <row r="906" ht="15" customHeight="1">
      <c r="A906" t="inlineStr">
        <is>
          <t>A 29318-2023</t>
        </is>
      </c>
      <c r="B906" s="1" t="n">
        <v>45105</v>
      </c>
      <c r="C906" s="1" t="n">
        <v>45357</v>
      </c>
      <c r="D906" t="inlineStr">
        <is>
          <t>VÄSTERBOTTENS LÄN</t>
        </is>
      </c>
      <c r="E906" t="inlineStr">
        <is>
          <t>ÅSELE</t>
        </is>
      </c>
      <c r="F906" t="inlineStr">
        <is>
          <t>SCA</t>
        </is>
      </c>
      <c r="G906" t="n">
        <v>9.300000000000001</v>
      </c>
      <c r="H906" t="n">
        <v>0</v>
      </c>
      <c r="I906" t="n">
        <v>1</v>
      </c>
      <c r="J906" t="n">
        <v>0</v>
      </c>
      <c r="K906" t="n">
        <v>0</v>
      </c>
      <c r="L906" t="n">
        <v>0</v>
      </c>
      <c r="M906" t="n">
        <v>0</v>
      </c>
      <c r="N906" t="n">
        <v>0</v>
      </c>
      <c r="O906" t="n">
        <v>0</v>
      </c>
      <c r="P906" t="n">
        <v>0</v>
      </c>
      <c r="Q906" t="n">
        <v>1</v>
      </c>
      <c r="R906" s="2" t="inlineStr">
        <is>
          <t>Stuplav</t>
        </is>
      </c>
      <c r="S906">
        <f>HYPERLINK("https://klasma.github.io/Logging_2463/artfynd/A 29318-2023 artfynd.xlsx", "A 29318-2023")</f>
        <v/>
      </c>
      <c r="T906">
        <f>HYPERLINK("https://klasma.github.io/Logging_2463/kartor/A 29318-2023 karta.png", "A 29318-2023")</f>
        <v/>
      </c>
      <c r="V906">
        <f>HYPERLINK("https://klasma.github.io/Logging_2463/klagomål/A 29318-2023 FSC-klagomål.docx", "A 29318-2023")</f>
        <v/>
      </c>
      <c r="W906">
        <f>HYPERLINK("https://klasma.github.io/Logging_2463/klagomålsmail/A 29318-2023 FSC-klagomål mail.docx", "A 29318-2023")</f>
        <v/>
      </c>
      <c r="X906">
        <f>HYPERLINK("https://klasma.github.io/Logging_2463/tillsyn/A 29318-2023 tillsynsbegäran.docx", "A 29318-2023")</f>
        <v/>
      </c>
      <c r="Y906">
        <f>HYPERLINK("https://klasma.github.io/Logging_2463/tillsynsmail/A 29318-2023 tillsynsbegäran mail.docx", "A 29318-2023")</f>
        <v/>
      </c>
    </row>
    <row r="907" ht="15" customHeight="1">
      <c r="A907" t="inlineStr">
        <is>
          <t>A 29563-2023</t>
        </is>
      </c>
      <c r="B907" s="1" t="n">
        <v>45106</v>
      </c>
      <c r="C907" s="1" t="n">
        <v>45357</v>
      </c>
      <c r="D907" t="inlineStr">
        <is>
          <t>VÄSTERBOTTENS LÄN</t>
        </is>
      </c>
      <c r="E907" t="inlineStr">
        <is>
          <t>STORUMAN</t>
        </is>
      </c>
      <c r="F907" t="inlineStr">
        <is>
          <t>Sveaskog</t>
        </is>
      </c>
      <c r="G907" t="n">
        <v>3.8</v>
      </c>
      <c r="H907" t="n">
        <v>1</v>
      </c>
      <c r="I907" t="n">
        <v>0</v>
      </c>
      <c r="J907" t="n">
        <v>0</v>
      </c>
      <c r="K907" t="n">
        <v>1</v>
      </c>
      <c r="L907" t="n">
        <v>0</v>
      </c>
      <c r="M907" t="n">
        <v>0</v>
      </c>
      <c r="N907" t="n">
        <v>0</v>
      </c>
      <c r="O907" t="n">
        <v>1</v>
      </c>
      <c r="P907" t="n">
        <v>1</v>
      </c>
      <c r="Q907" t="n">
        <v>1</v>
      </c>
      <c r="R907" s="2" t="inlineStr">
        <is>
          <t>Knärot</t>
        </is>
      </c>
      <c r="S907">
        <f>HYPERLINK("https://klasma.github.io/Logging_2421/artfynd/A 29563-2023 artfynd.xlsx", "A 29563-2023")</f>
        <v/>
      </c>
      <c r="T907">
        <f>HYPERLINK("https://klasma.github.io/Logging_2421/kartor/A 29563-2023 karta.png", "A 29563-2023")</f>
        <v/>
      </c>
      <c r="U907">
        <f>HYPERLINK("https://klasma.github.io/Logging_2421/knärot/A 29563-2023 karta knärot.png", "A 29563-2023")</f>
        <v/>
      </c>
      <c r="V907">
        <f>HYPERLINK("https://klasma.github.io/Logging_2421/klagomål/A 29563-2023 FSC-klagomål.docx", "A 29563-2023")</f>
        <v/>
      </c>
      <c r="W907">
        <f>HYPERLINK("https://klasma.github.io/Logging_2421/klagomålsmail/A 29563-2023 FSC-klagomål mail.docx", "A 29563-2023")</f>
        <v/>
      </c>
      <c r="X907">
        <f>HYPERLINK("https://klasma.github.io/Logging_2421/tillsyn/A 29563-2023 tillsynsbegäran.docx", "A 29563-2023")</f>
        <v/>
      </c>
      <c r="Y907">
        <f>HYPERLINK("https://klasma.github.io/Logging_2421/tillsynsmail/A 29563-2023 tillsynsbegäran mail.docx", "A 29563-2023")</f>
        <v/>
      </c>
    </row>
    <row r="908" ht="15" customHeight="1">
      <c r="A908" t="inlineStr">
        <is>
          <t>A 29561-2023</t>
        </is>
      </c>
      <c r="B908" s="1" t="n">
        <v>45106</v>
      </c>
      <c r="C908" s="1" t="n">
        <v>45357</v>
      </c>
      <c r="D908" t="inlineStr">
        <is>
          <t>VÄSTERBOTTENS LÄN</t>
        </is>
      </c>
      <c r="E908" t="inlineStr">
        <is>
          <t>LYCKSELE</t>
        </is>
      </c>
      <c r="F908" t="inlineStr">
        <is>
          <t>Sveaskog</t>
        </is>
      </c>
      <c r="G908" t="n">
        <v>26.7</v>
      </c>
      <c r="H908" t="n">
        <v>0</v>
      </c>
      <c r="I908" t="n">
        <v>0</v>
      </c>
      <c r="J908" t="n">
        <v>1</v>
      </c>
      <c r="K908" t="n">
        <v>0</v>
      </c>
      <c r="L908" t="n">
        <v>0</v>
      </c>
      <c r="M908" t="n">
        <v>0</v>
      </c>
      <c r="N908" t="n">
        <v>0</v>
      </c>
      <c r="O908" t="n">
        <v>1</v>
      </c>
      <c r="P908" t="n">
        <v>0</v>
      </c>
      <c r="Q908" t="n">
        <v>1</v>
      </c>
      <c r="R908" s="2" t="inlineStr">
        <is>
          <t>Lunglav</t>
        </is>
      </c>
      <c r="S908">
        <f>HYPERLINK("https://klasma.github.io/Logging_2481/artfynd/A 29561-2023 artfynd.xlsx", "A 29561-2023")</f>
        <v/>
      </c>
      <c r="T908">
        <f>HYPERLINK("https://klasma.github.io/Logging_2481/kartor/A 29561-2023 karta.png", "A 29561-2023")</f>
        <v/>
      </c>
      <c r="V908">
        <f>HYPERLINK("https://klasma.github.io/Logging_2481/klagomål/A 29561-2023 FSC-klagomål.docx", "A 29561-2023")</f>
        <v/>
      </c>
      <c r="W908">
        <f>HYPERLINK("https://klasma.github.io/Logging_2481/klagomålsmail/A 29561-2023 FSC-klagomål mail.docx", "A 29561-2023")</f>
        <v/>
      </c>
      <c r="X908">
        <f>HYPERLINK("https://klasma.github.io/Logging_2481/tillsyn/A 29561-2023 tillsynsbegäran.docx", "A 29561-2023")</f>
        <v/>
      </c>
      <c r="Y908">
        <f>HYPERLINK("https://klasma.github.io/Logging_2481/tillsynsmail/A 29561-2023 tillsynsbegäran mail.docx", "A 29561-2023")</f>
        <v/>
      </c>
    </row>
    <row r="909" ht="15" customHeight="1">
      <c r="A909" t="inlineStr">
        <is>
          <t>A 29572-2023</t>
        </is>
      </c>
      <c r="B909" s="1" t="n">
        <v>45106</v>
      </c>
      <c r="C909" s="1" t="n">
        <v>45357</v>
      </c>
      <c r="D909" t="inlineStr">
        <is>
          <t>VÄSTERBOTTENS LÄN</t>
        </is>
      </c>
      <c r="E909" t="inlineStr">
        <is>
          <t>STORUMAN</t>
        </is>
      </c>
      <c r="F909" t="inlineStr">
        <is>
          <t>Sveaskog</t>
        </is>
      </c>
      <c r="G909" t="n">
        <v>5.3</v>
      </c>
      <c r="H909" t="n">
        <v>0</v>
      </c>
      <c r="I909" t="n">
        <v>0</v>
      </c>
      <c r="J909" t="n">
        <v>1</v>
      </c>
      <c r="K909" t="n">
        <v>0</v>
      </c>
      <c r="L909" t="n">
        <v>0</v>
      </c>
      <c r="M909" t="n">
        <v>0</v>
      </c>
      <c r="N909" t="n">
        <v>0</v>
      </c>
      <c r="O909" t="n">
        <v>1</v>
      </c>
      <c r="P909" t="n">
        <v>0</v>
      </c>
      <c r="Q909" t="n">
        <v>1</v>
      </c>
      <c r="R909" s="2" t="inlineStr">
        <is>
          <t>Skrovlig taggsvamp</t>
        </is>
      </c>
      <c r="S909">
        <f>HYPERLINK("https://klasma.github.io/Logging_2421/artfynd/A 29572-2023 artfynd.xlsx", "A 29572-2023")</f>
        <v/>
      </c>
      <c r="T909">
        <f>HYPERLINK("https://klasma.github.io/Logging_2421/kartor/A 29572-2023 karta.png", "A 29572-2023")</f>
        <v/>
      </c>
      <c r="V909">
        <f>HYPERLINK("https://klasma.github.io/Logging_2421/klagomål/A 29572-2023 FSC-klagomål.docx", "A 29572-2023")</f>
        <v/>
      </c>
      <c r="W909">
        <f>HYPERLINK("https://klasma.github.io/Logging_2421/klagomålsmail/A 29572-2023 FSC-klagomål mail.docx", "A 29572-2023")</f>
        <v/>
      </c>
      <c r="X909">
        <f>HYPERLINK("https://klasma.github.io/Logging_2421/tillsyn/A 29572-2023 tillsynsbegäran.docx", "A 29572-2023")</f>
        <v/>
      </c>
      <c r="Y909">
        <f>HYPERLINK("https://klasma.github.io/Logging_2421/tillsynsmail/A 29572-2023 tillsynsbegäran mail.docx", "A 29572-2023")</f>
        <v/>
      </c>
    </row>
    <row r="910" ht="15" customHeight="1">
      <c r="A910" t="inlineStr">
        <is>
          <t>A 30615-2023</t>
        </is>
      </c>
      <c r="B910" s="1" t="n">
        <v>45112</v>
      </c>
      <c r="C910" s="1" t="n">
        <v>45357</v>
      </c>
      <c r="D910" t="inlineStr">
        <is>
          <t>VÄSTERBOTTENS LÄN</t>
        </is>
      </c>
      <c r="E910" t="inlineStr">
        <is>
          <t>ÅSELE</t>
        </is>
      </c>
      <c r="F910" t="inlineStr">
        <is>
          <t>Sveaskog</t>
        </is>
      </c>
      <c r="G910" t="n">
        <v>10.1</v>
      </c>
      <c r="H910" t="n">
        <v>0</v>
      </c>
      <c r="I910" t="n">
        <v>0</v>
      </c>
      <c r="J910" t="n">
        <v>1</v>
      </c>
      <c r="K910" t="n">
        <v>0</v>
      </c>
      <c r="L910" t="n">
        <v>0</v>
      </c>
      <c r="M910" t="n">
        <v>0</v>
      </c>
      <c r="N910" t="n">
        <v>0</v>
      </c>
      <c r="O910" t="n">
        <v>1</v>
      </c>
      <c r="P910" t="n">
        <v>0</v>
      </c>
      <c r="Q910" t="n">
        <v>1</v>
      </c>
      <c r="R910" s="2" t="inlineStr">
        <is>
          <t>Dvärgbägarlav</t>
        </is>
      </c>
      <c r="S910">
        <f>HYPERLINK("https://klasma.github.io/Logging_2463/artfynd/A 30615-2023 artfynd.xlsx", "A 30615-2023")</f>
        <v/>
      </c>
      <c r="T910">
        <f>HYPERLINK("https://klasma.github.io/Logging_2463/kartor/A 30615-2023 karta.png", "A 30615-2023")</f>
        <v/>
      </c>
      <c r="V910">
        <f>HYPERLINK("https://klasma.github.io/Logging_2463/klagomål/A 30615-2023 FSC-klagomål.docx", "A 30615-2023")</f>
        <v/>
      </c>
      <c r="W910">
        <f>HYPERLINK("https://klasma.github.io/Logging_2463/klagomålsmail/A 30615-2023 FSC-klagomål mail.docx", "A 30615-2023")</f>
        <v/>
      </c>
      <c r="X910">
        <f>HYPERLINK("https://klasma.github.io/Logging_2463/tillsyn/A 30615-2023 tillsynsbegäran.docx", "A 30615-2023")</f>
        <v/>
      </c>
      <c r="Y910">
        <f>HYPERLINK("https://klasma.github.io/Logging_2463/tillsynsmail/A 30615-2023 tillsynsbegäran mail.docx", "A 30615-2023")</f>
        <v/>
      </c>
    </row>
    <row r="911" ht="15" customHeight="1">
      <c r="A911" t="inlineStr">
        <is>
          <t>A 30703-2023</t>
        </is>
      </c>
      <c r="B911" s="1" t="n">
        <v>45112</v>
      </c>
      <c r="C911" s="1" t="n">
        <v>45357</v>
      </c>
      <c r="D911" t="inlineStr">
        <is>
          <t>VÄSTERBOTTENS LÄN</t>
        </is>
      </c>
      <c r="E911" t="inlineStr">
        <is>
          <t>SKELLEFTEÅ</t>
        </is>
      </c>
      <c r="F911" t="inlineStr">
        <is>
          <t>Sveaskog</t>
        </is>
      </c>
      <c r="G911" t="n">
        <v>10.9</v>
      </c>
      <c r="H911" t="n">
        <v>1</v>
      </c>
      <c r="I911" t="n">
        <v>0</v>
      </c>
      <c r="J911" t="n">
        <v>0</v>
      </c>
      <c r="K911" t="n">
        <v>0</v>
      </c>
      <c r="L911" t="n">
        <v>0</v>
      </c>
      <c r="M911" t="n">
        <v>0</v>
      </c>
      <c r="N911" t="n">
        <v>0</v>
      </c>
      <c r="O911" t="n">
        <v>0</v>
      </c>
      <c r="P911" t="n">
        <v>0</v>
      </c>
      <c r="Q911" t="n">
        <v>1</v>
      </c>
      <c r="R911" s="2" t="inlineStr">
        <is>
          <t>Fläcknycklar</t>
        </is>
      </c>
      <c r="S911">
        <f>HYPERLINK("https://klasma.github.io/Logging_2482/artfynd/A 30703-2023 artfynd.xlsx", "A 30703-2023")</f>
        <v/>
      </c>
      <c r="T911">
        <f>HYPERLINK("https://klasma.github.io/Logging_2482/kartor/A 30703-2023 karta.png", "A 30703-2023")</f>
        <v/>
      </c>
      <c r="V911">
        <f>HYPERLINK("https://klasma.github.io/Logging_2482/klagomål/A 30703-2023 FSC-klagomål.docx", "A 30703-2023")</f>
        <v/>
      </c>
      <c r="W911">
        <f>HYPERLINK("https://klasma.github.io/Logging_2482/klagomålsmail/A 30703-2023 FSC-klagomål mail.docx", "A 30703-2023")</f>
        <v/>
      </c>
      <c r="X911">
        <f>HYPERLINK("https://klasma.github.io/Logging_2482/tillsyn/A 30703-2023 tillsynsbegäran.docx", "A 30703-2023")</f>
        <v/>
      </c>
      <c r="Y911">
        <f>HYPERLINK("https://klasma.github.io/Logging_2482/tillsynsmail/A 30703-2023 tillsynsbegäran mail.docx", "A 30703-2023")</f>
        <v/>
      </c>
    </row>
    <row r="912" ht="15" customHeight="1">
      <c r="A912" t="inlineStr">
        <is>
          <t>A 30947-2023</t>
        </is>
      </c>
      <c r="B912" s="1" t="n">
        <v>45113</v>
      </c>
      <c r="C912" s="1" t="n">
        <v>45357</v>
      </c>
      <c r="D912" t="inlineStr">
        <is>
          <t>VÄSTERBOTTENS LÄN</t>
        </is>
      </c>
      <c r="E912" t="inlineStr">
        <is>
          <t>ÅSELE</t>
        </is>
      </c>
      <c r="F912" t="inlineStr">
        <is>
          <t>Sveaskog</t>
        </is>
      </c>
      <c r="G912" t="n">
        <v>11.9</v>
      </c>
      <c r="H912" t="n">
        <v>1</v>
      </c>
      <c r="I912" t="n">
        <v>1</v>
      </c>
      <c r="J912" t="n">
        <v>0</v>
      </c>
      <c r="K912" t="n">
        <v>0</v>
      </c>
      <c r="L912" t="n">
        <v>0</v>
      </c>
      <c r="M912" t="n">
        <v>0</v>
      </c>
      <c r="N912" t="n">
        <v>0</v>
      </c>
      <c r="O912" t="n">
        <v>0</v>
      </c>
      <c r="P912" t="n">
        <v>0</v>
      </c>
      <c r="Q912" t="n">
        <v>1</v>
      </c>
      <c r="R912" s="2" t="inlineStr">
        <is>
          <t>Spindelblomster</t>
        </is>
      </c>
      <c r="S912">
        <f>HYPERLINK("https://klasma.github.io/Logging_2463/artfynd/A 30947-2023 artfynd.xlsx", "A 30947-2023")</f>
        <v/>
      </c>
      <c r="T912">
        <f>HYPERLINK("https://klasma.github.io/Logging_2463/kartor/A 30947-2023 karta.png", "A 30947-2023")</f>
        <v/>
      </c>
      <c r="V912">
        <f>HYPERLINK("https://klasma.github.io/Logging_2463/klagomål/A 30947-2023 FSC-klagomål.docx", "A 30947-2023")</f>
        <v/>
      </c>
      <c r="W912">
        <f>HYPERLINK("https://klasma.github.io/Logging_2463/klagomålsmail/A 30947-2023 FSC-klagomål mail.docx", "A 30947-2023")</f>
        <v/>
      </c>
      <c r="X912">
        <f>HYPERLINK("https://klasma.github.io/Logging_2463/tillsyn/A 30947-2023 tillsynsbegäran.docx", "A 30947-2023")</f>
        <v/>
      </c>
      <c r="Y912">
        <f>HYPERLINK("https://klasma.github.io/Logging_2463/tillsynsmail/A 30947-2023 tillsynsbegäran mail.docx", "A 30947-2023")</f>
        <v/>
      </c>
    </row>
    <row r="913" ht="15" customHeight="1">
      <c r="A913" t="inlineStr">
        <is>
          <t>A 31194-2023</t>
        </is>
      </c>
      <c r="B913" s="1" t="n">
        <v>45113</v>
      </c>
      <c r="C913" s="1" t="n">
        <v>45357</v>
      </c>
      <c r="D913" t="inlineStr">
        <is>
          <t>VÄSTERBOTTENS LÄN</t>
        </is>
      </c>
      <c r="E913" t="inlineStr">
        <is>
          <t>ÅSELE</t>
        </is>
      </c>
      <c r="F913" t="inlineStr">
        <is>
          <t>SCA</t>
        </is>
      </c>
      <c r="G913" t="n">
        <v>9.800000000000001</v>
      </c>
      <c r="H913" t="n">
        <v>0</v>
      </c>
      <c r="I913" t="n">
        <v>0</v>
      </c>
      <c r="J913" t="n">
        <v>1</v>
      </c>
      <c r="K913" t="n">
        <v>0</v>
      </c>
      <c r="L913" t="n">
        <v>0</v>
      </c>
      <c r="M913" t="n">
        <v>0</v>
      </c>
      <c r="N913" t="n">
        <v>0</v>
      </c>
      <c r="O913" t="n">
        <v>1</v>
      </c>
      <c r="P913" t="n">
        <v>0</v>
      </c>
      <c r="Q913" t="n">
        <v>1</v>
      </c>
      <c r="R913" s="2" t="inlineStr">
        <is>
          <t>Lunglav</t>
        </is>
      </c>
      <c r="S913">
        <f>HYPERLINK("https://klasma.github.io/Logging_2463/artfynd/A 31194-2023 artfynd.xlsx", "A 31194-2023")</f>
        <v/>
      </c>
      <c r="T913">
        <f>HYPERLINK("https://klasma.github.io/Logging_2463/kartor/A 31194-2023 karta.png", "A 31194-2023")</f>
        <v/>
      </c>
      <c r="V913">
        <f>HYPERLINK("https://klasma.github.io/Logging_2463/klagomål/A 31194-2023 FSC-klagomål.docx", "A 31194-2023")</f>
        <v/>
      </c>
      <c r="W913">
        <f>HYPERLINK("https://klasma.github.io/Logging_2463/klagomålsmail/A 31194-2023 FSC-klagomål mail.docx", "A 31194-2023")</f>
        <v/>
      </c>
      <c r="X913">
        <f>HYPERLINK("https://klasma.github.io/Logging_2463/tillsyn/A 31194-2023 tillsynsbegäran.docx", "A 31194-2023")</f>
        <v/>
      </c>
      <c r="Y913">
        <f>HYPERLINK("https://klasma.github.io/Logging_2463/tillsynsmail/A 31194-2023 tillsynsbegäran mail.docx", "A 31194-2023")</f>
        <v/>
      </c>
    </row>
    <row r="914" ht="15" customHeight="1">
      <c r="A914" t="inlineStr">
        <is>
          <t>A 32566-2023</t>
        </is>
      </c>
      <c r="B914" s="1" t="n">
        <v>45121</v>
      </c>
      <c r="C914" s="1" t="n">
        <v>45357</v>
      </c>
      <c r="D914" t="inlineStr">
        <is>
          <t>VÄSTERBOTTENS LÄN</t>
        </is>
      </c>
      <c r="E914" t="inlineStr">
        <is>
          <t>SKELLEFTEÅ</t>
        </is>
      </c>
      <c r="F914" t="inlineStr">
        <is>
          <t>Holmen skog AB</t>
        </is>
      </c>
      <c r="G914" t="n">
        <v>13</v>
      </c>
      <c r="H914" t="n">
        <v>1</v>
      </c>
      <c r="I914" t="n">
        <v>0</v>
      </c>
      <c r="J914" t="n">
        <v>0</v>
      </c>
      <c r="K914" t="n">
        <v>0</v>
      </c>
      <c r="L914" t="n">
        <v>0</v>
      </c>
      <c r="M914" t="n">
        <v>0</v>
      </c>
      <c r="N914" t="n">
        <v>0</v>
      </c>
      <c r="O914" t="n">
        <v>0</v>
      </c>
      <c r="P914" t="n">
        <v>0</v>
      </c>
      <c r="Q914" t="n">
        <v>1</v>
      </c>
      <c r="R914" s="2" t="inlineStr">
        <is>
          <t>Revlummer</t>
        </is>
      </c>
      <c r="S914">
        <f>HYPERLINK("https://klasma.github.io/Logging_2482/artfynd/A 32566-2023 artfynd.xlsx", "A 32566-2023")</f>
        <v/>
      </c>
      <c r="T914">
        <f>HYPERLINK("https://klasma.github.io/Logging_2482/kartor/A 32566-2023 karta.png", "A 32566-2023")</f>
        <v/>
      </c>
      <c r="V914">
        <f>HYPERLINK("https://klasma.github.io/Logging_2482/klagomål/A 32566-2023 FSC-klagomål.docx", "A 32566-2023")</f>
        <v/>
      </c>
      <c r="W914">
        <f>HYPERLINK("https://klasma.github.io/Logging_2482/klagomålsmail/A 32566-2023 FSC-klagomål mail.docx", "A 32566-2023")</f>
        <v/>
      </c>
      <c r="X914">
        <f>HYPERLINK("https://klasma.github.io/Logging_2482/tillsyn/A 32566-2023 tillsynsbegäran.docx", "A 32566-2023")</f>
        <v/>
      </c>
      <c r="Y914">
        <f>HYPERLINK("https://klasma.github.io/Logging_2482/tillsynsmail/A 32566-2023 tillsynsbegäran mail.docx", "A 32566-2023")</f>
        <v/>
      </c>
    </row>
    <row r="915" ht="15" customHeight="1">
      <c r="A915" t="inlineStr">
        <is>
          <t>A 32661-2023</t>
        </is>
      </c>
      <c r="B915" s="1" t="n">
        <v>45121</v>
      </c>
      <c r="C915" s="1" t="n">
        <v>45357</v>
      </c>
      <c r="D915" t="inlineStr">
        <is>
          <t>VÄSTERBOTTENS LÄN</t>
        </is>
      </c>
      <c r="E915" t="inlineStr">
        <is>
          <t>LYCKSELE</t>
        </is>
      </c>
      <c r="F915" t="inlineStr">
        <is>
          <t>Sveaskog</t>
        </is>
      </c>
      <c r="G915" t="n">
        <v>14.2</v>
      </c>
      <c r="H915" t="n">
        <v>0</v>
      </c>
      <c r="I915" t="n">
        <v>0</v>
      </c>
      <c r="J915" t="n">
        <v>1</v>
      </c>
      <c r="K915" t="n">
        <v>0</v>
      </c>
      <c r="L915" t="n">
        <v>0</v>
      </c>
      <c r="M915" t="n">
        <v>0</v>
      </c>
      <c r="N915" t="n">
        <v>0</v>
      </c>
      <c r="O915" t="n">
        <v>1</v>
      </c>
      <c r="P915" t="n">
        <v>0</v>
      </c>
      <c r="Q915" t="n">
        <v>1</v>
      </c>
      <c r="R915" s="2" t="inlineStr">
        <is>
          <t>Lunglav</t>
        </is>
      </c>
      <c r="S915">
        <f>HYPERLINK("https://klasma.github.io/Logging_2481/artfynd/A 32661-2023 artfynd.xlsx", "A 32661-2023")</f>
        <v/>
      </c>
      <c r="T915">
        <f>HYPERLINK("https://klasma.github.io/Logging_2481/kartor/A 32661-2023 karta.png", "A 32661-2023")</f>
        <v/>
      </c>
      <c r="V915">
        <f>HYPERLINK("https://klasma.github.io/Logging_2481/klagomål/A 32661-2023 FSC-klagomål.docx", "A 32661-2023")</f>
        <v/>
      </c>
      <c r="W915">
        <f>HYPERLINK("https://klasma.github.io/Logging_2481/klagomålsmail/A 32661-2023 FSC-klagomål mail.docx", "A 32661-2023")</f>
        <v/>
      </c>
      <c r="X915">
        <f>HYPERLINK("https://klasma.github.io/Logging_2481/tillsyn/A 32661-2023 tillsynsbegäran.docx", "A 32661-2023")</f>
        <v/>
      </c>
      <c r="Y915">
        <f>HYPERLINK("https://klasma.github.io/Logging_2481/tillsynsmail/A 32661-2023 tillsynsbegäran mail.docx", "A 32661-2023")</f>
        <v/>
      </c>
    </row>
    <row r="916" ht="15" customHeight="1">
      <c r="A916" t="inlineStr">
        <is>
          <t>A 33419-2023</t>
        </is>
      </c>
      <c r="B916" s="1" t="n">
        <v>45128</v>
      </c>
      <c r="C916" s="1" t="n">
        <v>45357</v>
      </c>
      <c r="D916" t="inlineStr">
        <is>
          <t>VÄSTERBOTTENS LÄN</t>
        </is>
      </c>
      <c r="E916" t="inlineStr">
        <is>
          <t>UMEÅ</t>
        </is>
      </c>
      <c r="G916" t="n">
        <v>6.7</v>
      </c>
      <c r="H916" t="n">
        <v>0</v>
      </c>
      <c r="I916" t="n">
        <v>0</v>
      </c>
      <c r="J916" t="n">
        <v>0</v>
      </c>
      <c r="K916" t="n">
        <v>1</v>
      </c>
      <c r="L916" t="n">
        <v>0</v>
      </c>
      <c r="M916" t="n">
        <v>0</v>
      </c>
      <c r="N916" t="n">
        <v>0</v>
      </c>
      <c r="O916" t="n">
        <v>1</v>
      </c>
      <c r="P916" t="n">
        <v>1</v>
      </c>
      <c r="Q916" t="n">
        <v>1</v>
      </c>
      <c r="R916" s="2" t="inlineStr">
        <is>
          <t>Goliatmusseron</t>
        </is>
      </c>
      <c r="S916">
        <f>HYPERLINK("https://klasma.github.io/Logging_2480/artfynd/A 33419-2023 artfynd.xlsx", "A 33419-2023")</f>
        <v/>
      </c>
      <c r="T916">
        <f>HYPERLINK("https://klasma.github.io/Logging_2480/kartor/A 33419-2023 karta.png", "A 33419-2023")</f>
        <v/>
      </c>
      <c r="V916">
        <f>HYPERLINK("https://klasma.github.io/Logging_2480/klagomål/A 33419-2023 FSC-klagomål.docx", "A 33419-2023")</f>
        <v/>
      </c>
      <c r="W916">
        <f>HYPERLINK("https://klasma.github.io/Logging_2480/klagomålsmail/A 33419-2023 FSC-klagomål mail.docx", "A 33419-2023")</f>
        <v/>
      </c>
      <c r="X916">
        <f>HYPERLINK("https://klasma.github.io/Logging_2480/tillsyn/A 33419-2023 tillsynsbegäran.docx", "A 33419-2023")</f>
        <v/>
      </c>
      <c r="Y916">
        <f>HYPERLINK("https://klasma.github.io/Logging_2480/tillsynsmail/A 33419-2023 tillsynsbegäran mail.docx", "A 33419-2023")</f>
        <v/>
      </c>
    </row>
    <row r="917" ht="15" customHeight="1">
      <c r="A917" t="inlineStr">
        <is>
          <t>A 34781-2023</t>
        </is>
      </c>
      <c r="B917" s="1" t="n">
        <v>45141</v>
      </c>
      <c r="C917" s="1" t="n">
        <v>45357</v>
      </c>
      <c r="D917" t="inlineStr">
        <is>
          <t>VÄSTERBOTTENS LÄN</t>
        </is>
      </c>
      <c r="E917" t="inlineStr">
        <is>
          <t>LYCKSELE</t>
        </is>
      </c>
      <c r="F917" t="inlineStr">
        <is>
          <t>Sveaskog</t>
        </is>
      </c>
      <c r="G917" t="n">
        <v>6.8</v>
      </c>
      <c r="H917" t="n">
        <v>0</v>
      </c>
      <c r="I917" t="n">
        <v>1</v>
      </c>
      <c r="J917" t="n">
        <v>0</v>
      </c>
      <c r="K917" t="n">
        <v>0</v>
      </c>
      <c r="L917" t="n">
        <v>0</v>
      </c>
      <c r="M917" t="n">
        <v>0</v>
      </c>
      <c r="N917" t="n">
        <v>0</v>
      </c>
      <c r="O917" t="n">
        <v>0</v>
      </c>
      <c r="P917" t="n">
        <v>0</v>
      </c>
      <c r="Q917" t="n">
        <v>1</v>
      </c>
      <c r="R917" s="2" t="inlineStr">
        <is>
          <t>Dropptaggsvamp</t>
        </is>
      </c>
      <c r="S917">
        <f>HYPERLINK("https://klasma.github.io/Logging_2481/artfynd/A 34781-2023 artfynd.xlsx", "A 34781-2023")</f>
        <v/>
      </c>
      <c r="T917">
        <f>HYPERLINK("https://klasma.github.io/Logging_2481/kartor/A 34781-2023 karta.png", "A 34781-2023")</f>
        <v/>
      </c>
      <c r="V917">
        <f>HYPERLINK("https://klasma.github.io/Logging_2481/klagomål/A 34781-2023 FSC-klagomål.docx", "A 34781-2023")</f>
        <v/>
      </c>
      <c r="W917">
        <f>HYPERLINK("https://klasma.github.io/Logging_2481/klagomålsmail/A 34781-2023 FSC-klagomål mail.docx", "A 34781-2023")</f>
        <v/>
      </c>
      <c r="X917">
        <f>HYPERLINK("https://klasma.github.io/Logging_2481/tillsyn/A 34781-2023 tillsynsbegäran.docx", "A 34781-2023")</f>
        <v/>
      </c>
      <c r="Y917">
        <f>HYPERLINK("https://klasma.github.io/Logging_2481/tillsynsmail/A 34781-2023 tillsynsbegäran mail.docx", "A 34781-2023")</f>
        <v/>
      </c>
    </row>
    <row r="918" ht="15" customHeight="1">
      <c r="A918" t="inlineStr">
        <is>
          <t>A 34871-2023</t>
        </is>
      </c>
      <c r="B918" s="1" t="n">
        <v>45142</v>
      </c>
      <c r="C918" s="1" t="n">
        <v>45357</v>
      </c>
      <c r="D918" t="inlineStr">
        <is>
          <t>VÄSTERBOTTENS LÄN</t>
        </is>
      </c>
      <c r="E918" t="inlineStr">
        <is>
          <t>LYCKSELE</t>
        </is>
      </c>
      <c r="F918" t="inlineStr">
        <is>
          <t>Sveaskog</t>
        </is>
      </c>
      <c r="G918" t="n">
        <v>11.1</v>
      </c>
      <c r="H918" t="n">
        <v>0</v>
      </c>
      <c r="I918" t="n">
        <v>0</v>
      </c>
      <c r="J918" t="n">
        <v>1</v>
      </c>
      <c r="K918" t="n">
        <v>0</v>
      </c>
      <c r="L918" t="n">
        <v>0</v>
      </c>
      <c r="M918" t="n">
        <v>0</v>
      </c>
      <c r="N918" t="n">
        <v>0</v>
      </c>
      <c r="O918" t="n">
        <v>1</v>
      </c>
      <c r="P918" t="n">
        <v>0</v>
      </c>
      <c r="Q918" t="n">
        <v>1</v>
      </c>
      <c r="R918" s="2" t="inlineStr">
        <is>
          <t>Mörk kolflarnlav</t>
        </is>
      </c>
      <c r="S918">
        <f>HYPERLINK("https://klasma.github.io/Logging_2481/artfynd/A 34871-2023 artfynd.xlsx", "A 34871-2023")</f>
        <v/>
      </c>
      <c r="T918">
        <f>HYPERLINK("https://klasma.github.io/Logging_2481/kartor/A 34871-2023 karta.png", "A 34871-2023")</f>
        <v/>
      </c>
      <c r="V918">
        <f>HYPERLINK("https://klasma.github.io/Logging_2481/klagomål/A 34871-2023 FSC-klagomål.docx", "A 34871-2023")</f>
        <v/>
      </c>
      <c r="W918">
        <f>HYPERLINK("https://klasma.github.io/Logging_2481/klagomålsmail/A 34871-2023 FSC-klagomål mail.docx", "A 34871-2023")</f>
        <v/>
      </c>
      <c r="X918">
        <f>HYPERLINK("https://klasma.github.io/Logging_2481/tillsyn/A 34871-2023 tillsynsbegäran.docx", "A 34871-2023")</f>
        <v/>
      </c>
      <c r="Y918">
        <f>HYPERLINK("https://klasma.github.io/Logging_2481/tillsynsmail/A 34871-2023 tillsynsbegäran mail.docx", "A 34871-2023")</f>
        <v/>
      </c>
    </row>
    <row r="919" ht="15" customHeight="1">
      <c r="A919" t="inlineStr">
        <is>
          <t>A 35280-2023</t>
        </is>
      </c>
      <c r="B919" s="1" t="n">
        <v>45145</v>
      </c>
      <c r="C919" s="1" t="n">
        <v>45357</v>
      </c>
      <c r="D919" t="inlineStr">
        <is>
          <t>VÄSTERBOTTENS LÄN</t>
        </is>
      </c>
      <c r="E919" t="inlineStr">
        <is>
          <t>BJURHOLM</t>
        </is>
      </c>
      <c r="F919" t="inlineStr">
        <is>
          <t>SCA</t>
        </is>
      </c>
      <c r="G919" t="n">
        <v>7.5</v>
      </c>
      <c r="H919" t="n">
        <v>0</v>
      </c>
      <c r="I919" t="n">
        <v>0</v>
      </c>
      <c r="J919" t="n">
        <v>1</v>
      </c>
      <c r="K919" t="n">
        <v>0</v>
      </c>
      <c r="L919" t="n">
        <v>0</v>
      </c>
      <c r="M919" t="n">
        <v>0</v>
      </c>
      <c r="N919" t="n">
        <v>0</v>
      </c>
      <c r="O919" t="n">
        <v>1</v>
      </c>
      <c r="P919" t="n">
        <v>0</v>
      </c>
      <c r="Q919" t="n">
        <v>1</v>
      </c>
      <c r="R919" s="2" t="inlineStr">
        <is>
          <t>Gammelgransskål</t>
        </is>
      </c>
      <c r="S919">
        <f>HYPERLINK("https://klasma.github.io/Logging_2403/artfynd/A 35280-2023 artfynd.xlsx", "A 35280-2023")</f>
        <v/>
      </c>
      <c r="T919">
        <f>HYPERLINK("https://klasma.github.io/Logging_2403/kartor/A 35280-2023 karta.png", "A 35280-2023")</f>
        <v/>
      </c>
      <c r="V919">
        <f>HYPERLINK("https://klasma.github.io/Logging_2403/klagomål/A 35280-2023 FSC-klagomål.docx", "A 35280-2023")</f>
        <v/>
      </c>
      <c r="W919">
        <f>HYPERLINK("https://klasma.github.io/Logging_2403/klagomålsmail/A 35280-2023 FSC-klagomål mail.docx", "A 35280-2023")</f>
        <v/>
      </c>
      <c r="X919">
        <f>HYPERLINK("https://klasma.github.io/Logging_2403/tillsyn/A 35280-2023 tillsynsbegäran.docx", "A 35280-2023")</f>
        <v/>
      </c>
      <c r="Y919">
        <f>HYPERLINK("https://klasma.github.io/Logging_2403/tillsynsmail/A 35280-2023 tillsynsbegäran mail.docx", "A 35280-2023")</f>
        <v/>
      </c>
    </row>
    <row r="920" ht="15" customHeight="1">
      <c r="A920" t="inlineStr">
        <is>
          <t>A 35915-2023</t>
        </is>
      </c>
      <c r="B920" s="1" t="n">
        <v>45148</v>
      </c>
      <c r="C920" s="1" t="n">
        <v>45357</v>
      </c>
      <c r="D920" t="inlineStr">
        <is>
          <t>VÄSTERBOTTENS LÄN</t>
        </is>
      </c>
      <c r="E920" t="inlineStr">
        <is>
          <t>VINDELN</t>
        </is>
      </c>
      <c r="G920" t="n">
        <v>1.8</v>
      </c>
      <c r="H920" t="n">
        <v>1</v>
      </c>
      <c r="I920" t="n">
        <v>0</v>
      </c>
      <c r="J920" t="n">
        <v>1</v>
      </c>
      <c r="K920" t="n">
        <v>0</v>
      </c>
      <c r="L920" t="n">
        <v>0</v>
      </c>
      <c r="M920" t="n">
        <v>0</v>
      </c>
      <c r="N920" t="n">
        <v>0</v>
      </c>
      <c r="O920" t="n">
        <v>1</v>
      </c>
      <c r="P920" t="n">
        <v>0</v>
      </c>
      <c r="Q920" t="n">
        <v>1</v>
      </c>
      <c r="R920" s="2" t="inlineStr">
        <is>
          <t>Järpe</t>
        </is>
      </c>
      <c r="S920">
        <f>HYPERLINK("https://klasma.github.io/Logging_2404/artfynd/A 35915-2023 artfynd.xlsx", "A 35915-2023")</f>
        <v/>
      </c>
      <c r="T920">
        <f>HYPERLINK("https://klasma.github.io/Logging_2404/kartor/A 35915-2023 karta.png", "A 35915-2023")</f>
        <v/>
      </c>
      <c r="V920">
        <f>HYPERLINK("https://klasma.github.io/Logging_2404/klagomål/A 35915-2023 FSC-klagomål.docx", "A 35915-2023")</f>
        <v/>
      </c>
      <c r="W920">
        <f>HYPERLINK("https://klasma.github.io/Logging_2404/klagomålsmail/A 35915-2023 FSC-klagomål mail.docx", "A 35915-2023")</f>
        <v/>
      </c>
      <c r="X920">
        <f>HYPERLINK("https://klasma.github.io/Logging_2404/tillsyn/A 35915-2023 tillsynsbegäran.docx", "A 35915-2023")</f>
        <v/>
      </c>
      <c r="Y920">
        <f>HYPERLINK("https://klasma.github.io/Logging_2404/tillsynsmail/A 35915-2023 tillsynsbegäran mail.docx", "A 35915-2023")</f>
        <v/>
      </c>
      <c r="Z920">
        <f>HYPERLINK("https://klasma.github.io/Logging_2404/fåglar/A 35915-2023 prioriterade fågelarter.docx", "A 35915-2023")</f>
        <v/>
      </c>
    </row>
    <row r="921" ht="15" customHeight="1">
      <c r="A921" t="inlineStr">
        <is>
          <t>A 36528-2023</t>
        </is>
      </c>
      <c r="B921" s="1" t="n">
        <v>45152</v>
      </c>
      <c r="C921" s="1" t="n">
        <v>45357</v>
      </c>
      <c r="D921" t="inlineStr">
        <is>
          <t>VÄSTERBOTTENS LÄN</t>
        </is>
      </c>
      <c r="E921" t="inlineStr">
        <is>
          <t>UMEÅ</t>
        </is>
      </c>
      <c r="G921" t="n">
        <v>2.4</v>
      </c>
      <c r="H921" t="n">
        <v>1</v>
      </c>
      <c r="I921" t="n">
        <v>0</v>
      </c>
      <c r="J921" t="n">
        <v>0</v>
      </c>
      <c r="K921" t="n">
        <v>1</v>
      </c>
      <c r="L921" t="n">
        <v>0</v>
      </c>
      <c r="M921" t="n">
        <v>0</v>
      </c>
      <c r="N921" t="n">
        <v>0</v>
      </c>
      <c r="O921" t="n">
        <v>1</v>
      </c>
      <c r="P921" t="n">
        <v>1</v>
      </c>
      <c r="Q921" t="n">
        <v>1</v>
      </c>
      <c r="R921" s="2" t="inlineStr">
        <is>
          <t>Knärot</t>
        </is>
      </c>
      <c r="S921">
        <f>HYPERLINK("https://klasma.github.io/Logging_2480/artfynd/A 36528-2023 artfynd.xlsx", "A 36528-2023")</f>
        <v/>
      </c>
      <c r="T921">
        <f>HYPERLINK("https://klasma.github.io/Logging_2480/kartor/A 36528-2023 karta.png", "A 36528-2023")</f>
        <v/>
      </c>
      <c r="U921">
        <f>HYPERLINK("https://klasma.github.io/Logging_2480/knärot/A 36528-2023 karta knärot.png", "A 36528-2023")</f>
        <v/>
      </c>
      <c r="V921">
        <f>HYPERLINK("https://klasma.github.io/Logging_2480/klagomål/A 36528-2023 FSC-klagomål.docx", "A 36528-2023")</f>
        <v/>
      </c>
      <c r="W921">
        <f>HYPERLINK("https://klasma.github.io/Logging_2480/klagomålsmail/A 36528-2023 FSC-klagomål mail.docx", "A 36528-2023")</f>
        <v/>
      </c>
      <c r="X921">
        <f>HYPERLINK("https://klasma.github.io/Logging_2480/tillsyn/A 36528-2023 tillsynsbegäran.docx", "A 36528-2023")</f>
        <v/>
      </c>
      <c r="Y921">
        <f>HYPERLINK("https://klasma.github.io/Logging_2480/tillsynsmail/A 36528-2023 tillsynsbegäran mail.docx", "A 36528-2023")</f>
        <v/>
      </c>
    </row>
    <row r="922" ht="15" customHeight="1">
      <c r="A922" t="inlineStr">
        <is>
          <t>A 36628-2023</t>
        </is>
      </c>
      <c r="B922" s="1" t="n">
        <v>45153</v>
      </c>
      <c r="C922" s="1" t="n">
        <v>45357</v>
      </c>
      <c r="D922" t="inlineStr">
        <is>
          <t>VÄSTERBOTTENS LÄN</t>
        </is>
      </c>
      <c r="E922" t="inlineStr">
        <is>
          <t>SKELLEFTEÅ</t>
        </is>
      </c>
      <c r="F922" t="inlineStr">
        <is>
          <t>Holmen skog AB</t>
        </is>
      </c>
      <c r="G922" t="n">
        <v>4.6</v>
      </c>
      <c r="H922" t="n">
        <v>0</v>
      </c>
      <c r="I922" t="n">
        <v>0</v>
      </c>
      <c r="J922" t="n">
        <v>1</v>
      </c>
      <c r="K922" t="n">
        <v>0</v>
      </c>
      <c r="L922" t="n">
        <v>0</v>
      </c>
      <c r="M922" t="n">
        <v>0</v>
      </c>
      <c r="N922" t="n">
        <v>0</v>
      </c>
      <c r="O922" t="n">
        <v>1</v>
      </c>
      <c r="P922" t="n">
        <v>0</v>
      </c>
      <c r="Q922" t="n">
        <v>1</v>
      </c>
      <c r="R922" s="2" t="inlineStr">
        <is>
          <t>Gultoppig fingersvamp</t>
        </is>
      </c>
      <c r="S922">
        <f>HYPERLINK("https://klasma.github.io/Logging_2482/artfynd/A 36628-2023 artfynd.xlsx", "A 36628-2023")</f>
        <v/>
      </c>
      <c r="T922">
        <f>HYPERLINK("https://klasma.github.io/Logging_2482/kartor/A 36628-2023 karta.png", "A 36628-2023")</f>
        <v/>
      </c>
      <c r="V922">
        <f>HYPERLINK("https://klasma.github.io/Logging_2482/klagomål/A 36628-2023 FSC-klagomål.docx", "A 36628-2023")</f>
        <v/>
      </c>
      <c r="W922">
        <f>HYPERLINK("https://klasma.github.io/Logging_2482/klagomålsmail/A 36628-2023 FSC-klagomål mail.docx", "A 36628-2023")</f>
        <v/>
      </c>
      <c r="X922">
        <f>HYPERLINK("https://klasma.github.io/Logging_2482/tillsyn/A 36628-2023 tillsynsbegäran.docx", "A 36628-2023")</f>
        <v/>
      </c>
      <c r="Y922">
        <f>HYPERLINK("https://klasma.github.io/Logging_2482/tillsynsmail/A 36628-2023 tillsynsbegäran mail.docx", "A 36628-2023")</f>
        <v/>
      </c>
    </row>
    <row r="923" ht="15" customHeight="1">
      <c r="A923" t="inlineStr">
        <is>
          <t>A 37745-2023</t>
        </is>
      </c>
      <c r="B923" s="1" t="n">
        <v>45156</v>
      </c>
      <c r="C923" s="1" t="n">
        <v>45357</v>
      </c>
      <c r="D923" t="inlineStr">
        <is>
          <t>VÄSTERBOTTENS LÄN</t>
        </is>
      </c>
      <c r="E923" t="inlineStr">
        <is>
          <t>SORSELE</t>
        </is>
      </c>
      <c r="G923" t="n">
        <v>8.6</v>
      </c>
      <c r="H923" t="n">
        <v>1</v>
      </c>
      <c r="I923" t="n">
        <v>1</v>
      </c>
      <c r="J923" t="n">
        <v>0</v>
      </c>
      <c r="K923" t="n">
        <v>0</v>
      </c>
      <c r="L923" t="n">
        <v>0</v>
      </c>
      <c r="M923" t="n">
        <v>0</v>
      </c>
      <c r="N923" t="n">
        <v>0</v>
      </c>
      <c r="O923" t="n">
        <v>0</v>
      </c>
      <c r="P923" t="n">
        <v>0</v>
      </c>
      <c r="Q923" t="n">
        <v>1</v>
      </c>
      <c r="R923" s="2" t="inlineStr">
        <is>
          <t>Lappranunkel</t>
        </is>
      </c>
      <c r="S923">
        <f>HYPERLINK("https://klasma.github.io/Logging_2422/artfynd/A 37745-2023 artfynd.xlsx", "A 37745-2023")</f>
        <v/>
      </c>
      <c r="T923">
        <f>HYPERLINK("https://klasma.github.io/Logging_2422/kartor/A 37745-2023 karta.png", "A 37745-2023")</f>
        <v/>
      </c>
      <c r="V923">
        <f>HYPERLINK("https://klasma.github.io/Logging_2422/klagomål/A 37745-2023 FSC-klagomål.docx", "A 37745-2023")</f>
        <v/>
      </c>
      <c r="W923">
        <f>HYPERLINK("https://klasma.github.io/Logging_2422/klagomålsmail/A 37745-2023 FSC-klagomål mail.docx", "A 37745-2023")</f>
        <v/>
      </c>
      <c r="X923">
        <f>HYPERLINK("https://klasma.github.io/Logging_2422/tillsyn/A 37745-2023 tillsynsbegäran.docx", "A 37745-2023")</f>
        <v/>
      </c>
      <c r="Y923">
        <f>HYPERLINK("https://klasma.github.io/Logging_2422/tillsynsmail/A 37745-2023 tillsynsbegäran mail.docx", "A 37745-2023")</f>
        <v/>
      </c>
    </row>
    <row r="924" ht="15" customHeight="1">
      <c r="A924" t="inlineStr">
        <is>
          <t>A 37612-2023</t>
        </is>
      </c>
      <c r="B924" s="1" t="n">
        <v>45159</v>
      </c>
      <c r="C924" s="1" t="n">
        <v>45357</v>
      </c>
      <c r="D924" t="inlineStr">
        <is>
          <t>VÄSTERBOTTENS LÄN</t>
        </is>
      </c>
      <c r="E924" t="inlineStr">
        <is>
          <t>LYCKSELE</t>
        </is>
      </c>
      <c r="F924" t="inlineStr">
        <is>
          <t>Sveaskog</t>
        </is>
      </c>
      <c r="G924" t="n">
        <v>3.6</v>
      </c>
      <c r="H924" t="n">
        <v>0</v>
      </c>
      <c r="I924" t="n">
        <v>1</v>
      </c>
      <c r="J924" t="n">
        <v>0</v>
      </c>
      <c r="K924" t="n">
        <v>0</v>
      </c>
      <c r="L924" t="n">
        <v>0</v>
      </c>
      <c r="M924" t="n">
        <v>0</v>
      </c>
      <c r="N924" t="n">
        <v>0</v>
      </c>
      <c r="O924" t="n">
        <v>0</v>
      </c>
      <c r="P924" t="n">
        <v>0</v>
      </c>
      <c r="Q924" t="n">
        <v>1</v>
      </c>
      <c r="R924" s="2" t="inlineStr">
        <is>
          <t>Dropptaggsvamp</t>
        </is>
      </c>
      <c r="S924">
        <f>HYPERLINK("https://klasma.github.io/Logging_2481/artfynd/A 37612-2023 artfynd.xlsx", "A 37612-2023")</f>
        <v/>
      </c>
      <c r="T924">
        <f>HYPERLINK("https://klasma.github.io/Logging_2481/kartor/A 37612-2023 karta.png", "A 37612-2023")</f>
        <v/>
      </c>
      <c r="V924">
        <f>HYPERLINK("https://klasma.github.io/Logging_2481/klagomål/A 37612-2023 FSC-klagomål.docx", "A 37612-2023")</f>
        <v/>
      </c>
      <c r="W924">
        <f>HYPERLINK("https://klasma.github.io/Logging_2481/klagomålsmail/A 37612-2023 FSC-klagomål mail.docx", "A 37612-2023")</f>
        <v/>
      </c>
      <c r="X924">
        <f>HYPERLINK("https://klasma.github.io/Logging_2481/tillsyn/A 37612-2023 tillsynsbegäran.docx", "A 37612-2023")</f>
        <v/>
      </c>
      <c r="Y924">
        <f>HYPERLINK("https://klasma.github.io/Logging_2481/tillsynsmail/A 37612-2023 tillsynsbegäran mail.docx", "A 37612-2023")</f>
        <v/>
      </c>
    </row>
    <row r="925" ht="15" customHeight="1">
      <c r="A925" t="inlineStr">
        <is>
          <t>A 37953-2023</t>
        </is>
      </c>
      <c r="B925" s="1" t="n">
        <v>45159</v>
      </c>
      <c r="C925" s="1" t="n">
        <v>45357</v>
      </c>
      <c r="D925" t="inlineStr">
        <is>
          <t>VÄSTERBOTTENS LÄN</t>
        </is>
      </c>
      <c r="E925" t="inlineStr">
        <is>
          <t>VINDELN</t>
        </is>
      </c>
      <c r="G925" t="n">
        <v>1.5</v>
      </c>
      <c r="H925" t="n">
        <v>1</v>
      </c>
      <c r="I925" t="n">
        <v>0</v>
      </c>
      <c r="J925" t="n">
        <v>0</v>
      </c>
      <c r="K925" t="n">
        <v>1</v>
      </c>
      <c r="L925" t="n">
        <v>0</v>
      </c>
      <c r="M925" t="n">
        <v>0</v>
      </c>
      <c r="N925" t="n">
        <v>0</v>
      </c>
      <c r="O925" t="n">
        <v>1</v>
      </c>
      <c r="P925" t="n">
        <v>1</v>
      </c>
      <c r="Q925" t="n">
        <v>1</v>
      </c>
      <c r="R925" s="2" t="inlineStr">
        <is>
          <t>Knärot</t>
        </is>
      </c>
      <c r="S925">
        <f>HYPERLINK("https://klasma.github.io/Logging_2404/artfynd/A 37953-2023 artfynd.xlsx", "A 37953-2023")</f>
        <v/>
      </c>
      <c r="T925">
        <f>HYPERLINK("https://klasma.github.io/Logging_2404/kartor/A 37953-2023 karta.png", "A 37953-2023")</f>
        <v/>
      </c>
      <c r="U925">
        <f>HYPERLINK("https://klasma.github.io/Logging_2404/knärot/A 37953-2023 karta knärot.png", "A 37953-2023")</f>
        <v/>
      </c>
      <c r="V925">
        <f>HYPERLINK("https://klasma.github.io/Logging_2404/klagomål/A 37953-2023 FSC-klagomål.docx", "A 37953-2023")</f>
        <v/>
      </c>
      <c r="W925">
        <f>HYPERLINK("https://klasma.github.io/Logging_2404/klagomålsmail/A 37953-2023 FSC-klagomål mail.docx", "A 37953-2023")</f>
        <v/>
      </c>
      <c r="X925">
        <f>HYPERLINK("https://klasma.github.io/Logging_2404/tillsyn/A 37953-2023 tillsynsbegäran.docx", "A 37953-2023")</f>
        <v/>
      </c>
      <c r="Y925">
        <f>HYPERLINK("https://klasma.github.io/Logging_2404/tillsynsmail/A 37953-2023 tillsynsbegäran mail.docx", "A 37953-2023")</f>
        <v/>
      </c>
    </row>
    <row r="926" ht="15" customHeight="1">
      <c r="A926" t="inlineStr">
        <is>
          <t>A 37847-2023</t>
        </is>
      </c>
      <c r="B926" s="1" t="n">
        <v>45160</v>
      </c>
      <c r="C926" s="1" t="n">
        <v>45357</v>
      </c>
      <c r="D926" t="inlineStr">
        <is>
          <t>VÄSTERBOTTENS LÄN</t>
        </is>
      </c>
      <c r="E926" t="inlineStr">
        <is>
          <t>ROBERTSFORS</t>
        </is>
      </c>
      <c r="G926" t="n">
        <v>3</v>
      </c>
      <c r="H926" t="n">
        <v>1</v>
      </c>
      <c r="I926" t="n">
        <v>1</v>
      </c>
      <c r="J926" t="n">
        <v>0</v>
      </c>
      <c r="K926" t="n">
        <v>0</v>
      </c>
      <c r="L926" t="n">
        <v>0</v>
      </c>
      <c r="M926" t="n">
        <v>0</v>
      </c>
      <c r="N926" t="n">
        <v>0</v>
      </c>
      <c r="O926" t="n">
        <v>0</v>
      </c>
      <c r="P926" t="n">
        <v>0</v>
      </c>
      <c r="Q926" t="n">
        <v>1</v>
      </c>
      <c r="R926" s="2" t="inlineStr">
        <is>
          <t>Plattlummer</t>
        </is>
      </c>
      <c r="S926">
        <f>HYPERLINK("https://klasma.github.io/Logging_2409/artfynd/A 37847-2023 artfynd.xlsx", "A 37847-2023")</f>
        <v/>
      </c>
      <c r="T926">
        <f>HYPERLINK("https://klasma.github.io/Logging_2409/kartor/A 37847-2023 karta.png", "A 37847-2023")</f>
        <v/>
      </c>
      <c r="V926">
        <f>HYPERLINK("https://klasma.github.io/Logging_2409/klagomål/A 37847-2023 FSC-klagomål.docx", "A 37847-2023")</f>
        <v/>
      </c>
      <c r="W926">
        <f>HYPERLINK("https://klasma.github.io/Logging_2409/klagomålsmail/A 37847-2023 FSC-klagomål mail.docx", "A 37847-2023")</f>
        <v/>
      </c>
      <c r="X926">
        <f>HYPERLINK("https://klasma.github.io/Logging_2409/tillsyn/A 37847-2023 tillsynsbegäran.docx", "A 37847-2023")</f>
        <v/>
      </c>
      <c r="Y926">
        <f>HYPERLINK("https://klasma.github.io/Logging_2409/tillsynsmail/A 37847-2023 tillsynsbegäran mail.docx", "A 37847-2023")</f>
        <v/>
      </c>
    </row>
    <row r="927" ht="15" customHeight="1">
      <c r="A927" t="inlineStr">
        <is>
          <t>A 38313-2023</t>
        </is>
      </c>
      <c r="B927" s="1" t="n">
        <v>45161</v>
      </c>
      <c r="C927" s="1" t="n">
        <v>45357</v>
      </c>
      <c r="D927" t="inlineStr">
        <is>
          <t>VÄSTERBOTTENS LÄN</t>
        </is>
      </c>
      <c r="E927" t="inlineStr">
        <is>
          <t>MALÅ</t>
        </is>
      </c>
      <c r="F927" t="inlineStr">
        <is>
          <t>Kyrkan</t>
        </is>
      </c>
      <c r="G927" t="n">
        <v>19.7</v>
      </c>
      <c r="H927" t="n">
        <v>0</v>
      </c>
      <c r="I927" t="n">
        <v>1</v>
      </c>
      <c r="J927" t="n">
        <v>0</v>
      </c>
      <c r="K927" t="n">
        <v>0</v>
      </c>
      <c r="L927" t="n">
        <v>0</v>
      </c>
      <c r="M927" t="n">
        <v>0</v>
      </c>
      <c r="N927" t="n">
        <v>0</v>
      </c>
      <c r="O927" t="n">
        <v>0</v>
      </c>
      <c r="P927" t="n">
        <v>0</v>
      </c>
      <c r="Q927" t="n">
        <v>1</v>
      </c>
      <c r="R927" s="2" t="inlineStr">
        <is>
          <t>Skarp dropptaggsvamp</t>
        </is>
      </c>
      <c r="S927">
        <f>HYPERLINK("https://klasma.github.io/Logging_2418/artfynd/A 38313-2023 artfynd.xlsx", "A 38313-2023")</f>
        <v/>
      </c>
      <c r="T927">
        <f>HYPERLINK("https://klasma.github.io/Logging_2418/kartor/A 38313-2023 karta.png", "A 38313-2023")</f>
        <v/>
      </c>
      <c r="V927">
        <f>HYPERLINK("https://klasma.github.io/Logging_2418/klagomål/A 38313-2023 FSC-klagomål.docx", "A 38313-2023")</f>
        <v/>
      </c>
      <c r="W927">
        <f>HYPERLINK("https://klasma.github.io/Logging_2418/klagomålsmail/A 38313-2023 FSC-klagomål mail.docx", "A 38313-2023")</f>
        <v/>
      </c>
      <c r="X927">
        <f>HYPERLINK("https://klasma.github.io/Logging_2418/tillsyn/A 38313-2023 tillsynsbegäran.docx", "A 38313-2023")</f>
        <v/>
      </c>
      <c r="Y927">
        <f>HYPERLINK("https://klasma.github.io/Logging_2418/tillsynsmail/A 38313-2023 tillsynsbegäran mail.docx", "A 38313-2023")</f>
        <v/>
      </c>
    </row>
    <row r="928" ht="15" customHeight="1">
      <c r="A928" t="inlineStr">
        <is>
          <t>A 38455-2023</t>
        </is>
      </c>
      <c r="B928" s="1" t="n">
        <v>45162</v>
      </c>
      <c r="C928" s="1" t="n">
        <v>45357</v>
      </c>
      <c r="D928" t="inlineStr">
        <is>
          <t>VÄSTERBOTTENS LÄN</t>
        </is>
      </c>
      <c r="E928" t="inlineStr">
        <is>
          <t>SKELLEFTEÅ</t>
        </is>
      </c>
      <c r="G928" t="n">
        <v>10.4</v>
      </c>
      <c r="H928" t="n">
        <v>0</v>
      </c>
      <c r="I928" t="n">
        <v>1</v>
      </c>
      <c r="J928" t="n">
        <v>0</v>
      </c>
      <c r="K928" t="n">
        <v>0</v>
      </c>
      <c r="L928" t="n">
        <v>0</v>
      </c>
      <c r="M928" t="n">
        <v>0</v>
      </c>
      <c r="N928" t="n">
        <v>0</v>
      </c>
      <c r="O928" t="n">
        <v>0</v>
      </c>
      <c r="P928" t="n">
        <v>0</v>
      </c>
      <c r="Q928" t="n">
        <v>1</v>
      </c>
      <c r="R928" s="2" t="inlineStr">
        <is>
          <t>Bårdlav</t>
        </is>
      </c>
      <c r="S928">
        <f>HYPERLINK("https://klasma.github.io/Logging_2482/artfynd/A 38455-2023 artfynd.xlsx", "A 38455-2023")</f>
        <v/>
      </c>
      <c r="T928">
        <f>HYPERLINK("https://klasma.github.io/Logging_2482/kartor/A 38455-2023 karta.png", "A 38455-2023")</f>
        <v/>
      </c>
      <c r="V928">
        <f>HYPERLINK("https://klasma.github.io/Logging_2482/klagomål/A 38455-2023 FSC-klagomål.docx", "A 38455-2023")</f>
        <v/>
      </c>
      <c r="W928">
        <f>HYPERLINK("https://klasma.github.io/Logging_2482/klagomålsmail/A 38455-2023 FSC-klagomål mail.docx", "A 38455-2023")</f>
        <v/>
      </c>
      <c r="X928">
        <f>HYPERLINK("https://klasma.github.io/Logging_2482/tillsyn/A 38455-2023 tillsynsbegäran.docx", "A 38455-2023")</f>
        <v/>
      </c>
      <c r="Y928">
        <f>HYPERLINK("https://klasma.github.io/Logging_2482/tillsynsmail/A 38455-2023 tillsynsbegäran mail.docx", "A 38455-2023")</f>
        <v/>
      </c>
    </row>
    <row r="929" ht="15" customHeight="1">
      <c r="A929" t="inlineStr">
        <is>
          <t>A 38507-2023</t>
        </is>
      </c>
      <c r="B929" s="1" t="n">
        <v>45162</v>
      </c>
      <c r="C929" s="1" t="n">
        <v>45357</v>
      </c>
      <c r="D929" t="inlineStr">
        <is>
          <t>VÄSTERBOTTENS LÄN</t>
        </is>
      </c>
      <c r="E929" t="inlineStr">
        <is>
          <t>LYCKSELE</t>
        </is>
      </c>
      <c r="F929" t="inlineStr">
        <is>
          <t>Sveaskog</t>
        </is>
      </c>
      <c r="G929" t="n">
        <v>2.5</v>
      </c>
      <c r="H929" t="n">
        <v>0</v>
      </c>
      <c r="I929" t="n">
        <v>0</v>
      </c>
      <c r="J929" t="n">
        <v>1</v>
      </c>
      <c r="K929" t="n">
        <v>0</v>
      </c>
      <c r="L929" t="n">
        <v>0</v>
      </c>
      <c r="M929" t="n">
        <v>0</v>
      </c>
      <c r="N929" t="n">
        <v>0</v>
      </c>
      <c r="O929" t="n">
        <v>1</v>
      </c>
      <c r="P929" t="n">
        <v>0</v>
      </c>
      <c r="Q929" t="n">
        <v>1</v>
      </c>
      <c r="R929" s="2" t="inlineStr">
        <is>
          <t>Blå taggsvamp</t>
        </is>
      </c>
      <c r="S929">
        <f>HYPERLINK("https://klasma.github.io/Logging_2481/artfynd/A 38507-2023 artfynd.xlsx", "A 38507-2023")</f>
        <v/>
      </c>
      <c r="T929">
        <f>HYPERLINK("https://klasma.github.io/Logging_2481/kartor/A 38507-2023 karta.png", "A 38507-2023")</f>
        <v/>
      </c>
      <c r="V929">
        <f>HYPERLINK("https://klasma.github.io/Logging_2481/klagomål/A 38507-2023 FSC-klagomål.docx", "A 38507-2023")</f>
        <v/>
      </c>
      <c r="W929">
        <f>HYPERLINK("https://klasma.github.io/Logging_2481/klagomålsmail/A 38507-2023 FSC-klagomål mail.docx", "A 38507-2023")</f>
        <v/>
      </c>
      <c r="X929">
        <f>HYPERLINK("https://klasma.github.io/Logging_2481/tillsyn/A 38507-2023 tillsynsbegäran.docx", "A 38507-2023")</f>
        <v/>
      </c>
      <c r="Y929">
        <f>HYPERLINK("https://klasma.github.io/Logging_2481/tillsynsmail/A 38507-2023 tillsynsbegäran mail.docx", "A 38507-2023")</f>
        <v/>
      </c>
    </row>
    <row r="930" ht="15" customHeight="1">
      <c r="A930" t="inlineStr">
        <is>
          <t>A 39118-2023</t>
        </is>
      </c>
      <c r="B930" s="1" t="n">
        <v>45165</v>
      </c>
      <c r="C930" s="1" t="n">
        <v>45357</v>
      </c>
      <c r="D930" t="inlineStr">
        <is>
          <t>VÄSTERBOTTENS LÄN</t>
        </is>
      </c>
      <c r="E930" t="inlineStr">
        <is>
          <t>UMEÅ</t>
        </is>
      </c>
      <c r="G930" t="n">
        <v>1.2</v>
      </c>
      <c r="H930" t="n">
        <v>0</v>
      </c>
      <c r="I930" t="n">
        <v>0</v>
      </c>
      <c r="J930" t="n">
        <v>1</v>
      </c>
      <c r="K930" t="n">
        <v>0</v>
      </c>
      <c r="L930" t="n">
        <v>0</v>
      </c>
      <c r="M930" t="n">
        <v>0</v>
      </c>
      <c r="N930" t="n">
        <v>0</v>
      </c>
      <c r="O930" t="n">
        <v>1</v>
      </c>
      <c r="P930" t="n">
        <v>0</v>
      </c>
      <c r="Q930" t="n">
        <v>1</v>
      </c>
      <c r="R930" s="2" t="inlineStr">
        <is>
          <t>Svartvit taggsvamp</t>
        </is>
      </c>
      <c r="S930">
        <f>HYPERLINK("https://klasma.github.io/Logging_2480/artfynd/A 39118-2023 artfynd.xlsx", "A 39118-2023")</f>
        <v/>
      </c>
      <c r="T930">
        <f>HYPERLINK("https://klasma.github.io/Logging_2480/kartor/A 39118-2023 karta.png", "A 39118-2023")</f>
        <v/>
      </c>
      <c r="V930">
        <f>HYPERLINK("https://klasma.github.io/Logging_2480/klagomål/A 39118-2023 FSC-klagomål.docx", "A 39118-2023")</f>
        <v/>
      </c>
      <c r="W930">
        <f>HYPERLINK("https://klasma.github.io/Logging_2480/klagomålsmail/A 39118-2023 FSC-klagomål mail.docx", "A 39118-2023")</f>
        <v/>
      </c>
      <c r="X930">
        <f>HYPERLINK("https://klasma.github.io/Logging_2480/tillsyn/A 39118-2023 tillsynsbegäran.docx", "A 39118-2023")</f>
        <v/>
      </c>
      <c r="Y930">
        <f>HYPERLINK("https://klasma.github.io/Logging_2480/tillsynsmail/A 39118-2023 tillsynsbegäran mail.docx", "A 39118-2023")</f>
        <v/>
      </c>
    </row>
    <row r="931" ht="15" customHeight="1">
      <c r="A931" t="inlineStr">
        <is>
          <t>A 39919-2023</t>
        </is>
      </c>
      <c r="B931" s="1" t="n">
        <v>45166</v>
      </c>
      <c r="C931" s="1" t="n">
        <v>45357</v>
      </c>
      <c r="D931" t="inlineStr">
        <is>
          <t>VÄSTERBOTTENS LÄN</t>
        </is>
      </c>
      <c r="E931" t="inlineStr">
        <is>
          <t>VILHELMINA</t>
        </is>
      </c>
      <c r="G931" t="n">
        <v>22.2</v>
      </c>
      <c r="H931" t="n">
        <v>1</v>
      </c>
      <c r="I931" t="n">
        <v>0</v>
      </c>
      <c r="J931" t="n">
        <v>1</v>
      </c>
      <c r="K931" t="n">
        <v>0</v>
      </c>
      <c r="L931" t="n">
        <v>0</v>
      </c>
      <c r="M931" t="n">
        <v>0</v>
      </c>
      <c r="N931" t="n">
        <v>0</v>
      </c>
      <c r="O931" t="n">
        <v>1</v>
      </c>
      <c r="P931" t="n">
        <v>0</v>
      </c>
      <c r="Q931" t="n">
        <v>1</v>
      </c>
      <c r="R931" s="2" t="inlineStr">
        <is>
          <t>Utter</t>
        </is>
      </c>
      <c r="S931">
        <f>HYPERLINK("https://klasma.github.io/Logging_2462/artfynd/A 39919-2023 artfynd.xlsx", "A 39919-2023")</f>
        <v/>
      </c>
      <c r="T931">
        <f>HYPERLINK("https://klasma.github.io/Logging_2462/kartor/A 39919-2023 karta.png", "A 39919-2023")</f>
        <v/>
      </c>
      <c r="V931">
        <f>HYPERLINK("https://klasma.github.io/Logging_2462/klagomål/A 39919-2023 FSC-klagomål.docx", "A 39919-2023")</f>
        <v/>
      </c>
      <c r="W931">
        <f>HYPERLINK("https://klasma.github.io/Logging_2462/klagomålsmail/A 39919-2023 FSC-klagomål mail.docx", "A 39919-2023")</f>
        <v/>
      </c>
      <c r="X931">
        <f>HYPERLINK("https://klasma.github.io/Logging_2462/tillsyn/A 39919-2023 tillsynsbegäran.docx", "A 39919-2023")</f>
        <v/>
      </c>
      <c r="Y931">
        <f>HYPERLINK("https://klasma.github.io/Logging_2462/tillsynsmail/A 39919-2023 tillsynsbegäran mail.docx", "A 39919-2023")</f>
        <v/>
      </c>
    </row>
    <row r="932" ht="15" customHeight="1">
      <c r="A932" t="inlineStr">
        <is>
          <t>A 39628-2023</t>
        </is>
      </c>
      <c r="B932" s="1" t="n">
        <v>45167</v>
      </c>
      <c r="C932" s="1" t="n">
        <v>45357</v>
      </c>
      <c r="D932" t="inlineStr">
        <is>
          <t>VÄSTERBOTTENS LÄN</t>
        </is>
      </c>
      <c r="E932" t="inlineStr">
        <is>
          <t>BJURHOLM</t>
        </is>
      </c>
      <c r="F932" t="inlineStr">
        <is>
          <t>Sveaskog</t>
        </is>
      </c>
      <c r="G932" t="n">
        <v>6.8</v>
      </c>
      <c r="H932" t="n">
        <v>0</v>
      </c>
      <c r="I932" t="n">
        <v>0</v>
      </c>
      <c r="J932" t="n">
        <v>1</v>
      </c>
      <c r="K932" t="n">
        <v>0</v>
      </c>
      <c r="L932" t="n">
        <v>0</v>
      </c>
      <c r="M932" t="n">
        <v>0</v>
      </c>
      <c r="N932" t="n">
        <v>0</v>
      </c>
      <c r="O932" t="n">
        <v>1</v>
      </c>
      <c r="P932" t="n">
        <v>0</v>
      </c>
      <c r="Q932" t="n">
        <v>1</v>
      </c>
      <c r="R932" s="2" t="inlineStr">
        <is>
          <t>Lunglav</t>
        </is>
      </c>
      <c r="S932">
        <f>HYPERLINK("https://klasma.github.io/Logging_2403/artfynd/A 39628-2023 artfynd.xlsx", "A 39628-2023")</f>
        <v/>
      </c>
      <c r="T932">
        <f>HYPERLINK("https://klasma.github.io/Logging_2403/kartor/A 39628-2023 karta.png", "A 39628-2023")</f>
        <v/>
      </c>
      <c r="V932">
        <f>HYPERLINK("https://klasma.github.io/Logging_2403/klagomål/A 39628-2023 FSC-klagomål.docx", "A 39628-2023")</f>
        <v/>
      </c>
      <c r="W932">
        <f>HYPERLINK("https://klasma.github.io/Logging_2403/klagomålsmail/A 39628-2023 FSC-klagomål mail.docx", "A 39628-2023")</f>
        <v/>
      </c>
      <c r="X932">
        <f>HYPERLINK("https://klasma.github.io/Logging_2403/tillsyn/A 39628-2023 tillsynsbegäran.docx", "A 39628-2023")</f>
        <v/>
      </c>
      <c r="Y932">
        <f>HYPERLINK("https://klasma.github.io/Logging_2403/tillsynsmail/A 39628-2023 tillsynsbegäran mail.docx", "A 39628-2023")</f>
        <v/>
      </c>
    </row>
    <row r="933" ht="15" customHeight="1">
      <c r="A933" t="inlineStr">
        <is>
          <t>A 40526-2023</t>
        </is>
      </c>
      <c r="B933" s="1" t="n">
        <v>45170</v>
      </c>
      <c r="C933" s="1" t="n">
        <v>45357</v>
      </c>
      <c r="D933" t="inlineStr">
        <is>
          <t>VÄSTERBOTTENS LÄN</t>
        </is>
      </c>
      <c r="E933" t="inlineStr">
        <is>
          <t>LYCKSELE</t>
        </is>
      </c>
      <c r="F933" t="inlineStr">
        <is>
          <t>Sveaskog</t>
        </is>
      </c>
      <c r="G933" t="n">
        <v>27</v>
      </c>
      <c r="H933" t="n">
        <v>0</v>
      </c>
      <c r="I933" t="n">
        <v>1</v>
      </c>
      <c r="J933" t="n">
        <v>0</v>
      </c>
      <c r="K933" t="n">
        <v>0</v>
      </c>
      <c r="L933" t="n">
        <v>0</v>
      </c>
      <c r="M933" t="n">
        <v>0</v>
      </c>
      <c r="N933" t="n">
        <v>0</v>
      </c>
      <c r="O933" t="n">
        <v>0</v>
      </c>
      <c r="P933" t="n">
        <v>0</v>
      </c>
      <c r="Q933" t="n">
        <v>1</v>
      </c>
      <c r="R933" s="2" t="inlineStr">
        <is>
          <t>Dropptaggsvamp</t>
        </is>
      </c>
      <c r="S933">
        <f>HYPERLINK("https://klasma.github.io/Logging_2481/artfynd/A 40526-2023 artfynd.xlsx", "A 40526-2023")</f>
        <v/>
      </c>
      <c r="T933">
        <f>HYPERLINK("https://klasma.github.io/Logging_2481/kartor/A 40526-2023 karta.png", "A 40526-2023")</f>
        <v/>
      </c>
      <c r="V933">
        <f>HYPERLINK("https://klasma.github.io/Logging_2481/klagomål/A 40526-2023 FSC-klagomål.docx", "A 40526-2023")</f>
        <v/>
      </c>
      <c r="W933">
        <f>HYPERLINK("https://klasma.github.io/Logging_2481/klagomålsmail/A 40526-2023 FSC-klagomål mail.docx", "A 40526-2023")</f>
        <v/>
      </c>
      <c r="X933">
        <f>HYPERLINK("https://klasma.github.io/Logging_2481/tillsyn/A 40526-2023 tillsynsbegäran.docx", "A 40526-2023")</f>
        <v/>
      </c>
      <c r="Y933">
        <f>HYPERLINK("https://klasma.github.io/Logging_2481/tillsynsmail/A 40526-2023 tillsynsbegäran mail.docx", "A 40526-2023")</f>
        <v/>
      </c>
    </row>
    <row r="934" ht="15" customHeight="1">
      <c r="A934" t="inlineStr">
        <is>
          <t>A 40802-2023</t>
        </is>
      </c>
      <c r="B934" s="1" t="n">
        <v>45170</v>
      </c>
      <c r="C934" s="1" t="n">
        <v>45357</v>
      </c>
      <c r="D934" t="inlineStr">
        <is>
          <t>VÄSTERBOTTENS LÄN</t>
        </is>
      </c>
      <c r="E934" t="inlineStr">
        <is>
          <t>VINDELN</t>
        </is>
      </c>
      <c r="F934" t="inlineStr">
        <is>
          <t>SCA</t>
        </is>
      </c>
      <c r="G934" t="n">
        <v>5.1</v>
      </c>
      <c r="H934" t="n">
        <v>0</v>
      </c>
      <c r="I934" t="n">
        <v>0</v>
      </c>
      <c r="J934" t="n">
        <v>1</v>
      </c>
      <c r="K934" t="n">
        <v>0</v>
      </c>
      <c r="L934" t="n">
        <v>0</v>
      </c>
      <c r="M934" t="n">
        <v>0</v>
      </c>
      <c r="N934" t="n">
        <v>0</v>
      </c>
      <c r="O934" t="n">
        <v>1</v>
      </c>
      <c r="P934" t="n">
        <v>0</v>
      </c>
      <c r="Q934" t="n">
        <v>1</v>
      </c>
      <c r="R934" s="2" t="inlineStr">
        <is>
          <t>Blå taggsvamp</t>
        </is>
      </c>
      <c r="S934">
        <f>HYPERLINK("https://klasma.github.io/Logging_2404/artfynd/A 40802-2023 artfynd.xlsx", "A 40802-2023")</f>
        <v/>
      </c>
      <c r="T934">
        <f>HYPERLINK("https://klasma.github.io/Logging_2404/kartor/A 40802-2023 karta.png", "A 40802-2023")</f>
        <v/>
      </c>
      <c r="V934">
        <f>HYPERLINK("https://klasma.github.io/Logging_2404/klagomål/A 40802-2023 FSC-klagomål.docx", "A 40802-2023")</f>
        <v/>
      </c>
      <c r="W934">
        <f>HYPERLINK("https://klasma.github.io/Logging_2404/klagomålsmail/A 40802-2023 FSC-klagomål mail.docx", "A 40802-2023")</f>
        <v/>
      </c>
      <c r="X934">
        <f>HYPERLINK("https://klasma.github.io/Logging_2404/tillsyn/A 40802-2023 tillsynsbegäran.docx", "A 40802-2023")</f>
        <v/>
      </c>
      <c r="Y934">
        <f>HYPERLINK("https://klasma.github.io/Logging_2404/tillsynsmail/A 40802-2023 tillsynsbegäran mail.docx", "A 40802-2023")</f>
        <v/>
      </c>
    </row>
    <row r="935" ht="15" customHeight="1">
      <c r="A935" t="inlineStr">
        <is>
          <t>A 41087-2023</t>
        </is>
      </c>
      <c r="B935" s="1" t="n">
        <v>45173</v>
      </c>
      <c r="C935" s="1" t="n">
        <v>45357</v>
      </c>
      <c r="D935" t="inlineStr">
        <is>
          <t>VÄSTERBOTTENS LÄN</t>
        </is>
      </c>
      <c r="E935" t="inlineStr">
        <is>
          <t>SKELLEFTEÅ</t>
        </is>
      </c>
      <c r="F935" t="inlineStr">
        <is>
          <t>Holmen skog AB</t>
        </is>
      </c>
      <c r="G935" t="n">
        <v>10</v>
      </c>
      <c r="H935" t="n">
        <v>0</v>
      </c>
      <c r="I935" t="n">
        <v>0</v>
      </c>
      <c r="J935" t="n">
        <v>0</v>
      </c>
      <c r="K935" t="n">
        <v>0</v>
      </c>
      <c r="L935" t="n">
        <v>1</v>
      </c>
      <c r="M935" t="n">
        <v>0</v>
      </c>
      <c r="N935" t="n">
        <v>0</v>
      </c>
      <c r="O935" t="n">
        <v>1</v>
      </c>
      <c r="P935" t="n">
        <v>1</v>
      </c>
      <c r="Q935" t="n">
        <v>1</v>
      </c>
      <c r="R935" s="2" t="inlineStr">
        <is>
          <t>Flodpärlmussla</t>
        </is>
      </c>
      <c r="S935">
        <f>HYPERLINK("https://klasma.github.io/Logging_2482/artfynd/A 41087-2023 artfynd.xlsx", "A 41087-2023")</f>
        <v/>
      </c>
      <c r="T935">
        <f>HYPERLINK("https://klasma.github.io/Logging_2482/kartor/A 41087-2023 karta.png", "A 41087-2023")</f>
        <v/>
      </c>
      <c r="V935">
        <f>HYPERLINK("https://klasma.github.io/Logging_2482/klagomål/A 41087-2023 FSC-klagomål.docx", "A 41087-2023")</f>
        <v/>
      </c>
      <c r="W935">
        <f>HYPERLINK("https://klasma.github.io/Logging_2482/klagomålsmail/A 41087-2023 FSC-klagomål mail.docx", "A 41087-2023")</f>
        <v/>
      </c>
      <c r="X935">
        <f>HYPERLINK("https://klasma.github.io/Logging_2482/tillsyn/A 41087-2023 tillsynsbegäran.docx", "A 41087-2023")</f>
        <v/>
      </c>
      <c r="Y935">
        <f>HYPERLINK("https://klasma.github.io/Logging_2482/tillsynsmail/A 41087-2023 tillsynsbegäran mail.docx", "A 41087-2023")</f>
        <v/>
      </c>
    </row>
    <row r="936" ht="15" customHeight="1">
      <c r="A936" t="inlineStr">
        <is>
          <t>A 41055-2023</t>
        </is>
      </c>
      <c r="B936" s="1" t="n">
        <v>45173</v>
      </c>
      <c r="C936" s="1" t="n">
        <v>45357</v>
      </c>
      <c r="D936" t="inlineStr">
        <is>
          <t>VÄSTERBOTTENS LÄN</t>
        </is>
      </c>
      <c r="E936" t="inlineStr">
        <is>
          <t>SKELLEFTEÅ</t>
        </is>
      </c>
      <c r="F936" t="inlineStr">
        <is>
          <t>Holmen skog AB</t>
        </is>
      </c>
      <c r="G936" t="n">
        <v>4.4</v>
      </c>
      <c r="H936" t="n">
        <v>0</v>
      </c>
      <c r="I936" t="n">
        <v>0</v>
      </c>
      <c r="J936" t="n">
        <v>0</v>
      </c>
      <c r="K936" t="n">
        <v>0</v>
      </c>
      <c r="L936" t="n">
        <v>1</v>
      </c>
      <c r="M936" t="n">
        <v>0</v>
      </c>
      <c r="N936" t="n">
        <v>0</v>
      </c>
      <c r="O936" t="n">
        <v>1</v>
      </c>
      <c r="P936" t="n">
        <v>1</v>
      </c>
      <c r="Q936" t="n">
        <v>1</v>
      </c>
      <c r="R936" s="2" t="inlineStr">
        <is>
          <t>Flodpärlmussla</t>
        </is>
      </c>
      <c r="S936">
        <f>HYPERLINK("https://klasma.github.io/Logging_2482/artfynd/A 41055-2023 artfynd.xlsx", "A 41055-2023")</f>
        <v/>
      </c>
      <c r="T936">
        <f>HYPERLINK("https://klasma.github.io/Logging_2482/kartor/A 41055-2023 karta.png", "A 41055-2023")</f>
        <v/>
      </c>
      <c r="V936">
        <f>HYPERLINK("https://klasma.github.io/Logging_2482/klagomål/A 41055-2023 FSC-klagomål.docx", "A 41055-2023")</f>
        <v/>
      </c>
      <c r="W936">
        <f>HYPERLINK("https://klasma.github.io/Logging_2482/klagomålsmail/A 41055-2023 FSC-klagomål mail.docx", "A 41055-2023")</f>
        <v/>
      </c>
      <c r="X936">
        <f>HYPERLINK("https://klasma.github.io/Logging_2482/tillsyn/A 41055-2023 tillsynsbegäran.docx", "A 41055-2023")</f>
        <v/>
      </c>
      <c r="Y936">
        <f>HYPERLINK("https://klasma.github.io/Logging_2482/tillsynsmail/A 41055-2023 tillsynsbegäran mail.docx", "A 41055-2023")</f>
        <v/>
      </c>
    </row>
    <row r="937" ht="15" customHeight="1">
      <c r="A937" t="inlineStr">
        <is>
          <t>A 41432-2023</t>
        </is>
      </c>
      <c r="B937" s="1" t="n">
        <v>45175</v>
      </c>
      <c r="C937" s="1" t="n">
        <v>45357</v>
      </c>
      <c r="D937" t="inlineStr">
        <is>
          <t>VÄSTERBOTTENS LÄN</t>
        </is>
      </c>
      <c r="E937" t="inlineStr">
        <is>
          <t>LYCKSELE</t>
        </is>
      </c>
      <c r="F937" t="inlineStr">
        <is>
          <t>Sveaskog</t>
        </is>
      </c>
      <c r="G937" t="n">
        <v>3.4</v>
      </c>
      <c r="H937" t="n">
        <v>0</v>
      </c>
      <c r="I937" t="n">
        <v>1</v>
      </c>
      <c r="J937" t="n">
        <v>0</v>
      </c>
      <c r="K937" t="n">
        <v>0</v>
      </c>
      <c r="L937" t="n">
        <v>0</v>
      </c>
      <c r="M937" t="n">
        <v>0</v>
      </c>
      <c r="N937" t="n">
        <v>0</v>
      </c>
      <c r="O937" t="n">
        <v>0</v>
      </c>
      <c r="P937" t="n">
        <v>0</v>
      </c>
      <c r="Q937" t="n">
        <v>1</v>
      </c>
      <c r="R937" s="2" t="inlineStr">
        <is>
          <t>Dropptaggsvamp</t>
        </is>
      </c>
      <c r="S937">
        <f>HYPERLINK("https://klasma.github.io/Logging_2481/artfynd/A 41432-2023 artfynd.xlsx", "A 41432-2023")</f>
        <v/>
      </c>
      <c r="T937">
        <f>HYPERLINK("https://klasma.github.io/Logging_2481/kartor/A 41432-2023 karta.png", "A 41432-2023")</f>
        <v/>
      </c>
      <c r="V937">
        <f>HYPERLINK("https://klasma.github.io/Logging_2481/klagomål/A 41432-2023 FSC-klagomål.docx", "A 41432-2023")</f>
        <v/>
      </c>
      <c r="W937">
        <f>HYPERLINK("https://klasma.github.io/Logging_2481/klagomålsmail/A 41432-2023 FSC-klagomål mail.docx", "A 41432-2023")</f>
        <v/>
      </c>
      <c r="X937">
        <f>HYPERLINK("https://klasma.github.io/Logging_2481/tillsyn/A 41432-2023 tillsynsbegäran.docx", "A 41432-2023")</f>
        <v/>
      </c>
      <c r="Y937">
        <f>HYPERLINK("https://klasma.github.io/Logging_2481/tillsynsmail/A 41432-2023 tillsynsbegäran mail.docx", "A 41432-2023")</f>
        <v/>
      </c>
    </row>
    <row r="938" ht="15" customHeight="1">
      <c r="A938" t="inlineStr">
        <is>
          <t>A 41595-2023</t>
        </is>
      </c>
      <c r="B938" s="1" t="n">
        <v>45175</v>
      </c>
      <c r="C938" s="1" t="n">
        <v>45357</v>
      </c>
      <c r="D938" t="inlineStr">
        <is>
          <t>VÄSTERBOTTENS LÄN</t>
        </is>
      </c>
      <c r="E938" t="inlineStr">
        <is>
          <t>MALÅ</t>
        </is>
      </c>
      <c r="G938" t="n">
        <v>5.9</v>
      </c>
      <c r="H938" t="n">
        <v>1</v>
      </c>
      <c r="I938" t="n">
        <v>1</v>
      </c>
      <c r="J938" t="n">
        <v>0</v>
      </c>
      <c r="K938" t="n">
        <v>0</v>
      </c>
      <c r="L938" t="n">
        <v>0</v>
      </c>
      <c r="M938" t="n">
        <v>0</v>
      </c>
      <c r="N938" t="n">
        <v>0</v>
      </c>
      <c r="O938" t="n">
        <v>0</v>
      </c>
      <c r="P938" t="n">
        <v>0</v>
      </c>
      <c r="Q938" t="n">
        <v>1</v>
      </c>
      <c r="R938" s="2" t="inlineStr">
        <is>
          <t>Spindelblomster</t>
        </is>
      </c>
      <c r="S938">
        <f>HYPERLINK("https://klasma.github.io/Logging_2418/artfynd/A 41595-2023 artfynd.xlsx", "A 41595-2023")</f>
        <v/>
      </c>
      <c r="T938">
        <f>HYPERLINK("https://klasma.github.io/Logging_2418/kartor/A 41595-2023 karta.png", "A 41595-2023")</f>
        <v/>
      </c>
      <c r="V938">
        <f>HYPERLINK("https://klasma.github.io/Logging_2418/klagomål/A 41595-2023 FSC-klagomål.docx", "A 41595-2023")</f>
        <v/>
      </c>
      <c r="W938">
        <f>HYPERLINK("https://klasma.github.io/Logging_2418/klagomålsmail/A 41595-2023 FSC-klagomål mail.docx", "A 41595-2023")</f>
        <v/>
      </c>
      <c r="X938">
        <f>HYPERLINK("https://klasma.github.io/Logging_2418/tillsyn/A 41595-2023 tillsynsbegäran.docx", "A 41595-2023")</f>
        <v/>
      </c>
      <c r="Y938">
        <f>HYPERLINK("https://klasma.github.io/Logging_2418/tillsynsmail/A 41595-2023 tillsynsbegäran mail.docx", "A 41595-2023")</f>
        <v/>
      </c>
    </row>
    <row r="939" ht="15" customHeight="1">
      <c r="A939" t="inlineStr">
        <is>
          <t>A 41674-2023</t>
        </is>
      </c>
      <c r="B939" s="1" t="n">
        <v>45176</v>
      </c>
      <c r="C939" s="1" t="n">
        <v>45357</v>
      </c>
      <c r="D939" t="inlineStr">
        <is>
          <t>VÄSTERBOTTENS LÄN</t>
        </is>
      </c>
      <c r="E939" t="inlineStr">
        <is>
          <t>UMEÅ</t>
        </is>
      </c>
      <c r="F939" t="inlineStr">
        <is>
          <t>Holmen skog AB</t>
        </is>
      </c>
      <c r="G939" t="n">
        <v>4.1</v>
      </c>
      <c r="H939" t="n">
        <v>1</v>
      </c>
      <c r="I939" t="n">
        <v>0</v>
      </c>
      <c r="J939" t="n">
        <v>1</v>
      </c>
      <c r="K939" t="n">
        <v>0</v>
      </c>
      <c r="L939" t="n">
        <v>0</v>
      </c>
      <c r="M939" t="n">
        <v>0</v>
      </c>
      <c r="N939" t="n">
        <v>0</v>
      </c>
      <c r="O939" t="n">
        <v>1</v>
      </c>
      <c r="P939" t="n">
        <v>0</v>
      </c>
      <c r="Q939" t="n">
        <v>1</v>
      </c>
      <c r="R939" s="2" t="inlineStr">
        <is>
          <t>Nordfladdermus</t>
        </is>
      </c>
      <c r="S939">
        <f>HYPERLINK("https://klasma.github.io/Logging_2480/artfynd/A 41674-2023 artfynd.xlsx", "A 41674-2023")</f>
        <v/>
      </c>
      <c r="T939">
        <f>HYPERLINK("https://klasma.github.io/Logging_2480/kartor/A 41674-2023 karta.png", "A 41674-2023")</f>
        <v/>
      </c>
      <c r="V939">
        <f>HYPERLINK("https://klasma.github.io/Logging_2480/klagomål/A 41674-2023 FSC-klagomål.docx", "A 41674-2023")</f>
        <v/>
      </c>
      <c r="W939">
        <f>HYPERLINK("https://klasma.github.io/Logging_2480/klagomålsmail/A 41674-2023 FSC-klagomål mail.docx", "A 41674-2023")</f>
        <v/>
      </c>
      <c r="X939">
        <f>HYPERLINK("https://klasma.github.io/Logging_2480/tillsyn/A 41674-2023 tillsynsbegäran.docx", "A 41674-2023")</f>
        <v/>
      </c>
      <c r="Y939">
        <f>HYPERLINK("https://klasma.github.io/Logging_2480/tillsynsmail/A 41674-2023 tillsynsbegäran mail.docx", "A 41674-2023")</f>
        <v/>
      </c>
    </row>
    <row r="940" ht="15" customHeight="1">
      <c r="A940" t="inlineStr">
        <is>
          <t>A 41840-2023</t>
        </is>
      </c>
      <c r="B940" s="1" t="n">
        <v>45176</v>
      </c>
      <c r="C940" s="1" t="n">
        <v>45357</v>
      </c>
      <c r="D940" t="inlineStr">
        <is>
          <t>VÄSTERBOTTENS LÄN</t>
        </is>
      </c>
      <c r="E940" t="inlineStr">
        <is>
          <t>MALÅ</t>
        </is>
      </c>
      <c r="F940" t="inlineStr">
        <is>
          <t>Sveaskog</t>
        </is>
      </c>
      <c r="G940" t="n">
        <v>15.9</v>
      </c>
      <c r="H940" t="n">
        <v>0</v>
      </c>
      <c r="I940" t="n">
        <v>1</v>
      </c>
      <c r="J940" t="n">
        <v>0</v>
      </c>
      <c r="K940" t="n">
        <v>0</v>
      </c>
      <c r="L940" t="n">
        <v>0</v>
      </c>
      <c r="M940" t="n">
        <v>0</v>
      </c>
      <c r="N940" t="n">
        <v>0</v>
      </c>
      <c r="O940" t="n">
        <v>0</v>
      </c>
      <c r="P940" t="n">
        <v>0</v>
      </c>
      <c r="Q940" t="n">
        <v>1</v>
      </c>
      <c r="R940" s="2" t="inlineStr">
        <is>
          <t>Robust tickgnagare</t>
        </is>
      </c>
      <c r="S940">
        <f>HYPERLINK("https://klasma.github.io/Logging_2418/artfynd/A 41840-2023 artfynd.xlsx", "A 41840-2023")</f>
        <v/>
      </c>
      <c r="T940">
        <f>HYPERLINK("https://klasma.github.io/Logging_2418/kartor/A 41840-2023 karta.png", "A 41840-2023")</f>
        <v/>
      </c>
      <c r="V940">
        <f>HYPERLINK("https://klasma.github.io/Logging_2418/klagomål/A 41840-2023 FSC-klagomål.docx", "A 41840-2023")</f>
        <v/>
      </c>
      <c r="W940">
        <f>HYPERLINK("https://klasma.github.io/Logging_2418/klagomålsmail/A 41840-2023 FSC-klagomål mail.docx", "A 41840-2023")</f>
        <v/>
      </c>
      <c r="X940">
        <f>HYPERLINK("https://klasma.github.io/Logging_2418/tillsyn/A 41840-2023 tillsynsbegäran.docx", "A 41840-2023")</f>
        <v/>
      </c>
      <c r="Y940">
        <f>HYPERLINK("https://klasma.github.io/Logging_2418/tillsynsmail/A 41840-2023 tillsynsbegäran mail.docx", "A 41840-2023")</f>
        <v/>
      </c>
    </row>
    <row r="941" ht="15" customHeight="1">
      <c r="A941" t="inlineStr">
        <is>
          <t>A 43098-2023</t>
        </is>
      </c>
      <c r="B941" s="1" t="n">
        <v>45182</v>
      </c>
      <c r="C941" s="1" t="n">
        <v>45357</v>
      </c>
      <c r="D941" t="inlineStr">
        <is>
          <t>VÄSTERBOTTENS LÄN</t>
        </is>
      </c>
      <c r="E941" t="inlineStr">
        <is>
          <t>ROBERTSFORS</t>
        </is>
      </c>
      <c r="G941" t="n">
        <v>3.1</v>
      </c>
      <c r="H941" t="n">
        <v>1</v>
      </c>
      <c r="I941" t="n">
        <v>0</v>
      </c>
      <c r="J941" t="n">
        <v>1</v>
      </c>
      <c r="K941" t="n">
        <v>0</v>
      </c>
      <c r="L941" t="n">
        <v>0</v>
      </c>
      <c r="M941" t="n">
        <v>0</v>
      </c>
      <c r="N941" t="n">
        <v>0</v>
      </c>
      <c r="O941" t="n">
        <v>1</v>
      </c>
      <c r="P941" t="n">
        <v>0</v>
      </c>
      <c r="Q941" t="n">
        <v>1</v>
      </c>
      <c r="R941" s="2" t="inlineStr">
        <is>
          <t>Talltita</t>
        </is>
      </c>
      <c r="S941">
        <f>HYPERLINK("https://klasma.github.io/Logging_2409/artfynd/A 43098-2023 artfynd.xlsx", "A 43098-2023")</f>
        <v/>
      </c>
      <c r="T941">
        <f>HYPERLINK("https://klasma.github.io/Logging_2409/kartor/A 43098-2023 karta.png", "A 43098-2023")</f>
        <v/>
      </c>
      <c r="V941">
        <f>HYPERLINK("https://klasma.github.io/Logging_2409/klagomål/A 43098-2023 FSC-klagomål.docx", "A 43098-2023")</f>
        <v/>
      </c>
      <c r="W941">
        <f>HYPERLINK("https://klasma.github.io/Logging_2409/klagomålsmail/A 43098-2023 FSC-klagomål mail.docx", "A 43098-2023")</f>
        <v/>
      </c>
      <c r="X941">
        <f>HYPERLINK("https://klasma.github.io/Logging_2409/tillsyn/A 43098-2023 tillsynsbegäran.docx", "A 43098-2023")</f>
        <v/>
      </c>
      <c r="Y941">
        <f>HYPERLINK("https://klasma.github.io/Logging_2409/tillsynsmail/A 43098-2023 tillsynsbegäran mail.docx", "A 43098-2023")</f>
        <v/>
      </c>
      <c r="Z941">
        <f>HYPERLINK("https://klasma.github.io/Logging_2409/fåglar/A 43098-2023 prioriterade fågelarter.docx", "A 43098-2023")</f>
        <v/>
      </c>
    </row>
    <row r="942" ht="15" customHeight="1">
      <c r="A942" t="inlineStr">
        <is>
          <t>A 42891-2023</t>
        </is>
      </c>
      <c r="B942" s="1" t="n">
        <v>45182</v>
      </c>
      <c r="C942" s="1" t="n">
        <v>45357</v>
      </c>
      <c r="D942" t="inlineStr">
        <is>
          <t>VÄSTERBOTTENS LÄN</t>
        </is>
      </c>
      <c r="E942" t="inlineStr">
        <is>
          <t>ROBERTSFORS</t>
        </is>
      </c>
      <c r="F942" t="inlineStr">
        <is>
          <t>Holmen skog AB</t>
        </is>
      </c>
      <c r="G942" t="n">
        <v>3.8</v>
      </c>
      <c r="H942" t="n">
        <v>0</v>
      </c>
      <c r="I942" t="n">
        <v>0</v>
      </c>
      <c r="J942" t="n">
        <v>1</v>
      </c>
      <c r="K942" t="n">
        <v>0</v>
      </c>
      <c r="L942" t="n">
        <v>0</v>
      </c>
      <c r="M942" t="n">
        <v>0</v>
      </c>
      <c r="N942" t="n">
        <v>0</v>
      </c>
      <c r="O942" t="n">
        <v>1</v>
      </c>
      <c r="P942" t="n">
        <v>0</v>
      </c>
      <c r="Q942" t="n">
        <v>1</v>
      </c>
      <c r="R942" s="2" t="inlineStr">
        <is>
          <t>Garnlav</t>
        </is>
      </c>
      <c r="S942">
        <f>HYPERLINK("https://klasma.github.io/Logging_2409/artfynd/A 42891-2023 artfynd.xlsx", "A 42891-2023")</f>
        <v/>
      </c>
      <c r="T942">
        <f>HYPERLINK("https://klasma.github.io/Logging_2409/kartor/A 42891-2023 karta.png", "A 42891-2023")</f>
        <v/>
      </c>
      <c r="V942">
        <f>HYPERLINK("https://klasma.github.io/Logging_2409/klagomål/A 42891-2023 FSC-klagomål.docx", "A 42891-2023")</f>
        <v/>
      </c>
      <c r="W942">
        <f>HYPERLINK("https://klasma.github.io/Logging_2409/klagomålsmail/A 42891-2023 FSC-klagomål mail.docx", "A 42891-2023")</f>
        <v/>
      </c>
      <c r="X942">
        <f>HYPERLINK("https://klasma.github.io/Logging_2409/tillsyn/A 42891-2023 tillsynsbegäran.docx", "A 42891-2023")</f>
        <v/>
      </c>
      <c r="Y942">
        <f>HYPERLINK("https://klasma.github.io/Logging_2409/tillsynsmail/A 42891-2023 tillsynsbegäran mail.docx", "A 42891-2023")</f>
        <v/>
      </c>
    </row>
    <row r="943" ht="15" customHeight="1">
      <c r="A943" t="inlineStr">
        <is>
          <t>A 43097-2023</t>
        </is>
      </c>
      <c r="B943" s="1" t="n">
        <v>45182</v>
      </c>
      <c r="C943" s="1" t="n">
        <v>45357</v>
      </c>
      <c r="D943" t="inlineStr">
        <is>
          <t>VÄSTERBOTTENS LÄN</t>
        </is>
      </c>
      <c r="E943" t="inlineStr">
        <is>
          <t>ROBERTSFORS</t>
        </is>
      </c>
      <c r="G943" t="n">
        <v>3</v>
      </c>
      <c r="H943" t="n">
        <v>1</v>
      </c>
      <c r="I943" t="n">
        <v>0</v>
      </c>
      <c r="J943" t="n">
        <v>1</v>
      </c>
      <c r="K943" t="n">
        <v>0</v>
      </c>
      <c r="L943" t="n">
        <v>0</v>
      </c>
      <c r="M943" t="n">
        <v>0</v>
      </c>
      <c r="N943" t="n">
        <v>0</v>
      </c>
      <c r="O943" t="n">
        <v>1</v>
      </c>
      <c r="P943" t="n">
        <v>0</v>
      </c>
      <c r="Q943" t="n">
        <v>1</v>
      </c>
      <c r="R943" s="2" t="inlineStr">
        <is>
          <t>Talltita</t>
        </is>
      </c>
      <c r="S943">
        <f>HYPERLINK("https://klasma.github.io/Logging_2409/artfynd/A 43097-2023 artfynd.xlsx", "A 43097-2023")</f>
        <v/>
      </c>
      <c r="T943">
        <f>HYPERLINK("https://klasma.github.io/Logging_2409/kartor/A 43097-2023 karta.png", "A 43097-2023")</f>
        <v/>
      </c>
      <c r="V943">
        <f>HYPERLINK("https://klasma.github.io/Logging_2409/klagomål/A 43097-2023 FSC-klagomål.docx", "A 43097-2023")</f>
        <v/>
      </c>
      <c r="W943">
        <f>HYPERLINK("https://klasma.github.io/Logging_2409/klagomålsmail/A 43097-2023 FSC-klagomål mail.docx", "A 43097-2023")</f>
        <v/>
      </c>
      <c r="X943">
        <f>HYPERLINK("https://klasma.github.io/Logging_2409/tillsyn/A 43097-2023 tillsynsbegäran.docx", "A 43097-2023")</f>
        <v/>
      </c>
      <c r="Y943">
        <f>HYPERLINK("https://klasma.github.io/Logging_2409/tillsynsmail/A 43097-2023 tillsynsbegäran mail.docx", "A 43097-2023")</f>
        <v/>
      </c>
      <c r="Z943">
        <f>HYPERLINK("https://klasma.github.io/Logging_2409/fåglar/A 43097-2023 prioriterade fågelarter.docx", "A 43097-2023")</f>
        <v/>
      </c>
    </row>
    <row r="944" ht="15" customHeight="1">
      <c r="A944" t="inlineStr">
        <is>
          <t>A 43619-2023</t>
        </is>
      </c>
      <c r="B944" s="1" t="n">
        <v>45184</v>
      </c>
      <c r="C944" s="1" t="n">
        <v>45357</v>
      </c>
      <c r="D944" t="inlineStr">
        <is>
          <t>VÄSTERBOTTENS LÄN</t>
        </is>
      </c>
      <c r="E944" t="inlineStr">
        <is>
          <t>LYCKSELE</t>
        </is>
      </c>
      <c r="F944" t="inlineStr">
        <is>
          <t>Sveaskog</t>
        </is>
      </c>
      <c r="G944" t="n">
        <v>6.6</v>
      </c>
      <c r="H944" t="n">
        <v>0</v>
      </c>
      <c r="I944" t="n">
        <v>0</v>
      </c>
      <c r="J944" t="n">
        <v>1</v>
      </c>
      <c r="K944" t="n">
        <v>0</v>
      </c>
      <c r="L944" t="n">
        <v>0</v>
      </c>
      <c r="M944" t="n">
        <v>0</v>
      </c>
      <c r="N944" t="n">
        <v>0</v>
      </c>
      <c r="O944" t="n">
        <v>1</v>
      </c>
      <c r="P944" t="n">
        <v>0</v>
      </c>
      <c r="Q944" t="n">
        <v>1</v>
      </c>
      <c r="R944" s="2" t="inlineStr">
        <is>
          <t>Lunglav</t>
        </is>
      </c>
      <c r="S944">
        <f>HYPERLINK("https://klasma.github.io/Logging_2481/artfynd/A 43619-2023 artfynd.xlsx", "A 43619-2023")</f>
        <v/>
      </c>
      <c r="T944">
        <f>HYPERLINK("https://klasma.github.io/Logging_2481/kartor/A 43619-2023 karta.png", "A 43619-2023")</f>
        <v/>
      </c>
      <c r="V944">
        <f>HYPERLINK("https://klasma.github.io/Logging_2481/klagomål/A 43619-2023 FSC-klagomål.docx", "A 43619-2023")</f>
        <v/>
      </c>
      <c r="W944">
        <f>HYPERLINK("https://klasma.github.io/Logging_2481/klagomålsmail/A 43619-2023 FSC-klagomål mail.docx", "A 43619-2023")</f>
        <v/>
      </c>
      <c r="X944">
        <f>HYPERLINK("https://klasma.github.io/Logging_2481/tillsyn/A 43619-2023 tillsynsbegäran.docx", "A 43619-2023")</f>
        <v/>
      </c>
      <c r="Y944">
        <f>HYPERLINK("https://klasma.github.io/Logging_2481/tillsynsmail/A 43619-2023 tillsynsbegäran mail.docx", "A 43619-2023")</f>
        <v/>
      </c>
    </row>
    <row r="945" ht="15" customHeight="1">
      <c r="A945" t="inlineStr">
        <is>
          <t>A 43616-2023</t>
        </is>
      </c>
      <c r="B945" s="1" t="n">
        <v>45184</v>
      </c>
      <c r="C945" s="1" t="n">
        <v>45357</v>
      </c>
      <c r="D945" t="inlineStr">
        <is>
          <t>VÄSTERBOTTENS LÄN</t>
        </is>
      </c>
      <c r="E945" t="inlineStr">
        <is>
          <t>LYCKSELE</t>
        </is>
      </c>
      <c r="F945" t="inlineStr">
        <is>
          <t>Sveaskog</t>
        </is>
      </c>
      <c r="G945" t="n">
        <v>10.2</v>
      </c>
      <c r="H945" t="n">
        <v>0</v>
      </c>
      <c r="I945" t="n">
        <v>0</v>
      </c>
      <c r="J945" t="n">
        <v>1</v>
      </c>
      <c r="K945" t="n">
        <v>0</v>
      </c>
      <c r="L945" t="n">
        <v>0</v>
      </c>
      <c r="M945" t="n">
        <v>0</v>
      </c>
      <c r="N945" t="n">
        <v>0</v>
      </c>
      <c r="O945" t="n">
        <v>1</v>
      </c>
      <c r="P945" t="n">
        <v>0</v>
      </c>
      <c r="Q945" t="n">
        <v>1</v>
      </c>
      <c r="R945" s="2" t="inlineStr">
        <is>
          <t>Kolflarnlav</t>
        </is>
      </c>
      <c r="S945">
        <f>HYPERLINK("https://klasma.github.io/Logging_2481/artfynd/A 43616-2023 artfynd.xlsx", "A 43616-2023")</f>
        <v/>
      </c>
      <c r="T945">
        <f>HYPERLINK("https://klasma.github.io/Logging_2481/kartor/A 43616-2023 karta.png", "A 43616-2023")</f>
        <v/>
      </c>
      <c r="V945">
        <f>HYPERLINK("https://klasma.github.io/Logging_2481/klagomål/A 43616-2023 FSC-klagomål.docx", "A 43616-2023")</f>
        <v/>
      </c>
      <c r="W945">
        <f>HYPERLINK("https://klasma.github.io/Logging_2481/klagomålsmail/A 43616-2023 FSC-klagomål mail.docx", "A 43616-2023")</f>
        <v/>
      </c>
      <c r="X945">
        <f>HYPERLINK("https://klasma.github.io/Logging_2481/tillsyn/A 43616-2023 tillsynsbegäran.docx", "A 43616-2023")</f>
        <v/>
      </c>
      <c r="Y945">
        <f>HYPERLINK("https://klasma.github.io/Logging_2481/tillsynsmail/A 43616-2023 tillsynsbegäran mail.docx", "A 43616-2023")</f>
        <v/>
      </c>
    </row>
    <row r="946" ht="15" customHeight="1">
      <c r="A946" t="inlineStr">
        <is>
          <t>A 44194-2023</t>
        </is>
      </c>
      <c r="B946" s="1" t="n">
        <v>45188</v>
      </c>
      <c r="C946" s="1" t="n">
        <v>45357</v>
      </c>
      <c r="D946" t="inlineStr">
        <is>
          <t>VÄSTERBOTTENS LÄN</t>
        </is>
      </c>
      <c r="E946" t="inlineStr">
        <is>
          <t>LYCKSELE</t>
        </is>
      </c>
      <c r="F946" t="inlineStr">
        <is>
          <t>Sveaskog</t>
        </is>
      </c>
      <c r="G946" t="n">
        <v>12.5</v>
      </c>
      <c r="H946" t="n">
        <v>0</v>
      </c>
      <c r="I946" t="n">
        <v>0</v>
      </c>
      <c r="J946" t="n">
        <v>1</v>
      </c>
      <c r="K946" t="n">
        <v>0</v>
      </c>
      <c r="L946" t="n">
        <v>0</v>
      </c>
      <c r="M946" t="n">
        <v>0</v>
      </c>
      <c r="N946" t="n">
        <v>0</v>
      </c>
      <c r="O946" t="n">
        <v>1</v>
      </c>
      <c r="P946" t="n">
        <v>0</v>
      </c>
      <c r="Q946" t="n">
        <v>1</v>
      </c>
      <c r="R946" s="2" t="inlineStr">
        <is>
          <t>Kolflarnlav</t>
        </is>
      </c>
      <c r="S946">
        <f>HYPERLINK("https://klasma.github.io/Logging_2481/artfynd/A 44194-2023 artfynd.xlsx", "A 44194-2023")</f>
        <v/>
      </c>
      <c r="T946">
        <f>HYPERLINK("https://klasma.github.io/Logging_2481/kartor/A 44194-2023 karta.png", "A 44194-2023")</f>
        <v/>
      </c>
      <c r="V946">
        <f>HYPERLINK("https://klasma.github.io/Logging_2481/klagomål/A 44194-2023 FSC-klagomål.docx", "A 44194-2023")</f>
        <v/>
      </c>
      <c r="W946">
        <f>HYPERLINK("https://klasma.github.io/Logging_2481/klagomålsmail/A 44194-2023 FSC-klagomål mail.docx", "A 44194-2023")</f>
        <v/>
      </c>
      <c r="X946">
        <f>HYPERLINK("https://klasma.github.io/Logging_2481/tillsyn/A 44194-2023 tillsynsbegäran.docx", "A 44194-2023")</f>
        <v/>
      </c>
      <c r="Y946">
        <f>HYPERLINK("https://klasma.github.io/Logging_2481/tillsynsmail/A 44194-2023 tillsynsbegäran mail.docx", "A 44194-2023")</f>
        <v/>
      </c>
    </row>
    <row r="947" ht="15" customHeight="1">
      <c r="A947" t="inlineStr">
        <is>
          <t>A 44521-2023</t>
        </is>
      </c>
      <c r="B947" s="1" t="n">
        <v>45189</v>
      </c>
      <c r="C947" s="1" t="n">
        <v>45357</v>
      </c>
      <c r="D947" t="inlineStr">
        <is>
          <t>VÄSTERBOTTENS LÄN</t>
        </is>
      </c>
      <c r="E947" t="inlineStr">
        <is>
          <t>UMEÅ</t>
        </is>
      </c>
      <c r="F947" t="inlineStr">
        <is>
          <t>Holmen skog AB</t>
        </is>
      </c>
      <c r="G947" t="n">
        <v>6.7</v>
      </c>
      <c r="H947" t="n">
        <v>1</v>
      </c>
      <c r="I947" t="n">
        <v>0</v>
      </c>
      <c r="J947" t="n">
        <v>1</v>
      </c>
      <c r="K947" t="n">
        <v>0</v>
      </c>
      <c r="L947" t="n">
        <v>0</v>
      </c>
      <c r="M947" t="n">
        <v>0</v>
      </c>
      <c r="N947" t="n">
        <v>0</v>
      </c>
      <c r="O947" t="n">
        <v>1</v>
      </c>
      <c r="P947" t="n">
        <v>0</v>
      </c>
      <c r="Q947" t="n">
        <v>1</v>
      </c>
      <c r="R947" s="2" t="inlineStr">
        <is>
          <t>Talltita</t>
        </is>
      </c>
      <c r="S947">
        <f>HYPERLINK("https://klasma.github.io/Logging_2480/artfynd/A 44521-2023 artfynd.xlsx", "A 44521-2023")</f>
        <v/>
      </c>
      <c r="T947">
        <f>HYPERLINK("https://klasma.github.io/Logging_2480/kartor/A 44521-2023 karta.png", "A 44521-2023")</f>
        <v/>
      </c>
      <c r="V947">
        <f>HYPERLINK("https://klasma.github.io/Logging_2480/klagomål/A 44521-2023 FSC-klagomål.docx", "A 44521-2023")</f>
        <v/>
      </c>
      <c r="W947">
        <f>HYPERLINK("https://klasma.github.io/Logging_2480/klagomålsmail/A 44521-2023 FSC-klagomål mail.docx", "A 44521-2023")</f>
        <v/>
      </c>
      <c r="X947">
        <f>HYPERLINK("https://klasma.github.io/Logging_2480/tillsyn/A 44521-2023 tillsynsbegäran.docx", "A 44521-2023")</f>
        <v/>
      </c>
      <c r="Y947">
        <f>HYPERLINK("https://klasma.github.io/Logging_2480/tillsynsmail/A 44521-2023 tillsynsbegäran mail.docx", "A 44521-2023")</f>
        <v/>
      </c>
      <c r="Z947">
        <f>HYPERLINK("https://klasma.github.io/Logging_2480/fåglar/A 44521-2023 prioriterade fågelarter.docx", "A 44521-2023")</f>
        <v/>
      </c>
    </row>
    <row r="948" ht="15" customHeight="1">
      <c r="A948" t="inlineStr">
        <is>
          <t>A 44773-2023</t>
        </is>
      </c>
      <c r="B948" s="1" t="n">
        <v>45190</v>
      </c>
      <c r="C948" s="1" t="n">
        <v>45357</v>
      </c>
      <c r="D948" t="inlineStr">
        <is>
          <t>VÄSTERBOTTENS LÄN</t>
        </is>
      </c>
      <c r="E948" t="inlineStr">
        <is>
          <t>BJURHOLM</t>
        </is>
      </c>
      <c r="F948" t="inlineStr">
        <is>
          <t>Sveaskog</t>
        </is>
      </c>
      <c r="G948" t="n">
        <v>48.5</v>
      </c>
      <c r="H948" t="n">
        <v>0</v>
      </c>
      <c r="I948" t="n">
        <v>0</v>
      </c>
      <c r="J948" t="n">
        <v>1</v>
      </c>
      <c r="K948" t="n">
        <v>0</v>
      </c>
      <c r="L948" t="n">
        <v>0</v>
      </c>
      <c r="M948" t="n">
        <v>0</v>
      </c>
      <c r="N948" t="n">
        <v>0</v>
      </c>
      <c r="O948" t="n">
        <v>1</v>
      </c>
      <c r="P948" t="n">
        <v>0</v>
      </c>
      <c r="Q948" t="n">
        <v>1</v>
      </c>
      <c r="R948" s="2" t="inlineStr">
        <is>
          <t>Ullticka</t>
        </is>
      </c>
      <c r="S948">
        <f>HYPERLINK("https://klasma.github.io/Logging_2403/artfynd/A 44773-2023 artfynd.xlsx", "A 44773-2023")</f>
        <v/>
      </c>
      <c r="T948">
        <f>HYPERLINK("https://klasma.github.io/Logging_2403/kartor/A 44773-2023 karta.png", "A 44773-2023")</f>
        <v/>
      </c>
      <c r="V948">
        <f>HYPERLINK("https://klasma.github.io/Logging_2403/klagomål/A 44773-2023 FSC-klagomål.docx", "A 44773-2023")</f>
        <v/>
      </c>
      <c r="W948">
        <f>HYPERLINK("https://klasma.github.io/Logging_2403/klagomålsmail/A 44773-2023 FSC-klagomål mail.docx", "A 44773-2023")</f>
        <v/>
      </c>
      <c r="X948">
        <f>HYPERLINK("https://klasma.github.io/Logging_2403/tillsyn/A 44773-2023 tillsynsbegäran.docx", "A 44773-2023")</f>
        <v/>
      </c>
      <c r="Y948">
        <f>HYPERLINK("https://klasma.github.io/Logging_2403/tillsynsmail/A 44773-2023 tillsynsbegäran mail.docx", "A 44773-2023")</f>
        <v/>
      </c>
    </row>
    <row r="949" ht="15" customHeight="1">
      <c r="A949" t="inlineStr">
        <is>
          <t>A 44963-2023</t>
        </is>
      </c>
      <c r="B949" s="1" t="n">
        <v>45190</v>
      </c>
      <c r="C949" s="1" t="n">
        <v>45357</v>
      </c>
      <c r="D949" t="inlineStr">
        <is>
          <t>VÄSTERBOTTENS LÄN</t>
        </is>
      </c>
      <c r="E949" t="inlineStr">
        <is>
          <t>NORDMALING</t>
        </is>
      </c>
      <c r="G949" t="n">
        <v>1.7</v>
      </c>
      <c r="H949" t="n">
        <v>0</v>
      </c>
      <c r="I949" t="n">
        <v>0</v>
      </c>
      <c r="J949" t="n">
        <v>1</v>
      </c>
      <c r="K949" t="n">
        <v>0</v>
      </c>
      <c r="L949" t="n">
        <v>0</v>
      </c>
      <c r="M949" t="n">
        <v>0</v>
      </c>
      <c r="N949" t="n">
        <v>0</v>
      </c>
      <c r="O949" t="n">
        <v>1</v>
      </c>
      <c r="P949" t="n">
        <v>0</v>
      </c>
      <c r="Q949" t="n">
        <v>1</v>
      </c>
      <c r="R949" s="2" t="inlineStr">
        <is>
          <t>Violettgrå tagellav</t>
        </is>
      </c>
      <c r="S949">
        <f>HYPERLINK("https://klasma.github.io/Logging_2401/artfynd/A 44963-2023 artfynd.xlsx", "A 44963-2023")</f>
        <v/>
      </c>
      <c r="T949">
        <f>HYPERLINK("https://klasma.github.io/Logging_2401/kartor/A 44963-2023 karta.png", "A 44963-2023")</f>
        <v/>
      </c>
      <c r="V949">
        <f>HYPERLINK("https://klasma.github.io/Logging_2401/klagomål/A 44963-2023 FSC-klagomål.docx", "A 44963-2023")</f>
        <v/>
      </c>
      <c r="W949">
        <f>HYPERLINK("https://klasma.github.io/Logging_2401/klagomålsmail/A 44963-2023 FSC-klagomål mail.docx", "A 44963-2023")</f>
        <v/>
      </c>
      <c r="X949">
        <f>HYPERLINK("https://klasma.github.io/Logging_2401/tillsyn/A 44963-2023 tillsynsbegäran.docx", "A 44963-2023")</f>
        <v/>
      </c>
      <c r="Y949">
        <f>HYPERLINK("https://klasma.github.io/Logging_2401/tillsynsmail/A 44963-2023 tillsynsbegäran mail.docx", "A 44963-2023")</f>
        <v/>
      </c>
    </row>
    <row r="950" ht="15" customHeight="1">
      <c r="A950" t="inlineStr">
        <is>
          <t>A 44961-2023</t>
        </is>
      </c>
      <c r="B950" s="1" t="n">
        <v>45190</v>
      </c>
      <c r="C950" s="1" t="n">
        <v>45357</v>
      </c>
      <c r="D950" t="inlineStr">
        <is>
          <t>VÄSTERBOTTENS LÄN</t>
        </is>
      </c>
      <c r="E950" t="inlineStr">
        <is>
          <t>VINDELN</t>
        </is>
      </c>
      <c r="F950" t="inlineStr">
        <is>
          <t>Sveaskog</t>
        </is>
      </c>
      <c r="G950" t="n">
        <v>11.1</v>
      </c>
      <c r="H950" t="n">
        <v>0</v>
      </c>
      <c r="I950" t="n">
        <v>0</v>
      </c>
      <c r="J950" t="n">
        <v>1</v>
      </c>
      <c r="K950" t="n">
        <v>0</v>
      </c>
      <c r="L950" t="n">
        <v>0</v>
      </c>
      <c r="M950" t="n">
        <v>0</v>
      </c>
      <c r="N950" t="n">
        <v>0</v>
      </c>
      <c r="O950" t="n">
        <v>1</v>
      </c>
      <c r="P950" t="n">
        <v>0</v>
      </c>
      <c r="Q950" t="n">
        <v>1</v>
      </c>
      <c r="R950" s="2" t="inlineStr">
        <is>
          <t>Lunglav</t>
        </is>
      </c>
      <c r="S950">
        <f>HYPERLINK("https://klasma.github.io/Logging_2404/artfynd/A 44961-2023 artfynd.xlsx", "A 44961-2023")</f>
        <v/>
      </c>
      <c r="T950">
        <f>HYPERLINK("https://klasma.github.io/Logging_2404/kartor/A 44961-2023 karta.png", "A 44961-2023")</f>
        <v/>
      </c>
      <c r="V950">
        <f>HYPERLINK("https://klasma.github.io/Logging_2404/klagomål/A 44961-2023 FSC-klagomål.docx", "A 44961-2023")</f>
        <v/>
      </c>
      <c r="W950">
        <f>HYPERLINK("https://klasma.github.io/Logging_2404/klagomålsmail/A 44961-2023 FSC-klagomål mail.docx", "A 44961-2023")</f>
        <v/>
      </c>
      <c r="X950">
        <f>HYPERLINK("https://klasma.github.io/Logging_2404/tillsyn/A 44961-2023 tillsynsbegäran.docx", "A 44961-2023")</f>
        <v/>
      </c>
      <c r="Y950">
        <f>HYPERLINK("https://klasma.github.io/Logging_2404/tillsynsmail/A 44961-2023 tillsynsbegäran mail.docx", "A 44961-2023")</f>
        <v/>
      </c>
    </row>
    <row r="951" ht="15" customHeight="1">
      <c r="A951" t="inlineStr">
        <is>
          <t>A 46114-2023</t>
        </is>
      </c>
      <c r="B951" s="1" t="n">
        <v>45196</v>
      </c>
      <c r="C951" s="1" t="n">
        <v>45357</v>
      </c>
      <c r="D951" t="inlineStr">
        <is>
          <t>VÄSTERBOTTENS LÄN</t>
        </is>
      </c>
      <c r="E951" t="inlineStr">
        <is>
          <t>LYCKSELE</t>
        </is>
      </c>
      <c r="F951" t="inlineStr">
        <is>
          <t>Sveaskog</t>
        </is>
      </c>
      <c r="G951" t="n">
        <v>15</v>
      </c>
      <c r="H951" t="n">
        <v>0</v>
      </c>
      <c r="I951" t="n">
        <v>1</v>
      </c>
      <c r="J951" t="n">
        <v>0</v>
      </c>
      <c r="K951" t="n">
        <v>0</v>
      </c>
      <c r="L951" t="n">
        <v>0</v>
      </c>
      <c r="M951" t="n">
        <v>0</v>
      </c>
      <c r="N951" t="n">
        <v>0</v>
      </c>
      <c r="O951" t="n">
        <v>0</v>
      </c>
      <c r="P951" t="n">
        <v>0</v>
      </c>
      <c r="Q951" t="n">
        <v>1</v>
      </c>
      <c r="R951" s="2" t="inlineStr">
        <is>
          <t>Dropptaggsvamp</t>
        </is>
      </c>
      <c r="S951">
        <f>HYPERLINK("https://klasma.github.io/Logging_2481/artfynd/A 46114-2023 artfynd.xlsx", "A 46114-2023")</f>
        <v/>
      </c>
      <c r="T951">
        <f>HYPERLINK("https://klasma.github.io/Logging_2481/kartor/A 46114-2023 karta.png", "A 46114-2023")</f>
        <v/>
      </c>
      <c r="V951">
        <f>HYPERLINK("https://klasma.github.io/Logging_2481/klagomål/A 46114-2023 FSC-klagomål.docx", "A 46114-2023")</f>
        <v/>
      </c>
      <c r="W951">
        <f>HYPERLINK("https://klasma.github.io/Logging_2481/klagomålsmail/A 46114-2023 FSC-klagomål mail.docx", "A 46114-2023")</f>
        <v/>
      </c>
      <c r="X951">
        <f>HYPERLINK("https://klasma.github.io/Logging_2481/tillsyn/A 46114-2023 tillsynsbegäran.docx", "A 46114-2023")</f>
        <v/>
      </c>
      <c r="Y951">
        <f>HYPERLINK("https://klasma.github.io/Logging_2481/tillsynsmail/A 46114-2023 tillsynsbegäran mail.docx", "A 46114-2023")</f>
        <v/>
      </c>
    </row>
    <row r="952" ht="15" customHeight="1">
      <c r="A952" t="inlineStr">
        <is>
          <t>A 46815-2023</t>
        </is>
      </c>
      <c r="B952" s="1" t="n">
        <v>45198</v>
      </c>
      <c r="C952" s="1" t="n">
        <v>45357</v>
      </c>
      <c r="D952" t="inlineStr">
        <is>
          <t>VÄSTERBOTTENS LÄN</t>
        </is>
      </c>
      <c r="E952" t="inlineStr">
        <is>
          <t>DOROTEA</t>
        </is>
      </c>
      <c r="F952" t="inlineStr">
        <is>
          <t>SCA</t>
        </is>
      </c>
      <c r="G952" t="n">
        <v>3.7</v>
      </c>
      <c r="H952" t="n">
        <v>0</v>
      </c>
      <c r="I952" t="n">
        <v>0</v>
      </c>
      <c r="J952" t="n">
        <v>1</v>
      </c>
      <c r="K952" t="n">
        <v>0</v>
      </c>
      <c r="L952" t="n">
        <v>0</v>
      </c>
      <c r="M952" t="n">
        <v>0</v>
      </c>
      <c r="N952" t="n">
        <v>0</v>
      </c>
      <c r="O952" t="n">
        <v>1</v>
      </c>
      <c r="P952" t="n">
        <v>0</v>
      </c>
      <c r="Q952" t="n">
        <v>1</v>
      </c>
      <c r="R952" s="2" t="inlineStr">
        <is>
          <t>Harticka</t>
        </is>
      </c>
      <c r="S952">
        <f>HYPERLINK("https://klasma.github.io/Logging_2425/artfynd/A 46815-2023 artfynd.xlsx", "A 46815-2023")</f>
        <v/>
      </c>
      <c r="T952">
        <f>HYPERLINK("https://klasma.github.io/Logging_2425/kartor/A 46815-2023 karta.png", "A 46815-2023")</f>
        <v/>
      </c>
      <c r="V952">
        <f>HYPERLINK("https://klasma.github.io/Logging_2425/klagomål/A 46815-2023 FSC-klagomål.docx", "A 46815-2023")</f>
        <v/>
      </c>
      <c r="W952">
        <f>HYPERLINK("https://klasma.github.io/Logging_2425/klagomålsmail/A 46815-2023 FSC-klagomål mail.docx", "A 46815-2023")</f>
        <v/>
      </c>
      <c r="X952">
        <f>HYPERLINK("https://klasma.github.io/Logging_2425/tillsyn/A 46815-2023 tillsynsbegäran.docx", "A 46815-2023")</f>
        <v/>
      </c>
      <c r="Y952">
        <f>HYPERLINK("https://klasma.github.io/Logging_2425/tillsynsmail/A 46815-2023 tillsynsbegäran mail.docx", "A 46815-2023")</f>
        <v/>
      </c>
    </row>
    <row r="953" ht="15" customHeight="1">
      <c r="A953" t="inlineStr">
        <is>
          <t>A 47056-2023</t>
        </is>
      </c>
      <c r="B953" s="1" t="n">
        <v>45201</v>
      </c>
      <c r="C953" s="1" t="n">
        <v>45357</v>
      </c>
      <c r="D953" t="inlineStr">
        <is>
          <t>VÄSTERBOTTENS LÄN</t>
        </is>
      </c>
      <c r="E953" t="inlineStr">
        <is>
          <t>SKELLEFTEÅ</t>
        </is>
      </c>
      <c r="F953" t="inlineStr">
        <is>
          <t>Sveaskog</t>
        </is>
      </c>
      <c r="G953" t="n">
        <v>10.6</v>
      </c>
      <c r="H953" t="n">
        <v>0</v>
      </c>
      <c r="I953" t="n">
        <v>0</v>
      </c>
      <c r="J953" t="n">
        <v>1</v>
      </c>
      <c r="K953" t="n">
        <v>0</v>
      </c>
      <c r="L953" t="n">
        <v>0</v>
      </c>
      <c r="M953" t="n">
        <v>0</v>
      </c>
      <c r="N953" t="n">
        <v>0</v>
      </c>
      <c r="O953" t="n">
        <v>1</v>
      </c>
      <c r="P953" t="n">
        <v>0</v>
      </c>
      <c r="Q953" t="n">
        <v>1</v>
      </c>
      <c r="R953" s="2" t="inlineStr">
        <is>
          <t>Ullticka</t>
        </is>
      </c>
      <c r="S953">
        <f>HYPERLINK("https://klasma.github.io/Logging_2482/artfynd/A 47056-2023 artfynd.xlsx", "A 47056-2023")</f>
        <v/>
      </c>
      <c r="T953">
        <f>HYPERLINK("https://klasma.github.io/Logging_2482/kartor/A 47056-2023 karta.png", "A 47056-2023")</f>
        <v/>
      </c>
      <c r="V953">
        <f>HYPERLINK("https://klasma.github.io/Logging_2482/klagomål/A 47056-2023 FSC-klagomål.docx", "A 47056-2023")</f>
        <v/>
      </c>
      <c r="W953">
        <f>HYPERLINK("https://klasma.github.io/Logging_2482/klagomålsmail/A 47056-2023 FSC-klagomål mail.docx", "A 47056-2023")</f>
        <v/>
      </c>
      <c r="X953">
        <f>HYPERLINK("https://klasma.github.io/Logging_2482/tillsyn/A 47056-2023 tillsynsbegäran.docx", "A 47056-2023")</f>
        <v/>
      </c>
      <c r="Y953">
        <f>HYPERLINK("https://klasma.github.io/Logging_2482/tillsynsmail/A 47056-2023 tillsynsbegäran mail.docx", "A 47056-2023")</f>
        <v/>
      </c>
    </row>
    <row r="954" ht="15" customHeight="1">
      <c r="A954" t="inlineStr">
        <is>
          <t>A 48743-2023</t>
        </is>
      </c>
      <c r="B954" s="1" t="n">
        <v>45208</v>
      </c>
      <c r="C954" s="1" t="n">
        <v>45357</v>
      </c>
      <c r="D954" t="inlineStr">
        <is>
          <t>VÄSTERBOTTENS LÄN</t>
        </is>
      </c>
      <c r="E954" t="inlineStr">
        <is>
          <t>ÅSELE</t>
        </is>
      </c>
      <c r="G954" t="n">
        <v>18.5</v>
      </c>
      <c r="H954" t="n">
        <v>0</v>
      </c>
      <c r="I954" t="n">
        <v>1</v>
      </c>
      <c r="J954" t="n">
        <v>0</v>
      </c>
      <c r="K954" t="n">
        <v>0</v>
      </c>
      <c r="L954" t="n">
        <v>0</v>
      </c>
      <c r="M954" t="n">
        <v>0</v>
      </c>
      <c r="N954" t="n">
        <v>0</v>
      </c>
      <c r="O954" t="n">
        <v>0</v>
      </c>
      <c r="P954" t="n">
        <v>0</v>
      </c>
      <c r="Q954" t="n">
        <v>1</v>
      </c>
      <c r="R954" s="2" t="inlineStr">
        <is>
          <t>Skinnlav</t>
        </is>
      </c>
      <c r="S954">
        <f>HYPERLINK("https://klasma.github.io/Logging_2463/artfynd/A 48743-2023 artfynd.xlsx", "A 48743-2023")</f>
        <v/>
      </c>
      <c r="T954">
        <f>HYPERLINK("https://klasma.github.io/Logging_2463/kartor/A 48743-2023 karta.png", "A 48743-2023")</f>
        <v/>
      </c>
      <c r="V954">
        <f>HYPERLINK("https://klasma.github.io/Logging_2463/klagomål/A 48743-2023 FSC-klagomål.docx", "A 48743-2023")</f>
        <v/>
      </c>
      <c r="W954">
        <f>HYPERLINK("https://klasma.github.io/Logging_2463/klagomålsmail/A 48743-2023 FSC-klagomål mail.docx", "A 48743-2023")</f>
        <v/>
      </c>
      <c r="X954">
        <f>HYPERLINK("https://klasma.github.io/Logging_2463/tillsyn/A 48743-2023 tillsynsbegäran.docx", "A 48743-2023")</f>
        <v/>
      </c>
      <c r="Y954">
        <f>HYPERLINK("https://klasma.github.io/Logging_2463/tillsynsmail/A 48743-2023 tillsynsbegäran mail.docx", "A 48743-2023")</f>
        <v/>
      </c>
    </row>
    <row r="955" ht="15" customHeight="1">
      <c r="A955" t="inlineStr">
        <is>
          <t>A 49309-2023</t>
        </is>
      </c>
      <c r="B955" s="1" t="n">
        <v>45210</v>
      </c>
      <c r="C955" s="1" t="n">
        <v>45357</v>
      </c>
      <c r="D955" t="inlineStr">
        <is>
          <t>VÄSTERBOTTENS LÄN</t>
        </is>
      </c>
      <c r="E955" t="inlineStr">
        <is>
          <t>VINDELN</t>
        </is>
      </c>
      <c r="G955" t="n">
        <v>3</v>
      </c>
      <c r="H955" t="n">
        <v>1</v>
      </c>
      <c r="I955" t="n">
        <v>0</v>
      </c>
      <c r="J955" t="n">
        <v>1</v>
      </c>
      <c r="K955" t="n">
        <v>0</v>
      </c>
      <c r="L955" t="n">
        <v>0</v>
      </c>
      <c r="M955" t="n">
        <v>0</v>
      </c>
      <c r="N955" t="n">
        <v>0</v>
      </c>
      <c r="O955" t="n">
        <v>1</v>
      </c>
      <c r="P955" t="n">
        <v>0</v>
      </c>
      <c r="Q955" t="n">
        <v>1</v>
      </c>
      <c r="R955" s="2" t="inlineStr">
        <is>
          <t>Kungsörn</t>
        </is>
      </c>
      <c r="S955">
        <f>HYPERLINK("https://klasma.github.io/Logging_2404/artfynd/A 49309-2023 artfynd.xlsx", "A 49309-2023")</f>
        <v/>
      </c>
      <c r="T955">
        <f>HYPERLINK("https://klasma.github.io/Logging_2404/kartor/A 49309-2023 karta.png", "A 49309-2023")</f>
        <v/>
      </c>
      <c r="V955">
        <f>HYPERLINK("https://klasma.github.io/Logging_2404/klagomål/A 49309-2023 FSC-klagomål.docx", "A 49309-2023")</f>
        <v/>
      </c>
      <c r="W955">
        <f>HYPERLINK("https://klasma.github.io/Logging_2404/klagomålsmail/A 49309-2023 FSC-klagomål mail.docx", "A 49309-2023")</f>
        <v/>
      </c>
      <c r="X955">
        <f>HYPERLINK("https://klasma.github.io/Logging_2404/tillsyn/A 49309-2023 tillsynsbegäran.docx", "A 49309-2023")</f>
        <v/>
      </c>
      <c r="Y955">
        <f>HYPERLINK("https://klasma.github.io/Logging_2404/tillsynsmail/A 49309-2023 tillsynsbegäran mail.docx", "A 49309-2023")</f>
        <v/>
      </c>
      <c r="Z955">
        <f>HYPERLINK("https://klasma.github.io/Logging_2404/fåglar/A 49309-2023 prioriterade fågelarter.docx", "A 49309-2023")</f>
        <v/>
      </c>
    </row>
    <row r="956" ht="15" customHeight="1">
      <c r="A956" t="inlineStr">
        <is>
          <t>A 49322-2023</t>
        </is>
      </c>
      <c r="B956" s="1" t="n">
        <v>45211</v>
      </c>
      <c r="C956" s="1" t="n">
        <v>45357</v>
      </c>
      <c r="D956" t="inlineStr">
        <is>
          <t>VÄSTERBOTTENS LÄN</t>
        </is>
      </c>
      <c r="E956" t="inlineStr">
        <is>
          <t>SKELLEFTEÅ</t>
        </is>
      </c>
      <c r="G956" t="n">
        <v>24.9</v>
      </c>
      <c r="H956" t="n">
        <v>1</v>
      </c>
      <c r="I956" t="n">
        <v>0</v>
      </c>
      <c r="J956" t="n">
        <v>1</v>
      </c>
      <c r="K956" t="n">
        <v>0</v>
      </c>
      <c r="L956" t="n">
        <v>0</v>
      </c>
      <c r="M956" t="n">
        <v>0</v>
      </c>
      <c r="N956" t="n">
        <v>0</v>
      </c>
      <c r="O956" t="n">
        <v>1</v>
      </c>
      <c r="P956" t="n">
        <v>0</v>
      </c>
      <c r="Q956" t="n">
        <v>1</v>
      </c>
      <c r="R956" s="2" t="inlineStr">
        <is>
          <t>Spillkråka</t>
        </is>
      </c>
      <c r="S956">
        <f>HYPERLINK("https://klasma.github.io/Logging_2482/artfynd/A 49322-2023 artfynd.xlsx", "A 49322-2023")</f>
        <v/>
      </c>
      <c r="T956">
        <f>HYPERLINK("https://klasma.github.io/Logging_2482/kartor/A 49322-2023 karta.png", "A 49322-2023")</f>
        <v/>
      </c>
      <c r="U956">
        <f>HYPERLINK("https://klasma.github.io/Logging_2482/knärot/A 49322-2023 karta knärot.png", "A 49322-2023")</f>
        <v/>
      </c>
      <c r="V956">
        <f>HYPERLINK("https://klasma.github.io/Logging_2482/klagomål/A 49322-2023 FSC-klagomål.docx", "A 49322-2023")</f>
        <v/>
      </c>
      <c r="W956">
        <f>HYPERLINK("https://klasma.github.io/Logging_2482/klagomålsmail/A 49322-2023 FSC-klagomål mail.docx", "A 49322-2023")</f>
        <v/>
      </c>
      <c r="X956">
        <f>HYPERLINK("https://klasma.github.io/Logging_2482/tillsyn/A 49322-2023 tillsynsbegäran.docx", "A 49322-2023")</f>
        <v/>
      </c>
      <c r="Y956">
        <f>HYPERLINK("https://klasma.github.io/Logging_2482/tillsynsmail/A 49322-2023 tillsynsbegäran mail.docx", "A 49322-2023")</f>
        <v/>
      </c>
      <c r="Z956">
        <f>HYPERLINK("https://klasma.github.io/Logging_2482/fåglar/A 49322-2023 prioriterade fågelarter.docx", "A 49322-2023")</f>
        <v/>
      </c>
    </row>
    <row r="957" ht="15" customHeight="1">
      <c r="A957" t="inlineStr">
        <is>
          <t>A 50813-2023</t>
        </is>
      </c>
      <c r="B957" s="1" t="n">
        <v>45217</v>
      </c>
      <c r="C957" s="1" t="n">
        <v>45357</v>
      </c>
      <c r="D957" t="inlineStr">
        <is>
          <t>VÄSTERBOTTENS LÄN</t>
        </is>
      </c>
      <c r="E957" t="inlineStr">
        <is>
          <t>LYCKSELE</t>
        </is>
      </c>
      <c r="F957" t="inlineStr">
        <is>
          <t>Sveaskog</t>
        </is>
      </c>
      <c r="G957" t="n">
        <v>14.7</v>
      </c>
      <c r="H957" t="n">
        <v>0</v>
      </c>
      <c r="I957" t="n">
        <v>0</v>
      </c>
      <c r="J957" t="n">
        <v>1</v>
      </c>
      <c r="K957" t="n">
        <v>0</v>
      </c>
      <c r="L957" t="n">
        <v>0</v>
      </c>
      <c r="M957" t="n">
        <v>0</v>
      </c>
      <c r="N957" t="n">
        <v>0</v>
      </c>
      <c r="O957" t="n">
        <v>1</v>
      </c>
      <c r="P957" t="n">
        <v>0</v>
      </c>
      <c r="Q957" t="n">
        <v>1</v>
      </c>
      <c r="R957" s="2" t="inlineStr">
        <is>
          <t>Lunglav</t>
        </is>
      </c>
      <c r="S957">
        <f>HYPERLINK("https://klasma.github.io/Logging_2481/artfynd/A 50813-2023 artfynd.xlsx", "A 50813-2023")</f>
        <v/>
      </c>
      <c r="T957">
        <f>HYPERLINK("https://klasma.github.io/Logging_2481/kartor/A 50813-2023 karta.png", "A 50813-2023")</f>
        <v/>
      </c>
      <c r="V957">
        <f>HYPERLINK("https://klasma.github.io/Logging_2481/klagomål/A 50813-2023 FSC-klagomål.docx", "A 50813-2023")</f>
        <v/>
      </c>
      <c r="W957">
        <f>HYPERLINK("https://klasma.github.io/Logging_2481/klagomålsmail/A 50813-2023 FSC-klagomål mail.docx", "A 50813-2023")</f>
        <v/>
      </c>
      <c r="X957">
        <f>HYPERLINK("https://klasma.github.io/Logging_2481/tillsyn/A 50813-2023 tillsynsbegäran.docx", "A 50813-2023")</f>
        <v/>
      </c>
      <c r="Y957">
        <f>HYPERLINK("https://klasma.github.io/Logging_2481/tillsynsmail/A 50813-2023 tillsynsbegäran mail.docx", "A 50813-2023")</f>
        <v/>
      </c>
    </row>
    <row r="958" ht="15" customHeight="1">
      <c r="A958" t="inlineStr">
        <is>
          <t>A 50997-2023</t>
        </is>
      </c>
      <c r="B958" s="1" t="n">
        <v>45218</v>
      </c>
      <c r="C958" s="1" t="n">
        <v>45357</v>
      </c>
      <c r="D958" t="inlineStr">
        <is>
          <t>VÄSTERBOTTENS LÄN</t>
        </is>
      </c>
      <c r="E958" t="inlineStr">
        <is>
          <t>LYCKSELE</t>
        </is>
      </c>
      <c r="F958" t="inlineStr">
        <is>
          <t>Sveaskog</t>
        </is>
      </c>
      <c r="G958" t="n">
        <v>12.7</v>
      </c>
      <c r="H958" t="n">
        <v>0</v>
      </c>
      <c r="I958" t="n">
        <v>0</v>
      </c>
      <c r="J958" t="n">
        <v>1</v>
      </c>
      <c r="K958" t="n">
        <v>0</v>
      </c>
      <c r="L958" t="n">
        <v>0</v>
      </c>
      <c r="M958" t="n">
        <v>0</v>
      </c>
      <c r="N958" t="n">
        <v>0</v>
      </c>
      <c r="O958" t="n">
        <v>1</v>
      </c>
      <c r="P958" t="n">
        <v>0</v>
      </c>
      <c r="Q958" t="n">
        <v>1</v>
      </c>
      <c r="R958" s="2" t="inlineStr">
        <is>
          <t>Kolflarnlav</t>
        </is>
      </c>
      <c r="S958">
        <f>HYPERLINK("https://klasma.github.io/Logging_2481/artfynd/A 50997-2023 artfynd.xlsx", "A 50997-2023")</f>
        <v/>
      </c>
      <c r="T958">
        <f>HYPERLINK("https://klasma.github.io/Logging_2481/kartor/A 50997-2023 karta.png", "A 50997-2023")</f>
        <v/>
      </c>
      <c r="V958">
        <f>HYPERLINK("https://klasma.github.io/Logging_2481/klagomål/A 50997-2023 FSC-klagomål.docx", "A 50997-2023")</f>
        <v/>
      </c>
      <c r="W958">
        <f>HYPERLINK("https://klasma.github.io/Logging_2481/klagomålsmail/A 50997-2023 FSC-klagomål mail.docx", "A 50997-2023")</f>
        <v/>
      </c>
      <c r="X958">
        <f>HYPERLINK("https://klasma.github.io/Logging_2481/tillsyn/A 50997-2023 tillsynsbegäran.docx", "A 50997-2023")</f>
        <v/>
      </c>
      <c r="Y958">
        <f>HYPERLINK("https://klasma.github.io/Logging_2481/tillsynsmail/A 50997-2023 tillsynsbegäran mail.docx", "A 50997-2023")</f>
        <v/>
      </c>
    </row>
    <row r="959" ht="15" customHeight="1">
      <c r="A959" t="inlineStr">
        <is>
          <t>A 52443-2023</t>
        </is>
      </c>
      <c r="B959" s="1" t="n">
        <v>45225</v>
      </c>
      <c r="C959" s="1" t="n">
        <v>45357</v>
      </c>
      <c r="D959" t="inlineStr">
        <is>
          <t>VÄSTERBOTTENS LÄN</t>
        </is>
      </c>
      <c r="E959" t="inlineStr">
        <is>
          <t>VINDELN</t>
        </is>
      </c>
      <c r="F959" t="inlineStr">
        <is>
          <t>Sveaskog</t>
        </is>
      </c>
      <c r="G959" t="n">
        <v>3.5</v>
      </c>
      <c r="H959" t="n">
        <v>0</v>
      </c>
      <c r="I959" t="n">
        <v>0</v>
      </c>
      <c r="J959" t="n">
        <v>1</v>
      </c>
      <c r="K959" t="n">
        <v>0</v>
      </c>
      <c r="L959" t="n">
        <v>0</v>
      </c>
      <c r="M959" t="n">
        <v>0</v>
      </c>
      <c r="N959" t="n">
        <v>0</v>
      </c>
      <c r="O959" t="n">
        <v>1</v>
      </c>
      <c r="P959" t="n">
        <v>0</v>
      </c>
      <c r="Q959" t="n">
        <v>1</v>
      </c>
      <c r="R959" s="2" t="inlineStr">
        <is>
          <t>Motaggsvamp</t>
        </is>
      </c>
      <c r="S959">
        <f>HYPERLINK("https://klasma.github.io/Logging_2404/artfynd/A 52443-2023 artfynd.xlsx", "A 52443-2023")</f>
        <v/>
      </c>
      <c r="T959">
        <f>HYPERLINK("https://klasma.github.io/Logging_2404/kartor/A 52443-2023 karta.png", "A 52443-2023")</f>
        <v/>
      </c>
      <c r="V959">
        <f>HYPERLINK("https://klasma.github.io/Logging_2404/klagomål/A 52443-2023 FSC-klagomål.docx", "A 52443-2023")</f>
        <v/>
      </c>
      <c r="W959">
        <f>HYPERLINK("https://klasma.github.io/Logging_2404/klagomålsmail/A 52443-2023 FSC-klagomål mail.docx", "A 52443-2023")</f>
        <v/>
      </c>
      <c r="X959">
        <f>HYPERLINK("https://klasma.github.io/Logging_2404/tillsyn/A 52443-2023 tillsynsbegäran.docx", "A 52443-2023")</f>
        <v/>
      </c>
      <c r="Y959">
        <f>HYPERLINK("https://klasma.github.io/Logging_2404/tillsynsmail/A 52443-2023 tillsynsbegäran mail.docx", "A 52443-2023")</f>
        <v/>
      </c>
    </row>
    <row r="960" ht="15" customHeight="1">
      <c r="A960" t="inlineStr">
        <is>
          <t>A 52641-2023</t>
        </is>
      </c>
      <c r="B960" s="1" t="n">
        <v>45225</v>
      </c>
      <c r="C960" s="1" t="n">
        <v>45357</v>
      </c>
      <c r="D960" t="inlineStr">
        <is>
          <t>VÄSTERBOTTENS LÄN</t>
        </is>
      </c>
      <c r="E960" t="inlineStr">
        <is>
          <t>VINDELN</t>
        </is>
      </c>
      <c r="G960" t="n">
        <v>4.1</v>
      </c>
      <c r="H960" t="n">
        <v>0</v>
      </c>
      <c r="I960" t="n">
        <v>0</v>
      </c>
      <c r="J960" t="n">
        <v>1</v>
      </c>
      <c r="K960" t="n">
        <v>0</v>
      </c>
      <c r="L960" t="n">
        <v>0</v>
      </c>
      <c r="M960" t="n">
        <v>0</v>
      </c>
      <c r="N960" t="n">
        <v>0</v>
      </c>
      <c r="O960" t="n">
        <v>1</v>
      </c>
      <c r="P960" t="n">
        <v>0</v>
      </c>
      <c r="Q960" t="n">
        <v>1</v>
      </c>
      <c r="R960" s="2" t="inlineStr">
        <is>
          <t>Garnlav</t>
        </is>
      </c>
      <c r="S960">
        <f>HYPERLINK("https://klasma.github.io/Logging_2404/artfynd/A 52641-2023 artfynd.xlsx", "A 52641-2023")</f>
        <v/>
      </c>
      <c r="T960">
        <f>HYPERLINK("https://klasma.github.io/Logging_2404/kartor/A 52641-2023 karta.png", "A 52641-2023")</f>
        <v/>
      </c>
      <c r="V960">
        <f>HYPERLINK("https://klasma.github.io/Logging_2404/klagomål/A 52641-2023 FSC-klagomål.docx", "A 52641-2023")</f>
        <v/>
      </c>
      <c r="W960">
        <f>HYPERLINK("https://klasma.github.io/Logging_2404/klagomålsmail/A 52641-2023 FSC-klagomål mail.docx", "A 52641-2023")</f>
        <v/>
      </c>
      <c r="X960">
        <f>HYPERLINK("https://klasma.github.io/Logging_2404/tillsyn/A 52641-2023 tillsynsbegäran.docx", "A 52641-2023")</f>
        <v/>
      </c>
      <c r="Y960">
        <f>HYPERLINK("https://klasma.github.io/Logging_2404/tillsynsmail/A 52641-2023 tillsynsbegäran mail.docx", "A 52641-2023")</f>
        <v/>
      </c>
    </row>
    <row r="961" ht="15" customHeight="1">
      <c r="A961" t="inlineStr">
        <is>
          <t>A 54488-2023</t>
        </is>
      </c>
      <c r="B961" s="1" t="n">
        <v>45226</v>
      </c>
      <c r="C961" s="1" t="n">
        <v>45357</v>
      </c>
      <c r="D961" t="inlineStr">
        <is>
          <t>VÄSTERBOTTENS LÄN</t>
        </is>
      </c>
      <c r="E961" t="inlineStr">
        <is>
          <t>SKELLEFTEÅ</t>
        </is>
      </c>
      <c r="G961" t="n">
        <v>4.4</v>
      </c>
      <c r="H961" t="n">
        <v>0</v>
      </c>
      <c r="I961" t="n">
        <v>0</v>
      </c>
      <c r="J961" t="n">
        <v>1</v>
      </c>
      <c r="K961" t="n">
        <v>0</v>
      </c>
      <c r="L961" t="n">
        <v>0</v>
      </c>
      <c r="M961" t="n">
        <v>0</v>
      </c>
      <c r="N961" t="n">
        <v>0</v>
      </c>
      <c r="O961" t="n">
        <v>1</v>
      </c>
      <c r="P961" t="n">
        <v>0</v>
      </c>
      <c r="Q961" t="n">
        <v>1</v>
      </c>
      <c r="R961" s="2" t="inlineStr">
        <is>
          <t>Lunglav</t>
        </is>
      </c>
      <c r="S961">
        <f>HYPERLINK("https://klasma.github.io/Logging_2482/artfynd/A 54488-2023 artfynd.xlsx", "A 54488-2023")</f>
        <v/>
      </c>
      <c r="T961">
        <f>HYPERLINK("https://klasma.github.io/Logging_2482/kartor/A 54488-2023 karta.png", "A 54488-2023")</f>
        <v/>
      </c>
      <c r="V961">
        <f>HYPERLINK("https://klasma.github.io/Logging_2482/klagomål/A 54488-2023 FSC-klagomål.docx", "A 54488-2023")</f>
        <v/>
      </c>
      <c r="W961">
        <f>HYPERLINK("https://klasma.github.io/Logging_2482/klagomålsmail/A 54488-2023 FSC-klagomål mail.docx", "A 54488-2023")</f>
        <v/>
      </c>
      <c r="X961">
        <f>HYPERLINK("https://klasma.github.io/Logging_2482/tillsyn/A 54488-2023 tillsynsbegäran.docx", "A 54488-2023")</f>
        <v/>
      </c>
      <c r="Y961">
        <f>HYPERLINK("https://klasma.github.io/Logging_2482/tillsynsmail/A 54488-2023 tillsynsbegäran mail.docx", "A 54488-2023")</f>
        <v/>
      </c>
    </row>
    <row r="962" ht="15" customHeight="1">
      <c r="A962" t="inlineStr">
        <is>
          <t>A 52929-2023</t>
        </is>
      </c>
      <c r="B962" s="1" t="n">
        <v>45226</v>
      </c>
      <c r="C962" s="1" t="n">
        <v>45357</v>
      </c>
      <c r="D962" t="inlineStr">
        <is>
          <t>VÄSTERBOTTENS LÄN</t>
        </is>
      </c>
      <c r="E962" t="inlineStr">
        <is>
          <t>LYCKSELE</t>
        </is>
      </c>
      <c r="F962" t="inlineStr">
        <is>
          <t>Sveaskog</t>
        </is>
      </c>
      <c r="G962" t="n">
        <v>8.4</v>
      </c>
      <c r="H962" t="n">
        <v>0</v>
      </c>
      <c r="I962" t="n">
        <v>0</v>
      </c>
      <c r="J962" t="n">
        <v>1</v>
      </c>
      <c r="K962" t="n">
        <v>0</v>
      </c>
      <c r="L962" t="n">
        <v>0</v>
      </c>
      <c r="M962" t="n">
        <v>0</v>
      </c>
      <c r="N962" t="n">
        <v>0</v>
      </c>
      <c r="O962" t="n">
        <v>1</v>
      </c>
      <c r="P962" t="n">
        <v>0</v>
      </c>
      <c r="Q962" t="n">
        <v>1</v>
      </c>
      <c r="R962" s="2" t="inlineStr">
        <is>
          <t>Lunglav</t>
        </is>
      </c>
      <c r="S962">
        <f>HYPERLINK("https://klasma.github.io/Logging_2481/artfynd/A 52929-2023 artfynd.xlsx", "A 52929-2023")</f>
        <v/>
      </c>
      <c r="T962">
        <f>HYPERLINK("https://klasma.github.io/Logging_2481/kartor/A 52929-2023 karta.png", "A 52929-2023")</f>
        <v/>
      </c>
      <c r="V962">
        <f>HYPERLINK("https://klasma.github.io/Logging_2481/klagomål/A 52929-2023 FSC-klagomål.docx", "A 52929-2023")</f>
        <v/>
      </c>
      <c r="W962">
        <f>HYPERLINK("https://klasma.github.io/Logging_2481/klagomålsmail/A 52929-2023 FSC-klagomål mail.docx", "A 52929-2023")</f>
        <v/>
      </c>
      <c r="X962">
        <f>HYPERLINK("https://klasma.github.io/Logging_2481/tillsyn/A 52929-2023 tillsynsbegäran.docx", "A 52929-2023")</f>
        <v/>
      </c>
      <c r="Y962">
        <f>HYPERLINK("https://klasma.github.io/Logging_2481/tillsynsmail/A 52929-2023 tillsynsbegäran mail.docx", "A 52929-2023")</f>
        <v/>
      </c>
    </row>
    <row r="963" ht="15" customHeight="1">
      <c r="A963" t="inlineStr">
        <is>
          <t>A 53869-2023</t>
        </is>
      </c>
      <c r="B963" s="1" t="n">
        <v>45231</v>
      </c>
      <c r="C963" s="1" t="n">
        <v>45357</v>
      </c>
      <c r="D963" t="inlineStr">
        <is>
          <t>VÄSTERBOTTENS LÄN</t>
        </is>
      </c>
      <c r="E963" t="inlineStr">
        <is>
          <t>LYCKSELE</t>
        </is>
      </c>
      <c r="F963" t="inlineStr">
        <is>
          <t>Sveaskog</t>
        </is>
      </c>
      <c r="G963" t="n">
        <v>5.6</v>
      </c>
      <c r="H963" t="n">
        <v>0</v>
      </c>
      <c r="I963" t="n">
        <v>1</v>
      </c>
      <c r="J963" t="n">
        <v>0</v>
      </c>
      <c r="K963" t="n">
        <v>0</v>
      </c>
      <c r="L963" t="n">
        <v>0</v>
      </c>
      <c r="M963" t="n">
        <v>0</v>
      </c>
      <c r="N963" t="n">
        <v>0</v>
      </c>
      <c r="O963" t="n">
        <v>0</v>
      </c>
      <c r="P963" t="n">
        <v>0</v>
      </c>
      <c r="Q963" t="n">
        <v>1</v>
      </c>
      <c r="R963" s="2" t="inlineStr">
        <is>
          <t>Dropptaggsvamp</t>
        </is>
      </c>
      <c r="S963">
        <f>HYPERLINK("https://klasma.github.io/Logging_2481/artfynd/A 53869-2023 artfynd.xlsx", "A 53869-2023")</f>
        <v/>
      </c>
      <c r="T963">
        <f>HYPERLINK("https://klasma.github.io/Logging_2481/kartor/A 53869-2023 karta.png", "A 53869-2023")</f>
        <v/>
      </c>
      <c r="V963">
        <f>HYPERLINK("https://klasma.github.io/Logging_2481/klagomål/A 53869-2023 FSC-klagomål.docx", "A 53869-2023")</f>
        <v/>
      </c>
      <c r="W963">
        <f>HYPERLINK("https://klasma.github.io/Logging_2481/klagomålsmail/A 53869-2023 FSC-klagomål mail.docx", "A 53869-2023")</f>
        <v/>
      </c>
      <c r="X963">
        <f>HYPERLINK("https://klasma.github.io/Logging_2481/tillsyn/A 53869-2023 tillsynsbegäran.docx", "A 53869-2023")</f>
        <v/>
      </c>
      <c r="Y963">
        <f>HYPERLINK("https://klasma.github.io/Logging_2481/tillsynsmail/A 53869-2023 tillsynsbegäran mail.docx", "A 53869-2023")</f>
        <v/>
      </c>
    </row>
    <row r="964" ht="15" customHeight="1">
      <c r="A964" t="inlineStr">
        <is>
          <t>A 55839-2023</t>
        </is>
      </c>
      <c r="B964" s="1" t="n">
        <v>45239</v>
      </c>
      <c r="C964" s="1" t="n">
        <v>45357</v>
      </c>
      <c r="D964" t="inlineStr">
        <is>
          <t>VÄSTERBOTTENS LÄN</t>
        </is>
      </c>
      <c r="E964" t="inlineStr">
        <is>
          <t>SKELLEFTEÅ</t>
        </is>
      </c>
      <c r="F964" t="inlineStr">
        <is>
          <t>Kommuner</t>
        </is>
      </c>
      <c r="G964" t="n">
        <v>0.8</v>
      </c>
      <c r="H964" t="n">
        <v>1</v>
      </c>
      <c r="I964" t="n">
        <v>1</v>
      </c>
      <c r="J964" t="n">
        <v>0</v>
      </c>
      <c r="K964" t="n">
        <v>0</v>
      </c>
      <c r="L964" t="n">
        <v>0</v>
      </c>
      <c r="M964" t="n">
        <v>0</v>
      </c>
      <c r="N964" t="n">
        <v>0</v>
      </c>
      <c r="O964" t="n">
        <v>0</v>
      </c>
      <c r="P964" t="n">
        <v>0</v>
      </c>
      <c r="Q964" t="n">
        <v>1</v>
      </c>
      <c r="R964" s="2" t="inlineStr">
        <is>
          <t>Plattlummer</t>
        </is>
      </c>
      <c r="S964">
        <f>HYPERLINK("https://klasma.github.io/Logging_2482/artfynd/A 55839-2023 artfynd.xlsx", "A 55839-2023")</f>
        <v/>
      </c>
      <c r="T964">
        <f>HYPERLINK("https://klasma.github.io/Logging_2482/kartor/A 55839-2023 karta.png", "A 55839-2023")</f>
        <v/>
      </c>
      <c r="V964">
        <f>HYPERLINK("https://klasma.github.io/Logging_2482/klagomål/A 55839-2023 FSC-klagomål.docx", "A 55839-2023")</f>
        <v/>
      </c>
      <c r="W964">
        <f>HYPERLINK("https://klasma.github.io/Logging_2482/klagomålsmail/A 55839-2023 FSC-klagomål mail.docx", "A 55839-2023")</f>
        <v/>
      </c>
      <c r="X964">
        <f>HYPERLINK("https://klasma.github.io/Logging_2482/tillsyn/A 55839-2023 tillsynsbegäran.docx", "A 55839-2023")</f>
        <v/>
      </c>
      <c r="Y964">
        <f>HYPERLINK("https://klasma.github.io/Logging_2482/tillsynsmail/A 55839-2023 tillsynsbegäran mail.docx", "A 55839-2023")</f>
        <v/>
      </c>
    </row>
    <row r="965" ht="15" customHeight="1">
      <c r="A965" t="inlineStr">
        <is>
          <t>A 56247-2023</t>
        </is>
      </c>
      <c r="B965" s="1" t="n">
        <v>45240</v>
      </c>
      <c r="C965" s="1" t="n">
        <v>45357</v>
      </c>
      <c r="D965" t="inlineStr">
        <is>
          <t>VÄSTERBOTTENS LÄN</t>
        </is>
      </c>
      <c r="E965" t="inlineStr">
        <is>
          <t>VILHELMINA</t>
        </is>
      </c>
      <c r="F965" t="inlineStr">
        <is>
          <t>SCA</t>
        </is>
      </c>
      <c r="G965" t="n">
        <v>1.3</v>
      </c>
      <c r="H965" t="n">
        <v>0</v>
      </c>
      <c r="I965" t="n">
        <v>0</v>
      </c>
      <c r="J965" t="n">
        <v>1</v>
      </c>
      <c r="K965" t="n">
        <v>0</v>
      </c>
      <c r="L965" t="n">
        <v>0</v>
      </c>
      <c r="M965" t="n">
        <v>0</v>
      </c>
      <c r="N965" t="n">
        <v>0</v>
      </c>
      <c r="O965" t="n">
        <v>1</v>
      </c>
      <c r="P965" t="n">
        <v>0</v>
      </c>
      <c r="Q965" t="n">
        <v>1</v>
      </c>
      <c r="R965" s="2" t="inlineStr">
        <is>
          <t>Harticka</t>
        </is>
      </c>
      <c r="S965">
        <f>HYPERLINK("https://klasma.github.io/Logging_2462/artfynd/A 56247-2023 artfynd.xlsx", "A 56247-2023")</f>
        <v/>
      </c>
      <c r="T965">
        <f>HYPERLINK("https://klasma.github.io/Logging_2462/kartor/A 56247-2023 karta.png", "A 56247-2023")</f>
        <v/>
      </c>
      <c r="V965">
        <f>HYPERLINK("https://klasma.github.io/Logging_2462/klagomål/A 56247-2023 FSC-klagomål.docx", "A 56247-2023")</f>
        <v/>
      </c>
      <c r="W965">
        <f>HYPERLINK("https://klasma.github.io/Logging_2462/klagomålsmail/A 56247-2023 FSC-klagomål mail.docx", "A 56247-2023")</f>
        <v/>
      </c>
      <c r="X965">
        <f>HYPERLINK("https://klasma.github.io/Logging_2462/tillsyn/A 56247-2023 tillsynsbegäran.docx", "A 56247-2023")</f>
        <v/>
      </c>
      <c r="Y965">
        <f>HYPERLINK("https://klasma.github.io/Logging_2462/tillsynsmail/A 56247-2023 tillsynsbegäran mail.docx", "A 56247-2023")</f>
        <v/>
      </c>
    </row>
    <row r="966" ht="15" customHeight="1">
      <c r="A966" t="inlineStr">
        <is>
          <t>A 58232-2023</t>
        </is>
      </c>
      <c r="B966" s="1" t="n">
        <v>45245</v>
      </c>
      <c r="C966" s="1" t="n">
        <v>45357</v>
      </c>
      <c r="D966" t="inlineStr">
        <is>
          <t>VÄSTERBOTTENS LÄN</t>
        </is>
      </c>
      <c r="E966" t="inlineStr">
        <is>
          <t>BJURHOLM</t>
        </is>
      </c>
      <c r="G966" t="n">
        <v>9.9</v>
      </c>
      <c r="H966" t="n">
        <v>0</v>
      </c>
      <c r="I966" t="n">
        <v>0</v>
      </c>
      <c r="J966" t="n">
        <v>1</v>
      </c>
      <c r="K966" t="n">
        <v>0</v>
      </c>
      <c r="L966" t="n">
        <v>0</v>
      </c>
      <c r="M966" t="n">
        <v>0</v>
      </c>
      <c r="N966" t="n">
        <v>0</v>
      </c>
      <c r="O966" t="n">
        <v>1</v>
      </c>
      <c r="P966" t="n">
        <v>0</v>
      </c>
      <c r="Q966" t="n">
        <v>1</v>
      </c>
      <c r="R966" s="2" t="inlineStr">
        <is>
          <t>Violettgrå tagellav</t>
        </is>
      </c>
      <c r="S966">
        <f>HYPERLINK("https://klasma.github.io/Logging_2403/artfynd/A 58232-2023 artfynd.xlsx", "A 58232-2023")</f>
        <v/>
      </c>
      <c r="T966">
        <f>HYPERLINK("https://klasma.github.io/Logging_2403/kartor/A 58232-2023 karta.png", "A 58232-2023")</f>
        <v/>
      </c>
      <c r="V966">
        <f>HYPERLINK("https://klasma.github.io/Logging_2403/klagomål/A 58232-2023 FSC-klagomål.docx", "A 58232-2023")</f>
        <v/>
      </c>
      <c r="W966">
        <f>HYPERLINK("https://klasma.github.io/Logging_2403/klagomålsmail/A 58232-2023 FSC-klagomål mail.docx", "A 58232-2023")</f>
        <v/>
      </c>
      <c r="X966">
        <f>HYPERLINK("https://klasma.github.io/Logging_2403/tillsyn/A 58232-2023 tillsynsbegäran.docx", "A 58232-2023")</f>
        <v/>
      </c>
      <c r="Y966">
        <f>HYPERLINK("https://klasma.github.io/Logging_2403/tillsynsmail/A 58232-2023 tillsynsbegäran mail.docx", "A 58232-2023")</f>
        <v/>
      </c>
    </row>
    <row r="967" ht="15" customHeight="1">
      <c r="A967" t="inlineStr">
        <is>
          <t>A 57674-2023</t>
        </is>
      </c>
      <c r="B967" s="1" t="n">
        <v>45246</v>
      </c>
      <c r="C967" s="1" t="n">
        <v>45357</v>
      </c>
      <c r="D967" t="inlineStr">
        <is>
          <t>VÄSTERBOTTENS LÄN</t>
        </is>
      </c>
      <c r="E967" t="inlineStr">
        <is>
          <t>ROBERTSFORS</t>
        </is>
      </c>
      <c r="F967" t="inlineStr">
        <is>
          <t>Sveaskog</t>
        </is>
      </c>
      <c r="G967" t="n">
        <v>2.2</v>
      </c>
      <c r="H967" t="n">
        <v>0</v>
      </c>
      <c r="I967" t="n">
        <v>0</v>
      </c>
      <c r="J967" t="n">
        <v>1</v>
      </c>
      <c r="K967" t="n">
        <v>0</v>
      </c>
      <c r="L967" t="n">
        <v>0</v>
      </c>
      <c r="M967" t="n">
        <v>0</v>
      </c>
      <c r="N967" t="n">
        <v>0</v>
      </c>
      <c r="O967" t="n">
        <v>1</v>
      </c>
      <c r="P967" t="n">
        <v>0</v>
      </c>
      <c r="Q967" t="n">
        <v>1</v>
      </c>
      <c r="R967" s="2" t="inlineStr">
        <is>
          <t>Motaggsvamp</t>
        </is>
      </c>
      <c r="S967">
        <f>HYPERLINK("https://klasma.github.io/Logging_2409/artfynd/A 57674-2023 artfynd.xlsx", "A 57674-2023")</f>
        <v/>
      </c>
      <c r="T967">
        <f>HYPERLINK("https://klasma.github.io/Logging_2409/kartor/A 57674-2023 karta.png", "A 57674-2023")</f>
        <v/>
      </c>
      <c r="V967">
        <f>HYPERLINK("https://klasma.github.io/Logging_2409/klagomål/A 57674-2023 FSC-klagomål.docx", "A 57674-2023")</f>
        <v/>
      </c>
      <c r="W967">
        <f>HYPERLINK("https://klasma.github.io/Logging_2409/klagomålsmail/A 57674-2023 FSC-klagomål mail.docx", "A 57674-2023")</f>
        <v/>
      </c>
      <c r="X967">
        <f>HYPERLINK("https://klasma.github.io/Logging_2409/tillsyn/A 57674-2023 tillsynsbegäran.docx", "A 57674-2023")</f>
        <v/>
      </c>
      <c r="Y967">
        <f>HYPERLINK("https://klasma.github.io/Logging_2409/tillsynsmail/A 57674-2023 tillsynsbegäran mail.docx", "A 57674-2023")</f>
        <v/>
      </c>
    </row>
    <row r="968" ht="15" customHeight="1">
      <c r="A968" t="inlineStr">
        <is>
          <t>A 57802-2023</t>
        </is>
      </c>
      <c r="B968" s="1" t="n">
        <v>45246</v>
      </c>
      <c r="C968" s="1" t="n">
        <v>45357</v>
      </c>
      <c r="D968" t="inlineStr">
        <is>
          <t>VÄSTERBOTTENS LÄN</t>
        </is>
      </c>
      <c r="E968" t="inlineStr">
        <is>
          <t>BJURHOLM</t>
        </is>
      </c>
      <c r="F968" t="inlineStr">
        <is>
          <t>SCA</t>
        </is>
      </c>
      <c r="G968" t="n">
        <v>14</v>
      </c>
      <c r="H968" t="n">
        <v>0</v>
      </c>
      <c r="I968" t="n">
        <v>0</v>
      </c>
      <c r="J968" t="n">
        <v>1</v>
      </c>
      <c r="K968" t="n">
        <v>0</v>
      </c>
      <c r="L968" t="n">
        <v>0</v>
      </c>
      <c r="M968" t="n">
        <v>0</v>
      </c>
      <c r="N968" t="n">
        <v>0</v>
      </c>
      <c r="O968" t="n">
        <v>1</v>
      </c>
      <c r="P968" t="n">
        <v>0</v>
      </c>
      <c r="Q968" t="n">
        <v>1</v>
      </c>
      <c r="R968" s="2" t="inlineStr">
        <is>
          <t>Granticka</t>
        </is>
      </c>
      <c r="S968">
        <f>HYPERLINK("https://klasma.github.io/Logging_2403/artfynd/A 57802-2023 artfynd.xlsx", "A 57802-2023")</f>
        <v/>
      </c>
      <c r="T968">
        <f>HYPERLINK("https://klasma.github.io/Logging_2403/kartor/A 57802-2023 karta.png", "A 57802-2023")</f>
        <v/>
      </c>
      <c r="V968">
        <f>HYPERLINK("https://klasma.github.io/Logging_2403/klagomål/A 57802-2023 FSC-klagomål.docx", "A 57802-2023")</f>
        <v/>
      </c>
      <c r="W968">
        <f>HYPERLINK("https://klasma.github.io/Logging_2403/klagomålsmail/A 57802-2023 FSC-klagomål mail.docx", "A 57802-2023")</f>
        <v/>
      </c>
      <c r="X968">
        <f>HYPERLINK("https://klasma.github.io/Logging_2403/tillsyn/A 57802-2023 tillsynsbegäran.docx", "A 57802-2023")</f>
        <v/>
      </c>
      <c r="Y968">
        <f>HYPERLINK("https://klasma.github.io/Logging_2403/tillsynsmail/A 57802-2023 tillsynsbegäran mail.docx", "A 57802-2023")</f>
        <v/>
      </c>
    </row>
    <row r="969" ht="15" customHeight="1">
      <c r="A969" t="inlineStr">
        <is>
          <t>A 58657-2023</t>
        </is>
      </c>
      <c r="B969" s="1" t="n">
        <v>45251</v>
      </c>
      <c r="C969" s="1" t="n">
        <v>45357</v>
      </c>
      <c r="D969" t="inlineStr">
        <is>
          <t>VÄSTERBOTTENS LÄN</t>
        </is>
      </c>
      <c r="E969" t="inlineStr">
        <is>
          <t>LYCKSELE</t>
        </is>
      </c>
      <c r="F969" t="inlineStr">
        <is>
          <t>Sveaskog</t>
        </is>
      </c>
      <c r="G969" t="n">
        <v>14.4</v>
      </c>
      <c r="H969" t="n">
        <v>0</v>
      </c>
      <c r="I969" t="n">
        <v>1</v>
      </c>
      <c r="J969" t="n">
        <v>0</v>
      </c>
      <c r="K969" t="n">
        <v>0</v>
      </c>
      <c r="L969" t="n">
        <v>0</v>
      </c>
      <c r="M969" t="n">
        <v>0</v>
      </c>
      <c r="N969" t="n">
        <v>0</v>
      </c>
      <c r="O969" t="n">
        <v>0</v>
      </c>
      <c r="P969" t="n">
        <v>0</v>
      </c>
      <c r="Q969" t="n">
        <v>1</v>
      </c>
      <c r="R969" s="2" t="inlineStr">
        <is>
          <t>Bollvitmossa</t>
        </is>
      </c>
      <c r="S969">
        <f>HYPERLINK("https://klasma.github.io/Logging_2481/artfynd/A 58657-2023 artfynd.xlsx", "A 58657-2023")</f>
        <v/>
      </c>
      <c r="T969">
        <f>HYPERLINK("https://klasma.github.io/Logging_2481/kartor/A 58657-2023 karta.png", "A 58657-2023")</f>
        <v/>
      </c>
      <c r="V969">
        <f>HYPERLINK("https://klasma.github.io/Logging_2481/klagomål/A 58657-2023 FSC-klagomål.docx", "A 58657-2023")</f>
        <v/>
      </c>
      <c r="W969">
        <f>HYPERLINK("https://klasma.github.io/Logging_2481/klagomålsmail/A 58657-2023 FSC-klagomål mail.docx", "A 58657-2023")</f>
        <v/>
      </c>
      <c r="X969">
        <f>HYPERLINK("https://klasma.github.io/Logging_2481/tillsyn/A 58657-2023 tillsynsbegäran.docx", "A 58657-2023")</f>
        <v/>
      </c>
      <c r="Y969">
        <f>HYPERLINK("https://klasma.github.io/Logging_2481/tillsynsmail/A 58657-2023 tillsynsbegäran mail.docx", "A 58657-2023")</f>
        <v/>
      </c>
    </row>
    <row r="970" ht="15" customHeight="1">
      <c r="A970" t="inlineStr">
        <is>
          <t>A 58670-2023</t>
        </is>
      </c>
      <c r="B970" s="1" t="n">
        <v>45251</v>
      </c>
      <c r="C970" s="1" t="n">
        <v>45357</v>
      </c>
      <c r="D970" t="inlineStr">
        <is>
          <t>VÄSTERBOTTENS LÄN</t>
        </is>
      </c>
      <c r="E970" t="inlineStr">
        <is>
          <t>UMEÅ</t>
        </is>
      </c>
      <c r="F970" t="inlineStr">
        <is>
          <t>Sveaskog</t>
        </is>
      </c>
      <c r="G970" t="n">
        <v>11.9</v>
      </c>
      <c r="H970" t="n">
        <v>0</v>
      </c>
      <c r="I970" t="n">
        <v>0</v>
      </c>
      <c r="J970" t="n">
        <v>1</v>
      </c>
      <c r="K970" t="n">
        <v>0</v>
      </c>
      <c r="L970" t="n">
        <v>0</v>
      </c>
      <c r="M970" t="n">
        <v>0</v>
      </c>
      <c r="N970" t="n">
        <v>0</v>
      </c>
      <c r="O970" t="n">
        <v>1</v>
      </c>
      <c r="P970" t="n">
        <v>0</v>
      </c>
      <c r="Q970" t="n">
        <v>1</v>
      </c>
      <c r="R970" s="2" t="inlineStr">
        <is>
          <t>Gammelgransskål</t>
        </is>
      </c>
      <c r="S970">
        <f>HYPERLINK("https://klasma.github.io/Logging_2480/artfynd/A 58670-2023 artfynd.xlsx", "A 58670-2023")</f>
        <v/>
      </c>
      <c r="T970">
        <f>HYPERLINK("https://klasma.github.io/Logging_2480/kartor/A 58670-2023 karta.png", "A 58670-2023")</f>
        <v/>
      </c>
      <c r="V970">
        <f>HYPERLINK("https://klasma.github.io/Logging_2480/klagomål/A 58670-2023 FSC-klagomål.docx", "A 58670-2023")</f>
        <v/>
      </c>
      <c r="W970">
        <f>HYPERLINK("https://klasma.github.io/Logging_2480/klagomålsmail/A 58670-2023 FSC-klagomål mail.docx", "A 58670-2023")</f>
        <v/>
      </c>
      <c r="X970">
        <f>HYPERLINK("https://klasma.github.io/Logging_2480/tillsyn/A 58670-2023 tillsynsbegäran.docx", "A 58670-2023")</f>
        <v/>
      </c>
      <c r="Y970">
        <f>HYPERLINK("https://klasma.github.io/Logging_2480/tillsynsmail/A 58670-2023 tillsynsbegäran mail.docx", "A 58670-2023")</f>
        <v/>
      </c>
    </row>
    <row r="971" ht="15" customHeight="1">
      <c r="A971" t="inlineStr">
        <is>
          <t>A 59300-2023</t>
        </is>
      </c>
      <c r="B971" s="1" t="n">
        <v>45253</v>
      </c>
      <c r="C971" s="1" t="n">
        <v>45357</v>
      </c>
      <c r="D971" t="inlineStr">
        <is>
          <t>VÄSTERBOTTENS LÄN</t>
        </is>
      </c>
      <c r="E971" t="inlineStr">
        <is>
          <t>LYCKSELE</t>
        </is>
      </c>
      <c r="G971" t="n">
        <v>22.1</v>
      </c>
      <c r="H971" t="n">
        <v>1</v>
      </c>
      <c r="I971" t="n">
        <v>0</v>
      </c>
      <c r="J971" t="n">
        <v>0</v>
      </c>
      <c r="K971" t="n">
        <v>0</v>
      </c>
      <c r="L971" t="n">
        <v>0</v>
      </c>
      <c r="M971" t="n">
        <v>0</v>
      </c>
      <c r="N971" t="n">
        <v>0</v>
      </c>
      <c r="O971" t="n">
        <v>0</v>
      </c>
      <c r="P971" t="n">
        <v>0</v>
      </c>
      <c r="Q971" t="n">
        <v>1</v>
      </c>
      <c r="R971" s="2" t="inlineStr">
        <is>
          <t>Fläcknycklar</t>
        </is>
      </c>
      <c r="S971">
        <f>HYPERLINK("https://klasma.github.io/Logging_2481/artfynd/A 59300-2023 artfynd.xlsx", "A 59300-2023")</f>
        <v/>
      </c>
      <c r="T971">
        <f>HYPERLINK("https://klasma.github.io/Logging_2481/kartor/A 59300-2023 karta.png", "A 59300-2023")</f>
        <v/>
      </c>
      <c r="V971">
        <f>HYPERLINK("https://klasma.github.io/Logging_2481/klagomål/A 59300-2023 FSC-klagomål.docx", "A 59300-2023")</f>
        <v/>
      </c>
      <c r="W971">
        <f>HYPERLINK("https://klasma.github.io/Logging_2481/klagomålsmail/A 59300-2023 FSC-klagomål mail.docx", "A 59300-2023")</f>
        <v/>
      </c>
      <c r="X971">
        <f>HYPERLINK("https://klasma.github.io/Logging_2481/tillsyn/A 59300-2023 tillsynsbegäran.docx", "A 59300-2023")</f>
        <v/>
      </c>
      <c r="Y971">
        <f>HYPERLINK("https://klasma.github.io/Logging_2481/tillsynsmail/A 59300-2023 tillsynsbegäran mail.docx", "A 59300-2023")</f>
        <v/>
      </c>
    </row>
    <row r="972" ht="15" customHeight="1">
      <c r="A972" t="inlineStr">
        <is>
          <t>A 59295-2023</t>
        </is>
      </c>
      <c r="B972" s="1" t="n">
        <v>45253</v>
      </c>
      <c r="C972" s="1" t="n">
        <v>45357</v>
      </c>
      <c r="D972" t="inlineStr">
        <is>
          <t>VÄSTERBOTTENS LÄN</t>
        </is>
      </c>
      <c r="E972" t="inlineStr">
        <is>
          <t>LYCKSELE</t>
        </is>
      </c>
      <c r="G972" t="n">
        <v>17</v>
      </c>
      <c r="H972" t="n">
        <v>1</v>
      </c>
      <c r="I972" t="n">
        <v>0</v>
      </c>
      <c r="J972" t="n">
        <v>1</v>
      </c>
      <c r="K972" t="n">
        <v>0</v>
      </c>
      <c r="L972" t="n">
        <v>0</v>
      </c>
      <c r="M972" t="n">
        <v>0</v>
      </c>
      <c r="N972" t="n">
        <v>0</v>
      </c>
      <c r="O972" t="n">
        <v>1</v>
      </c>
      <c r="P972" t="n">
        <v>0</v>
      </c>
      <c r="Q972" t="n">
        <v>1</v>
      </c>
      <c r="R972" s="2" t="inlineStr">
        <is>
          <t>Tretåig hackspett</t>
        </is>
      </c>
      <c r="S972">
        <f>HYPERLINK("https://klasma.github.io/Logging_2481/artfynd/A 59295-2023 artfynd.xlsx", "A 59295-2023")</f>
        <v/>
      </c>
      <c r="T972">
        <f>HYPERLINK("https://klasma.github.io/Logging_2481/kartor/A 59295-2023 karta.png", "A 59295-2023")</f>
        <v/>
      </c>
      <c r="V972">
        <f>HYPERLINK("https://klasma.github.io/Logging_2481/klagomål/A 59295-2023 FSC-klagomål.docx", "A 59295-2023")</f>
        <v/>
      </c>
      <c r="W972">
        <f>HYPERLINK("https://klasma.github.io/Logging_2481/klagomålsmail/A 59295-2023 FSC-klagomål mail.docx", "A 59295-2023")</f>
        <v/>
      </c>
      <c r="X972">
        <f>HYPERLINK("https://klasma.github.io/Logging_2481/tillsyn/A 59295-2023 tillsynsbegäran.docx", "A 59295-2023")</f>
        <v/>
      </c>
      <c r="Y972">
        <f>HYPERLINK("https://klasma.github.io/Logging_2481/tillsynsmail/A 59295-2023 tillsynsbegäran mail.docx", "A 59295-2023")</f>
        <v/>
      </c>
      <c r="Z972">
        <f>HYPERLINK("https://klasma.github.io/Logging_2481/fåglar/A 59295-2023 prioriterade fågelarter.docx", "A 59295-2023")</f>
        <v/>
      </c>
    </row>
    <row r="973" ht="15" customHeight="1">
      <c r="A973" t="inlineStr">
        <is>
          <t>A 59939-2023</t>
        </is>
      </c>
      <c r="B973" s="1" t="n">
        <v>45254</v>
      </c>
      <c r="C973" s="1" t="n">
        <v>45357</v>
      </c>
      <c r="D973" t="inlineStr">
        <is>
          <t>VÄSTERBOTTENS LÄN</t>
        </is>
      </c>
      <c r="E973" t="inlineStr">
        <is>
          <t>VINDELN</t>
        </is>
      </c>
      <c r="G973" t="n">
        <v>9.300000000000001</v>
      </c>
      <c r="H973" t="n">
        <v>0</v>
      </c>
      <c r="I973" t="n">
        <v>0</v>
      </c>
      <c r="J973" t="n">
        <v>1</v>
      </c>
      <c r="K973" t="n">
        <v>0</v>
      </c>
      <c r="L973" t="n">
        <v>0</v>
      </c>
      <c r="M973" t="n">
        <v>0</v>
      </c>
      <c r="N973" t="n">
        <v>0</v>
      </c>
      <c r="O973" t="n">
        <v>1</v>
      </c>
      <c r="P973" t="n">
        <v>0</v>
      </c>
      <c r="Q973" t="n">
        <v>1</v>
      </c>
      <c r="R973" s="2" t="inlineStr">
        <is>
          <t>Ullticka</t>
        </is>
      </c>
      <c r="S973">
        <f>HYPERLINK("https://klasma.github.io/Logging_2404/artfynd/A 59939-2023 artfynd.xlsx", "A 59939-2023")</f>
        <v/>
      </c>
      <c r="T973">
        <f>HYPERLINK("https://klasma.github.io/Logging_2404/kartor/A 59939-2023 karta.png", "A 59939-2023")</f>
        <v/>
      </c>
      <c r="V973">
        <f>HYPERLINK("https://klasma.github.io/Logging_2404/klagomål/A 59939-2023 FSC-klagomål.docx", "A 59939-2023")</f>
        <v/>
      </c>
      <c r="W973">
        <f>HYPERLINK("https://klasma.github.io/Logging_2404/klagomålsmail/A 59939-2023 FSC-klagomål mail.docx", "A 59939-2023")</f>
        <v/>
      </c>
      <c r="X973">
        <f>HYPERLINK("https://klasma.github.io/Logging_2404/tillsyn/A 59939-2023 tillsynsbegäran.docx", "A 59939-2023")</f>
        <v/>
      </c>
      <c r="Y973">
        <f>HYPERLINK("https://klasma.github.io/Logging_2404/tillsynsmail/A 59939-2023 tillsynsbegäran mail.docx", "A 59939-2023")</f>
        <v/>
      </c>
    </row>
    <row r="974" ht="15" customHeight="1">
      <c r="A974" t="inlineStr">
        <is>
          <t>A 59903-2023</t>
        </is>
      </c>
      <c r="B974" s="1" t="n">
        <v>45254</v>
      </c>
      <c r="C974" s="1" t="n">
        <v>45357</v>
      </c>
      <c r="D974" t="inlineStr">
        <is>
          <t>VÄSTERBOTTENS LÄN</t>
        </is>
      </c>
      <c r="E974" t="inlineStr">
        <is>
          <t>VINDELN</t>
        </is>
      </c>
      <c r="G974" t="n">
        <v>5.9</v>
      </c>
      <c r="H974" t="n">
        <v>0</v>
      </c>
      <c r="I974" t="n">
        <v>0</v>
      </c>
      <c r="J974" t="n">
        <v>1</v>
      </c>
      <c r="K974" t="n">
        <v>0</v>
      </c>
      <c r="L974" t="n">
        <v>0</v>
      </c>
      <c r="M974" t="n">
        <v>0</v>
      </c>
      <c r="N974" t="n">
        <v>0</v>
      </c>
      <c r="O974" t="n">
        <v>1</v>
      </c>
      <c r="P974" t="n">
        <v>0</v>
      </c>
      <c r="Q974" t="n">
        <v>1</v>
      </c>
      <c r="R974" s="2" t="inlineStr">
        <is>
          <t>Mörk kolflarnlav</t>
        </is>
      </c>
      <c r="S974">
        <f>HYPERLINK("https://klasma.github.io/Logging_2404/artfynd/A 59903-2023 artfynd.xlsx", "A 59903-2023")</f>
        <v/>
      </c>
      <c r="T974">
        <f>HYPERLINK("https://klasma.github.io/Logging_2404/kartor/A 59903-2023 karta.png", "A 59903-2023")</f>
        <v/>
      </c>
      <c r="U974">
        <f>HYPERLINK("https://klasma.github.io/Logging_2404/knärot/A 59903-2023 karta knärot.png", "A 59903-2023")</f>
        <v/>
      </c>
      <c r="V974">
        <f>HYPERLINK("https://klasma.github.io/Logging_2404/klagomål/A 59903-2023 FSC-klagomål.docx", "A 59903-2023")</f>
        <v/>
      </c>
      <c r="W974">
        <f>HYPERLINK("https://klasma.github.io/Logging_2404/klagomålsmail/A 59903-2023 FSC-klagomål mail.docx", "A 59903-2023")</f>
        <v/>
      </c>
      <c r="X974">
        <f>HYPERLINK("https://klasma.github.io/Logging_2404/tillsyn/A 59903-2023 tillsynsbegäran.docx", "A 59903-2023")</f>
        <v/>
      </c>
      <c r="Y974">
        <f>HYPERLINK("https://klasma.github.io/Logging_2404/tillsynsmail/A 59903-2023 tillsynsbegäran mail.docx", "A 59903-2023")</f>
        <v/>
      </c>
    </row>
    <row r="975" ht="15" customHeight="1">
      <c r="A975" t="inlineStr">
        <is>
          <t>A 60880-2023</t>
        </is>
      </c>
      <c r="B975" s="1" t="n">
        <v>45259</v>
      </c>
      <c r="C975" s="1" t="n">
        <v>45357</v>
      </c>
      <c r="D975" t="inlineStr">
        <is>
          <t>VÄSTERBOTTENS LÄN</t>
        </is>
      </c>
      <c r="E975" t="inlineStr">
        <is>
          <t>STORUMAN</t>
        </is>
      </c>
      <c r="G975" t="n">
        <v>2.2</v>
      </c>
      <c r="H975" t="n">
        <v>1</v>
      </c>
      <c r="I975" t="n">
        <v>0</v>
      </c>
      <c r="J975" t="n">
        <v>0</v>
      </c>
      <c r="K975" t="n">
        <v>1</v>
      </c>
      <c r="L975" t="n">
        <v>0</v>
      </c>
      <c r="M975" t="n">
        <v>0</v>
      </c>
      <c r="N975" t="n">
        <v>0</v>
      </c>
      <c r="O975" t="n">
        <v>1</v>
      </c>
      <c r="P975" t="n">
        <v>1</v>
      </c>
      <c r="Q975" t="n">
        <v>1</v>
      </c>
      <c r="R975" s="2" t="inlineStr">
        <is>
          <t>Knärot</t>
        </is>
      </c>
      <c r="S975">
        <f>HYPERLINK("https://klasma.github.io/Logging_2421/artfynd/A 60880-2023 artfynd.xlsx", "A 60880-2023")</f>
        <v/>
      </c>
      <c r="T975">
        <f>HYPERLINK("https://klasma.github.io/Logging_2421/kartor/A 60880-2023 karta.png", "A 60880-2023")</f>
        <v/>
      </c>
      <c r="U975">
        <f>HYPERLINK("https://klasma.github.io/Logging_2421/knärot/A 60880-2023 karta knärot.png", "A 60880-2023")</f>
        <v/>
      </c>
      <c r="V975">
        <f>HYPERLINK("https://klasma.github.io/Logging_2421/klagomål/A 60880-2023 FSC-klagomål.docx", "A 60880-2023")</f>
        <v/>
      </c>
      <c r="W975">
        <f>HYPERLINK("https://klasma.github.io/Logging_2421/klagomålsmail/A 60880-2023 FSC-klagomål mail.docx", "A 60880-2023")</f>
        <v/>
      </c>
      <c r="X975">
        <f>HYPERLINK("https://klasma.github.io/Logging_2421/tillsyn/A 60880-2023 tillsynsbegäran.docx", "A 60880-2023")</f>
        <v/>
      </c>
      <c r="Y975">
        <f>HYPERLINK("https://klasma.github.io/Logging_2421/tillsynsmail/A 60880-2023 tillsynsbegäran mail.docx", "A 60880-2023")</f>
        <v/>
      </c>
    </row>
    <row r="976" ht="15" customHeight="1">
      <c r="A976" t="inlineStr">
        <is>
          <t>A 61590-2023</t>
        </is>
      </c>
      <c r="B976" s="1" t="n">
        <v>45265</v>
      </c>
      <c r="C976" s="1" t="n">
        <v>45357</v>
      </c>
      <c r="D976" t="inlineStr">
        <is>
          <t>VÄSTERBOTTENS LÄN</t>
        </is>
      </c>
      <c r="E976" t="inlineStr">
        <is>
          <t>LYCKSELE</t>
        </is>
      </c>
      <c r="G976" t="n">
        <v>8.800000000000001</v>
      </c>
      <c r="H976" t="n">
        <v>1</v>
      </c>
      <c r="I976" t="n">
        <v>1</v>
      </c>
      <c r="J976" t="n">
        <v>0</v>
      </c>
      <c r="K976" t="n">
        <v>0</v>
      </c>
      <c r="L976" t="n">
        <v>0</v>
      </c>
      <c r="M976" t="n">
        <v>0</v>
      </c>
      <c r="N976" t="n">
        <v>0</v>
      </c>
      <c r="O976" t="n">
        <v>0</v>
      </c>
      <c r="P976" t="n">
        <v>0</v>
      </c>
      <c r="Q976" t="n">
        <v>1</v>
      </c>
      <c r="R976" s="2" t="inlineStr">
        <is>
          <t>Plattlummer</t>
        </is>
      </c>
      <c r="S976">
        <f>HYPERLINK("https://klasma.github.io/Logging_2481/artfynd/A 61590-2023 artfynd.xlsx", "A 61590-2023")</f>
        <v/>
      </c>
      <c r="T976">
        <f>HYPERLINK("https://klasma.github.io/Logging_2481/kartor/A 61590-2023 karta.png", "A 61590-2023")</f>
        <v/>
      </c>
      <c r="V976">
        <f>HYPERLINK("https://klasma.github.io/Logging_2481/klagomål/A 61590-2023 FSC-klagomål.docx", "A 61590-2023")</f>
        <v/>
      </c>
      <c r="W976">
        <f>HYPERLINK("https://klasma.github.io/Logging_2481/klagomålsmail/A 61590-2023 FSC-klagomål mail.docx", "A 61590-2023")</f>
        <v/>
      </c>
      <c r="X976">
        <f>HYPERLINK("https://klasma.github.io/Logging_2481/tillsyn/A 61590-2023 tillsynsbegäran.docx", "A 61590-2023")</f>
        <v/>
      </c>
      <c r="Y976">
        <f>HYPERLINK("https://klasma.github.io/Logging_2481/tillsynsmail/A 61590-2023 tillsynsbegäran mail.docx", "A 61590-2023")</f>
        <v/>
      </c>
    </row>
    <row r="977" ht="15" customHeight="1">
      <c r="A977" t="inlineStr">
        <is>
          <t>A 61794-2023</t>
        </is>
      </c>
      <c r="B977" s="1" t="n">
        <v>45265</v>
      </c>
      <c r="C977" s="1" t="n">
        <v>45357</v>
      </c>
      <c r="D977" t="inlineStr">
        <is>
          <t>VÄSTERBOTTENS LÄN</t>
        </is>
      </c>
      <c r="E977" t="inlineStr">
        <is>
          <t>NORDMALING</t>
        </is>
      </c>
      <c r="F977" t="inlineStr">
        <is>
          <t>SCA</t>
        </is>
      </c>
      <c r="G977" t="n">
        <v>2.2</v>
      </c>
      <c r="H977" t="n">
        <v>0</v>
      </c>
      <c r="I977" t="n">
        <v>0</v>
      </c>
      <c r="J977" t="n">
        <v>1</v>
      </c>
      <c r="K977" t="n">
        <v>0</v>
      </c>
      <c r="L977" t="n">
        <v>0</v>
      </c>
      <c r="M977" t="n">
        <v>0</v>
      </c>
      <c r="N977" t="n">
        <v>0</v>
      </c>
      <c r="O977" t="n">
        <v>1</v>
      </c>
      <c r="P977" t="n">
        <v>0</v>
      </c>
      <c r="Q977" t="n">
        <v>1</v>
      </c>
      <c r="R977" s="2" t="inlineStr">
        <is>
          <t>Ullticka</t>
        </is>
      </c>
      <c r="S977">
        <f>HYPERLINK("https://klasma.github.io/Logging_2401/artfynd/A 61794-2023 artfynd.xlsx", "A 61794-2023")</f>
        <v/>
      </c>
      <c r="T977">
        <f>HYPERLINK("https://klasma.github.io/Logging_2401/kartor/A 61794-2023 karta.png", "A 61794-2023")</f>
        <v/>
      </c>
      <c r="V977">
        <f>HYPERLINK("https://klasma.github.io/Logging_2401/klagomål/A 61794-2023 FSC-klagomål.docx", "A 61794-2023")</f>
        <v/>
      </c>
      <c r="W977">
        <f>HYPERLINK("https://klasma.github.io/Logging_2401/klagomålsmail/A 61794-2023 FSC-klagomål mail.docx", "A 61794-2023")</f>
        <v/>
      </c>
      <c r="X977">
        <f>HYPERLINK("https://klasma.github.io/Logging_2401/tillsyn/A 61794-2023 tillsynsbegäran.docx", "A 61794-2023")</f>
        <v/>
      </c>
      <c r="Y977">
        <f>HYPERLINK("https://klasma.github.io/Logging_2401/tillsynsmail/A 61794-2023 tillsynsbegäran mail.docx", "A 61794-2023")</f>
        <v/>
      </c>
    </row>
    <row r="978" ht="15" customHeight="1">
      <c r="A978" t="inlineStr">
        <is>
          <t>A 63770-2023</t>
        </is>
      </c>
      <c r="B978" s="1" t="n">
        <v>45278</v>
      </c>
      <c r="C978" s="1" t="n">
        <v>45357</v>
      </c>
      <c r="D978" t="inlineStr">
        <is>
          <t>VÄSTERBOTTENS LÄN</t>
        </is>
      </c>
      <c r="E978" t="inlineStr">
        <is>
          <t>ROBERTSFORS</t>
        </is>
      </c>
      <c r="F978" t="inlineStr">
        <is>
          <t>Sveaskog</t>
        </is>
      </c>
      <c r="G978" t="n">
        <v>1.4</v>
      </c>
      <c r="H978" t="n">
        <v>0</v>
      </c>
      <c r="I978" t="n">
        <v>0</v>
      </c>
      <c r="J978" t="n">
        <v>1</v>
      </c>
      <c r="K978" t="n">
        <v>0</v>
      </c>
      <c r="L978" t="n">
        <v>0</v>
      </c>
      <c r="M978" t="n">
        <v>0</v>
      </c>
      <c r="N978" t="n">
        <v>0</v>
      </c>
      <c r="O978" t="n">
        <v>1</v>
      </c>
      <c r="P978" t="n">
        <v>0</v>
      </c>
      <c r="Q978" t="n">
        <v>1</v>
      </c>
      <c r="R978" s="2" t="inlineStr">
        <is>
          <t>Vaddporing</t>
        </is>
      </c>
      <c r="S978">
        <f>HYPERLINK("https://klasma.github.io/Logging_2409/artfynd/A 63770-2023 artfynd.xlsx", "A 63770-2023")</f>
        <v/>
      </c>
      <c r="T978">
        <f>HYPERLINK("https://klasma.github.io/Logging_2409/kartor/A 63770-2023 karta.png", "A 63770-2023")</f>
        <v/>
      </c>
      <c r="V978">
        <f>HYPERLINK("https://klasma.github.io/Logging_2409/klagomål/A 63770-2023 FSC-klagomål.docx", "A 63770-2023")</f>
        <v/>
      </c>
      <c r="W978">
        <f>HYPERLINK("https://klasma.github.io/Logging_2409/klagomålsmail/A 63770-2023 FSC-klagomål mail.docx", "A 63770-2023")</f>
        <v/>
      </c>
      <c r="X978">
        <f>HYPERLINK("https://klasma.github.io/Logging_2409/tillsyn/A 63770-2023 tillsynsbegäran.docx", "A 63770-2023")</f>
        <v/>
      </c>
      <c r="Y978">
        <f>HYPERLINK("https://klasma.github.io/Logging_2409/tillsynsmail/A 63770-2023 tillsynsbegäran mail.docx", "A 63770-2023")</f>
        <v/>
      </c>
    </row>
    <row r="979" ht="15" customHeight="1">
      <c r="A979" t="inlineStr">
        <is>
          <t>A 64030-2023</t>
        </is>
      </c>
      <c r="B979" s="1" t="n">
        <v>45278</v>
      </c>
      <c r="C979" s="1" t="n">
        <v>45357</v>
      </c>
      <c r="D979" t="inlineStr">
        <is>
          <t>VÄSTERBOTTENS LÄN</t>
        </is>
      </c>
      <c r="E979" t="inlineStr">
        <is>
          <t>VILHELMINA</t>
        </is>
      </c>
      <c r="F979" t="inlineStr">
        <is>
          <t>SCA</t>
        </is>
      </c>
      <c r="G979" t="n">
        <v>1.7</v>
      </c>
      <c r="H979" t="n">
        <v>0</v>
      </c>
      <c r="I979" t="n">
        <v>0</v>
      </c>
      <c r="J979" t="n">
        <v>1</v>
      </c>
      <c r="K979" t="n">
        <v>0</v>
      </c>
      <c r="L979" t="n">
        <v>0</v>
      </c>
      <c r="M979" t="n">
        <v>0</v>
      </c>
      <c r="N979" t="n">
        <v>0</v>
      </c>
      <c r="O979" t="n">
        <v>1</v>
      </c>
      <c r="P979" t="n">
        <v>0</v>
      </c>
      <c r="Q979" t="n">
        <v>1</v>
      </c>
      <c r="R979" s="2" t="inlineStr">
        <is>
          <t>Ullticka</t>
        </is>
      </c>
      <c r="S979">
        <f>HYPERLINK("https://klasma.github.io/Logging_2462/artfynd/A 64030-2023 artfynd.xlsx", "A 64030-2023")</f>
        <v/>
      </c>
      <c r="T979">
        <f>HYPERLINK("https://klasma.github.io/Logging_2462/kartor/A 64030-2023 karta.png", "A 64030-2023")</f>
        <v/>
      </c>
      <c r="V979">
        <f>HYPERLINK("https://klasma.github.io/Logging_2462/klagomål/A 64030-2023 FSC-klagomål.docx", "A 64030-2023")</f>
        <v/>
      </c>
      <c r="W979">
        <f>HYPERLINK("https://klasma.github.io/Logging_2462/klagomålsmail/A 64030-2023 FSC-klagomål mail.docx", "A 64030-2023")</f>
        <v/>
      </c>
      <c r="X979">
        <f>HYPERLINK("https://klasma.github.io/Logging_2462/tillsyn/A 64030-2023 tillsynsbegäran.docx", "A 64030-2023")</f>
        <v/>
      </c>
      <c r="Y979">
        <f>HYPERLINK("https://klasma.github.io/Logging_2462/tillsynsmail/A 64030-2023 tillsynsbegäran mail.docx", "A 64030-2023")</f>
        <v/>
      </c>
    </row>
    <row r="980" ht="15" customHeight="1">
      <c r="A980" t="inlineStr">
        <is>
          <t>A 64499-2023</t>
        </is>
      </c>
      <c r="B980" s="1" t="n">
        <v>45280</v>
      </c>
      <c r="C980" s="1" t="n">
        <v>45357</v>
      </c>
      <c r="D980" t="inlineStr">
        <is>
          <t>VÄSTERBOTTENS LÄN</t>
        </is>
      </c>
      <c r="E980" t="inlineStr">
        <is>
          <t>BJURHOLM</t>
        </is>
      </c>
      <c r="F980" t="inlineStr">
        <is>
          <t>SCA</t>
        </is>
      </c>
      <c r="G980" t="n">
        <v>4</v>
      </c>
      <c r="H980" t="n">
        <v>0</v>
      </c>
      <c r="I980" t="n">
        <v>0</v>
      </c>
      <c r="J980" t="n">
        <v>1</v>
      </c>
      <c r="K980" t="n">
        <v>0</v>
      </c>
      <c r="L980" t="n">
        <v>0</v>
      </c>
      <c r="M980" t="n">
        <v>0</v>
      </c>
      <c r="N980" t="n">
        <v>0</v>
      </c>
      <c r="O980" t="n">
        <v>1</v>
      </c>
      <c r="P980" t="n">
        <v>0</v>
      </c>
      <c r="Q980" t="n">
        <v>1</v>
      </c>
      <c r="R980" s="2" t="inlineStr">
        <is>
          <t>Dvärgbägarlav</t>
        </is>
      </c>
      <c r="S980">
        <f>HYPERLINK("https://klasma.github.io/Logging_2403/artfynd/A 64499-2023 artfynd.xlsx", "A 64499-2023")</f>
        <v/>
      </c>
      <c r="T980">
        <f>HYPERLINK("https://klasma.github.io/Logging_2403/kartor/A 64499-2023 karta.png", "A 64499-2023")</f>
        <v/>
      </c>
      <c r="V980">
        <f>HYPERLINK("https://klasma.github.io/Logging_2403/klagomål/A 64499-2023 FSC-klagomål.docx", "A 64499-2023")</f>
        <v/>
      </c>
      <c r="W980">
        <f>HYPERLINK("https://klasma.github.io/Logging_2403/klagomålsmail/A 64499-2023 FSC-klagomål mail.docx", "A 64499-2023")</f>
        <v/>
      </c>
      <c r="X980">
        <f>HYPERLINK("https://klasma.github.io/Logging_2403/tillsyn/A 64499-2023 tillsynsbegäran.docx", "A 64499-2023")</f>
        <v/>
      </c>
      <c r="Y980">
        <f>HYPERLINK("https://klasma.github.io/Logging_2403/tillsynsmail/A 64499-2023 tillsynsbegäran mail.docx", "A 64499-2023")</f>
        <v/>
      </c>
    </row>
    <row r="981" ht="15" customHeight="1">
      <c r="A981" t="inlineStr">
        <is>
          <t>A 65043-2023</t>
        </is>
      </c>
      <c r="B981" s="1" t="n">
        <v>45283</v>
      </c>
      <c r="C981" s="1" t="n">
        <v>45357</v>
      </c>
      <c r="D981" t="inlineStr">
        <is>
          <t>VÄSTERBOTTENS LÄN</t>
        </is>
      </c>
      <c r="E981" t="inlineStr">
        <is>
          <t>NORDMALING</t>
        </is>
      </c>
      <c r="F981" t="inlineStr">
        <is>
          <t>Kommuner</t>
        </is>
      </c>
      <c r="G981" t="n">
        <v>9.1</v>
      </c>
      <c r="H981" t="n">
        <v>1</v>
      </c>
      <c r="I981" t="n">
        <v>0</v>
      </c>
      <c r="J981" t="n">
        <v>1</v>
      </c>
      <c r="K981" t="n">
        <v>0</v>
      </c>
      <c r="L981" t="n">
        <v>0</v>
      </c>
      <c r="M981" t="n">
        <v>0</v>
      </c>
      <c r="N981" t="n">
        <v>0</v>
      </c>
      <c r="O981" t="n">
        <v>1</v>
      </c>
      <c r="P981" t="n">
        <v>0</v>
      </c>
      <c r="Q981" t="n">
        <v>1</v>
      </c>
      <c r="R981" s="2" t="inlineStr">
        <is>
          <t>Grönsångare</t>
        </is>
      </c>
      <c r="S981">
        <f>HYPERLINK("https://klasma.github.io/Logging_2401/artfynd/A 65043-2023 artfynd.xlsx", "A 65043-2023")</f>
        <v/>
      </c>
      <c r="T981">
        <f>HYPERLINK("https://klasma.github.io/Logging_2401/kartor/A 65043-2023 karta.png", "A 65043-2023")</f>
        <v/>
      </c>
      <c r="V981">
        <f>HYPERLINK("https://klasma.github.io/Logging_2401/klagomål/A 65043-2023 FSC-klagomål.docx", "A 65043-2023")</f>
        <v/>
      </c>
      <c r="W981">
        <f>HYPERLINK("https://klasma.github.io/Logging_2401/klagomålsmail/A 65043-2023 FSC-klagomål mail.docx", "A 65043-2023")</f>
        <v/>
      </c>
      <c r="X981">
        <f>HYPERLINK("https://klasma.github.io/Logging_2401/tillsyn/A 65043-2023 tillsynsbegäran.docx", "A 65043-2023")</f>
        <v/>
      </c>
      <c r="Y981">
        <f>HYPERLINK("https://klasma.github.io/Logging_2401/tillsynsmail/A 65043-2023 tillsynsbegäran mail.docx", "A 65043-2023")</f>
        <v/>
      </c>
    </row>
    <row r="982" ht="15" customHeight="1">
      <c r="A982" t="inlineStr">
        <is>
          <t>A 488-2024</t>
        </is>
      </c>
      <c r="B982" s="1" t="n">
        <v>45298</v>
      </c>
      <c r="C982" s="1" t="n">
        <v>45357</v>
      </c>
      <c r="D982" t="inlineStr">
        <is>
          <t>VÄSTERBOTTENS LÄN</t>
        </is>
      </c>
      <c r="E982" t="inlineStr">
        <is>
          <t>SKELLEFTEÅ</t>
        </is>
      </c>
      <c r="G982" t="n">
        <v>3.6</v>
      </c>
      <c r="H982" t="n">
        <v>1</v>
      </c>
      <c r="I982" t="n">
        <v>0</v>
      </c>
      <c r="J982" t="n">
        <v>1</v>
      </c>
      <c r="K982" t="n">
        <v>0</v>
      </c>
      <c r="L982" t="n">
        <v>0</v>
      </c>
      <c r="M982" t="n">
        <v>0</v>
      </c>
      <c r="N982" t="n">
        <v>0</v>
      </c>
      <c r="O982" t="n">
        <v>1</v>
      </c>
      <c r="P982" t="n">
        <v>0</v>
      </c>
      <c r="Q982" t="n">
        <v>1</v>
      </c>
      <c r="R982" s="2" t="inlineStr">
        <is>
          <t>Spillkråka</t>
        </is>
      </c>
      <c r="S982">
        <f>HYPERLINK("https://klasma.github.io/Logging_2482/artfynd/A 488-2024 artfynd.xlsx", "A 488-2024")</f>
        <v/>
      </c>
      <c r="T982">
        <f>HYPERLINK("https://klasma.github.io/Logging_2482/kartor/A 488-2024 karta.png", "A 488-2024")</f>
        <v/>
      </c>
      <c r="V982">
        <f>HYPERLINK("https://klasma.github.io/Logging_2482/klagomål/A 488-2024 FSC-klagomål.docx", "A 488-2024")</f>
        <v/>
      </c>
      <c r="W982">
        <f>HYPERLINK("https://klasma.github.io/Logging_2482/klagomålsmail/A 488-2024 FSC-klagomål mail.docx", "A 488-2024")</f>
        <v/>
      </c>
      <c r="X982">
        <f>HYPERLINK("https://klasma.github.io/Logging_2482/tillsyn/A 488-2024 tillsynsbegäran.docx", "A 488-2024")</f>
        <v/>
      </c>
      <c r="Y982">
        <f>HYPERLINK("https://klasma.github.io/Logging_2482/tillsynsmail/A 488-2024 tillsynsbegäran mail.docx", "A 488-2024")</f>
        <v/>
      </c>
      <c r="Z982">
        <f>HYPERLINK("https://klasma.github.io/Logging_2482/fåglar/A 488-2024 prioriterade fågelarter.docx", "A 488-2024")</f>
        <v/>
      </c>
    </row>
    <row r="983" ht="15" customHeight="1">
      <c r="A983" t="inlineStr">
        <is>
          <t>A 496-2024</t>
        </is>
      </c>
      <c r="B983" s="1" t="n">
        <v>45299</v>
      </c>
      <c r="C983" s="1" t="n">
        <v>45357</v>
      </c>
      <c r="D983" t="inlineStr">
        <is>
          <t>VÄSTERBOTTENS LÄN</t>
        </is>
      </c>
      <c r="E983" t="inlineStr">
        <is>
          <t>LYCKSELE</t>
        </is>
      </c>
      <c r="G983" t="n">
        <v>5.2</v>
      </c>
      <c r="H983" t="n">
        <v>1</v>
      </c>
      <c r="I983" t="n">
        <v>0</v>
      </c>
      <c r="J983" t="n">
        <v>1</v>
      </c>
      <c r="K983" t="n">
        <v>0</v>
      </c>
      <c r="L983" t="n">
        <v>0</v>
      </c>
      <c r="M983" t="n">
        <v>0</v>
      </c>
      <c r="N983" t="n">
        <v>0</v>
      </c>
      <c r="O983" t="n">
        <v>1</v>
      </c>
      <c r="P983" t="n">
        <v>0</v>
      </c>
      <c r="Q983" t="n">
        <v>1</v>
      </c>
      <c r="R983" s="2" t="inlineStr">
        <is>
          <t>Tretåig hackspett</t>
        </is>
      </c>
      <c r="S983">
        <f>HYPERLINK("https://klasma.github.io/Logging_2481/artfynd/A 496-2024 artfynd.xlsx", "A 496-2024")</f>
        <v/>
      </c>
      <c r="T983">
        <f>HYPERLINK("https://klasma.github.io/Logging_2481/kartor/A 496-2024 karta.png", "A 496-2024")</f>
        <v/>
      </c>
      <c r="V983">
        <f>HYPERLINK("https://klasma.github.io/Logging_2481/klagomål/A 496-2024 FSC-klagomål.docx", "A 496-2024")</f>
        <v/>
      </c>
      <c r="W983">
        <f>HYPERLINK("https://klasma.github.io/Logging_2481/klagomålsmail/A 496-2024 FSC-klagomål mail.docx", "A 496-2024")</f>
        <v/>
      </c>
      <c r="X983">
        <f>HYPERLINK("https://klasma.github.io/Logging_2481/tillsyn/A 496-2024 tillsynsbegäran.docx", "A 496-2024")</f>
        <v/>
      </c>
      <c r="Y983">
        <f>HYPERLINK("https://klasma.github.io/Logging_2481/tillsynsmail/A 496-2024 tillsynsbegäran mail.docx", "A 496-2024")</f>
        <v/>
      </c>
      <c r="Z983">
        <f>HYPERLINK("https://klasma.github.io/Logging_2481/fåglar/A 496-2024 prioriterade fågelarter.docx", "A 496-2024")</f>
        <v/>
      </c>
    </row>
    <row r="984" ht="15" customHeight="1">
      <c r="A984" t="inlineStr">
        <is>
          <t>A 1830-2024</t>
        </is>
      </c>
      <c r="B984" s="1" t="n">
        <v>45307</v>
      </c>
      <c r="C984" s="1" t="n">
        <v>45357</v>
      </c>
      <c r="D984" t="inlineStr">
        <is>
          <t>VÄSTERBOTTENS LÄN</t>
        </is>
      </c>
      <c r="E984" t="inlineStr">
        <is>
          <t>ROBERTSFORS</t>
        </is>
      </c>
      <c r="F984" t="inlineStr">
        <is>
          <t>Holmen skog AB</t>
        </is>
      </c>
      <c r="G984" t="n">
        <v>0.6</v>
      </c>
      <c r="H984" t="n">
        <v>0</v>
      </c>
      <c r="I984" t="n">
        <v>0</v>
      </c>
      <c r="J984" t="n">
        <v>1</v>
      </c>
      <c r="K984" t="n">
        <v>0</v>
      </c>
      <c r="L984" t="n">
        <v>0</v>
      </c>
      <c r="M984" t="n">
        <v>0</v>
      </c>
      <c r="N984" t="n">
        <v>0</v>
      </c>
      <c r="O984" t="n">
        <v>1</v>
      </c>
      <c r="P984" t="n">
        <v>0</v>
      </c>
      <c r="Q984" t="n">
        <v>1</v>
      </c>
      <c r="R984" s="2" t="inlineStr">
        <is>
          <t>Svart taggsvamp</t>
        </is>
      </c>
      <c r="S984">
        <f>HYPERLINK("https://klasma.github.io/Logging_2409/artfynd/A 1830-2024 artfynd.xlsx", "A 1830-2024")</f>
        <v/>
      </c>
      <c r="T984">
        <f>HYPERLINK("https://klasma.github.io/Logging_2409/kartor/A 1830-2024 karta.png", "A 1830-2024")</f>
        <v/>
      </c>
      <c r="V984">
        <f>HYPERLINK("https://klasma.github.io/Logging_2409/klagomål/A 1830-2024 FSC-klagomål.docx", "A 1830-2024")</f>
        <v/>
      </c>
      <c r="W984">
        <f>HYPERLINK("https://klasma.github.io/Logging_2409/klagomålsmail/A 1830-2024 FSC-klagomål mail.docx", "A 1830-2024")</f>
        <v/>
      </c>
      <c r="X984">
        <f>HYPERLINK("https://klasma.github.io/Logging_2409/tillsyn/A 1830-2024 tillsynsbegäran.docx", "A 1830-2024")</f>
        <v/>
      </c>
      <c r="Y984">
        <f>HYPERLINK("https://klasma.github.io/Logging_2409/tillsynsmail/A 1830-2024 tillsynsbegäran mail.docx", "A 1830-2024")</f>
        <v/>
      </c>
    </row>
    <row r="985" ht="15" customHeight="1">
      <c r="A985" t="inlineStr">
        <is>
          <t>A 1778-2024</t>
        </is>
      </c>
      <c r="B985" s="1" t="n">
        <v>45307</v>
      </c>
      <c r="C985" s="1" t="n">
        <v>45357</v>
      </c>
      <c r="D985" t="inlineStr">
        <is>
          <t>VÄSTERBOTTENS LÄN</t>
        </is>
      </c>
      <c r="E985" t="inlineStr">
        <is>
          <t>LYCKSELE</t>
        </is>
      </c>
      <c r="F985" t="inlineStr">
        <is>
          <t>Sveaskog</t>
        </is>
      </c>
      <c r="G985" t="n">
        <v>9.800000000000001</v>
      </c>
      <c r="H985" t="n">
        <v>0</v>
      </c>
      <c r="I985" t="n">
        <v>0</v>
      </c>
      <c r="J985" t="n">
        <v>1</v>
      </c>
      <c r="K985" t="n">
        <v>0</v>
      </c>
      <c r="L985" t="n">
        <v>0</v>
      </c>
      <c r="M985" t="n">
        <v>0</v>
      </c>
      <c r="N985" t="n">
        <v>0</v>
      </c>
      <c r="O985" t="n">
        <v>1</v>
      </c>
      <c r="P985" t="n">
        <v>0</v>
      </c>
      <c r="Q985" t="n">
        <v>1</v>
      </c>
      <c r="R985" s="2" t="inlineStr">
        <is>
          <t>Lunglav</t>
        </is>
      </c>
      <c r="S985">
        <f>HYPERLINK("https://klasma.github.io/Logging_2481/artfynd/A 1778-2024 artfynd.xlsx", "A 1778-2024")</f>
        <v/>
      </c>
      <c r="T985">
        <f>HYPERLINK("https://klasma.github.io/Logging_2481/kartor/A 1778-2024 karta.png", "A 1778-2024")</f>
        <v/>
      </c>
      <c r="V985">
        <f>HYPERLINK("https://klasma.github.io/Logging_2481/klagomål/A 1778-2024 FSC-klagomål.docx", "A 1778-2024")</f>
        <v/>
      </c>
      <c r="W985">
        <f>HYPERLINK("https://klasma.github.io/Logging_2481/klagomålsmail/A 1778-2024 FSC-klagomål mail.docx", "A 1778-2024")</f>
        <v/>
      </c>
      <c r="X985">
        <f>HYPERLINK("https://klasma.github.io/Logging_2481/tillsyn/A 1778-2024 tillsynsbegäran.docx", "A 1778-2024")</f>
        <v/>
      </c>
      <c r="Y985">
        <f>HYPERLINK("https://klasma.github.io/Logging_2481/tillsynsmail/A 1778-2024 tillsynsbegäran mail.docx", "A 1778-2024")</f>
        <v/>
      </c>
    </row>
    <row r="986" ht="15" customHeight="1">
      <c r="A986" t="inlineStr">
        <is>
          <t>A 1936-2024</t>
        </is>
      </c>
      <c r="B986" s="1" t="n">
        <v>45308</v>
      </c>
      <c r="C986" s="1" t="n">
        <v>45357</v>
      </c>
      <c r="D986" t="inlineStr">
        <is>
          <t>VÄSTERBOTTENS LÄN</t>
        </is>
      </c>
      <c r="E986" t="inlineStr">
        <is>
          <t>LYCKSELE</t>
        </is>
      </c>
      <c r="F986" t="inlineStr">
        <is>
          <t>Sveaskog</t>
        </is>
      </c>
      <c r="G986" t="n">
        <v>6.4</v>
      </c>
      <c r="H986" t="n">
        <v>0</v>
      </c>
      <c r="I986" t="n">
        <v>0</v>
      </c>
      <c r="J986" t="n">
        <v>1</v>
      </c>
      <c r="K986" t="n">
        <v>0</v>
      </c>
      <c r="L986" t="n">
        <v>0</v>
      </c>
      <c r="M986" t="n">
        <v>0</v>
      </c>
      <c r="N986" t="n">
        <v>0</v>
      </c>
      <c r="O986" t="n">
        <v>1</v>
      </c>
      <c r="P986" t="n">
        <v>0</v>
      </c>
      <c r="Q986" t="n">
        <v>1</v>
      </c>
      <c r="R986" s="2" t="inlineStr">
        <is>
          <t>Orange taggsvamp</t>
        </is>
      </c>
      <c r="S986">
        <f>HYPERLINK("https://klasma.github.io/Logging_2481/artfynd/A 1936-2024 artfynd.xlsx", "A 1936-2024")</f>
        <v/>
      </c>
      <c r="T986">
        <f>HYPERLINK("https://klasma.github.io/Logging_2481/kartor/A 1936-2024 karta.png", "A 1936-2024")</f>
        <v/>
      </c>
      <c r="V986">
        <f>HYPERLINK("https://klasma.github.io/Logging_2481/klagomål/A 1936-2024 FSC-klagomål.docx", "A 1936-2024")</f>
        <v/>
      </c>
      <c r="W986">
        <f>HYPERLINK("https://klasma.github.io/Logging_2481/klagomålsmail/A 1936-2024 FSC-klagomål mail.docx", "A 1936-2024")</f>
        <v/>
      </c>
      <c r="X986">
        <f>HYPERLINK("https://klasma.github.io/Logging_2481/tillsyn/A 1936-2024 tillsynsbegäran.docx", "A 1936-2024")</f>
        <v/>
      </c>
      <c r="Y986">
        <f>HYPERLINK("https://klasma.github.io/Logging_2481/tillsynsmail/A 1936-2024 tillsynsbegäran mail.docx", "A 1936-2024")</f>
        <v/>
      </c>
    </row>
    <row r="987" ht="15" customHeight="1">
      <c r="A987" t="inlineStr">
        <is>
          <t>A 1973-2024</t>
        </is>
      </c>
      <c r="B987" s="1" t="n">
        <v>45308</v>
      </c>
      <c r="C987" s="1" t="n">
        <v>45357</v>
      </c>
      <c r="D987" t="inlineStr">
        <is>
          <t>VÄSTERBOTTENS LÄN</t>
        </is>
      </c>
      <c r="E987" t="inlineStr">
        <is>
          <t>LYCKSELE</t>
        </is>
      </c>
      <c r="F987" t="inlineStr">
        <is>
          <t>Sveaskog</t>
        </is>
      </c>
      <c r="G987" t="n">
        <v>1.7</v>
      </c>
      <c r="H987" t="n">
        <v>0</v>
      </c>
      <c r="I987" t="n">
        <v>0</v>
      </c>
      <c r="J987" t="n">
        <v>1</v>
      </c>
      <c r="K987" t="n">
        <v>0</v>
      </c>
      <c r="L987" t="n">
        <v>0</v>
      </c>
      <c r="M987" t="n">
        <v>0</v>
      </c>
      <c r="N987" t="n">
        <v>0</v>
      </c>
      <c r="O987" t="n">
        <v>1</v>
      </c>
      <c r="P987" t="n">
        <v>0</v>
      </c>
      <c r="Q987" t="n">
        <v>1</v>
      </c>
      <c r="R987" s="2" t="inlineStr">
        <is>
          <t>Kolflarnlav</t>
        </is>
      </c>
      <c r="S987">
        <f>HYPERLINK("https://klasma.github.io/Logging_2481/artfynd/A 1973-2024 artfynd.xlsx", "A 1973-2024")</f>
        <v/>
      </c>
      <c r="T987">
        <f>HYPERLINK("https://klasma.github.io/Logging_2481/kartor/A 1973-2024 karta.png", "A 1973-2024")</f>
        <v/>
      </c>
      <c r="V987">
        <f>HYPERLINK("https://klasma.github.io/Logging_2481/klagomål/A 1973-2024 FSC-klagomål.docx", "A 1973-2024")</f>
        <v/>
      </c>
      <c r="W987">
        <f>HYPERLINK("https://klasma.github.io/Logging_2481/klagomålsmail/A 1973-2024 FSC-klagomål mail.docx", "A 1973-2024")</f>
        <v/>
      </c>
      <c r="X987">
        <f>HYPERLINK("https://klasma.github.io/Logging_2481/tillsyn/A 1973-2024 tillsynsbegäran.docx", "A 1973-2024")</f>
        <v/>
      </c>
      <c r="Y987">
        <f>HYPERLINK("https://klasma.github.io/Logging_2481/tillsynsmail/A 1973-2024 tillsynsbegäran mail.docx", "A 1973-2024")</f>
        <v/>
      </c>
    </row>
    <row r="988" ht="15" customHeight="1">
      <c r="A988" t="inlineStr">
        <is>
          <t>A 3939-2024</t>
        </is>
      </c>
      <c r="B988" s="1" t="n">
        <v>45322</v>
      </c>
      <c r="C988" s="1" t="n">
        <v>45357</v>
      </c>
      <c r="D988" t="inlineStr">
        <is>
          <t>VÄSTERBOTTENS LÄN</t>
        </is>
      </c>
      <c r="E988" t="inlineStr">
        <is>
          <t>SKELLEFTEÅ</t>
        </is>
      </c>
      <c r="G988" t="n">
        <v>1.9</v>
      </c>
      <c r="H988" t="n">
        <v>0</v>
      </c>
      <c r="I988" t="n">
        <v>1</v>
      </c>
      <c r="J988" t="n">
        <v>0</v>
      </c>
      <c r="K988" t="n">
        <v>0</v>
      </c>
      <c r="L988" t="n">
        <v>0</v>
      </c>
      <c r="M988" t="n">
        <v>0</v>
      </c>
      <c r="N988" t="n">
        <v>0</v>
      </c>
      <c r="O988" t="n">
        <v>0</v>
      </c>
      <c r="P988" t="n">
        <v>0</v>
      </c>
      <c r="Q988" t="n">
        <v>1</v>
      </c>
      <c r="R988" s="2" t="inlineStr">
        <is>
          <t>Ögonpyrola</t>
        </is>
      </c>
      <c r="S988">
        <f>HYPERLINK("https://klasma.github.io/Logging_2482/artfynd/A 3939-2024 artfynd.xlsx", "A 3939-2024")</f>
        <v/>
      </c>
      <c r="T988">
        <f>HYPERLINK("https://klasma.github.io/Logging_2482/kartor/A 3939-2024 karta.png", "A 3939-2024")</f>
        <v/>
      </c>
      <c r="V988">
        <f>HYPERLINK("https://klasma.github.io/Logging_2482/klagomål/A 3939-2024 FSC-klagomål.docx", "A 3939-2024")</f>
        <v/>
      </c>
      <c r="W988">
        <f>HYPERLINK("https://klasma.github.io/Logging_2482/klagomålsmail/A 3939-2024 FSC-klagomål mail.docx", "A 3939-2024")</f>
        <v/>
      </c>
      <c r="X988">
        <f>HYPERLINK("https://klasma.github.io/Logging_2482/tillsyn/A 3939-2024 tillsynsbegäran.docx", "A 3939-2024")</f>
        <v/>
      </c>
      <c r="Y988">
        <f>HYPERLINK("https://klasma.github.io/Logging_2482/tillsynsmail/A 3939-2024 tillsynsbegäran mail.docx", "A 3939-2024")</f>
        <v/>
      </c>
    </row>
    <row r="989" ht="15" customHeight="1">
      <c r="A989" t="inlineStr">
        <is>
          <t>A 7379-2024</t>
        </is>
      </c>
      <c r="B989" s="1" t="n">
        <v>45345</v>
      </c>
      <c r="C989" s="1" t="n">
        <v>45357</v>
      </c>
      <c r="D989" t="inlineStr">
        <is>
          <t>VÄSTERBOTTENS LÄN</t>
        </is>
      </c>
      <c r="E989" t="inlineStr">
        <is>
          <t>ROBERTSFORS</t>
        </is>
      </c>
      <c r="F989" t="inlineStr">
        <is>
          <t>Sveaskog</t>
        </is>
      </c>
      <c r="G989" t="n">
        <v>12.9</v>
      </c>
      <c r="H989" t="n">
        <v>0</v>
      </c>
      <c r="I989" t="n">
        <v>0</v>
      </c>
      <c r="J989" t="n">
        <v>1</v>
      </c>
      <c r="K989" t="n">
        <v>0</v>
      </c>
      <c r="L989" t="n">
        <v>0</v>
      </c>
      <c r="M989" t="n">
        <v>0</v>
      </c>
      <c r="N989" t="n">
        <v>0</v>
      </c>
      <c r="O989" t="n">
        <v>1</v>
      </c>
      <c r="P989" t="n">
        <v>0</v>
      </c>
      <c r="Q989" t="n">
        <v>1</v>
      </c>
      <c r="R989" s="2" t="inlineStr">
        <is>
          <t>Garnlav</t>
        </is>
      </c>
      <c r="S989">
        <f>HYPERLINK("https://klasma.github.io/Logging_2409/artfynd/A 7379-2024 artfynd.xlsx", "A 7379-2024")</f>
        <v/>
      </c>
      <c r="T989">
        <f>HYPERLINK("https://klasma.github.io/Logging_2409/kartor/A 7379-2024 karta.png", "A 7379-2024")</f>
        <v/>
      </c>
      <c r="V989">
        <f>HYPERLINK("https://klasma.github.io/Logging_2409/klagomål/A 7379-2024 FSC-klagomål.docx", "A 7379-2024")</f>
        <v/>
      </c>
      <c r="W989">
        <f>HYPERLINK("https://klasma.github.io/Logging_2409/klagomålsmail/A 7379-2024 FSC-klagomål mail.docx", "A 7379-2024")</f>
        <v/>
      </c>
      <c r="X989">
        <f>HYPERLINK("https://klasma.github.io/Logging_2409/tillsyn/A 7379-2024 tillsynsbegäran.docx", "A 7379-2024")</f>
        <v/>
      </c>
      <c r="Y989">
        <f>HYPERLINK("https://klasma.github.io/Logging_2409/tillsynsmail/A 7379-2024 tillsynsbegäran mail.docx", "A 7379-2024")</f>
        <v/>
      </c>
    </row>
    <row r="990" ht="15" customHeight="1">
      <c r="A990" t="inlineStr">
        <is>
          <t>A 8159-2024</t>
        </is>
      </c>
      <c r="B990" s="1" t="n">
        <v>45351</v>
      </c>
      <c r="C990" s="1" t="n">
        <v>45357</v>
      </c>
      <c r="D990" t="inlineStr">
        <is>
          <t>VÄSTERBOTTENS LÄN</t>
        </is>
      </c>
      <c r="E990" t="inlineStr">
        <is>
          <t>NORSJÖ</t>
        </is>
      </c>
      <c r="G990" t="n">
        <v>20.4</v>
      </c>
      <c r="H990" t="n">
        <v>0</v>
      </c>
      <c r="I990" t="n">
        <v>0</v>
      </c>
      <c r="J990" t="n">
        <v>1</v>
      </c>
      <c r="K990" t="n">
        <v>0</v>
      </c>
      <c r="L990" t="n">
        <v>0</v>
      </c>
      <c r="M990" t="n">
        <v>0</v>
      </c>
      <c r="N990" t="n">
        <v>0</v>
      </c>
      <c r="O990" t="n">
        <v>1</v>
      </c>
      <c r="P990" t="n">
        <v>0</v>
      </c>
      <c r="Q990" t="n">
        <v>1</v>
      </c>
      <c r="R990" s="2" t="inlineStr">
        <is>
          <t>Garnlav</t>
        </is>
      </c>
      <c r="S990">
        <f>HYPERLINK("https://klasma.github.io/Logging_2417/artfynd/A 8159-2024 artfynd.xlsx", "A 8159-2024")</f>
        <v/>
      </c>
      <c r="T990">
        <f>HYPERLINK("https://klasma.github.io/Logging_2417/kartor/A 8159-2024 karta.png", "A 8159-2024")</f>
        <v/>
      </c>
      <c r="V990">
        <f>HYPERLINK("https://klasma.github.io/Logging_2417/klagomål/A 8159-2024 FSC-klagomål.docx", "A 8159-2024")</f>
        <v/>
      </c>
      <c r="W990">
        <f>HYPERLINK("https://klasma.github.io/Logging_2417/klagomålsmail/A 8159-2024 FSC-klagomål mail.docx", "A 8159-2024")</f>
        <v/>
      </c>
      <c r="X990">
        <f>HYPERLINK("https://klasma.github.io/Logging_2417/tillsyn/A 8159-2024 tillsynsbegäran.docx", "A 8159-2024")</f>
        <v/>
      </c>
      <c r="Y990">
        <f>HYPERLINK("https://klasma.github.io/Logging_2417/tillsynsmail/A 8159-2024 tillsynsbegäran mail.docx", "A 8159-2024")</f>
        <v/>
      </c>
    </row>
    <row r="991" ht="15" customHeight="1">
      <c r="A991" t="inlineStr">
        <is>
          <t>A 34038-2018</t>
        </is>
      </c>
      <c r="B991" s="1" t="n">
        <v>43315</v>
      </c>
      <c r="C991" s="1" t="n">
        <v>45357</v>
      </c>
      <c r="D991" t="inlineStr">
        <is>
          <t>VÄSTERBOTTENS LÄN</t>
        </is>
      </c>
      <c r="E991" t="inlineStr">
        <is>
          <t>VINDELN</t>
        </is>
      </c>
      <c r="F991" t="inlineStr">
        <is>
          <t>Holmen skog AB</t>
        </is>
      </c>
      <c r="G991" t="n">
        <v>20.7</v>
      </c>
      <c r="H991" t="n">
        <v>0</v>
      </c>
      <c r="I991" t="n">
        <v>0</v>
      </c>
      <c r="J991" t="n">
        <v>0</v>
      </c>
      <c r="K991" t="n">
        <v>0</v>
      </c>
      <c r="L991" t="n">
        <v>0</v>
      </c>
      <c r="M991" t="n">
        <v>0</v>
      </c>
      <c r="N991" t="n">
        <v>0</v>
      </c>
      <c r="O991" t="n">
        <v>0</v>
      </c>
      <c r="P991" t="n">
        <v>0</v>
      </c>
      <c r="Q991" t="n">
        <v>0</v>
      </c>
      <c r="R991" s="2" t="inlineStr"/>
    </row>
    <row r="992" ht="15" customHeight="1">
      <c r="A992" t="inlineStr">
        <is>
          <t>A 34230-2018</t>
        </is>
      </c>
      <c r="B992" s="1" t="n">
        <v>43318</v>
      </c>
      <c r="C992" s="1" t="n">
        <v>45357</v>
      </c>
      <c r="D992" t="inlineStr">
        <is>
          <t>VÄSTERBOTTENS LÄN</t>
        </is>
      </c>
      <c r="E992" t="inlineStr">
        <is>
          <t>SKELLEFTEÅ</t>
        </is>
      </c>
      <c r="G992" t="n">
        <v>1.5</v>
      </c>
      <c r="H992" t="n">
        <v>0</v>
      </c>
      <c r="I992" t="n">
        <v>0</v>
      </c>
      <c r="J992" t="n">
        <v>0</v>
      </c>
      <c r="K992" t="n">
        <v>0</v>
      </c>
      <c r="L992" t="n">
        <v>0</v>
      </c>
      <c r="M992" t="n">
        <v>0</v>
      </c>
      <c r="N992" t="n">
        <v>0</v>
      </c>
      <c r="O992" t="n">
        <v>0</v>
      </c>
      <c r="P992" t="n">
        <v>0</v>
      </c>
      <c r="Q992" t="n">
        <v>0</v>
      </c>
      <c r="R992" s="2" t="inlineStr"/>
    </row>
    <row r="993" ht="15" customHeight="1">
      <c r="A993" t="inlineStr">
        <is>
          <t>A 34252-2018</t>
        </is>
      </c>
      <c r="B993" s="1" t="n">
        <v>43318</v>
      </c>
      <c r="C993" s="1" t="n">
        <v>45357</v>
      </c>
      <c r="D993" t="inlineStr">
        <is>
          <t>VÄSTERBOTTENS LÄN</t>
        </is>
      </c>
      <c r="E993" t="inlineStr">
        <is>
          <t>SKELLEFTEÅ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34290-2018</t>
        </is>
      </c>
      <c r="B994" s="1" t="n">
        <v>43318</v>
      </c>
      <c r="C994" s="1" t="n">
        <v>45357</v>
      </c>
      <c r="D994" t="inlineStr">
        <is>
          <t>VÄSTERBOTTENS LÄN</t>
        </is>
      </c>
      <c r="E994" t="inlineStr">
        <is>
          <t>ÅSELE</t>
        </is>
      </c>
      <c r="G994" t="n">
        <v>0.9</v>
      </c>
      <c r="H994" t="n">
        <v>0</v>
      </c>
      <c r="I994" t="n">
        <v>0</v>
      </c>
      <c r="J994" t="n">
        <v>0</v>
      </c>
      <c r="K994" t="n">
        <v>0</v>
      </c>
      <c r="L994" t="n">
        <v>0</v>
      </c>
      <c r="M994" t="n">
        <v>0</v>
      </c>
      <c r="N994" t="n">
        <v>0</v>
      </c>
      <c r="O994" t="n">
        <v>0</v>
      </c>
      <c r="P994" t="n">
        <v>0</v>
      </c>
      <c r="Q994" t="n">
        <v>0</v>
      </c>
      <c r="R994" s="2" t="inlineStr"/>
    </row>
    <row r="995" ht="15" customHeight="1">
      <c r="A995" t="inlineStr">
        <is>
          <t>A 34232-2018</t>
        </is>
      </c>
      <c r="B995" s="1" t="n">
        <v>43318</v>
      </c>
      <c r="C995" s="1" t="n">
        <v>45357</v>
      </c>
      <c r="D995" t="inlineStr">
        <is>
          <t>VÄSTERBOTTENS LÄN</t>
        </is>
      </c>
      <c r="E995" t="inlineStr">
        <is>
          <t>SKELLEFTEÅ</t>
        </is>
      </c>
      <c r="G995" t="n">
        <v>3</v>
      </c>
      <c r="H995" t="n">
        <v>0</v>
      </c>
      <c r="I995" t="n">
        <v>0</v>
      </c>
      <c r="J995" t="n">
        <v>0</v>
      </c>
      <c r="K995" t="n">
        <v>0</v>
      </c>
      <c r="L995" t="n">
        <v>0</v>
      </c>
      <c r="M995" t="n">
        <v>0</v>
      </c>
      <c r="N995" t="n">
        <v>0</v>
      </c>
      <c r="O995" t="n">
        <v>0</v>
      </c>
      <c r="P995" t="n">
        <v>0</v>
      </c>
      <c r="Q995" t="n">
        <v>0</v>
      </c>
      <c r="R995" s="2" t="inlineStr"/>
    </row>
    <row r="996" ht="15" customHeight="1">
      <c r="A996" t="inlineStr">
        <is>
          <t>A 34257-2018</t>
        </is>
      </c>
      <c r="B996" s="1" t="n">
        <v>43318</v>
      </c>
      <c r="C996" s="1" t="n">
        <v>45357</v>
      </c>
      <c r="D996" t="inlineStr">
        <is>
          <t>VÄSTERBOTTENS LÄN</t>
        </is>
      </c>
      <c r="E996" t="inlineStr">
        <is>
          <t>NORSJÖ</t>
        </is>
      </c>
      <c r="G996" t="n">
        <v>0.7</v>
      </c>
      <c r="H996" t="n">
        <v>0</v>
      </c>
      <c r="I996" t="n">
        <v>0</v>
      </c>
      <c r="J996" t="n">
        <v>0</v>
      </c>
      <c r="K996" t="n">
        <v>0</v>
      </c>
      <c r="L996" t="n">
        <v>0</v>
      </c>
      <c r="M996" t="n">
        <v>0</v>
      </c>
      <c r="N996" t="n">
        <v>0</v>
      </c>
      <c r="O996" t="n">
        <v>0</v>
      </c>
      <c r="P996" t="n">
        <v>0</v>
      </c>
      <c r="Q996" t="n">
        <v>0</v>
      </c>
      <c r="R996" s="2" t="inlineStr"/>
    </row>
    <row r="997" ht="15" customHeight="1">
      <c r="A997" t="inlineStr">
        <is>
          <t>A 34396-2018</t>
        </is>
      </c>
      <c r="B997" s="1" t="n">
        <v>43319</v>
      </c>
      <c r="C997" s="1" t="n">
        <v>45357</v>
      </c>
      <c r="D997" t="inlineStr">
        <is>
          <t>VÄSTERBOTTENS LÄN</t>
        </is>
      </c>
      <c r="E997" t="inlineStr">
        <is>
          <t>SKELLEFTEÅ</t>
        </is>
      </c>
      <c r="G997" t="n">
        <v>15.8</v>
      </c>
      <c r="H997" t="n">
        <v>0</v>
      </c>
      <c r="I997" t="n">
        <v>0</v>
      </c>
      <c r="J997" t="n">
        <v>0</v>
      </c>
      <c r="K997" t="n">
        <v>0</v>
      </c>
      <c r="L997" t="n">
        <v>0</v>
      </c>
      <c r="M997" t="n">
        <v>0</v>
      </c>
      <c r="N997" t="n">
        <v>0</v>
      </c>
      <c r="O997" t="n">
        <v>0</v>
      </c>
      <c r="P997" t="n">
        <v>0</v>
      </c>
      <c r="Q997" t="n">
        <v>0</v>
      </c>
      <c r="R997" s="2" t="inlineStr"/>
    </row>
    <row r="998" ht="15" customHeight="1">
      <c r="A998" t="inlineStr">
        <is>
          <t>A 34544-2018</t>
        </is>
      </c>
      <c r="B998" s="1" t="n">
        <v>43320</v>
      </c>
      <c r="C998" s="1" t="n">
        <v>45357</v>
      </c>
      <c r="D998" t="inlineStr">
        <is>
          <t>VÄSTERBOTTENS LÄN</t>
        </is>
      </c>
      <c r="E998" t="inlineStr">
        <is>
          <t>VINDELN</t>
        </is>
      </c>
      <c r="G998" t="n">
        <v>4.8</v>
      </c>
      <c r="H998" t="n">
        <v>0</v>
      </c>
      <c r="I998" t="n">
        <v>0</v>
      </c>
      <c r="J998" t="n">
        <v>0</v>
      </c>
      <c r="K998" t="n">
        <v>0</v>
      </c>
      <c r="L998" t="n">
        <v>0</v>
      </c>
      <c r="M998" t="n">
        <v>0</v>
      </c>
      <c r="N998" t="n">
        <v>0</v>
      </c>
      <c r="O998" t="n">
        <v>0</v>
      </c>
      <c r="P998" t="n">
        <v>0</v>
      </c>
      <c r="Q998" t="n">
        <v>0</v>
      </c>
      <c r="R998" s="2" t="inlineStr"/>
    </row>
    <row r="999" ht="15" customHeight="1">
      <c r="A999" t="inlineStr">
        <is>
          <t>A 34746-2018</t>
        </is>
      </c>
      <c r="B999" s="1" t="n">
        <v>43320</v>
      </c>
      <c r="C999" s="1" t="n">
        <v>45357</v>
      </c>
      <c r="D999" t="inlineStr">
        <is>
          <t>VÄSTERBOTTENS LÄN</t>
        </is>
      </c>
      <c r="E999" t="inlineStr">
        <is>
          <t>DOROTEA</t>
        </is>
      </c>
      <c r="F999" t="inlineStr">
        <is>
          <t>SCA</t>
        </is>
      </c>
      <c r="G999" t="n">
        <v>6.3</v>
      </c>
      <c r="H999" t="n">
        <v>0</v>
      </c>
      <c r="I999" t="n">
        <v>0</v>
      </c>
      <c r="J999" t="n">
        <v>0</v>
      </c>
      <c r="K999" t="n">
        <v>0</v>
      </c>
      <c r="L999" t="n">
        <v>0</v>
      </c>
      <c r="M999" t="n">
        <v>0</v>
      </c>
      <c r="N999" t="n">
        <v>0</v>
      </c>
      <c r="O999" t="n">
        <v>0</v>
      </c>
      <c r="P999" t="n">
        <v>0</v>
      </c>
      <c r="Q999" t="n">
        <v>0</v>
      </c>
      <c r="R999" s="2" t="inlineStr"/>
    </row>
    <row r="1000" ht="15" customHeight="1">
      <c r="A1000" t="inlineStr">
        <is>
          <t>A 35255-2018</t>
        </is>
      </c>
      <c r="B1000" s="1" t="n">
        <v>43320</v>
      </c>
      <c r="C1000" s="1" t="n">
        <v>45357</v>
      </c>
      <c r="D1000" t="inlineStr">
        <is>
          <t>VÄSTERBOTTENS LÄN</t>
        </is>
      </c>
      <c r="E1000" t="inlineStr">
        <is>
          <t>NORSJÖ</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34901-2018</t>
        </is>
      </c>
      <c r="B1001" s="1" t="n">
        <v>43321</v>
      </c>
      <c r="C1001" s="1" t="n">
        <v>45357</v>
      </c>
      <c r="D1001" t="inlineStr">
        <is>
          <t>VÄSTERBOTTENS LÄN</t>
        </is>
      </c>
      <c r="E1001" t="inlineStr">
        <is>
          <t>MALÅ</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35291-2018</t>
        </is>
      </c>
      <c r="B1002" s="1" t="n">
        <v>43322</v>
      </c>
      <c r="C1002" s="1" t="n">
        <v>45357</v>
      </c>
      <c r="D1002" t="inlineStr">
        <is>
          <t>VÄSTERBOTTENS LÄN</t>
        </is>
      </c>
      <c r="E1002" t="inlineStr">
        <is>
          <t>NORDMALING</t>
        </is>
      </c>
      <c r="G1002" t="n">
        <v>16.7</v>
      </c>
      <c r="H1002" t="n">
        <v>0</v>
      </c>
      <c r="I1002" t="n">
        <v>0</v>
      </c>
      <c r="J1002" t="n">
        <v>0</v>
      </c>
      <c r="K1002" t="n">
        <v>0</v>
      </c>
      <c r="L1002" t="n">
        <v>0</v>
      </c>
      <c r="M1002" t="n">
        <v>0</v>
      </c>
      <c r="N1002" t="n">
        <v>0</v>
      </c>
      <c r="O1002" t="n">
        <v>0</v>
      </c>
      <c r="P1002" t="n">
        <v>0</v>
      </c>
      <c r="Q1002" t="n">
        <v>0</v>
      </c>
      <c r="R1002" s="2" t="inlineStr"/>
    </row>
    <row r="1003" ht="15" customHeight="1">
      <c r="A1003" t="inlineStr">
        <is>
          <t>A 35493-2018</t>
        </is>
      </c>
      <c r="B1003" s="1" t="n">
        <v>43325</v>
      </c>
      <c r="C1003" s="1" t="n">
        <v>45357</v>
      </c>
      <c r="D1003" t="inlineStr">
        <is>
          <t>VÄSTERBOTTENS LÄN</t>
        </is>
      </c>
      <c r="E1003" t="inlineStr">
        <is>
          <t>SKELLEFTEÅ</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35686-2018</t>
        </is>
      </c>
      <c r="B1004" s="1" t="n">
        <v>43325</v>
      </c>
      <c r="C1004" s="1" t="n">
        <v>45357</v>
      </c>
      <c r="D1004" t="inlineStr">
        <is>
          <t>VÄSTERBOTTENS LÄN</t>
        </is>
      </c>
      <c r="E1004" t="inlineStr">
        <is>
          <t>SORSELE</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35908-2018</t>
        </is>
      </c>
      <c r="B1005" s="1" t="n">
        <v>43326</v>
      </c>
      <c r="C1005" s="1" t="n">
        <v>45357</v>
      </c>
      <c r="D1005" t="inlineStr">
        <is>
          <t>VÄSTERBOTTENS LÄN</t>
        </is>
      </c>
      <c r="E1005" t="inlineStr">
        <is>
          <t>SKELLEFTEÅ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35899-2018</t>
        </is>
      </c>
      <c r="B1006" s="1" t="n">
        <v>43327</v>
      </c>
      <c r="C1006" s="1" t="n">
        <v>45357</v>
      </c>
      <c r="D1006" t="inlineStr">
        <is>
          <t>VÄSTERBOTTENS LÄN</t>
        </is>
      </c>
      <c r="E1006" t="inlineStr">
        <is>
          <t>VINDELN</t>
        </is>
      </c>
      <c r="F1006" t="inlineStr">
        <is>
          <t>Naturvårdsverket</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35938-2018</t>
        </is>
      </c>
      <c r="B1007" s="1" t="n">
        <v>43327</v>
      </c>
      <c r="C1007" s="1" t="n">
        <v>45357</v>
      </c>
      <c r="D1007" t="inlineStr">
        <is>
          <t>VÄSTERBOTTENS LÄN</t>
        </is>
      </c>
      <c r="E1007" t="inlineStr">
        <is>
          <t>SKELLEFTEÅ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35994-2018</t>
        </is>
      </c>
      <c r="B1008" s="1" t="n">
        <v>43327</v>
      </c>
      <c r="C1008" s="1" t="n">
        <v>45357</v>
      </c>
      <c r="D1008" t="inlineStr">
        <is>
          <t>VÄSTERBOTTENS LÄN</t>
        </is>
      </c>
      <c r="E1008" t="inlineStr">
        <is>
          <t>SKELLEFTEÅ</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36544-2018</t>
        </is>
      </c>
      <c r="B1009" s="1" t="n">
        <v>43328</v>
      </c>
      <c r="C1009" s="1" t="n">
        <v>45357</v>
      </c>
      <c r="D1009" t="inlineStr">
        <is>
          <t>VÄSTERBOTTENS LÄN</t>
        </is>
      </c>
      <c r="E1009" t="inlineStr">
        <is>
          <t>LYCKSELE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36413-2018</t>
        </is>
      </c>
      <c r="B1010" s="1" t="n">
        <v>43329</v>
      </c>
      <c r="C1010" s="1" t="n">
        <v>45357</v>
      </c>
      <c r="D1010" t="inlineStr">
        <is>
          <t>VÄSTERBOTTENS LÄN</t>
        </is>
      </c>
      <c r="E1010" t="inlineStr">
        <is>
          <t>SKELLEFTEÅ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36536-2018</t>
        </is>
      </c>
      <c r="B1011" s="1" t="n">
        <v>43329</v>
      </c>
      <c r="C1011" s="1" t="n">
        <v>45357</v>
      </c>
      <c r="D1011" t="inlineStr">
        <is>
          <t>VÄSTERBOTTENS LÄN</t>
        </is>
      </c>
      <c r="E1011" t="inlineStr">
        <is>
          <t>NORSJÖ</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36369-2018</t>
        </is>
      </c>
      <c r="B1012" s="1" t="n">
        <v>43329</v>
      </c>
      <c r="C1012" s="1" t="n">
        <v>45357</v>
      </c>
      <c r="D1012" t="inlineStr">
        <is>
          <t>VÄSTERBOTTENS LÄN</t>
        </is>
      </c>
      <c r="E1012" t="inlineStr">
        <is>
          <t>SKELLEFTEÅ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36803-2018</t>
        </is>
      </c>
      <c r="B1013" s="1" t="n">
        <v>43329</v>
      </c>
      <c r="C1013" s="1" t="n">
        <v>45357</v>
      </c>
      <c r="D1013" t="inlineStr">
        <is>
          <t>VÄSTERBOTTENS LÄN</t>
        </is>
      </c>
      <c r="E1013" t="inlineStr">
        <is>
          <t>SKELLEFTEÅ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36912-2018</t>
        </is>
      </c>
      <c r="B1014" s="1" t="n">
        <v>43332</v>
      </c>
      <c r="C1014" s="1" t="n">
        <v>45357</v>
      </c>
      <c r="D1014" t="inlineStr">
        <is>
          <t>VÄSTERBOTTENS LÄN</t>
        </is>
      </c>
      <c r="E1014" t="inlineStr">
        <is>
          <t>UMEÅ</t>
        </is>
      </c>
      <c r="F1014" t="inlineStr">
        <is>
          <t>Holmen skog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37057-2018</t>
        </is>
      </c>
      <c r="B1015" s="1" t="n">
        <v>43332</v>
      </c>
      <c r="C1015" s="1" t="n">
        <v>45357</v>
      </c>
      <c r="D1015" t="inlineStr">
        <is>
          <t>VÄSTERBOTTENS LÄN</t>
        </is>
      </c>
      <c r="E1015" t="inlineStr">
        <is>
          <t>VILHELMINA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37129-2018</t>
        </is>
      </c>
      <c r="B1016" s="1" t="n">
        <v>43332</v>
      </c>
      <c r="C1016" s="1" t="n">
        <v>45357</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37012-2018</t>
        </is>
      </c>
      <c r="B1017" s="1" t="n">
        <v>43332</v>
      </c>
      <c r="C1017" s="1" t="n">
        <v>45357</v>
      </c>
      <c r="D1017" t="inlineStr">
        <is>
          <t>VÄSTERBOTTENS LÄN</t>
        </is>
      </c>
      <c r="E1017" t="inlineStr">
        <is>
          <t>VILHELMINA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36980-2018</t>
        </is>
      </c>
      <c r="B1018" s="1" t="n">
        <v>43333</v>
      </c>
      <c r="C1018" s="1" t="n">
        <v>45357</v>
      </c>
      <c r="D1018" t="inlineStr">
        <is>
          <t>VÄSTERBOTTENS LÄN</t>
        </is>
      </c>
      <c r="E1018" t="inlineStr">
        <is>
          <t>SORSELE</t>
        </is>
      </c>
      <c r="F1018" t="inlineStr">
        <is>
          <t>Sveaskog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37548-2018</t>
        </is>
      </c>
      <c r="B1019" s="1" t="n">
        <v>43334</v>
      </c>
      <c r="C1019" s="1" t="n">
        <v>45357</v>
      </c>
      <c r="D1019" t="inlineStr">
        <is>
          <t>VÄSTERBOTTENS LÄN</t>
        </is>
      </c>
      <c r="E1019" t="inlineStr">
        <is>
          <t>DOROTEA</t>
        </is>
      </c>
      <c r="F1019" t="inlineStr">
        <is>
          <t>SCA</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37706-2018</t>
        </is>
      </c>
      <c r="B1020" s="1" t="n">
        <v>43334</v>
      </c>
      <c r="C1020" s="1" t="n">
        <v>45357</v>
      </c>
      <c r="D1020" t="inlineStr">
        <is>
          <t>VÄSTERBOTTENS LÄN</t>
        </is>
      </c>
      <c r="E1020" t="inlineStr">
        <is>
          <t>LYCKSELE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38681-2018</t>
        </is>
      </c>
      <c r="B1021" s="1" t="n">
        <v>43335</v>
      </c>
      <c r="C1021" s="1" t="n">
        <v>45357</v>
      </c>
      <c r="D1021" t="inlineStr">
        <is>
          <t>VÄSTERBOTTENS LÄN</t>
        </is>
      </c>
      <c r="E1021" t="inlineStr">
        <is>
          <t>LYCKSELE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37722-2018</t>
        </is>
      </c>
      <c r="B1022" s="1" t="n">
        <v>43335</v>
      </c>
      <c r="C1022" s="1" t="n">
        <v>45357</v>
      </c>
      <c r="D1022" t="inlineStr">
        <is>
          <t>VÄSTERBOTTENS LÄN</t>
        </is>
      </c>
      <c r="E1022" t="inlineStr">
        <is>
          <t>VILHELMINA</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38120-2018</t>
        </is>
      </c>
      <c r="B1023" s="1" t="n">
        <v>43336</v>
      </c>
      <c r="C1023" s="1" t="n">
        <v>45357</v>
      </c>
      <c r="D1023" t="inlineStr">
        <is>
          <t>VÄSTERBOTTENS LÄN</t>
        </is>
      </c>
      <c r="E1023" t="inlineStr">
        <is>
          <t>LYCKSELE</t>
        </is>
      </c>
      <c r="F1023" t="inlineStr">
        <is>
          <t>Holmen skog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38916-2018</t>
        </is>
      </c>
      <c r="B1024" s="1" t="n">
        <v>43336</v>
      </c>
      <c r="C1024" s="1" t="n">
        <v>45357</v>
      </c>
      <c r="D1024" t="inlineStr">
        <is>
          <t>VÄSTERBOTTENS LÄN</t>
        </is>
      </c>
      <c r="E1024" t="inlineStr">
        <is>
          <t>SKELLEFTEÅ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38516-2018</t>
        </is>
      </c>
      <c r="B1025" s="1" t="n">
        <v>43339</v>
      </c>
      <c r="C1025" s="1" t="n">
        <v>45357</v>
      </c>
      <c r="D1025" t="inlineStr">
        <is>
          <t>VÄSTERBOTTENS LÄN</t>
        </is>
      </c>
      <c r="E1025" t="inlineStr">
        <is>
          <t>STORUMAN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39112-2018</t>
        </is>
      </c>
      <c r="B1026" s="1" t="n">
        <v>43339</v>
      </c>
      <c r="C1026" s="1" t="n">
        <v>45357</v>
      </c>
      <c r="D1026" t="inlineStr">
        <is>
          <t>VÄSTERBOTTENS LÄN</t>
        </is>
      </c>
      <c r="E1026" t="inlineStr">
        <is>
          <t>NORDMALING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38256-2018</t>
        </is>
      </c>
      <c r="B1027" s="1" t="n">
        <v>43339</v>
      </c>
      <c r="C1027" s="1" t="n">
        <v>45357</v>
      </c>
      <c r="D1027" t="inlineStr">
        <is>
          <t>VÄSTERBOTTENS LÄN</t>
        </is>
      </c>
      <c r="E1027" t="inlineStr">
        <is>
          <t>SKELLEFTEÅ</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38456-2018</t>
        </is>
      </c>
      <c r="B1028" s="1" t="n">
        <v>43339</v>
      </c>
      <c r="C1028" s="1" t="n">
        <v>45357</v>
      </c>
      <c r="D1028" t="inlineStr">
        <is>
          <t>VÄSTERBOTTENS LÄN</t>
        </is>
      </c>
      <c r="E1028" t="inlineStr">
        <is>
          <t>STORUMAN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39188-2018</t>
        </is>
      </c>
      <c r="B1029" s="1" t="n">
        <v>43339</v>
      </c>
      <c r="C1029" s="1" t="n">
        <v>45357</v>
      </c>
      <c r="D1029" t="inlineStr">
        <is>
          <t>VÄSTERBOTTENS LÄN</t>
        </is>
      </c>
      <c r="E1029" t="inlineStr">
        <is>
          <t>ÅSELE</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39197-2018</t>
        </is>
      </c>
      <c r="B1030" s="1" t="n">
        <v>43339</v>
      </c>
      <c r="C1030" s="1" t="n">
        <v>45357</v>
      </c>
      <c r="D1030" t="inlineStr">
        <is>
          <t>VÄSTERBOTTENS LÄN</t>
        </is>
      </c>
      <c r="E1030" t="inlineStr">
        <is>
          <t>SKELLEFTEÅ</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39116-2018</t>
        </is>
      </c>
      <c r="B1031" s="1" t="n">
        <v>43339</v>
      </c>
      <c r="C1031" s="1" t="n">
        <v>45357</v>
      </c>
      <c r="D1031" t="inlineStr">
        <is>
          <t>VÄSTERBOTTENS LÄN</t>
        </is>
      </c>
      <c r="E1031" t="inlineStr">
        <is>
          <t>NORDMALING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39175-2018</t>
        </is>
      </c>
      <c r="B1032" s="1" t="n">
        <v>43339</v>
      </c>
      <c r="C1032" s="1" t="n">
        <v>45357</v>
      </c>
      <c r="D1032" t="inlineStr">
        <is>
          <t>VÄSTERBOTTENS LÄN</t>
        </is>
      </c>
      <c r="E1032" t="inlineStr">
        <is>
          <t>NORDMALING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39530-2018</t>
        </is>
      </c>
      <c r="B1033" s="1" t="n">
        <v>43340</v>
      </c>
      <c r="C1033" s="1" t="n">
        <v>45357</v>
      </c>
      <c r="D1033" t="inlineStr">
        <is>
          <t>VÄSTERBOTTENS LÄN</t>
        </is>
      </c>
      <c r="E1033" t="inlineStr">
        <is>
          <t>VILHELMINA</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39549-2018</t>
        </is>
      </c>
      <c r="B1034" s="1" t="n">
        <v>43340</v>
      </c>
      <c r="C1034" s="1" t="n">
        <v>45357</v>
      </c>
      <c r="D1034" t="inlineStr">
        <is>
          <t>VÄSTERBOTTENS LÄN</t>
        </is>
      </c>
      <c r="E1034" t="inlineStr">
        <is>
          <t>VILHELMINA</t>
        </is>
      </c>
      <c r="G1034" t="n">
        <v>25.1</v>
      </c>
      <c r="H1034" t="n">
        <v>0</v>
      </c>
      <c r="I1034" t="n">
        <v>0</v>
      </c>
      <c r="J1034" t="n">
        <v>0</v>
      </c>
      <c r="K1034" t="n">
        <v>0</v>
      </c>
      <c r="L1034" t="n">
        <v>0</v>
      </c>
      <c r="M1034" t="n">
        <v>0</v>
      </c>
      <c r="N1034" t="n">
        <v>0</v>
      </c>
      <c r="O1034" t="n">
        <v>0</v>
      </c>
      <c r="P1034" t="n">
        <v>0</v>
      </c>
      <c r="Q1034" t="n">
        <v>0</v>
      </c>
      <c r="R1034" s="2" t="inlineStr"/>
    </row>
    <row r="1035" ht="15" customHeight="1">
      <c r="A1035" t="inlineStr">
        <is>
          <t>A 38745-2018</t>
        </is>
      </c>
      <c r="B1035" s="1" t="n">
        <v>43340</v>
      </c>
      <c r="C1035" s="1" t="n">
        <v>45357</v>
      </c>
      <c r="D1035" t="inlineStr">
        <is>
          <t>VÄSTERBOTTENS LÄN</t>
        </is>
      </c>
      <c r="E1035" t="inlineStr">
        <is>
          <t>SORSELE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39514-2018</t>
        </is>
      </c>
      <c r="B1036" s="1" t="n">
        <v>43340</v>
      </c>
      <c r="C1036" s="1" t="n">
        <v>45357</v>
      </c>
      <c r="D1036" t="inlineStr">
        <is>
          <t>VÄSTERBOTTENS LÄN</t>
        </is>
      </c>
      <c r="E1036" t="inlineStr">
        <is>
          <t>LYCKSELE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39462-2018</t>
        </is>
      </c>
      <c r="B1037" s="1" t="n">
        <v>43341</v>
      </c>
      <c r="C1037" s="1" t="n">
        <v>45357</v>
      </c>
      <c r="D1037" t="inlineStr">
        <is>
          <t>VÄSTERBOTTENS LÄN</t>
        </is>
      </c>
      <c r="E1037" t="inlineStr">
        <is>
          <t>STORUMAN</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40466-2018</t>
        </is>
      </c>
      <c r="B1038" s="1" t="n">
        <v>43342</v>
      </c>
      <c r="C1038" s="1" t="n">
        <v>45357</v>
      </c>
      <c r="D1038" t="inlineStr">
        <is>
          <t>VÄSTERBOTTENS LÄN</t>
        </is>
      </c>
      <c r="E1038" t="inlineStr">
        <is>
          <t>SORSELE</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39924-2018</t>
        </is>
      </c>
      <c r="B1039" s="1" t="n">
        <v>43342</v>
      </c>
      <c r="C1039" s="1" t="n">
        <v>45357</v>
      </c>
      <c r="D1039" t="inlineStr">
        <is>
          <t>VÄSTERBOTTENS LÄN</t>
        </is>
      </c>
      <c r="E1039" t="inlineStr">
        <is>
          <t>SKELLEFTEÅ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40460-2018</t>
        </is>
      </c>
      <c r="B1040" s="1" t="n">
        <v>43342</v>
      </c>
      <c r="C1040" s="1" t="n">
        <v>45357</v>
      </c>
      <c r="D1040" t="inlineStr">
        <is>
          <t>VÄSTERBOTTENS LÄN</t>
        </is>
      </c>
      <c r="E1040" t="inlineStr">
        <is>
          <t>SORSELE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40641-2018</t>
        </is>
      </c>
      <c r="B1041" s="1" t="n">
        <v>43343</v>
      </c>
      <c r="C1041" s="1" t="n">
        <v>45357</v>
      </c>
      <c r="D1041" t="inlineStr">
        <is>
          <t>VÄSTERBOTTENS LÄN</t>
        </is>
      </c>
      <c r="E1041" t="inlineStr">
        <is>
          <t>NORDMALING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40629-2018</t>
        </is>
      </c>
      <c r="B1042" s="1" t="n">
        <v>43343</v>
      </c>
      <c r="C1042" s="1" t="n">
        <v>45357</v>
      </c>
      <c r="D1042" t="inlineStr">
        <is>
          <t>VÄSTERBOTTENS LÄN</t>
        </is>
      </c>
      <c r="E1042" t="inlineStr">
        <is>
          <t>LYCKSELE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41190-2018</t>
        </is>
      </c>
      <c r="B1043" s="1" t="n">
        <v>43346</v>
      </c>
      <c r="C1043" s="1" t="n">
        <v>45357</v>
      </c>
      <c r="D1043" t="inlineStr">
        <is>
          <t>VÄSTERBOTTENS LÄN</t>
        </is>
      </c>
      <c r="E1043" t="inlineStr">
        <is>
          <t>STORUMAN</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40844-2018</t>
        </is>
      </c>
      <c r="B1044" s="1" t="n">
        <v>43346</v>
      </c>
      <c r="C1044" s="1" t="n">
        <v>45357</v>
      </c>
      <c r="D1044" t="inlineStr">
        <is>
          <t>VÄSTERBOTTENS LÄN</t>
        </is>
      </c>
      <c r="E1044" t="inlineStr">
        <is>
          <t>MALÅ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41203-2018</t>
        </is>
      </c>
      <c r="B1045" s="1" t="n">
        <v>43346</v>
      </c>
      <c r="C1045" s="1" t="n">
        <v>45357</v>
      </c>
      <c r="D1045" t="inlineStr">
        <is>
          <t>VÄSTERBOTTENS LÄN</t>
        </is>
      </c>
      <c r="E1045" t="inlineStr">
        <is>
          <t>UMEÅ</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40854-2018</t>
        </is>
      </c>
      <c r="B1046" s="1" t="n">
        <v>43347</v>
      </c>
      <c r="C1046" s="1" t="n">
        <v>45357</v>
      </c>
      <c r="D1046" t="inlineStr">
        <is>
          <t>VÄSTERBOTTENS LÄN</t>
        </is>
      </c>
      <c r="E1046" t="inlineStr">
        <is>
          <t>VILHELMINA</t>
        </is>
      </c>
      <c r="F1046" t="inlineStr">
        <is>
          <t>Sveaskog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41780-2018</t>
        </is>
      </c>
      <c r="B1047" s="1" t="n">
        <v>43348</v>
      </c>
      <c r="C1047" s="1" t="n">
        <v>45357</v>
      </c>
      <c r="D1047" t="inlineStr">
        <is>
          <t>VÄSTERBOTTENS LÄN</t>
        </is>
      </c>
      <c r="E1047" t="inlineStr">
        <is>
          <t>ROBERTSFORS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41648-2018</t>
        </is>
      </c>
      <c r="B1048" s="1" t="n">
        <v>43349</v>
      </c>
      <c r="C1048" s="1" t="n">
        <v>45357</v>
      </c>
      <c r="D1048" t="inlineStr">
        <is>
          <t>VÄSTERBOTTENS LÄN</t>
        </is>
      </c>
      <c r="E1048" t="inlineStr">
        <is>
          <t>SORSELE</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42519-2018</t>
        </is>
      </c>
      <c r="B1049" s="1" t="n">
        <v>43349</v>
      </c>
      <c r="C1049" s="1" t="n">
        <v>45357</v>
      </c>
      <c r="D1049" t="inlineStr">
        <is>
          <t>VÄSTERBOTTENS LÄN</t>
        </is>
      </c>
      <c r="E1049" t="inlineStr">
        <is>
          <t>LYCKSELE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41460-2018</t>
        </is>
      </c>
      <c r="B1050" s="1" t="n">
        <v>43349</v>
      </c>
      <c r="C1050" s="1" t="n">
        <v>45357</v>
      </c>
      <c r="D1050" t="inlineStr">
        <is>
          <t>VÄSTERBOTTENS LÄN</t>
        </is>
      </c>
      <c r="E1050" t="inlineStr">
        <is>
          <t>VÄNNÄS</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42535-2018</t>
        </is>
      </c>
      <c r="B1051" s="1" t="n">
        <v>43349</v>
      </c>
      <c r="C1051" s="1" t="n">
        <v>45357</v>
      </c>
      <c r="D1051" t="inlineStr">
        <is>
          <t>VÄSTERBOTTENS LÄN</t>
        </is>
      </c>
      <c r="E1051" t="inlineStr">
        <is>
          <t>SKELLEFTEÅ</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42366-2018</t>
        </is>
      </c>
      <c r="B1052" s="1" t="n">
        <v>43349</v>
      </c>
      <c r="C1052" s="1" t="n">
        <v>45357</v>
      </c>
      <c r="D1052" t="inlineStr">
        <is>
          <t>VÄSTERBOTTENS LÄN</t>
        </is>
      </c>
      <c r="E1052" t="inlineStr">
        <is>
          <t>LYCKSELE</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42527-2018</t>
        </is>
      </c>
      <c r="B1053" s="1" t="n">
        <v>43349</v>
      </c>
      <c r="C1053" s="1" t="n">
        <v>45357</v>
      </c>
      <c r="D1053" t="inlineStr">
        <is>
          <t>VÄSTERBOTTENS LÄN</t>
        </is>
      </c>
      <c r="E1053" t="inlineStr">
        <is>
          <t>SKELLEFTEÅ</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42583-2018</t>
        </is>
      </c>
      <c r="B1054" s="1" t="n">
        <v>43350</v>
      </c>
      <c r="C1054" s="1" t="n">
        <v>45357</v>
      </c>
      <c r="D1054" t="inlineStr">
        <is>
          <t>VÄSTERBOTTENS LÄN</t>
        </is>
      </c>
      <c r="E1054" t="inlineStr">
        <is>
          <t>VILHELMINA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42534-2018</t>
        </is>
      </c>
      <c r="B1055" s="1" t="n">
        <v>43350</v>
      </c>
      <c r="C1055" s="1" t="n">
        <v>45357</v>
      </c>
      <c r="D1055" t="inlineStr">
        <is>
          <t>VÄSTERBOTTENS LÄN</t>
        </is>
      </c>
      <c r="E1055" t="inlineStr">
        <is>
          <t>UMEÅ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43334-2018</t>
        </is>
      </c>
      <c r="B1056" s="1" t="n">
        <v>43353</v>
      </c>
      <c r="C1056" s="1" t="n">
        <v>45357</v>
      </c>
      <c r="D1056" t="inlineStr">
        <is>
          <t>VÄSTERBOTTENS LÄN</t>
        </is>
      </c>
      <c r="E1056" t="inlineStr">
        <is>
          <t>SKELLEFTEÅ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42439-2018</t>
        </is>
      </c>
      <c r="B1057" s="1" t="n">
        <v>43353</v>
      </c>
      <c r="C1057" s="1" t="n">
        <v>45357</v>
      </c>
      <c r="D1057" t="inlineStr">
        <is>
          <t>VÄSTERBOTTENS LÄN</t>
        </is>
      </c>
      <c r="E1057" t="inlineStr">
        <is>
          <t>MALÅ</t>
        </is>
      </c>
      <c r="F1057" t="inlineStr">
        <is>
          <t>Sveaskog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42471-2018</t>
        </is>
      </c>
      <c r="B1058" s="1" t="n">
        <v>43353</v>
      </c>
      <c r="C1058" s="1" t="n">
        <v>45357</v>
      </c>
      <c r="D1058" t="inlineStr">
        <is>
          <t>VÄSTERBOTTENS LÄN</t>
        </is>
      </c>
      <c r="E1058" t="inlineStr">
        <is>
          <t>UMEÅ</t>
        </is>
      </c>
      <c r="F1058" t="inlineStr">
        <is>
          <t>Holmen skog AB</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43274-2018</t>
        </is>
      </c>
      <c r="B1059" s="1" t="n">
        <v>43353</v>
      </c>
      <c r="C1059" s="1" t="n">
        <v>45357</v>
      </c>
      <c r="D1059" t="inlineStr">
        <is>
          <t>VÄSTERBOTTENS LÄN</t>
        </is>
      </c>
      <c r="E1059" t="inlineStr">
        <is>
          <t>ROBERTSFORS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42998-2018</t>
        </is>
      </c>
      <c r="B1060" s="1" t="n">
        <v>43353</v>
      </c>
      <c r="C1060" s="1" t="n">
        <v>45357</v>
      </c>
      <c r="D1060" t="inlineStr">
        <is>
          <t>VÄSTERBOTTENS LÄN</t>
        </is>
      </c>
      <c r="E1060" t="inlineStr">
        <is>
          <t>UMEÅ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46700-2018</t>
        </is>
      </c>
      <c r="B1061" s="1" t="n">
        <v>43354</v>
      </c>
      <c r="C1061" s="1" t="n">
        <v>45357</v>
      </c>
      <c r="D1061" t="inlineStr">
        <is>
          <t>VÄSTERBOTTENS LÄN</t>
        </is>
      </c>
      <c r="E1061" t="inlineStr">
        <is>
          <t>VINDELN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43435-2018</t>
        </is>
      </c>
      <c r="B1062" s="1" t="n">
        <v>43354</v>
      </c>
      <c r="C1062" s="1" t="n">
        <v>45357</v>
      </c>
      <c r="D1062" t="inlineStr">
        <is>
          <t>VÄSTERBOTTENS LÄN</t>
        </is>
      </c>
      <c r="E1062" t="inlineStr">
        <is>
          <t>MALÅ</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43482-2018</t>
        </is>
      </c>
      <c r="B1063" s="1" t="n">
        <v>43354</v>
      </c>
      <c r="C1063" s="1" t="n">
        <v>45357</v>
      </c>
      <c r="D1063" t="inlineStr">
        <is>
          <t>VÄSTERBOTTENS LÄN</t>
        </is>
      </c>
      <c r="E1063" t="inlineStr">
        <is>
          <t>VINDELN</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43396-2018</t>
        </is>
      </c>
      <c r="B1064" s="1" t="n">
        <v>43354</v>
      </c>
      <c r="C1064" s="1" t="n">
        <v>45357</v>
      </c>
      <c r="D1064" t="inlineStr">
        <is>
          <t>VÄSTERBOTTENS LÄN</t>
        </is>
      </c>
      <c r="E1064" t="inlineStr">
        <is>
          <t>UMEÅ</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44196-2018</t>
        </is>
      </c>
      <c r="B1065" s="1" t="n">
        <v>43355</v>
      </c>
      <c r="C1065" s="1" t="n">
        <v>45357</v>
      </c>
      <c r="D1065" t="inlineStr">
        <is>
          <t>VÄSTERBOTTENS LÄN</t>
        </is>
      </c>
      <c r="E1065" t="inlineStr">
        <is>
          <t>UMEÅ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43421-2018</t>
        </is>
      </c>
      <c r="B1066" s="1" t="n">
        <v>43356</v>
      </c>
      <c r="C1066" s="1" t="n">
        <v>45357</v>
      </c>
      <c r="D1066" t="inlineStr">
        <is>
          <t>VÄSTERBOTTENS LÄN</t>
        </is>
      </c>
      <c r="E1066" t="inlineStr">
        <is>
          <t>LYCKSELE</t>
        </is>
      </c>
      <c r="F1066" t="inlineStr">
        <is>
          <t>Holmen skog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43397-2018</t>
        </is>
      </c>
      <c r="B1067" s="1" t="n">
        <v>43356</v>
      </c>
      <c r="C1067" s="1" t="n">
        <v>45357</v>
      </c>
      <c r="D1067" t="inlineStr">
        <is>
          <t>VÄSTERBOTTENS LÄN</t>
        </is>
      </c>
      <c r="E1067" t="inlineStr">
        <is>
          <t>LYCKSELE</t>
        </is>
      </c>
      <c r="F1067" t="inlineStr">
        <is>
          <t>Holmen skog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43408-2018</t>
        </is>
      </c>
      <c r="B1068" s="1" t="n">
        <v>43356</v>
      </c>
      <c r="C1068" s="1" t="n">
        <v>45357</v>
      </c>
      <c r="D1068" t="inlineStr">
        <is>
          <t>VÄSTERBOTTENS LÄN</t>
        </is>
      </c>
      <c r="E1068" t="inlineStr">
        <is>
          <t>SKELLEFTEÅ</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43867-2018</t>
        </is>
      </c>
      <c r="B1069" s="1" t="n">
        <v>43357</v>
      </c>
      <c r="C1069" s="1" t="n">
        <v>45357</v>
      </c>
      <c r="D1069" t="inlineStr">
        <is>
          <t>VÄSTERBOTTENS LÄN</t>
        </is>
      </c>
      <c r="E1069" t="inlineStr">
        <is>
          <t>SKELLEFTEÅ</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44602-2018</t>
        </is>
      </c>
      <c r="B1070" s="1" t="n">
        <v>43357</v>
      </c>
      <c r="C1070" s="1" t="n">
        <v>45357</v>
      </c>
      <c r="D1070" t="inlineStr">
        <is>
          <t>VÄSTERBOTTENS LÄN</t>
        </is>
      </c>
      <c r="E1070" t="inlineStr">
        <is>
          <t>SKELLEFTEÅ</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44568-2018</t>
        </is>
      </c>
      <c r="B1071" s="1" t="n">
        <v>43357</v>
      </c>
      <c r="C1071" s="1" t="n">
        <v>45357</v>
      </c>
      <c r="D1071" t="inlineStr">
        <is>
          <t>VÄSTERBOTTENS LÄN</t>
        </is>
      </c>
      <c r="E1071" t="inlineStr">
        <is>
          <t>SKELLEFTEÅ</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44679-2018</t>
        </is>
      </c>
      <c r="B1072" s="1" t="n">
        <v>43357</v>
      </c>
      <c r="C1072" s="1" t="n">
        <v>45357</v>
      </c>
      <c r="D1072" t="inlineStr">
        <is>
          <t>VÄSTERBOTTENS LÄN</t>
        </is>
      </c>
      <c r="E1072" t="inlineStr">
        <is>
          <t>SKELLEFTEÅ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44970-2018</t>
        </is>
      </c>
      <c r="B1073" s="1" t="n">
        <v>43360</v>
      </c>
      <c r="C1073" s="1" t="n">
        <v>45357</v>
      </c>
      <c r="D1073" t="inlineStr">
        <is>
          <t>VÄSTERBOTTENS LÄN</t>
        </is>
      </c>
      <c r="E1073" t="inlineStr">
        <is>
          <t>VILHELMINA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44351-2018</t>
        </is>
      </c>
      <c r="B1074" s="1" t="n">
        <v>43360</v>
      </c>
      <c r="C1074" s="1" t="n">
        <v>45357</v>
      </c>
      <c r="D1074" t="inlineStr">
        <is>
          <t>VÄSTERBOTTENS LÄN</t>
        </is>
      </c>
      <c r="E1074" t="inlineStr">
        <is>
          <t>LYCKSELE</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44212-2018</t>
        </is>
      </c>
      <c r="B1075" s="1" t="n">
        <v>43360</v>
      </c>
      <c r="C1075" s="1" t="n">
        <v>45357</v>
      </c>
      <c r="D1075" t="inlineStr">
        <is>
          <t>VÄSTERBOTTENS LÄN</t>
        </is>
      </c>
      <c r="E1075" t="inlineStr">
        <is>
          <t>SKELLEFTEÅ</t>
        </is>
      </c>
      <c r="F1075" t="inlineStr">
        <is>
          <t>Holmen skog AB</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45332-2018</t>
        </is>
      </c>
      <c r="B1076" s="1" t="n">
        <v>43361</v>
      </c>
      <c r="C1076" s="1" t="n">
        <v>45357</v>
      </c>
      <c r="D1076" t="inlineStr">
        <is>
          <t>VÄSTERBOTTENS LÄN</t>
        </is>
      </c>
      <c r="E1076" t="inlineStr">
        <is>
          <t>SKELLEFTEÅ</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44553-2018</t>
        </is>
      </c>
      <c r="B1077" s="1" t="n">
        <v>43361</v>
      </c>
      <c r="C1077" s="1" t="n">
        <v>45357</v>
      </c>
      <c r="D1077" t="inlineStr">
        <is>
          <t>VÄSTERBOTTENS LÄN</t>
        </is>
      </c>
      <c r="E1077" t="inlineStr">
        <is>
          <t>NORSJÖ</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44907-2018</t>
        </is>
      </c>
      <c r="B1078" s="1" t="n">
        <v>43362</v>
      </c>
      <c r="C1078" s="1" t="n">
        <v>45357</v>
      </c>
      <c r="D1078" t="inlineStr">
        <is>
          <t>VÄSTERBOTTENS LÄN</t>
        </is>
      </c>
      <c r="E1078" t="inlineStr">
        <is>
          <t>STORUMAN</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45743-2018</t>
        </is>
      </c>
      <c r="B1079" s="1" t="n">
        <v>43362</v>
      </c>
      <c r="C1079" s="1" t="n">
        <v>45357</v>
      </c>
      <c r="D1079" t="inlineStr">
        <is>
          <t>VÄSTERBOTTENS LÄN</t>
        </is>
      </c>
      <c r="E1079" t="inlineStr">
        <is>
          <t>SKELLEFTEÅ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45847-2018</t>
        </is>
      </c>
      <c r="B1080" s="1" t="n">
        <v>43362</v>
      </c>
      <c r="C1080" s="1" t="n">
        <v>45357</v>
      </c>
      <c r="D1080" t="inlineStr">
        <is>
          <t>VÄSTERBOTTENS LÄN</t>
        </is>
      </c>
      <c r="E1080" t="inlineStr">
        <is>
          <t>SKELLEFTEÅ</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45176-2018</t>
        </is>
      </c>
      <c r="B1081" s="1" t="n">
        <v>43362</v>
      </c>
      <c r="C1081" s="1" t="n">
        <v>45357</v>
      </c>
      <c r="D1081" t="inlineStr">
        <is>
          <t>VÄSTERBOTTENS LÄN</t>
        </is>
      </c>
      <c r="E1081" t="inlineStr">
        <is>
          <t>SKELLEFTEÅ</t>
        </is>
      </c>
      <c r="G1081" t="n">
        <v>16.7</v>
      </c>
      <c r="H1081" t="n">
        <v>0</v>
      </c>
      <c r="I1081" t="n">
        <v>0</v>
      </c>
      <c r="J1081" t="n">
        <v>0</v>
      </c>
      <c r="K1081" t="n">
        <v>0</v>
      </c>
      <c r="L1081" t="n">
        <v>0</v>
      </c>
      <c r="M1081" t="n">
        <v>0</v>
      </c>
      <c r="N1081" t="n">
        <v>0</v>
      </c>
      <c r="O1081" t="n">
        <v>0</v>
      </c>
      <c r="P1081" t="n">
        <v>0</v>
      </c>
      <c r="Q1081" t="n">
        <v>0</v>
      </c>
      <c r="R1081" s="2" t="inlineStr"/>
    </row>
    <row r="1082" ht="15" customHeight="1">
      <c r="A1082" t="inlineStr">
        <is>
          <t>A 44883-2018</t>
        </is>
      </c>
      <c r="B1082" s="1" t="n">
        <v>43362</v>
      </c>
      <c r="C1082" s="1" t="n">
        <v>45357</v>
      </c>
      <c r="D1082" t="inlineStr">
        <is>
          <t>VÄSTERBOTTENS LÄN</t>
        </is>
      </c>
      <c r="E1082" t="inlineStr">
        <is>
          <t>STORUMAN</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45763-2018</t>
        </is>
      </c>
      <c r="B1083" s="1" t="n">
        <v>43362</v>
      </c>
      <c r="C1083" s="1" t="n">
        <v>45357</v>
      </c>
      <c r="D1083" t="inlineStr">
        <is>
          <t>VÄSTERBOTTENS LÄN</t>
        </is>
      </c>
      <c r="E1083" t="inlineStr">
        <is>
          <t>BJURHOLM</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45724-2018</t>
        </is>
      </c>
      <c r="B1084" s="1" t="n">
        <v>43362</v>
      </c>
      <c r="C1084" s="1" t="n">
        <v>45357</v>
      </c>
      <c r="D1084" t="inlineStr">
        <is>
          <t>VÄSTERBOTTENS LÄN</t>
        </is>
      </c>
      <c r="E1084" t="inlineStr">
        <is>
          <t>SKELLEFTEÅ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46430-2018</t>
        </is>
      </c>
      <c r="B1085" s="1" t="n">
        <v>43363</v>
      </c>
      <c r="C1085" s="1" t="n">
        <v>45357</v>
      </c>
      <c r="D1085" t="inlineStr">
        <is>
          <t>VÄSTERBOTTENS LÄN</t>
        </is>
      </c>
      <c r="E1085" t="inlineStr">
        <is>
          <t>SKELLEFTEÅ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45385-2018</t>
        </is>
      </c>
      <c r="B1086" s="1" t="n">
        <v>43363</v>
      </c>
      <c r="C1086" s="1" t="n">
        <v>45357</v>
      </c>
      <c r="D1086" t="inlineStr">
        <is>
          <t>VÄSTERBOTTENS LÄN</t>
        </is>
      </c>
      <c r="E1086" t="inlineStr">
        <is>
          <t>STORUMAN</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46535-2018</t>
        </is>
      </c>
      <c r="B1087" s="1" t="n">
        <v>43363</v>
      </c>
      <c r="C1087" s="1" t="n">
        <v>45357</v>
      </c>
      <c r="D1087" t="inlineStr">
        <is>
          <t>VÄSTERBOTTENS LÄN</t>
        </is>
      </c>
      <c r="E1087" t="inlineStr">
        <is>
          <t>MALÅ</t>
        </is>
      </c>
      <c r="G1087" t="n">
        <v>31.5</v>
      </c>
      <c r="H1087" t="n">
        <v>0</v>
      </c>
      <c r="I1087" t="n">
        <v>0</v>
      </c>
      <c r="J1087" t="n">
        <v>0</v>
      </c>
      <c r="K1087" t="n">
        <v>0</v>
      </c>
      <c r="L1087" t="n">
        <v>0</v>
      </c>
      <c r="M1087" t="n">
        <v>0</v>
      </c>
      <c r="N1087" t="n">
        <v>0</v>
      </c>
      <c r="O1087" t="n">
        <v>0</v>
      </c>
      <c r="P1087" t="n">
        <v>0</v>
      </c>
      <c r="Q1087" t="n">
        <v>0</v>
      </c>
      <c r="R1087" s="2" t="inlineStr"/>
    </row>
    <row r="1088" ht="15" customHeight="1">
      <c r="A1088" t="inlineStr">
        <is>
          <t>A 45831-2018</t>
        </is>
      </c>
      <c r="B1088" s="1" t="n">
        <v>43363</v>
      </c>
      <c r="C1088" s="1" t="n">
        <v>45357</v>
      </c>
      <c r="D1088" t="inlineStr">
        <is>
          <t>VÄSTERBOTTENS LÄN</t>
        </is>
      </c>
      <c r="E1088" t="inlineStr">
        <is>
          <t>VINDELN</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46332-2018</t>
        </is>
      </c>
      <c r="B1089" s="1" t="n">
        <v>43363</v>
      </c>
      <c r="C1089" s="1" t="n">
        <v>45357</v>
      </c>
      <c r="D1089" t="inlineStr">
        <is>
          <t>VÄSTERBOTTENS LÄN</t>
        </is>
      </c>
      <c r="E1089" t="inlineStr">
        <is>
          <t>SKELLEFTEÅ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46771-2018</t>
        </is>
      </c>
      <c r="B1090" s="1" t="n">
        <v>43364</v>
      </c>
      <c r="C1090" s="1" t="n">
        <v>45357</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45678-2018</t>
        </is>
      </c>
      <c r="B1091" s="1" t="n">
        <v>43364</v>
      </c>
      <c r="C1091" s="1" t="n">
        <v>45357</v>
      </c>
      <c r="D1091" t="inlineStr">
        <is>
          <t>VÄSTERBOTTENS LÄN</t>
        </is>
      </c>
      <c r="E1091" t="inlineStr">
        <is>
          <t>VINDELN</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47104-2018</t>
        </is>
      </c>
      <c r="B1092" s="1" t="n">
        <v>43364</v>
      </c>
      <c r="C1092" s="1" t="n">
        <v>45357</v>
      </c>
      <c r="D1092" t="inlineStr">
        <is>
          <t>VÄSTERBOTTENS LÄN</t>
        </is>
      </c>
      <c r="E1092" t="inlineStr">
        <is>
          <t>LYCKSELE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46699-2018</t>
        </is>
      </c>
      <c r="B1093" s="1" t="n">
        <v>43364</v>
      </c>
      <c r="C1093" s="1" t="n">
        <v>45357</v>
      </c>
      <c r="D1093" t="inlineStr">
        <is>
          <t>VÄSTERBOTTENS LÄN</t>
        </is>
      </c>
      <c r="E1093" t="inlineStr">
        <is>
          <t>UMEÅ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46069-2018</t>
        </is>
      </c>
      <c r="B1094" s="1" t="n">
        <v>43366</v>
      </c>
      <c r="C1094" s="1" t="n">
        <v>45357</v>
      </c>
      <c r="D1094" t="inlineStr">
        <is>
          <t>VÄSTERBOTTENS LÄN</t>
        </is>
      </c>
      <c r="E1094" t="inlineStr">
        <is>
          <t>NORDMALING</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47114-2018</t>
        </is>
      </c>
      <c r="B1095" s="1" t="n">
        <v>43367</v>
      </c>
      <c r="C1095" s="1" t="n">
        <v>45357</v>
      </c>
      <c r="D1095" t="inlineStr">
        <is>
          <t>VÄSTERBOTTENS LÄN</t>
        </is>
      </c>
      <c r="E1095" t="inlineStr">
        <is>
          <t>NORDMALING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47620-2018</t>
        </is>
      </c>
      <c r="B1096" s="1" t="n">
        <v>43368</v>
      </c>
      <c r="C1096" s="1" t="n">
        <v>45357</v>
      </c>
      <c r="D1096" t="inlineStr">
        <is>
          <t>VÄSTERBOTTENS LÄN</t>
        </is>
      </c>
      <c r="E1096" t="inlineStr">
        <is>
          <t>UMEÅ</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47734-2018</t>
        </is>
      </c>
      <c r="B1097" s="1" t="n">
        <v>43368</v>
      </c>
      <c r="C1097" s="1" t="n">
        <v>45357</v>
      </c>
      <c r="D1097" t="inlineStr">
        <is>
          <t>VÄSTERBOTTENS LÄN</t>
        </is>
      </c>
      <c r="E1097" t="inlineStr">
        <is>
          <t>SKELLEFTEÅ</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47505-2018</t>
        </is>
      </c>
      <c r="B1098" s="1" t="n">
        <v>43368</v>
      </c>
      <c r="C1098" s="1" t="n">
        <v>45357</v>
      </c>
      <c r="D1098" t="inlineStr">
        <is>
          <t>VÄSTERBOTTENS LÄN</t>
        </is>
      </c>
      <c r="E1098" t="inlineStr">
        <is>
          <t>VÄNNÄS</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47610-2018</t>
        </is>
      </c>
      <c r="B1099" s="1" t="n">
        <v>43368</v>
      </c>
      <c r="C1099" s="1" t="n">
        <v>45357</v>
      </c>
      <c r="D1099" t="inlineStr">
        <is>
          <t>VÄSTERBOTTENS LÄN</t>
        </is>
      </c>
      <c r="E1099" t="inlineStr">
        <is>
          <t>UMEÅ</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47523-2018</t>
        </is>
      </c>
      <c r="B1100" s="1" t="n">
        <v>43368</v>
      </c>
      <c r="C1100" s="1" t="n">
        <v>45357</v>
      </c>
      <c r="D1100" t="inlineStr">
        <is>
          <t>VÄSTERBOTTENS LÄN</t>
        </is>
      </c>
      <c r="E1100" t="inlineStr">
        <is>
          <t>UMEÅ</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47588-2018</t>
        </is>
      </c>
      <c r="B1101" s="1" t="n">
        <v>43368</v>
      </c>
      <c r="C1101" s="1" t="n">
        <v>45357</v>
      </c>
      <c r="D1101" t="inlineStr">
        <is>
          <t>VÄSTERBOTTENS LÄN</t>
        </is>
      </c>
      <c r="E1101" t="inlineStr">
        <is>
          <t>UMEÅ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47429-2018</t>
        </is>
      </c>
      <c r="B1102" s="1" t="n">
        <v>43369</v>
      </c>
      <c r="C1102" s="1" t="n">
        <v>45357</v>
      </c>
      <c r="D1102" t="inlineStr">
        <is>
          <t>VÄSTERBOTTENS LÄN</t>
        </is>
      </c>
      <c r="E1102" t="inlineStr">
        <is>
          <t>DOROTEA</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47757-2018</t>
        </is>
      </c>
      <c r="B1103" s="1" t="n">
        <v>43369</v>
      </c>
      <c r="C1103" s="1" t="n">
        <v>45357</v>
      </c>
      <c r="D1103" t="inlineStr">
        <is>
          <t>VÄSTERBOTTENS LÄN</t>
        </is>
      </c>
      <c r="E1103" t="inlineStr">
        <is>
          <t>STORUMAN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47760-2018</t>
        </is>
      </c>
      <c r="B1104" s="1" t="n">
        <v>43369</v>
      </c>
      <c r="C1104" s="1" t="n">
        <v>45357</v>
      </c>
      <c r="D1104" t="inlineStr">
        <is>
          <t>VÄSTERBOTTENS LÄN</t>
        </is>
      </c>
      <c r="E1104" t="inlineStr">
        <is>
          <t>STORUMAN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47546-2018</t>
        </is>
      </c>
      <c r="B1105" s="1" t="n">
        <v>43370</v>
      </c>
      <c r="C1105" s="1" t="n">
        <v>45357</v>
      </c>
      <c r="D1105" t="inlineStr">
        <is>
          <t>VÄSTERBOTTENS LÄN</t>
        </is>
      </c>
      <c r="E1105" t="inlineStr">
        <is>
          <t>SKELLEFTEÅ</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48177-2018</t>
        </is>
      </c>
      <c r="B1106" s="1" t="n">
        <v>43370</v>
      </c>
      <c r="C1106" s="1" t="n">
        <v>45357</v>
      </c>
      <c r="D1106" t="inlineStr">
        <is>
          <t>VÄSTERBOTTENS LÄN</t>
        </is>
      </c>
      <c r="E1106" t="inlineStr">
        <is>
          <t>UMEÅ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48469-2018</t>
        </is>
      </c>
      <c r="B1107" s="1" t="n">
        <v>43370</v>
      </c>
      <c r="C1107" s="1" t="n">
        <v>45357</v>
      </c>
      <c r="D1107" t="inlineStr">
        <is>
          <t>VÄSTERBOTTENS LÄN</t>
        </is>
      </c>
      <c r="E1107" t="inlineStr">
        <is>
          <t>SKELLEFTEÅ</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66949-2018</t>
        </is>
      </c>
      <c r="B1108" s="1" t="n">
        <v>43370</v>
      </c>
      <c r="C1108" s="1" t="n">
        <v>45357</v>
      </c>
      <c r="D1108" t="inlineStr">
        <is>
          <t>VÄSTERBOTTENS LÄN</t>
        </is>
      </c>
      <c r="E1108" t="inlineStr">
        <is>
          <t>SKELLEFTEÅ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47503-2018</t>
        </is>
      </c>
      <c r="B1109" s="1" t="n">
        <v>43370</v>
      </c>
      <c r="C1109" s="1" t="n">
        <v>45357</v>
      </c>
      <c r="D1109" t="inlineStr">
        <is>
          <t>VÄSTERBOTTENS LÄN</t>
        </is>
      </c>
      <c r="E1109" t="inlineStr">
        <is>
          <t>MALÅ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48186-2018</t>
        </is>
      </c>
      <c r="B1110" s="1" t="n">
        <v>43370</v>
      </c>
      <c r="C1110" s="1" t="n">
        <v>45357</v>
      </c>
      <c r="D1110" t="inlineStr">
        <is>
          <t>VÄSTERBOTTENS LÄN</t>
        </is>
      </c>
      <c r="E1110" t="inlineStr">
        <is>
          <t>UMEÅ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48459-2018</t>
        </is>
      </c>
      <c r="B1111" s="1" t="n">
        <v>43370</v>
      </c>
      <c r="C1111" s="1" t="n">
        <v>45357</v>
      </c>
      <c r="D1111" t="inlineStr">
        <is>
          <t>VÄSTERBOTTENS LÄN</t>
        </is>
      </c>
      <c r="E1111" t="inlineStr">
        <is>
          <t>SKELLEFTEÅ</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50082-2018</t>
        </is>
      </c>
      <c r="B1112" s="1" t="n">
        <v>43370</v>
      </c>
      <c r="C1112" s="1" t="n">
        <v>45357</v>
      </c>
      <c r="D1112" t="inlineStr">
        <is>
          <t>VÄSTERBOTTENS LÄN</t>
        </is>
      </c>
      <c r="E1112" t="inlineStr">
        <is>
          <t>VILHELMINA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50084-2018</t>
        </is>
      </c>
      <c r="B1113" s="1" t="n">
        <v>43370</v>
      </c>
      <c r="C1113" s="1" t="n">
        <v>45357</v>
      </c>
      <c r="D1113" t="inlineStr">
        <is>
          <t>VÄSTERBOTTENS LÄN</t>
        </is>
      </c>
      <c r="E1113" t="inlineStr">
        <is>
          <t>VILHELMINA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48024-2018</t>
        </is>
      </c>
      <c r="B1114" s="1" t="n">
        <v>43370</v>
      </c>
      <c r="C1114" s="1" t="n">
        <v>45357</v>
      </c>
      <c r="D1114" t="inlineStr">
        <is>
          <t>VÄSTERBOTTENS LÄN</t>
        </is>
      </c>
      <c r="E1114" t="inlineStr">
        <is>
          <t>VILHELMINA</t>
        </is>
      </c>
      <c r="G1114" t="n">
        <v>14.1</v>
      </c>
      <c r="H1114" t="n">
        <v>0</v>
      </c>
      <c r="I1114" t="n">
        <v>0</v>
      </c>
      <c r="J1114" t="n">
        <v>0</v>
      </c>
      <c r="K1114" t="n">
        <v>0</v>
      </c>
      <c r="L1114" t="n">
        <v>0</v>
      </c>
      <c r="M1114" t="n">
        <v>0</v>
      </c>
      <c r="N1114" t="n">
        <v>0</v>
      </c>
      <c r="O1114" t="n">
        <v>0</v>
      </c>
      <c r="P1114" t="n">
        <v>0</v>
      </c>
      <c r="Q1114" t="n">
        <v>0</v>
      </c>
      <c r="R1114" s="2" t="inlineStr"/>
    </row>
    <row r="1115" ht="15" customHeight="1">
      <c r="A1115" t="inlineStr">
        <is>
          <t>A 48665-2018</t>
        </is>
      </c>
      <c r="B1115" s="1" t="n">
        <v>43371</v>
      </c>
      <c r="C1115" s="1" t="n">
        <v>45357</v>
      </c>
      <c r="D1115" t="inlineStr">
        <is>
          <t>VÄSTERBOTTENS LÄN</t>
        </is>
      </c>
      <c r="E1115" t="inlineStr">
        <is>
          <t>ROBERTSFORS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48956-2018</t>
        </is>
      </c>
      <c r="B1116" s="1" t="n">
        <v>43371</v>
      </c>
      <c r="C1116" s="1" t="n">
        <v>45357</v>
      </c>
      <c r="D1116" t="inlineStr">
        <is>
          <t>VÄSTERBOTTENS LÄN</t>
        </is>
      </c>
      <c r="E1116" t="inlineStr">
        <is>
          <t>SKELLEFTEÅ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49418-2018</t>
        </is>
      </c>
      <c r="B1117" s="1" t="n">
        <v>43374</v>
      </c>
      <c r="C1117" s="1" t="n">
        <v>45357</v>
      </c>
      <c r="D1117" t="inlineStr">
        <is>
          <t>VÄSTERBOTTENS LÄN</t>
        </is>
      </c>
      <c r="E1117" t="inlineStr">
        <is>
          <t>ÅSELE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48590-2018</t>
        </is>
      </c>
      <c r="B1118" s="1" t="n">
        <v>43374</v>
      </c>
      <c r="C1118" s="1" t="n">
        <v>45357</v>
      </c>
      <c r="D1118" t="inlineStr">
        <is>
          <t>VÄSTERBOTTENS LÄN</t>
        </is>
      </c>
      <c r="E1118" t="inlineStr">
        <is>
          <t>SKELLEFTEÅ</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48997-2018</t>
        </is>
      </c>
      <c r="B1119" s="1" t="n">
        <v>43374</v>
      </c>
      <c r="C1119" s="1" t="n">
        <v>45357</v>
      </c>
      <c r="D1119" t="inlineStr">
        <is>
          <t>VÄSTERBOTTENS LÄN</t>
        </is>
      </c>
      <c r="E1119" t="inlineStr">
        <is>
          <t>UMEÅ</t>
        </is>
      </c>
      <c r="G1119" t="n">
        <v>30.2</v>
      </c>
      <c r="H1119" t="n">
        <v>0</v>
      </c>
      <c r="I1119" t="n">
        <v>0</v>
      </c>
      <c r="J1119" t="n">
        <v>0</v>
      </c>
      <c r="K1119" t="n">
        <v>0</v>
      </c>
      <c r="L1119" t="n">
        <v>0</v>
      </c>
      <c r="M1119" t="n">
        <v>0</v>
      </c>
      <c r="N1119" t="n">
        <v>0</v>
      </c>
      <c r="O1119" t="n">
        <v>0</v>
      </c>
      <c r="P1119" t="n">
        <v>0</v>
      </c>
      <c r="Q1119" t="n">
        <v>0</v>
      </c>
      <c r="R1119" s="2" t="inlineStr"/>
    </row>
    <row r="1120" ht="15" customHeight="1">
      <c r="A1120" t="inlineStr">
        <is>
          <t>A 49859-2018</t>
        </is>
      </c>
      <c r="B1120" s="1" t="n">
        <v>43375</v>
      </c>
      <c r="C1120" s="1" t="n">
        <v>45357</v>
      </c>
      <c r="D1120" t="inlineStr">
        <is>
          <t>VÄSTERBOTTENS LÄN</t>
        </is>
      </c>
      <c r="E1120" t="inlineStr">
        <is>
          <t>DOROTEA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50122-2018</t>
        </is>
      </c>
      <c r="B1121" s="1" t="n">
        <v>43375</v>
      </c>
      <c r="C1121" s="1" t="n">
        <v>45357</v>
      </c>
      <c r="D1121" t="inlineStr">
        <is>
          <t>VÄSTERBOTTENS LÄN</t>
        </is>
      </c>
      <c r="E1121" t="inlineStr">
        <is>
          <t>SKELLEFTEÅ</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49848-2018</t>
        </is>
      </c>
      <c r="B1122" s="1" t="n">
        <v>43375</v>
      </c>
      <c r="C1122" s="1" t="n">
        <v>45357</v>
      </c>
      <c r="D1122" t="inlineStr">
        <is>
          <t>VÄSTERBOTTENS LÄN</t>
        </is>
      </c>
      <c r="E1122" t="inlineStr">
        <is>
          <t>DOROTEA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48833-2018</t>
        </is>
      </c>
      <c r="B1123" s="1" t="n">
        <v>43375</v>
      </c>
      <c r="C1123" s="1" t="n">
        <v>45357</v>
      </c>
      <c r="D1123" t="inlineStr">
        <is>
          <t>VÄSTERBOTTENS LÄN</t>
        </is>
      </c>
      <c r="E1123" t="inlineStr">
        <is>
          <t>NORDMALING</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49183-2018</t>
        </is>
      </c>
      <c r="B1124" s="1" t="n">
        <v>43375</v>
      </c>
      <c r="C1124" s="1" t="n">
        <v>45357</v>
      </c>
      <c r="D1124" t="inlineStr">
        <is>
          <t>VÄSTERBOTTENS LÄN</t>
        </is>
      </c>
      <c r="E1124" t="inlineStr">
        <is>
          <t>VILHELMINA</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49196-2018</t>
        </is>
      </c>
      <c r="B1125" s="1" t="n">
        <v>43375</v>
      </c>
      <c r="C1125" s="1" t="n">
        <v>45357</v>
      </c>
      <c r="D1125" t="inlineStr">
        <is>
          <t>VÄSTERBOTTENS LÄN</t>
        </is>
      </c>
      <c r="E1125" t="inlineStr">
        <is>
          <t>VILHELMINA</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49598-2018</t>
        </is>
      </c>
      <c r="B1126" s="1" t="n">
        <v>43376</v>
      </c>
      <c r="C1126" s="1" t="n">
        <v>45357</v>
      </c>
      <c r="D1126" t="inlineStr">
        <is>
          <t>VÄSTERBOTTENS LÄN</t>
        </is>
      </c>
      <c r="E1126" t="inlineStr">
        <is>
          <t>SKELLEFTEÅ</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50020-2018</t>
        </is>
      </c>
      <c r="B1127" s="1" t="n">
        <v>43377</v>
      </c>
      <c r="C1127" s="1" t="n">
        <v>45357</v>
      </c>
      <c r="D1127" t="inlineStr">
        <is>
          <t>VÄSTERBOTTENS LÄN</t>
        </is>
      </c>
      <c r="E1127" t="inlineStr">
        <is>
          <t>VILHELMINA</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51124-2018</t>
        </is>
      </c>
      <c r="B1128" s="1" t="n">
        <v>43377</v>
      </c>
      <c r="C1128" s="1" t="n">
        <v>45357</v>
      </c>
      <c r="D1128" t="inlineStr">
        <is>
          <t>VÄSTERBOTTENS LÄN</t>
        </is>
      </c>
      <c r="E1128" t="inlineStr">
        <is>
          <t>ROBERTSFORS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49996-2018</t>
        </is>
      </c>
      <c r="B1129" s="1" t="n">
        <v>43377</v>
      </c>
      <c r="C1129" s="1" t="n">
        <v>45357</v>
      </c>
      <c r="D1129" t="inlineStr">
        <is>
          <t>VÄSTERBOTTENS LÄN</t>
        </is>
      </c>
      <c r="E1129" t="inlineStr">
        <is>
          <t>VILHELMINA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50000-2018</t>
        </is>
      </c>
      <c r="B1130" s="1" t="n">
        <v>43377</v>
      </c>
      <c r="C1130" s="1" t="n">
        <v>45357</v>
      </c>
      <c r="D1130" t="inlineStr">
        <is>
          <t>VÄSTERBOTTENS LÄN</t>
        </is>
      </c>
      <c r="E1130" t="inlineStr">
        <is>
          <t>VILHELMINA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50023-2018</t>
        </is>
      </c>
      <c r="B1131" s="1" t="n">
        <v>43377</v>
      </c>
      <c r="C1131" s="1" t="n">
        <v>45357</v>
      </c>
      <c r="D1131" t="inlineStr">
        <is>
          <t>VÄSTERBOTTENS LÄN</t>
        </is>
      </c>
      <c r="E1131" t="inlineStr">
        <is>
          <t>VILHELMINA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50007-2018</t>
        </is>
      </c>
      <c r="B1132" s="1" t="n">
        <v>43377</v>
      </c>
      <c r="C1132" s="1" t="n">
        <v>45357</v>
      </c>
      <c r="D1132" t="inlineStr">
        <is>
          <t>VÄSTERBOTTENS LÄN</t>
        </is>
      </c>
      <c r="E1132" t="inlineStr">
        <is>
          <t>VILHELMINA</t>
        </is>
      </c>
      <c r="F1132" t="inlineStr">
        <is>
          <t>SCA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50028-2018</t>
        </is>
      </c>
      <c r="B1133" s="1" t="n">
        <v>43377</v>
      </c>
      <c r="C1133" s="1" t="n">
        <v>45357</v>
      </c>
      <c r="D1133" t="inlineStr">
        <is>
          <t>VÄSTERBOTTENS LÄN</t>
        </is>
      </c>
      <c r="E1133" t="inlineStr">
        <is>
          <t>VILHELMINA</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50276-2018</t>
        </is>
      </c>
      <c r="B1134" s="1" t="n">
        <v>43378</v>
      </c>
      <c r="C1134" s="1" t="n">
        <v>45357</v>
      </c>
      <c r="D1134" t="inlineStr">
        <is>
          <t>VÄSTERBOTTENS LÄN</t>
        </is>
      </c>
      <c r="E1134" t="inlineStr">
        <is>
          <t>LYCKSELE</t>
        </is>
      </c>
      <c r="F1134" t="inlineStr">
        <is>
          <t>Holmen skog AB</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51599-2018</t>
        </is>
      </c>
      <c r="B1135" s="1" t="n">
        <v>43378</v>
      </c>
      <c r="C1135" s="1" t="n">
        <v>45357</v>
      </c>
      <c r="D1135" t="inlineStr">
        <is>
          <t>VÄSTERBOTTENS LÄN</t>
        </is>
      </c>
      <c r="E1135" t="inlineStr">
        <is>
          <t>SKELLEFTEÅ</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51391-2018</t>
        </is>
      </c>
      <c r="B1136" s="1" t="n">
        <v>43378</v>
      </c>
      <c r="C1136" s="1" t="n">
        <v>45357</v>
      </c>
      <c r="D1136" t="inlineStr">
        <is>
          <t>VÄSTERBOTTENS LÄN</t>
        </is>
      </c>
      <c r="E1136" t="inlineStr">
        <is>
          <t>BJURHOLM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51386-2018</t>
        </is>
      </c>
      <c r="B1137" s="1" t="n">
        <v>43381</v>
      </c>
      <c r="C1137" s="1" t="n">
        <v>45357</v>
      </c>
      <c r="D1137" t="inlineStr">
        <is>
          <t>VÄSTERBOTTENS LÄN</t>
        </is>
      </c>
      <c r="E1137" t="inlineStr">
        <is>
          <t>SKELLEFTEÅ</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51667-2018</t>
        </is>
      </c>
      <c r="B1138" s="1" t="n">
        <v>43381</v>
      </c>
      <c r="C1138" s="1" t="n">
        <v>45357</v>
      </c>
      <c r="D1138" t="inlineStr">
        <is>
          <t>VÄSTERBOTTENS LÄN</t>
        </is>
      </c>
      <c r="E1138" t="inlineStr">
        <is>
          <t>SKELLEFTEÅ</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51649-2018</t>
        </is>
      </c>
      <c r="B1139" s="1" t="n">
        <v>43381</v>
      </c>
      <c r="C1139" s="1" t="n">
        <v>45357</v>
      </c>
      <c r="D1139" t="inlineStr">
        <is>
          <t>VÄSTERBOTTENS LÄN</t>
        </is>
      </c>
      <c r="E1139" t="inlineStr">
        <is>
          <t>VINDELN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51689-2018</t>
        </is>
      </c>
      <c r="B1140" s="1" t="n">
        <v>43381</v>
      </c>
      <c r="C1140" s="1" t="n">
        <v>45357</v>
      </c>
      <c r="D1140" t="inlineStr">
        <is>
          <t>VÄSTERBOTTENS LÄN</t>
        </is>
      </c>
      <c r="E1140" t="inlineStr">
        <is>
          <t>SKELLEFTEÅ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51480-2018</t>
        </is>
      </c>
      <c r="B1141" s="1" t="n">
        <v>43381</v>
      </c>
      <c r="C1141" s="1" t="n">
        <v>45357</v>
      </c>
      <c r="D1141" t="inlineStr">
        <is>
          <t>VÄSTERBOTTENS LÄN</t>
        </is>
      </c>
      <c r="E1141" t="inlineStr">
        <is>
          <t>MALÅ</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51983-2018</t>
        </is>
      </c>
      <c r="B1142" s="1" t="n">
        <v>43382</v>
      </c>
      <c r="C1142" s="1" t="n">
        <v>45357</v>
      </c>
      <c r="D1142" t="inlineStr">
        <is>
          <t>VÄSTERBOTTENS LÄN</t>
        </is>
      </c>
      <c r="E1142" t="inlineStr">
        <is>
          <t>SKELLEFTEÅ</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52361-2018</t>
        </is>
      </c>
      <c r="B1143" s="1" t="n">
        <v>43382</v>
      </c>
      <c r="C1143" s="1" t="n">
        <v>45357</v>
      </c>
      <c r="D1143" t="inlineStr">
        <is>
          <t>VÄSTERBOTTENS LÄN</t>
        </is>
      </c>
      <c r="E1143" t="inlineStr">
        <is>
          <t>LYCKSELE</t>
        </is>
      </c>
      <c r="G1143" t="n">
        <v>14.2</v>
      </c>
      <c r="H1143" t="n">
        <v>0</v>
      </c>
      <c r="I1143" t="n">
        <v>0</v>
      </c>
      <c r="J1143" t="n">
        <v>0</v>
      </c>
      <c r="K1143" t="n">
        <v>0</v>
      </c>
      <c r="L1143" t="n">
        <v>0</v>
      </c>
      <c r="M1143" t="n">
        <v>0</v>
      </c>
      <c r="N1143" t="n">
        <v>0</v>
      </c>
      <c r="O1143" t="n">
        <v>0</v>
      </c>
      <c r="P1143" t="n">
        <v>0</v>
      </c>
      <c r="Q1143" t="n">
        <v>0</v>
      </c>
      <c r="R1143" s="2" t="inlineStr"/>
    </row>
    <row r="1144" ht="15" customHeight="1">
      <c r="A1144" t="inlineStr">
        <is>
          <t>A 51552-2018</t>
        </is>
      </c>
      <c r="B1144" s="1" t="n">
        <v>43383</v>
      </c>
      <c r="C1144" s="1" t="n">
        <v>45357</v>
      </c>
      <c r="D1144" t="inlineStr">
        <is>
          <t>VÄSTERBOTTENS LÄN</t>
        </is>
      </c>
      <c r="E1144" t="inlineStr">
        <is>
          <t>SKELLEFTEÅ</t>
        </is>
      </c>
      <c r="G1144" t="n">
        <v>11.4</v>
      </c>
      <c r="H1144" t="n">
        <v>0</v>
      </c>
      <c r="I1144" t="n">
        <v>0</v>
      </c>
      <c r="J1144" t="n">
        <v>0</v>
      </c>
      <c r="K1144" t="n">
        <v>0</v>
      </c>
      <c r="L1144" t="n">
        <v>0</v>
      </c>
      <c r="M1144" t="n">
        <v>0</v>
      </c>
      <c r="N1144" t="n">
        <v>0</v>
      </c>
      <c r="O1144" t="n">
        <v>0</v>
      </c>
      <c r="P1144" t="n">
        <v>0</v>
      </c>
      <c r="Q1144" t="n">
        <v>0</v>
      </c>
      <c r="R1144" s="2" t="inlineStr"/>
    </row>
    <row r="1145" ht="15" customHeight="1">
      <c r="A1145" t="inlineStr">
        <is>
          <t>A 51854-2018</t>
        </is>
      </c>
      <c r="B1145" s="1" t="n">
        <v>43384</v>
      </c>
      <c r="C1145" s="1" t="n">
        <v>45357</v>
      </c>
      <c r="D1145" t="inlineStr">
        <is>
          <t>VÄSTERBOTTENS LÄN</t>
        </is>
      </c>
      <c r="E1145" t="inlineStr">
        <is>
          <t>VILHELMINA</t>
        </is>
      </c>
      <c r="F1145" t="inlineStr">
        <is>
          <t>SCA</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52858-2018</t>
        </is>
      </c>
      <c r="B1146" s="1" t="n">
        <v>43384</v>
      </c>
      <c r="C1146" s="1" t="n">
        <v>45357</v>
      </c>
      <c r="D1146" t="inlineStr">
        <is>
          <t>VÄSTERBOTTENS LÄN</t>
        </is>
      </c>
      <c r="E1146" t="inlineStr">
        <is>
          <t>UMEÅ</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52872-2018</t>
        </is>
      </c>
      <c r="B1147" s="1" t="n">
        <v>43384</v>
      </c>
      <c r="C1147" s="1" t="n">
        <v>45357</v>
      </c>
      <c r="D1147" t="inlineStr">
        <is>
          <t>VÄSTERBOTTENS LÄN</t>
        </is>
      </c>
      <c r="E1147" t="inlineStr">
        <is>
          <t>UMEÅ</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51852-2018</t>
        </is>
      </c>
      <c r="B1148" s="1" t="n">
        <v>43384</v>
      </c>
      <c r="C1148" s="1" t="n">
        <v>45357</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53218-2018</t>
        </is>
      </c>
      <c r="B1149" s="1" t="n">
        <v>43384</v>
      </c>
      <c r="C1149" s="1" t="n">
        <v>45357</v>
      </c>
      <c r="D1149" t="inlineStr">
        <is>
          <t>VÄSTERBOTTENS LÄN</t>
        </is>
      </c>
      <c r="E1149" t="inlineStr">
        <is>
          <t>DOROTEA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51926-2018</t>
        </is>
      </c>
      <c r="B1150" s="1" t="n">
        <v>43385</v>
      </c>
      <c r="C1150" s="1" t="n">
        <v>45357</v>
      </c>
      <c r="D1150" t="inlineStr">
        <is>
          <t>VÄSTERBOTTENS LÄN</t>
        </is>
      </c>
      <c r="E1150" t="inlineStr">
        <is>
          <t>ROBERTSFORS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53463-2018</t>
        </is>
      </c>
      <c r="B1151" s="1" t="n">
        <v>43385</v>
      </c>
      <c r="C1151" s="1" t="n">
        <v>45357</v>
      </c>
      <c r="D1151" t="inlineStr">
        <is>
          <t>VÄSTERBOTTENS LÄN</t>
        </is>
      </c>
      <c r="E1151" t="inlineStr">
        <is>
          <t>STORUMAN</t>
        </is>
      </c>
      <c r="G1151" t="n">
        <v>26.5</v>
      </c>
      <c r="H1151" t="n">
        <v>0</v>
      </c>
      <c r="I1151" t="n">
        <v>0</v>
      </c>
      <c r="J1151" t="n">
        <v>0</v>
      </c>
      <c r="K1151" t="n">
        <v>0</v>
      </c>
      <c r="L1151" t="n">
        <v>0</v>
      </c>
      <c r="M1151" t="n">
        <v>0</v>
      </c>
      <c r="N1151" t="n">
        <v>0</v>
      </c>
      <c r="O1151" t="n">
        <v>0</v>
      </c>
      <c r="P1151" t="n">
        <v>0</v>
      </c>
      <c r="Q1151" t="n">
        <v>0</v>
      </c>
      <c r="R1151" s="2" t="inlineStr"/>
    </row>
    <row r="1152" ht="15" customHeight="1">
      <c r="A1152" t="inlineStr">
        <is>
          <t>A 53506-2018</t>
        </is>
      </c>
      <c r="B1152" s="1" t="n">
        <v>43385</v>
      </c>
      <c r="C1152" s="1" t="n">
        <v>45357</v>
      </c>
      <c r="D1152" t="inlineStr">
        <is>
          <t>VÄSTERBOTTENS LÄN</t>
        </is>
      </c>
      <c r="E1152" t="inlineStr">
        <is>
          <t>UMEÅ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53712-2018</t>
        </is>
      </c>
      <c r="B1153" s="1" t="n">
        <v>43385</v>
      </c>
      <c r="C1153" s="1" t="n">
        <v>45357</v>
      </c>
      <c r="D1153" t="inlineStr">
        <is>
          <t>VÄSTERBOTTENS LÄN</t>
        </is>
      </c>
      <c r="E1153" t="inlineStr">
        <is>
          <t>BJURHOLM</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53718-2018</t>
        </is>
      </c>
      <c r="B1154" s="1" t="n">
        <v>43385</v>
      </c>
      <c r="C1154" s="1" t="n">
        <v>45357</v>
      </c>
      <c r="D1154" t="inlineStr">
        <is>
          <t>VÄSTERBOTTENS LÄN</t>
        </is>
      </c>
      <c r="E1154" t="inlineStr">
        <is>
          <t>UMEÅ</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53326-2018</t>
        </is>
      </c>
      <c r="B1155" s="1" t="n">
        <v>43385</v>
      </c>
      <c r="C1155" s="1" t="n">
        <v>45357</v>
      </c>
      <c r="D1155" t="inlineStr">
        <is>
          <t>VÄSTERBOTTENS LÄN</t>
        </is>
      </c>
      <c r="E1155" t="inlineStr">
        <is>
          <t>SORSELE</t>
        </is>
      </c>
      <c r="G1155" t="n">
        <v>13.8</v>
      </c>
      <c r="H1155" t="n">
        <v>0</v>
      </c>
      <c r="I1155" t="n">
        <v>0</v>
      </c>
      <c r="J1155" t="n">
        <v>0</v>
      </c>
      <c r="K1155" t="n">
        <v>0</v>
      </c>
      <c r="L1155" t="n">
        <v>0</v>
      </c>
      <c r="M1155" t="n">
        <v>0</v>
      </c>
      <c r="N1155" t="n">
        <v>0</v>
      </c>
      <c r="O1155" t="n">
        <v>0</v>
      </c>
      <c r="P1155" t="n">
        <v>0</v>
      </c>
      <c r="Q1155" t="n">
        <v>0</v>
      </c>
      <c r="R1155" s="2" t="inlineStr"/>
    </row>
    <row r="1156" ht="15" customHeight="1">
      <c r="A1156" t="inlineStr">
        <is>
          <t>A 53991-2018</t>
        </is>
      </c>
      <c r="B1156" s="1" t="n">
        <v>43388</v>
      </c>
      <c r="C1156" s="1" t="n">
        <v>45357</v>
      </c>
      <c r="D1156" t="inlineStr">
        <is>
          <t>VÄSTERBOTTENS LÄN</t>
        </is>
      </c>
      <c r="E1156" t="inlineStr">
        <is>
          <t>NORDMALING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53767-2018</t>
        </is>
      </c>
      <c r="B1157" s="1" t="n">
        <v>43388</v>
      </c>
      <c r="C1157" s="1" t="n">
        <v>45357</v>
      </c>
      <c r="D1157" t="inlineStr">
        <is>
          <t>VÄSTERBOTTENS LÄN</t>
        </is>
      </c>
      <c r="E1157" t="inlineStr">
        <is>
          <t>NORSJÖ</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53561-2018</t>
        </is>
      </c>
      <c r="B1158" s="1" t="n">
        <v>43388</v>
      </c>
      <c r="C1158" s="1" t="n">
        <v>45357</v>
      </c>
      <c r="D1158" t="inlineStr">
        <is>
          <t>VÄSTERBOTTENS LÄN</t>
        </is>
      </c>
      <c r="E1158" t="inlineStr">
        <is>
          <t>NORSJÖ</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53755-2018</t>
        </is>
      </c>
      <c r="B1159" s="1" t="n">
        <v>43388</v>
      </c>
      <c r="C1159" s="1" t="n">
        <v>45357</v>
      </c>
      <c r="D1159" t="inlineStr">
        <is>
          <t>VÄSTERBOTTENS LÄN</t>
        </is>
      </c>
      <c r="E1159" t="inlineStr">
        <is>
          <t>NORSJÖ</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52969-2018</t>
        </is>
      </c>
      <c r="B1160" s="1" t="n">
        <v>43389</v>
      </c>
      <c r="C1160" s="1" t="n">
        <v>45357</v>
      </c>
      <c r="D1160" t="inlineStr">
        <is>
          <t>VÄSTERBOTTENS LÄN</t>
        </is>
      </c>
      <c r="E1160" t="inlineStr">
        <is>
          <t>VILHELMINA</t>
        </is>
      </c>
      <c r="F1160" t="inlineStr">
        <is>
          <t>Sveaskog</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53008-2018</t>
        </is>
      </c>
      <c r="B1161" s="1" t="n">
        <v>43389</v>
      </c>
      <c r="C1161" s="1" t="n">
        <v>45357</v>
      </c>
      <c r="D1161" t="inlineStr">
        <is>
          <t>VÄSTERBOTTENS LÄN</t>
        </is>
      </c>
      <c r="E1161" t="inlineStr">
        <is>
          <t>DOROTEA</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52642-2018</t>
        </is>
      </c>
      <c r="B1162" s="1" t="n">
        <v>43389</v>
      </c>
      <c r="C1162" s="1" t="n">
        <v>45357</v>
      </c>
      <c r="D1162" t="inlineStr">
        <is>
          <t>VÄSTERBOTTENS LÄN</t>
        </is>
      </c>
      <c r="E1162" t="inlineStr">
        <is>
          <t>SKELLEFTEÅ</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52970-2018</t>
        </is>
      </c>
      <c r="B1163" s="1" t="n">
        <v>43389</v>
      </c>
      <c r="C1163" s="1" t="n">
        <v>45357</v>
      </c>
      <c r="D1163" t="inlineStr">
        <is>
          <t>VÄSTERBOTTENS LÄN</t>
        </is>
      </c>
      <c r="E1163" t="inlineStr">
        <is>
          <t>VILHELMINA</t>
        </is>
      </c>
      <c r="F1163" t="inlineStr">
        <is>
          <t>Sveaskog</t>
        </is>
      </c>
      <c r="G1163" t="n">
        <v>16.8</v>
      </c>
      <c r="H1163" t="n">
        <v>0</v>
      </c>
      <c r="I1163" t="n">
        <v>0</v>
      </c>
      <c r="J1163" t="n">
        <v>0</v>
      </c>
      <c r="K1163" t="n">
        <v>0</v>
      </c>
      <c r="L1163" t="n">
        <v>0</v>
      </c>
      <c r="M1163" t="n">
        <v>0</v>
      </c>
      <c r="N1163" t="n">
        <v>0</v>
      </c>
      <c r="O1163" t="n">
        <v>0</v>
      </c>
      <c r="P1163" t="n">
        <v>0</v>
      </c>
      <c r="Q1163" t="n">
        <v>0</v>
      </c>
      <c r="R1163" s="2" t="inlineStr"/>
    </row>
    <row r="1164" ht="15" customHeight="1">
      <c r="A1164" t="inlineStr">
        <is>
          <t>A 53009-2018</t>
        </is>
      </c>
      <c r="B1164" s="1" t="n">
        <v>43389</v>
      </c>
      <c r="C1164" s="1" t="n">
        <v>45357</v>
      </c>
      <c r="D1164" t="inlineStr">
        <is>
          <t>VÄSTERBOTTENS LÄN</t>
        </is>
      </c>
      <c r="E1164" t="inlineStr">
        <is>
          <t>DOROTEA</t>
        </is>
      </c>
      <c r="F1164" t="inlineStr">
        <is>
          <t>SCA</t>
        </is>
      </c>
      <c r="G1164" t="n">
        <v>19.1</v>
      </c>
      <c r="H1164" t="n">
        <v>0</v>
      </c>
      <c r="I1164" t="n">
        <v>0</v>
      </c>
      <c r="J1164" t="n">
        <v>0</v>
      </c>
      <c r="K1164" t="n">
        <v>0</v>
      </c>
      <c r="L1164" t="n">
        <v>0</v>
      </c>
      <c r="M1164" t="n">
        <v>0</v>
      </c>
      <c r="N1164" t="n">
        <v>0</v>
      </c>
      <c r="O1164" t="n">
        <v>0</v>
      </c>
      <c r="P1164" t="n">
        <v>0</v>
      </c>
      <c r="Q1164" t="n">
        <v>0</v>
      </c>
      <c r="R1164" s="2" t="inlineStr"/>
    </row>
    <row r="1165" ht="15" customHeight="1">
      <c r="A1165" t="inlineStr">
        <is>
          <t>A 52971-2018</t>
        </is>
      </c>
      <c r="B1165" s="1" t="n">
        <v>43389</v>
      </c>
      <c r="C1165" s="1" t="n">
        <v>45357</v>
      </c>
      <c r="D1165" t="inlineStr">
        <is>
          <t>VÄSTERBOTTENS LÄN</t>
        </is>
      </c>
      <c r="E1165" t="inlineStr">
        <is>
          <t>VILHELMINA</t>
        </is>
      </c>
      <c r="F1165" t="inlineStr">
        <is>
          <t>Sveaskog</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52807-2018</t>
        </is>
      </c>
      <c r="B1166" s="1" t="n">
        <v>43389</v>
      </c>
      <c r="C1166" s="1" t="n">
        <v>45357</v>
      </c>
      <c r="D1166" t="inlineStr">
        <is>
          <t>VÄSTERBOTTENS LÄN</t>
        </is>
      </c>
      <c r="E1166" t="inlineStr">
        <is>
          <t>VÄNNÄS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55839-2018</t>
        </is>
      </c>
      <c r="B1167" s="1" t="n">
        <v>43392</v>
      </c>
      <c r="C1167" s="1" t="n">
        <v>45357</v>
      </c>
      <c r="D1167" t="inlineStr">
        <is>
          <t>VÄSTERBOTTENS LÄN</t>
        </is>
      </c>
      <c r="E1167" t="inlineStr">
        <is>
          <t>UMEÅ</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55858-2018</t>
        </is>
      </c>
      <c r="B1168" s="1" t="n">
        <v>43392</v>
      </c>
      <c r="C1168" s="1" t="n">
        <v>45357</v>
      </c>
      <c r="D1168" t="inlineStr">
        <is>
          <t>VÄSTERBOTTENS LÄN</t>
        </is>
      </c>
      <c r="E1168" t="inlineStr">
        <is>
          <t>UMEÅ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55821-2018</t>
        </is>
      </c>
      <c r="B1169" s="1" t="n">
        <v>43392</v>
      </c>
      <c r="C1169" s="1" t="n">
        <v>45357</v>
      </c>
      <c r="D1169" t="inlineStr">
        <is>
          <t>VÄSTERBOTTENS LÄN</t>
        </is>
      </c>
      <c r="E1169" t="inlineStr">
        <is>
          <t>SKELLEFTEÅ</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55871-2018</t>
        </is>
      </c>
      <c r="B1170" s="1" t="n">
        <v>43392</v>
      </c>
      <c r="C1170" s="1" t="n">
        <v>45357</v>
      </c>
      <c r="D1170" t="inlineStr">
        <is>
          <t>VÄSTERBOTTENS LÄN</t>
        </is>
      </c>
      <c r="E1170" t="inlineStr">
        <is>
          <t>UMEÅ</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54624-2018</t>
        </is>
      </c>
      <c r="B1171" s="1" t="n">
        <v>43395</v>
      </c>
      <c r="C1171" s="1" t="n">
        <v>45357</v>
      </c>
      <c r="D1171" t="inlineStr">
        <is>
          <t>VÄSTERBOTTENS LÄN</t>
        </is>
      </c>
      <c r="E1171" t="inlineStr">
        <is>
          <t>VILHELMINA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57124-2018</t>
        </is>
      </c>
      <c r="B1172" s="1" t="n">
        <v>43395</v>
      </c>
      <c r="C1172" s="1" t="n">
        <v>45357</v>
      </c>
      <c r="D1172" t="inlineStr">
        <is>
          <t>VÄSTERBOTTENS LÄN</t>
        </is>
      </c>
      <c r="E1172" t="inlineStr">
        <is>
          <t>VINDELN</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56369-2018</t>
        </is>
      </c>
      <c r="B1173" s="1" t="n">
        <v>43395</v>
      </c>
      <c r="C1173" s="1" t="n">
        <v>45357</v>
      </c>
      <c r="D1173" t="inlineStr">
        <is>
          <t>VÄSTERBOTTENS LÄN</t>
        </is>
      </c>
      <c r="E1173" t="inlineStr">
        <is>
          <t>SKELLEFTEÅ</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54284-2018</t>
        </is>
      </c>
      <c r="B1174" s="1" t="n">
        <v>43395</v>
      </c>
      <c r="C1174" s="1" t="n">
        <v>45357</v>
      </c>
      <c r="D1174" t="inlineStr">
        <is>
          <t>VÄSTERBOTTENS LÄN</t>
        </is>
      </c>
      <c r="E1174" t="inlineStr">
        <is>
          <t>SKELLEFTEÅ</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55700-2018</t>
        </is>
      </c>
      <c r="B1175" s="1" t="n">
        <v>43395</v>
      </c>
      <c r="C1175" s="1" t="n">
        <v>45357</v>
      </c>
      <c r="D1175" t="inlineStr">
        <is>
          <t>VÄSTERBOTTENS LÄN</t>
        </is>
      </c>
      <c r="E1175" t="inlineStr">
        <is>
          <t>LYCKSELE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56378-2018</t>
        </is>
      </c>
      <c r="B1176" s="1" t="n">
        <v>43395</v>
      </c>
      <c r="C1176" s="1" t="n">
        <v>45357</v>
      </c>
      <c r="D1176" t="inlineStr">
        <is>
          <t>VÄSTERBOTTENS LÄN</t>
        </is>
      </c>
      <c r="E1176" t="inlineStr">
        <is>
          <t>SKELLEFTEÅ</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57077-2018</t>
        </is>
      </c>
      <c r="B1177" s="1" t="n">
        <v>43395</v>
      </c>
      <c r="C1177" s="1" t="n">
        <v>45357</v>
      </c>
      <c r="D1177" t="inlineStr">
        <is>
          <t>VÄSTERBOTTENS LÄN</t>
        </is>
      </c>
      <c r="E1177" t="inlineStr">
        <is>
          <t>VINDELN</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55280-2018</t>
        </is>
      </c>
      <c r="B1178" s="1" t="n">
        <v>43397</v>
      </c>
      <c r="C1178" s="1" t="n">
        <v>45357</v>
      </c>
      <c r="D1178" t="inlineStr">
        <is>
          <t>VÄSTERBOTTENS LÄN</t>
        </is>
      </c>
      <c r="E1178" t="inlineStr">
        <is>
          <t>SKELLEFTEÅ</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55471-2018</t>
        </is>
      </c>
      <c r="B1179" s="1" t="n">
        <v>43397</v>
      </c>
      <c r="C1179" s="1" t="n">
        <v>45357</v>
      </c>
      <c r="D1179" t="inlineStr">
        <is>
          <t>VÄSTERBOTTENS LÄN</t>
        </is>
      </c>
      <c r="E1179" t="inlineStr">
        <is>
          <t>VINDELN</t>
        </is>
      </c>
      <c r="G1179" t="n">
        <v>13.2</v>
      </c>
      <c r="H1179" t="n">
        <v>0</v>
      </c>
      <c r="I1179" t="n">
        <v>0</v>
      </c>
      <c r="J1179" t="n">
        <v>0</v>
      </c>
      <c r="K1179" t="n">
        <v>0</v>
      </c>
      <c r="L1179" t="n">
        <v>0</v>
      </c>
      <c r="M1179" t="n">
        <v>0</v>
      </c>
      <c r="N1179" t="n">
        <v>0</v>
      </c>
      <c r="O1179" t="n">
        <v>0</v>
      </c>
      <c r="P1179" t="n">
        <v>0</v>
      </c>
      <c r="Q1179" t="n">
        <v>0</v>
      </c>
      <c r="R1179" s="2" t="inlineStr"/>
    </row>
    <row r="1180" ht="15" customHeight="1">
      <c r="A1180" t="inlineStr">
        <is>
          <t>A 57812-2018</t>
        </is>
      </c>
      <c r="B1180" s="1" t="n">
        <v>43397</v>
      </c>
      <c r="C1180" s="1" t="n">
        <v>45357</v>
      </c>
      <c r="D1180" t="inlineStr">
        <is>
          <t>VÄSTERBOTTENS LÄN</t>
        </is>
      </c>
      <c r="E1180" t="inlineStr">
        <is>
          <t>SKELLEFTEÅ</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57843-2018</t>
        </is>
      </c>
      <c r="B1181" s="1" t="n">
        <v>43397</v>
      </c>
      <c r="C1181" s="1" t="n">
        <v>45357</v>
      </c>
      <c r="D1181" t="inlineStr">
        <is>
          <t>VÄSTERBOTTENS LÄN</t>
        </is>
      </c>
      <c r="E1181" t="inlineStr">
        <is>
          <t>SORSELE</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57840-2018</t>
        </is>
      </c>
      <c r="B1182" s="1" t="n">
        <v>43397</v>
      </c>
      <c r="C1182" s="1" t="n">
        <v>45357</v>
      </c>
      <c r="D1182" t="inlineStr">
        <is>
          <t>VÄSTERBOTTENS LÄN</t>
        </is>
      </c>
      <c r="E1182" t="inlineStr">
        <is>
          <t>SORSELE</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55419-2018</t>
        </is>
      </c>
      <c r="B1183" s="1" t="n">
        <v>43397</v>
      </c>
      <c r="C1183" s="1" t="n">
        <v>45357</v>
      </c>
      <c r="D1183" t="inlineStr">
        <is>
          <t>VÄSTERBOTTENS LÄN</t>
        </is>
      </c>
      <c r="E1183" t="inlineStr">
        <is>
          <t>DOROTEA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57847-2018</t>
        </is>
      </c>
      <c r="B1184" s="1" t="n">
        <v>43397</v>
      </c>
      <c r="C1184" s="1" t="n">
        <v>45357</v>
      </c>
      <c r="D1184" t="inlineStr">
        <is>
          <t>VÄSTERBOTTENS LÄN</t>
        </is>
      </c>
      <c r="E1184" t="inlineStr">
        <is>
          <t>SORSELE</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58466-2018</t>
        </is>
      </c>
      <c r="B1185" s="1" t="n">
        <v>43397</v>
      </c>
      <c r="C1185" s="1" t="n">
        <v>45357</v>
      </c>
      <c r="D1185" t="inlineStr">
        <is>
          <t>VÄSTERBOTTENS LÄN</t>
        </is>
      </c>
      <c r="E1185" t="inlineStr">
        <is>
          <t>BJURHOLM</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55781-2018</t>
        </is>
      </c>
      <c r="B1186" s="1" t="n">
        <v>43398</v>
      </c>
      <c r="C1186" s="1" t="n">
        <v>45357</v>
      </c>
      <c r="D1186" t="inlineStr">
        <is>
          <t>VÄSTERBOTTENS LÄN</t>
        </is>
      </c>
      <c r="E1186" t="inlineStr">
        <is>
          <t>DOROTEA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55780-2018</t>
        </is>
      </c>
      <c r="B1187" s="1" t="n">
        <v>43398</v>
      </c>
      <c r="C1187" s="1" t="n">
        <v>45357</v>
      </c>
      <c r="D1187" t="inlineStr">
        <is>
          <t>VÄSTERBOTTENS LÄN</t>
        </is>
      </c>
      <c r="E1187" t="inlineStr">
        <is>
          <t>DOROTEA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56133-2018</t>
        </is>
      </c>
      <c r="B1188" s="1" t="n">
        <v>43398</v>
      </c>
      <c r="C1188" s="1" t="n">
        <v>45357</v>
      </c>
      <c r="D1188" t="inlineStr">
        <is>
          <t>VÄSTERBOTTENS LÄN</t>
        </is>
      </c>
      <c r="E1188" t="inlineStr">
        <is>
          <t>NORSJÖ</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58252-2018</t>
        </is>
      </c>
      <c r="B1189" s="1" t="n">
        <v>43398</v>
      </c>
      <c r="C1189" s="1" t="n">
        <v>45357</v>
      </c>
      <c r="D1189" t="inlineStr">
        <is>
          <t>VÄSTERBOTTENS LÄN</t>
        </is>
      </c>
      <c r="E1189" t="inlineStr">
        <is>
          <t>STORUMAN</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58386-2018</t>
        </is>
      </c>
      <c r="B1190" s="1" t="n">
        <v>43398</v>
      </c>
      <c r="C1190" s="1" t="n">
        <v>45357</v>
      </c>
      <c r="D1190" t="inlineStr">
        <is>
          <t>VÄSTERBOTTENS LÄN</t>
        </is>
      </c>
      <c r="E1190" t="inlineStr">
        <is>
          <t>LYCKSELE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58415-2018</t>
        </is>
      </c>
      <c r="B1191" s="1" t="n">
        <v>43398</v>
      </c>
      <c r="C1191" s="1" t="n">
        <v>45357</v>
      </c>
      <c r="D1191" t="inlineStr">
        <is>
          <t>VÄSTERBOTTENS LÄN</t>
        </is>
      </c>
      <c r="E1191" t="inlineStr">
        <is>
          <t>BJURHOLM</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58629-2018</t>
        </is>
      </c>
      <c r="B1192" s="1" t="n">
        <v>43399</v>
      </c>
      <c r="C1192" s="1" t="n">
        <v>45357</v>
      </c>
      <c r="D1192" t="inlineStr">
        <is>
          <t>VÄSTERBOTTENS LÄN</t>
        </is>
      </c>
      <c r="E1192" t="inlineStr">
        <is>
          <t>BJURHOLM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56313-2018</t>
        </is>
      </c>
      <c r="B1193" s="1" t="n">
        <v>43399</v>
      </c>
      <c r="C1193" s="1" t="n">
        <v>45357</v>
      </c>
      <c r="D1193" t="inlineStr">
        <is>
          <t>VÄSTERBOTTENS LÄN</t>
        </is>
      </c>
      <c r="E1193" t="inlineStr">
        <is>
          <t>SKELLEFTEÅ</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58642-2018</t>
        </is>
      </c>
      <c r="B1194" s="1" t="n">
        <v>43399</v>
      </c>
      <c r="C1194" s="1" t="n">
        <v>45357</v>
      </c>
      <c r="D1194" t="inlineStr">
        <is>
          <t>VÄSTERBOTTENS LÄN</t>
        </is>
      </c>
      <c r="E1194" t="inlineStr">
        <is>
          <t>STORUMAN</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58758-2018</t>
        </is>
      </c>
      <c r="B1195" s="1" t="n">
        <v>43399</v>
      </c>
      <c r="C1195" s="1" t="n">
        <v>45357</v>
      </c>
      <c r="D1195" t="inlineStr">
        <is>
          <t>VÄSTERBOTTENS LÄN</t>
        </is>
      </c>
      <c r="E1195" t="inlineStr">
        <is>
          <t>BJURHOLM</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58639-2018</t>
        </is>
      </c>
      <c r="B1196" s="1" t="n">
        <v>43399</v>
      </c>
      <c r="C1196" s="1" t="n">
        <v>45357</v>
      </c>
      <c r="D1196" t="inlineStr">
        <is>
          <t>VÄSTERBOTTENS LÄN</t>
        </is>
      </c>
      <c r="E1196" t="inlineStr">
        <is>
          <t>BJURHOLM</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59266-2018</t>
        </is>
      </c>
      <c r="B1197" s="1" t="n">
        <v>43402</v>
      </c>
      <c r="C1197" s="1" t="n">
        <v>45357</v>
      </c>
      <c r="D1197" t="inlineStr">
        <is>
          <t>VÄSTERBOTTENS LÄN</t>
        </is>
      </c>
      <c r="E1197" t="inlineStr">
        <is>
          <t>LYCKSELE</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56672-2018</t>
        </is>
      </c>
      <c r="B1198" s="1" t="n">
        <v>43402</v>
      </c>
      <c r="C1198" s="1" t="n">
        <v>45357</v>
      </c>
      <c r="D1198" t="inlineStr">
        <is>
          <t>VÄSTERBOTTENS LÄN</t>
        </is>
      </c>
      <c r="E1198" t="inlineStr">
        <is>
          <t>SKELLEFTEÅ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56712-2018</t>
        </is>
      </c>
      <c r="B1199" s="1" t="n">
        <v>43402</v>
      </c>
      <c r="C1199" s="1" t="n">
        <v>45357</v>
      </c>
      <c r="D1199" t="inlineStr">
        <is>
          <t>VÄSTERBOTTENS LÄN</t>
        </is>
      </c>
      <c r="E1199" t="inlineStr">
        <is>
          <t>VÄNNÄS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58762-2018</t>
        </is>
      </c>
      <c r="B1200" s="1" t="n">
        <v>43402</v>
      </c>
      <c r="C1200" s="1" t="n">
        <v>45357</v>
      </c>
      <c r="D1200" t="inlineStr">
        <is>
          <t>VÄSTERBOTTENS LÄN</t>
        </is>
      </c>
      <c r="E1200" t="inlineStr">
        <is>
          <t>BJURHOLM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59022-2018</t>
        </is>
      </c>
      <c r="B1201" s="1" t="n">
        <v>43402</v>
      </c>
      <c r="C1201" s="1" t="n">
        <v>45357</v>
      </c>
      <c r="D1201" t="inlineStr">
        <is>
          <t>VÄSTERBOTTENS LÄN</t>
        </is>
      </c>
      <c r="E1201" t="inlineStr">
        <is>
          <t>MALÅ</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59267-2018</t>
        </is>
      </c>
      <c r="B1202" s="1" t="n">
        <v>43402</v>
      </c>
      <c r="C1202" s="1" t="n">
        <v>45357</v>
      </c>
      <c r="D1202" t="inlineStr">
        <is>
          <t>VÄSTERBOTTENS LÄN</t>
        </is>
      </c>
      <c r="E1202" t="inlineStr">
        <is>
          <t>LYCKSELE</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58729-2018</t>
        </is>
      </c>
      <c r="B1203" s="1" t="n">
        <v>43402</v>
      </c>
      <c r="C1203" s="1" t="n">
        <v>45357</v>
      </c>
      <c r="D1203" t="inlineStr">
        <is>
          <t>VÄSTERBOTTENS LÄN</t>
        </is>
      </c>
      <c r="E1203" t="inlineStr">
        <is>
          <t>BJURHOLM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59010-2018</t>
        </is>
      </c>
      <c r="B1204" s="1" t="n">
        <v>43402</v>
      </c>
      <c r="C1204" s="1" t="n">
        <v>45357</v>
      </c>
      <c r="D1204" t="inlineStr">
        <is>
          <t>VÄSTERBOTTENS LÄN</t>
        </is>
      </c>
      <c r="E1204" t="inlineStr">
        <is>
          <t>MALÅ</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56731-2018</t>
        </is>
      </c>
      <c r="B1205" s="1" t="n">
        <v>43402</v>
      </c>
      <c r="C1205" s="1" t="n">
        <v>45357</v>
      </c>
      <c r="D1205" t="inlineStr">
        <is>
          <t>VÄSTERBOTTENS LÄN</t>
        </is>
      </c>
      <c r="E1205" t="inlineStr">
        <is>
          <t>LYCKSELE</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57389-2018</t>
        </is>
      </c>
      <c r="B1206" s="1" t="n">
        <v>43402</v>
      </c>
      <c r="C1206" s="1" t="n">
        <v>45357</v>
      </c>
      <c r="D1206" t="inlineStr">
        <is>
          <t>VÄSTERBOTTENS LÄN</t>
        </is>
      </c>
      <c r="E1206" t="inlineStr">
        <is>
          <t>VILHELMINA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59026-2018</t>
        </is>
      </c>
      <c r="B1207" s="1" t="n">
        <v>43402</v>
      </c>
      <c r="C1207" s="1" t="n">
        <v>45357</v>
      </c>
      <c r="D1207" t="inlineStr">
        <is>
          <t>VÄSTERBOTTENS LÄN</t>
        </is>
      </c>
      <c r="E1207" t="inlineStr">
        <is>
          <t>SKELLEFTEÅ</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59193-2018</t>
        </is>
      </c>
      <c r="B1208" s="1" t="n">
        <v>43403</v>
      </c>
      <c r="C1208" s="1" t="n">
        <v>45357</v>
      </c>
      <c r="D1208" t="inlineStr">
        <is>
          <t>VÄSTERBOTTENS LÄN</t>
        </is>
      </c>
      <c r="E1208" t="inlineStr">
        <is>
          <t>LYCKSELE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56872-2018</t>
        </is>
      </c>
      <c r="B1209" s="1" t="n">
        <v>43403</v>
      </c>
      <c r="C1209" s="1" t="n">
        <v>45357</v>
      </c>
      <c r="D1209" t="inlineStr">
        <is>
          <t>VÄSTERBOTTENS LÄN</t>
        </is>
      </c>
      <c r="E1209" t="inlineStr">
        <is>
          <t>NORDMALING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56921-2018</t>
        </is>
      </c>
      <c r="B1210" s="1" t="n">
        <v>43403</v>
      </c>
      <c r="C1210" s="1" t="n">
        <v>45357</v>
      </c>
      <c r="D1210" t="inlineStr">
        <is>
          <t>VÄSTERBOTTENS LÄN</t>
        </is>
      </c>
      <c r="E1210" t="inlineStr">
        <is>
          <t>DOROTEA</t>
        </is>
      </c>
      <c r="F1210" t="inlineStr">
        <is>
          <t>Kommuner</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59284-2018</t>
        </is>
      </c>
      <c r="B1211" s="1" t="n">
        <v>43404</v>
      </c>
      <c r="C1211" s="1" t="n">
        <v>45357</v>
      </c>
      <c r="D1211" t="inlineStr">
        <is>
          <t>VÄSTERBOTTENS LÄN</t>
        </is>
      </c>
      <c r="E1211" t="inlineStr">
        <is>
          <t>VINDELN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57337-2018</t>
        </is>
      </c>
      <c r="B1212" s="1" t="n">
        <v>43404</v>
      </c>
      <c r="C1212" s="1" t="n">
        <v>45357</v>
      </c>
      <c r="D1212" t="inlineStr">
        <is>
          <t>VÄSTERBOTTENS LÄN</t>
        </is>
      </c>
      <c r="E1212" t="inlineStr">
        <is>
          <t>BJURHOLM</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59375-2018</t>
        </is>
      </c>
      <c r="B1213" s="1" t="n">
        <v>43404</v>
      </c>
      <c r="C1213" s="1" t="n">
        <v>45357</v>
      </c>
      <c r="D1213" t="inlineStr">
        <is>
          <t>VÄSTERBOTTENS LÄN</t>
        </is>
      </c>
      <c r="E1213" t="inlineStr">
        <is>
          <t>NORDMALING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57379-2018</t>
        </is>
      </c>
      <c r="B1214" s="1" t="n">
        <v>43404</v>
      </c>
      <c r="C1214" s="1" t="n">
        <v>45357</v>
      </c>
      <c r="D1214" t="inlineStr">
        <is>
          <t>VÄSTERBOTTENS LÄN</t>
        </is>
      </c>
      <c r="E1214" t="inlineStr">
        <is>
          <t>VINDELN</t>
        </is>
      </c>
      <c r="F1214" t="inlineStr">
        <is>
          <t>Holmen skog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57674-2018</t>
        </is>
      </c>
      <c r="B1215" s="1" t="n">
        <v>43405</v>
      </c>
      <c r="C1215" s="1" t="n">
        <v>45357</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59596-2018</t>
        </is>
      </c>
      <c r="B1216" s="1" t="n">
        <v>43405</v>
      </c>
      <c r="C1216" s="1" t="n">
        <v>45357</v>
      </c>
      <c r="D1216" t="inlineStr">
        <is>
          <t>VÄSTERBOTTENS LÄN</t>
        </is>
      </c>
      <c r="E1216" t="inlineStr">
        <is>
          <t>STORUMAN</t>
        </is>
      </c>
      <c r="G1216" t="n">
        <v>8.800000000000001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59852-2018</t>
        </is>
      </c>
      <c r="B1217" s="1" t="n">
        <v>43405</v>
      </c>
      <c r="C1217" s="1" t="n">
        <v>45357</v>
      </c>
      <c r="D1217" t="inlineStr">
        <is>
          <t>VÄSTERBOTTENS LÄN</t>
        </is>
      </c>
      <c r="E1217" t="inlineStr">
        <is>
          <t>UMEÅ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60425-2018</t>
        </is>
      </c>
      <c r="B1218" s="1" t="n">
        <v>43405</v>
      </c>
      <c r="C1218" s="1" t="n">
        <v>45357</v>
      </c>
      <c r="D1218" t="inlineStr">
        <is>
          <t>VÄSTERBOTTENS LÄN</t>
        </is>
      </c>
      <c r="E1218" t="inlineStr">
        <is>
          <t>SORSELE</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58006-2018</t>
        </is>
      </c>
      <c r="B1219" s="1" t="n">
        <v>43406</v>
      </c>
      <c r="C1219" s="1" t="n">
        <v>45357</v>
      </c>
      <c r="D1219" t="inlineStr">
        <is>
          <t>VÄSTERBOTTENS LÄN</t>
        </is>
      </c>
      <c r="E1219" t="inlineStr">
        <is>
          <t>SKELLEFTEÅ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60339-2018</t>
        </is>
      </c>
      <c r="B1220" s="1" t="n">
        <v>43406</v>
      </c>
      <c r="C1220" s="1" t="n">
        <v>45357</v>
      </c>
      <c r="D1220" t="inlineStr">
        <is>
          <t>VÄSTERBOTTENS LÄN</t>
        </is>
      </c>
      <c r="E1220" t="inlineStr">
        <is>
          <t>BJURHOLM</t>
        </is>
      </c>
      <c r="G1220" t="n">
        <v>14.4</v>
      </c>
      <c r="H1220" t="n">
        <v>0</v>
      </c>
      <c r="I1220" t="n">
        <v>0</v>
      </c>
      <c r="J1220" t="n">
        <v>0</v>
      </c>
      <c r="K1220" t="n">
        <v>0</v>
      </c>
      <c r="L1220" t="n">
        <v>0</v>
      </c>
      <c r="M1220" t="n">
        <v>0</v>
      </c>
      <c r="N1220" t="n">
        <v>0</v>
      </c>
      <c r="O1220" t="n">
        <v>0</v>
      </c>
      <c r="P1220" t="n">
        <v>0</v>
      </c>
      <c r="Q1220" t="n">
        <v>0</v>
      </c>
      <c r="R1220" s="2" t="inlineStr"/>
    </row>
    <row r="1221" ht="15" customHeight="1">
      <c r="A1221" t="inlineStr">
        <is>
          <t>A 60418-2018</t>
        </is>
      </c>
      <c r="B1221" s="1" t="n">
        <v>43406</v>
      </c>
      <c r="C1221" s="1" t="n">
        <v>45357</v>
      </c>
      <c r="D1221" t="inlineStr">
        <is>
          <t>VÄSTERBOTTENS LÄN</t>
        </is>
      </c>
      <c r="E1221" t="inlineStr">
        <is>
          <t>BJURHOLM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58063-2018</t>
        </is>
      </c>
      <c r="B1222" s="1" t="n">
        <v>43406</v>
      </c>
      <c r="C1222" s="1" t="n">
        <v>45357</v>
      </c>
      <c r="D1222" t="inlineStr">
        <is>
          <t>VÄSTERBOTTENS LÄN</t>
        </is>
      </c>
      <c r="E1222" t="inlineStr">
        <is>
          <t>VINDELN</t>
        </is>
      </c>
      <c r="F1222" t="inlineStr">
        <is>
          <t>Holmen skog AB</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60391-2018</t>
        </is>
      </c>
      <c r="B1223" s="1" t="n">
        <v>43406</v>
      </c>
      <c r="C1223" s="1" t="n">
        <v>45357</v>
      </c>
      <c r="D1223" t="inlineStr">
        <is>
          <t>VÄSTERBOTTENS LÄN</t>
        </is>
      </c>
      <c r="E1223" t="inlineStr">
        <is>
          <t>BJURHOLM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58018-2018</t>
        </is>
      </c>
      <c r="B1224" s="1" t="n">
        <v>43406</v>
      </c>
      <c r="C1224" s="1" t="n">
        <v>45357</v>
      </c>
      <c r="D1224" t="inlineStr">
        <is>
          <t>VÄSTERBOTTENS LÄN</t>
        </is>
      </c>
      <c r="E1224" t="inlineStr">
        <is>
          <t>VINDELN</t>
        </is>
      </c>
      <c r="G1224" t="n">
        <v>17.2</v>
      </c>
      <c r="H1224" t="n">
        <v>0</v>
      </c>
      <c r="I1224" t="n">
        <v>0</v>
      </c>
      <c r="J1224" t="n">
        <v>0</v>
      </c>
      <c r="K1224" t="n">
        <v>0</v>
      </c>
      <c r="L1224" t="n">
        <v>0</v>
      </c>
      <c r="M1224" t="n">
        <v>0</v>
      </c>
      <c r="N1224" t="n">
        <v>0</v>
      </c>
      <c r="O1224" t="n">
        <v>0</v>
      </c>
      <c r="P1224" t="n">
        <v>0</v>
      </c>
      <c r="Q1224" t="n">
        <v>0</v>
      </c>
      <c r="R1224" s="2" t="inlineStr"/>
    </row>
    <row r="1225" ht="15" customHeight="1">
      <c r="A1225" t="inlineStr">
        <is>
          <t>A 60421-2018</t>
        </is>
      </c>
      <c r="B1225" s="1" t="n">
        <v>43406</v>
      </c>
      <c r="C1225" s="1" t="n">
        <v>45357</v>
      </c>
      <c r="D1225" t="inlineStr">
        <is>
          <t>VÄSTERBOTTENS LÄN</t>
        </is>
      </c>
      <c r="E1225" t="inlineStr">
        <is>
          <t>BJURHOLM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60573-2018</t>
        </is>
      </c>
      <c r="B1226" s="1" t="n">
        <v>43406</v>
      </c>
      <c r="C1226" s="1" t="n">
        <v>45357</v>
      </c>
      <c r="D1226" t="inlineStr">
        <is>
          <t>VÄSTERBOTTENS LÄN</t>
        </is>
      </c>
      <c r="E1226" t="inlineStr">
        <is>
          <t>SKELLEFTEÅ</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58102-2018</t>
        </is>
      </c>
      <c r="B1227" s="1" t="n">
        <v>43406</v>
      </c>
      <c r="C1227" s="1" t="n">
        <v>45357</v>
      </c>
      <c r="D1227" t="inlineStr">
        <is>
          <t>VÄSTERBOTTENS LÄN</t>
        </is>
      </c>
      <c r="E1227" t="inlineStr">
        <is>
          <t>BJURHOLM</t>
        </is>
      </c>
      <c r="F1227" t="inlineStr">
        <is>
          <t>Holmen skog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60401-2018</t>
        </is>
      </c>
      <c r="B1228" s="1" t="n">
        <v>43406</v>
      </c>
      <c r="C1228" s="1" t="n">
        <v>45357</v>
      </c>
      <c r="D1228" t="inlineStr">
        <is>
          <t>VÄSTERBOTTENS LÄN</t>
        </is>
      </c>
      <c r="E1228" t="inlineStr">
        <is>
          <t>BJURHOLM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60604-2018</t>
        </is>
      </c>
      <c r="B1229" s="1" t="n">
        <v>43406</v>
      </c>
      <c r="C1229" s="1" t="n">
        <v>45357</v>
      </c>
      <c r="D1229" t="inlineStr">
        <is>
          <t>VÄSTERBOTTENS LÄN</t>
        </is>
      </c>
      <c r="E1229" t="inlineStr">
        <is>
          <t>UMEÅ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58563-2018</t>
        </is>
      </c>
      <c r="B1230" s="1" t="n">
        <v>43409</v>
      </c>
      <c r="C1230" s="1" t="n">
        <v>45357</v>
      </c>
      <c r="D1230" t="inlineStr">
        <is>
          <t>VÄSTERBOTTENS LÄN</t>
        </is>
      </c>
      <c r="E1230" t="inlineStr">
        <is>
          <t>VILHELMINA</t>
        </is>
      </c>
      <c r="F1230" t="inlineStr">
        <is>
          <t>SCA</t>
        </is>
      </c>
      <c r="G1230" t="n">
        <v>18.1</v>
      </c>
      <c r="H1230" t="n">
        <v>0</v>
      </c>
      <c r="I1230" t="n">
        <v>0</v>
      </c>
      <c r="J1230" t="n">
        <v>0</v>
      </c>
      <c r="K1230" t="n">
        <v>0</v>
      </c>
      <c r="L1230" t="n">
        <v>0</v>
      </c>
      <c r="M1230" t="n">
        <v>0</v>
      </c>
      <c r="N1230" t="n">
        <v>0</v>
      </c>
      <c r="O1230" t="n">
        <v>0</v>
      </c>
      <c r="P1230" t="n">
        <v>0</v>
      </c>
      <c r="Q1230" t="n">
        <v>0</v>
      </c>
      <c r="R1230" s="2" t="inlineStr"/>
    </row>
    <row r="1231" ht="15" customHeight="1">
      <c r="A1231" t="inlineStr">
        <is>
          <t>A 60707-2018</t>
        </is>
      </c>
      <c r="B1231" s="1" t="n">
        <v>43409</v>
      </c>
      <c r="C1231" s="1" t="n">
        <v>45357</v>
      </c>
      <c r="D1231" t="inlineStr">
        <is>
          <t>VÄSTERBOTTENS LÄN</t>
        </is>
      </c>
      <c r="E1231" t="inlineStr">
        <is>
          <t>SKELLEFTEÅ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60751-2018</t>
        </is>
      </c>
      <c r="B1232" s="1" t="n">
        <v>43409</v>
      </c>
      <c r="C1232" s="1" t="n">
        <v>45357</v>
      </c>
      <c r="D1232" t="inlineStr">
        <is>
          <t>VÄSTERBOTTENS LÄN</t>
        </is>
      </c>
      <c r="E1232" t="inlineStr">
        <is>
          <t>ROBERTSFORS</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60711-2018</t>
        </is>
      </c>
      <c r="B1233" s="1" t="n">
        <v>43409</v>
      </c>
      <c r="C1233" s="1" t="n">
        <v>45357</v>
      </c>
      <c r="D1233" t="inlineStr">
        <is>
          <t>VÄSTERBOTTENS LÄN</t>
        </is>
      </c>
      <c r="E1233" t="inlineStr">
        <is>
          <t>SKELLEFTEÅ</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60731-2018</t>
        </is>
      </c>
      <c r="B1234" s="1" t="n">
        <v>43409</v>
      </c>
      <c r="C1234" s="1" t="n">
        <v>45357</v>
      </c>
      <c r="D1234" t="inlineStr">
        <is>
          <t>VÄSTERBOTTENS LÄN</t>
        </is>
      </c>
      <c r="E1234" t="inlineStr">
        <is>
          <t>UMEÅ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58564-2018</t>
        </is>
      </c>
      <c r="B1235" s="1" t="n">
        <v>43409</v>
      </c>
      <c r="C1235" s="1" t="n">
        <v>45357</v>
      </c>
      <c r="D1235" t="inlineStr">
        <is>
          <t>VÄSTERBOTTENS LÄN</t>
        </is>
      </c>
      <c r="E1235" t="inlineStr">
        <is>
          <t>LYCKSELE</t>
        </is>
      </c>
      <c r="F1235" t="inlineStr">
        <is>
          <t>SCA</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58805-2018</t>
        </is>
      </c>
      <c r="B1236" s="1" t="n">
        <v>43410</v>
      </c>
      <c r="C1236" s="1" t="n">
        <v>45357</v>
      </c>
      <c r="D1236" t="inlineStr">
        <is>
          <t>VÄSTERBOTTENS LÄN</t>
        </is>
      </c>
      <c r="E1236" t="inlineStr">
        <is>
          <t>SKELLEFTEÅ</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60840-2018</t>
        </is>
      </c>
      <c r="B1237" s="1" t="n">
        <v>43410</v>
      </c>
      <c r="C1237" s="1" t="n">
        <v>45357</v>
      </c>
      <c r="D1237" t="inlineStr">
        <is>
          <t>VÄSTERBOTTENS LÄN</t>
        </is>
      </c>
      <c r="E1237" t="inlineStr">
        <is>
          <t>LYCKSELE</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61145-2018</t>
        </is>
      </c>
      <c r="B1238" s="1" t="n">
        <v>43411</v>
      </c>
      <c r="C1238" s="1" t="n">
        <v>45357</v>
      </c>
      <c r="D1238" t="inlineStr">
        <is>
          <t>VÄSTERBOTTENS LÄN</t>
        </is>
      </c>
      <c r="E1238" t="inlineStr">
        <is>
          <t>LYCKSELE</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59827-2018</t>
        </is>
      </c>
      <c r="B1239" s="1" t="n">
        <v>43411</v>
      </c>
      <c r="C1239" s="1" t="n">
        <v>45357</v>
      </c>
      <c r="D1239" t="inlineStr">
        <is>
          <t>VÄSTERBOTTENS LÄN</t>
        </is>
      </c>
      <c r="E1239" t="inlineStr">
        <is>
          <t>BJURHOLM</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59105-2018</t>
        </is>
      </c>
      <c r="B1240" s="1" t="n">
        <v>43411</v>
      </c>
      <c r="C1240" s="1" t="n">
        <v>45357</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61039-2018</t>
        </is>
      </c>
      <c r="B1241" s="1" t="n">
        <v>43412</v>
      </c>
      <c r="C1241" s="1" t="n">
        <v>45357</v>
      </c>
      <c r="D1241" t="inlineStr">
        <is>
          <t>VÄSTERBOTTENS LÄN</t>
        </is>
      </c>
      <c r="E1241" t="inlineStr">
        <is>
          <t>SKELLEFTEÅ</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61343-2018</t>
        </is>
      </c>
      <c r="B1242" s="1" t="n">
        <v>43412</v>
      </c>
      <c r="C1242" s="1" t="n">
        <v>45357</v>
      </c>
      <c r="D1242" t="inlineStr">
        <is>
          <t>VÄSTERBOTTENS LÄN</t>
        </is>
      </c>
      <c r="E1242" t="inlineStr">
        <is>
          <t>SKELLEFTEÅ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60037-2018</t>
        </is>
      </c>
      <c r="B1243" s="1" t="n">
        <v>43412</v>
      </c>
      <c r="C1243" s="1" t="n">
        <v>45357</v>
      </c>
      <c r="D1243" t="inlineStr">
        <is>
          <t>VÄSTERBOTTENS LÄN</t>
        </is>
      </c>
      <c r="E1243" t="inlineStr">
        <is>
          <t>SKELLEFTEÅ</t>
        </is>
      </c>
      <c r="F1243" t="inlineStr">
        <is>
          <t>Holmen skog AB</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61314-2018</t>
        </is>
      </c>
      <c r="B1244" s="1" t="n">
        <v>43412</v>
      </c>
      <c r="C1244" s="1" t="n">
        <v>45357</v>
      </c>
      <c r="D1244" t="inlineStr">
        <is>
          <t>VÄSTERBOTTENS LÄN</t>
        </is>
      </c>
      <c r="E1244" t="inlineStr">
        <is>
          <t>VILHELMINA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58964-2018</t>
        </is>
      </c>
      <c r="B1245" s="1" t="n">
        <v>43412</v>
      </c>
      <c r="C1245" s="1" t="n">
        <v>45357</v>
      </c>
      <c r="D1245" t="inlineStr">
        <is>
          <t>VÄSTERBOTTENS LÄN</t>
        </is>
      </c>
      <c r="E1245" t="inlineStr">
        <is>
          <t>VILHELMINA</t>
        </is>
      </c>
      <c r="F1245" t="inlineStr">
        <is>
          <t>Allmännings- och besparingsskogar</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60077-2018</t>
        </is>
      </c>
      <c r="B1246" s="1" t="n">
        <v>43412</v>
      </c>
      <c r="C1246" s="1" t="n">
        <v>45357</v>
      </c>
      <c r="D1246" t="inlineStr">
        <is>
          <t>VÄSTERBOTTENS LÄN</t>
        </is>
      </c>
      <c r="E1246" t="inlineStr">
        <is>
          <t>SKELLEFTEÅ</t>
        </is>
      </c>
      <c r="F1246" t="inlineStr">
        <is>
          <t>Holmen skog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60209-2018</t>
        </is>
      </c>
      <c r="B1247" s="1" t="n">
        <v>43412</v>
      </c>
      <c r="C1247" s="1" t="n">
        <v>45357</v>
      </c>
      <c r="D1247" t="inlineStr">
        <is>
          <t>VÄSTERBOTTENS LÄN</t>
        </is>
      </c>
      <c r="E1247" t="inlineStr">
        <is>
          <t>UMEÅ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60279-2018</t>
        </is>
      </c>
      <c r="B1248" s="1" t="n">
        <v>43413</v>
      </c>
      <c r="C1248" s="1" t="n">
        <v>45357</v>
      </c>
      <c r="D1248" t="inlineStr">
        <is>
          <t>VÄSTERBOTTENS LÄN</t>
        </is>
      </c>
      <c r="E1248" t="inlineStr">
        <is>
          <t>UMEÅ</t>
        </is>
      </c>
      <c r="F1248" t="inlineStr">
        <is>
          <t>Holmen skog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61672-2018</t>
        </is>
      </c>
      <c r="B1249" s="1" t="n">
        <v>43413</v>
      </c>
      <c r="C1249" s="1" t="n">
        <v>45357</v>
      </c>
      <c r="D1249" t="inlineStr">
        <is>
          <t>VÄSTERBOTTENS LÄN</t>
        </is>
      </c>
      <c r="E1249" t="inlineStr">
        <is>
          <t>SKELLEFTEÅ</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62760-2018</t>
        </is>
      </c>
      <c r="B1250" s="1" t="n">
        <v>43413</v>
      </c>
      <c r="C1250" s="1" t="n">
        <v>45357</v>
      </c>
      <c r="D1250" t="inlineStr">
        <is>
          <t>VÄSTERBOTTENS LÄN</t>
        </is>
      </c>
      <c r="E1250" t="inlineStr">
        <is>
          <t>ROBERTSFORS</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62720-2018</t>
        </is>
      </c>
      <c r="B1251" s="1" t="n">
        <v>43413</v>
      </c>
      <c r="C1251" s="1" t="n">
        <v>45357</v>
      </c>
      <c r="D1251" t="inlineStr">
        <is>
          <t>VÄSTERBOTTENS LÄN</t>
        </is>
      </c>
      <c r="E1251" t="inlineStr">
        <is>
          <t>UMEÅ</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61547-2018</t>
        </is>
      </c>
      <c r="B1252" s="1" t="n">
        <v>43413</v>
      </c>
      <c r="C1252" s="1" t="n">
        <v>45357</v>
      </c>
      <c r="D1252" t="inlineStr">
        <is>
          <t>VÄSTERBOTTENS LÄN</t>
        </is>
      </c>
      <c r="E1252" t="inlineStr">
        <is>
          <t>ROBERTSFORS</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62632-2018</t>
        </is>
      </c>
      <c r="B1253" s="1" t="n">
        <v>43413</v>
      </c>
      <c r="C1253" s="1" t="n">
        <v>45357</v>
      </c>
      <c r="D1253" t="inlineStr">
        <is>
          <t>VÄSTERBOTTENS LÄN</t>
        </is>
      </c>
      <c r="E1253" t="inlineStr">
        <is>
          <t>SKELLEFTEÅ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62687-2018</t>
        </is>
      </c>
      <c r="B1254" s="1" t="n">
        <v>43413</v>
      </c>
      <c r="C1254" s="1" t="n">
        <v>45357</v>
      </c>
      <c r="D1254" t="inlineStr">
        <is>
          <t>VÄSTERBOTTENS LÄN</t>
        </is>
      </c>
      <c r="E1254" t="inlineStr">
        <is>
          <t>ROBERTSFORS</t>
        </is>
      </c>
      <c r="F1254" t="inlineStr">
        <is>
          <t>Holmen skog AB</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62711-2018</t>
        </is>
      </c>
      <c r="B1255" s="1" t="n">
        <v>43413</v>
      </c>
      <c r="C1255" s="1" t="n">
        <v>45357</v>
      </c>
      <c r="D1255" t="inlineStr">
        <is>
          <t>VÄSTERBOTTENS LÄN</t>
        </is>
      </c>
      <c r="E1255" t="inlineStr">
        <is>
          <t>LYCKSELE</t>
        </is>
      </c>
      <c r="G1255" t="n">
        <v>19.3</v>
      </c>
      <c r="H1255" t="n">
        <v>0</v>
      </c>
      <c r="I1255" t="n">
        <v>0</v>
      </c>
      <c r="J1255" t="n">
        <v>0</v>
      </c>
      <c r="K1255" t="n">
        <v>0</v>
      </c>
      <c r="L1255" t="n">
        <v>0</v>
      </c>
      <c r="M1255" t="n">
        <v>0</v>
      </c>
      <c r="N1255" t="n">
        <v>0</v>
      </c>
      <c r="O1255" t="n">
        <v>0</v>
      </c>
      <c r="P1255" t="n">
        <v>0</v>
      </c>
      <c r="Q1255" t="n">
        <v>0</v>
      </c>
      <c r="R1255" s="2" t="inlineStr"/>
    </row>
    <row r="1256" ht="15" customHeight="1">
      <c r="A1256" t="inlineStr">
        <is>
          <t>A 62504-2018</t>
        </is>
      </c>
      <c r="B1256" s="1" t="n">
        <v>43414</v>
      </c>
      <c r="C1256" s="1" t="n">
        <v>45357</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62480-2018</t>
        </is>
      </c>
      <c r="B1257" s="1" t="n">
        <v>43415</v>
      </c>
      <c r="C1257" s="1" t="n">
        <v>45357</v>
      </c>
      <c r="D1257" t="inlineStr">
        <is>
          <t>VÄSTERBOTTENS LÄN</t>
        </is>
      </c>
      <c r="E1257" t="inlineStr">
        <is>
          <t>UMEÅ</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61760-2018</t>
        </is>
      </c>
      <c r="B1258" s="1" t="n">
        <v>43416</v>
      </c>
      <c r="C1258" s="1" t="n">
        <v>45357</v>
      </c>
      <c r="D1258" t="inlineStr">
        <is>
          <t>VÄSTERBOTTENS LÄN</t>
        </is>
      </c>
      <c r="E1258" t="inlineStr">
        <is>
          <t>SKELLEFTEÅ</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64042-2018</t>
        </is>
      </c>
      <c r="B1259" s="1" t="n">
        <v>43416</v>
      </c>
      <c r="C1259" s="1" t="n">
        <v>45357</v>
      </c>
      <c r="D1259" t="inlineStr">
        <is>
          <t>VÄSTERBOTTENS LÄN</t>
        </is>
      </c>
      <c r="E1259" t="inlineStr">
        <is>
          <t>UMEÅ</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62009-2018</t>
        </is>
      </c>
      <c r="B1260" s="1" t="n">
        <v>43416</v>
      </c>
      <c r="C1260" s="1" t="n">
        <v>45357</v>
      </c>
      <c r="D1260" t="inlineStr">
        <is>
          <t>VÄSTERBOTTENS LÄN</t>
        </is>
      </c>
      <c r="E1260" t="inlineStr">
        <is>
          <t>SORSELE</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62911-2018</t>
        </is>
      </c>
      <c r="B1261" s="1" t="n">
        <v>43416</v>
      </c>
      <c r="C1261" s="1" t="n">
        <v>45357</v>
      </c>
      <c r="D1261" t="inlineStr">
        <is>
          <t>VÄSTERBOTTENS LÄN</t>
        </is>
      </c>
      <c r="E1261" t="inlineStr">
        <is>
          <t>BJURHOLM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64054-2018</t>
        </is>
      </c>
      <c r="B1262" s="1" t="n">
        <v>43416</v>
      </c>
      <c r="C1262" s="1" t="n">
        <v>45357</v>
      </c>
      <c r="D1262" t="inlineStr">
        <is>
          <t>VÄSTERBOTTENS LÄN</t>
        </is>
      </c>
      <c r="E1262" t="inlineStr">
        <is>
          <t>UMEÅ</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62927-2018</t>
        </is>
      </c>
      <c r="B1263" s="1" t="n">
        <v>43416</v>
      </c>
      <c r="C1263" s="1" t="n">
        <v>45357</v>
      </c>
      <c r="D1263" t="inlineStr">
        <is>
          <t>VÄSTERBOTTENS LÄN</t>
        </is>
      </c>
      <c r="E1263" t="inlineStr">
        <is>
          <t>BJURHOLM</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63293-2018</t>
        </is>
      </c>
      <c r="B1264" s="1" t="n">
        <v>43416</v>
      </c>
      <c r="C1264" s="1" t="n">
        <v>45357</v>
      </c>
      <c r="D1264" t="inlineStr">
        <is>
          <t>VÄSTERBOTTENS LÄN</t>
        </is>
      </c>
      <c r="E1264" t="inlineStr">
        <is>
          <t>NORDMALING</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63773-2018</t>
        </is>
      </c>
      <c r="B1265" s="1" t="n">
        <v>43418</v>
      </c>
      <c r="C1265" s="1" t="n">
        <v>45357</v>
      </c>
      <c r="D1265" t="inlineStr">
        <is>
          <t>VÄSTERBOTTENS LÄN</t>
        </is>
      </c>
      <c r="E1265" t="inlineStr">
        <is>
          <t>NORSJÖ</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63775-2018</t>
        </is>
      </c>
      <c r="B1266" s="1" t="n">
        <v>43418</v>
      </c>
      <c r="C1266" s="1" t="n">
        <v>45357</v>
      </c>
      <c r="D1266" t="inlineStr">
        <is>
          <t>VÄSTERBOTTENS LÄN</t>
        </is>
      </c>
      <c r="E1266" t="inlineStr">
        <is>
          <t>BJURHOLM</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63774-2018</t>
        </is>
      </c>
      <c r="B1267" s="1" t="n">
        <v>43418</v>
      </c>
      <c r="C1267" s="1" t="n">
        <v>45357</v>
      </c>
      <c r="D1267" t="inlineStr">
        <is>
          <t>VÄSTERBOTTENS LÄN</t>
        </is>
      </c>
      <c r="E1267" t="inlineStr">
        <is>
          <t>NORSJÖ</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63061-2018</t>
        </is>
      </c>
      <c r="B1268" s="1" t="n">
        <v>43418</v>
      </c>
      <c r="C1268" s="1" t="n">
        <v>45357</v>
      </c>
      <c r="D1268" t="inlineStr">
        <is>
          <t>VÄSTERBOTTENS LÄN</t>
        </is>
      </c>
      <c r="E1268" t="inlineStr">
        <is>
          <t>SKELLEFTEÅ</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59421-2018</t>
        </is>
      </c>
      <c r="B1269" s="1" t="n">
        <v>43418</v>
      </c>
      <c r="C1269" s="1" t="n">
        <v>45357</v>
      </c>
      <c r="D1269" t="inlineStr">
        <is>
          <t>VÄSTERBOTTENS LÄN</t>
        </is>
      </c>
      <c r="E1269" t="inlineStr">
        <is>
          <t>VILHELMINA</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63979-2018</t>
        </is>
      </c>
      <c r="B1270" s="1" t="n">
        <v>43418</v>
      </c>
      <c r="C1270" s="1" t="n">
        <v>45357</v>
      </c>
      <c r="D1270" t="inlineStr">
        <is>
          <t>VÄSTERBOTTENS LÄN</t>
        </is>
      </c>
      <c r="E1270" t="inlineStr">
        <is>
          <t>SKELLEFTEÅ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59497-2018</t>
        </is>
      </c>
      <c r="B1271" s="1" t="n">
        <v>43419</v>
      </c>
      <c r="C1271" s="1" t="n">
        <v>45357</v>
      </c>
      <c r="D1271" t="inlineStr">
        <is>
          <t>VÄSTERBOTTENS LÄN</t>
        </is>
      </c>
      <c r="E1271" t="inlineStr">
        <is>
          <t>ROBERTSFORS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59735-2018</t>
        </is>
      </c>
      <c r="B1272" s="1" t="n">
        <v>43419</v>
      </c>
      <c r="C1272" s="1" t="n">
        <v>45357</v>
      </c>
      <c r="D1272" t="inlineStr">
        <is>
          <t>VÄSTERBOTTENS LÄN</t>
        </is>
      </c>
      <c r="E1272" t="inlineStr">
        <is>
          <t>UMEÅ</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64267-2018</t>
        </is>
      </c>
      <c r="B1273" s="1" t="n">
        <v>43419</v>
      </c>
      <c r="C1273" s="1" t="n">
        <v>45357</v>
      </c>
      <c r="D1273" t="inlineStr">
        <is>
          <t>VÄSTERBOTTENS LÄN</t>
        </is>
      </c>
      <c r="E1273" t="inlineStr">
        <is>
          <t>SKELLEFTEÅ</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64352-2018</t>
        </is>
      </c>
      <c r="B1274" s="1" t="n">
        <v>43419</v>
      </c>
      <c r="C1274" s="1" t="n">
        <v>45357</v>
      </c>
      <c r="D1274" t="inlineStr">
        <is>
          <t>VÄSTERBOTTENS LÄN</t>
        </is>
      </c>
      <c r="E1274" t="inlineStr">
        <is>
          <t>UMEÅ</t>
        </is>
      </c>
      <c r="G1274" t="n">
        <v>10.1</v>
      </c>
      <c r="H1274" t="n">
        <v>0</v>
      </c>
      <c r="I1274" t="n">
        <v>0</v>
      </c>
      <c r="J1274" t="n">
        <v>0</v>
      </c>
      <c r="K1274" t="n">
        <v>0</v>
      </c>
      <c r="L1274" t="n">
        <v>0</v>
      </c>
      <c r="M1274" t="n">
        <v>0</v>
      </c>
      <c r="N1274" t="n">
        <v>0</v>
      </c>
      <c r="O1274" t="n">
        <v>0</v>
      </c>
      <c r="P1274" t="n">
        <v>0</v>
      </c>
      <c r="Q1274" t="n">
        <v>0</v>
      </c>
      <c r="R1274" s="2" t="inlineStr"/>
    </row>
    <row r="1275" ht="15" customHeight="1">
      <c r="A1275" t="inlineStr">
        <is>
          <t>A 59512-2018</t>
        </is>
      </c>
      <c r="B1275" s="1" t="n">
        <v>43419</v>
      </c>
      <c r="C1275" s="1" t="n">
        <v>45357</v>
      </c>
      <c r="D1275" t="inlineStr">
        <is>
          <t>VÄSTERBOTTENS LÄN</t>
        </is>
      </c>
      <c r="E1275" t="inlineStr">
        <is>
          <t>MALÅ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59701-2018</t>
        </is>
      </c>
      <c r="B1276" s="1" t="n">
        <v>43419</v>
      </c>
      <c r="C1276" s="1" t="n">
        <v>45357</v>
      </c>
      <c r="D1276" t="inlineStr">
        <is>
          <t>VÄSTERBOTTENS LÄN</t>
        </is>
      </c>
      <c r="E1276" t="inlineStr">
        <is>
          <t>SKELLEFTEÅ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59679-2018</t>
        </is>
      </c>
      <c r="B1277" s="1" t="n">
        <v>43419</v>
      </c>
      <c r="C1277" s="1" t="n">
        <v>45357</v>
      </c>
      <c r="D1277" t="inlineStr">
        <is>
          <t>VÄSTERBOTTENS LÄN</t>
        </is>
      </c>
      <c r="E1277" t="inlineStr">
        <is>
          <t>UMEÅ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59848-2018</t>
        </is>
      </c>
      <c r="B1278" s="1" t="n">
        <v>43419</v>
      </c>
      <c r="C1278" s="1" t="n">
        <v>45357</v>
      </c>
      <c r="D1278" t="inlineStr">
        <is>
          <t>VÄSTERBOTTENS LÄN</t>
        </is>
      </c>
      <c r="E1278" t="inlineStr">
        <is>
          <t>ROBERTSFORS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64360-2018</t>
        </is>
      </c>
      <c r="B1279" s="1" t="n">
        <v>43419</v>
      </c>
      <c r="C1279" s="1" t="n">
        <v>45357</v>
      </c>
      <c r="D1279" t="inlineStr">
        <is>
          <t>VÄSTERBOTTENS LÄN</t>
        </is>
      </c>
      <c r="E1279" t="inlineStr">
        <is>
          <t>SKELLEFTEÅ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64270-2018</t>
        </is>
      </c>
      <c r="B1280" s="1" t="n">
        <v>43419</v>
      </c>
      <c r="C1280" s="1" t="n">
        <v>45357</v>
      </c>
      <c r="D1280" t="inlineStr">
        <is>
          <t>VÄSTERBOTTENS LÄN</t>
        </is>
      </c>
      <c r="E1280" t="inlineStr">
        <is>
          <t>SORSELE</t>
        </is>
      </c>
      <c r="G1280" t="n">
        <v>26.6</v>
      </c>
      <c r="H1280" t="n">
        <v>0</v>
      </c>
      <c r="I1280" t="n">
        <v>0</v>
      </c>
      <c r="J1280" t="n">
        <v>0</v>
      </c>
      <c r="K1280" t="n">
        <v>0</v>
      </c>
      <c r="L1280" t="n">
        <v>0</v>
      </c>
      <c r="M1280" t="n">
        <v>0</v>
      </c>
      <c r="N1280" t="n">
        <v>0</v>
      </c>
      <c r="O1280" t="n">
        <v>0</v>
      </c>
      <c r="P1280" t="n">
        <v>0</v>
      </c>
      <c r="Q1280" t="n">
        <v>0</v>
      </c>
      <c r="R1280" s="2" t="inlineStr"/>
    </row>
    <row r="1281" ht="15" customHeight="1">
      <c r="A1281" t="inlineStr">
        <is>
          <t>A 64264-2018</t>
        </is>
      </c>
      <c r="B1281" s="1" t="n">
        <v>43419</v>
      </c>
      <c r="C1281" s="1" t="n">
        <v>45357</v>
      </c>
      <c r="D1281" t="inlineStr">
        <is>
          <t>VÄSTERBOTTENS LÄN</t>
        </is>
      </c>
      <c r="E1281" t="inlineStr">
        <is>
          <t>SKELLEFTEÅ</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60517-2018</t>
        </is>
      </c>
      <c r="B1282" s="1" t="n">
        <v>43420</v>
      </c>
      <c r="C1282" s="1" t="n">
        <v>45357</v>
      </c>
      <c r="D1282" t="inlineStr">
        <is>
          <t>VÄSTERBOTTENS LÄN</t>
        </is>
      </c>
      <c r="E1282" t="inlineStr">
        <is>
          <t>VINDELN</t>
        </is>
      </c>
      <c r="F1282" t="inlineStr">
        <is>
          <t>Holmen skog AB</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60416-2018</t>
        </is>
      </c>
      <c r="B1283" s="1" t="n">
        <v>43420</v>
      </c>
      <c r="C1283" s="1" t="n">
        <v>45357</v>
      </c>
      <c r="D1283" t="inlineStr">
        <is>
          <t>VÄSTERBOTTENS LÄN</t>
        </is>
      </c>
      <c r="E1283" t="inlineStr">
        <is>
          <t>VINDELN</t>
        </is>
      </c>
      <c r="F1283" t="inlineStr">
        <is>
          <t>Holmen skog AB</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60343-2018</t>
        </is>
      </c>
      <c r="B1284" s="1" t="n">
        <v>43420</v>
      </c>
      <c r="C1284" s="1" t="n">
        <v>45357</v>
      </c>
      <c r="D1284" t="inlineStr">
        <is>
          <t>VÄSTERBOTTENS LÄN</t>
        </is>
      </c>
      <c r="E1284" t="inlineStr">
        <is>
          <t>SKELLEFTEÅ</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64820-2018</t>
        </is>
      </c>
      <c r="B1285" s="1" t="n">
        <v>43420</v>
      </c>
      <c r="C1285" s="1" t="n">
        <v>45357</v>
      </c>
      <c r="D1285" t="inlineStr">
        <is>
          <t>VÄSTERBOTTENS LÄN</t>
        </is>
      </c>
      <c r="E1285" t="inlineStr">
        <is>
          <t>SKELLEFTEÅ</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60639-2018</t>
        </is>
      </c>
      <c r="B1286" s="1" t="n">
        <v>43420</v>
      </c>
      <c r="C1286" s="1" t="n">
        <v>45357</v>
      </c>
      <c r="D1286" t="inlineStr">
        <is>
          <t>VÄSTERBOTTENS LÄN</t>
        </is>
      </c>
      <c r="E1286" t="inlineStr">
        <is>
          <t>SKELLEFTEÅ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60334-2018</t>
        </is>
      </c>
      <c r="B1287" s="1" t="n">
        <v>43420</v>
      </c>
      <c r="C1287" s="1" t="n">
        <v>45357</v>
      </c>
      <c r="D1287" t="inlineStr">
        <is>
          <t>VÄSTERBOTTENS LÄN</t>
        </is>
      </c>
      <c r="E1287" t="inlineStr">
        <is>
          <t>SKELLEFTEÅ</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60457-2018</t>
        </is>
      </c>
      <c r="B1288" s="1" t="n">
        <v>43420</v>
      </c>
      <c r="C1288" s="1" t="n">
        <v>45357</v>
      </c>
      <c r="D1288" t="inlineStr">
        <is>
          <t>VÄSTERBOTTENS LÄN</t>
        </is>
      </c>
      <c r="E1288" t="inlineStr">
        <is>
          <t>SKELLEFTEÅ</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60337-2018</t>
        </is>
      </c>
      <c r="B1289" s="1" t="n">
        <v>43420</v>
      </c>
      <c r="C1289" s="1" t="n">
        <v>45357</v>
      </c>
      <c r="D1289" t="inlineStr">
        <is>
          <t>VÄSTERBOTTENS LÄN</t>
        </is>
      </c>
      <c r="E1289" t="inlineStr">
        <is>
          <t>SKELLEFTEÅ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64702-2018</t>
        </is>
      </c>
      <c r="B1290" s="1" t="n">
        <v>43422</v>
      </c>
      <c r="C1290" s="1" t="n">
        <v>45357</v>
      </c>
      <c r="D1290" t="inlineStr">
        <is>
          <t>VÄSTERBOTTENS LÄN</t>
        </is>
      </c>
      <c r="E1290" t="inlineStr">
        <is>
          <t>UMEÅ</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64670-2018</t>
        </is>
      </c>
      <c r="B1291" s="1" t="n">
        <v>43422</v>
      </c>
      <c r="C1291" s="1" t="n">
        <v>45357</v>
      </c>
      <c r="D1291" t="inlineStr">
        <is>
          <t>VÄSTERBOTTENS LÄN</t>
        </is>
      </c>
      <c r="E1291" t="inlineStr">
        <is>
          <t>UMEÅ</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60901-2018</t>
        </is>
      </c>
      <c r="B1292" s="1" t="n">
        <v>43423</v>
      </c>
      <c r="C1292" s="1" t="n">
        <v>45357</v>
      </c>
      <c r="D1292" t="inlineStr">
        <is>
          <t>VÄSTERBOTTENS LÄN</t>
        </is>
      </c>
      <c r="E1292" t="inlineStr">
        <is>
          <t>NORDMALING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61278-2018</t>
        </is>
      </c>
      <c r="B1293" s="1" t="n">
        <v>43423</v>
      </c>
      <c r="C1293" s="1" t="n">
        <v>45357</v>
      </c>
      <c r="D1293" t="inlineStr">
        <is>
          <t>VÄSTERBOTTENS LÄN</t>
        </is>
      </c>
      <c r="E1293" t="inlineStr">
        <is>
          <t>VILHELMINA</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64780-2018</t>
        </is>
      </c>
      <c r="B1294" s="1" t="n">
        <v>43423</v>
      </c>
      <c r="C1294" s="1" t="n">
        <v>45357</v>
      </c>
      <c r="D1294" t="inlineStr">
        <is>
          <t>VÄSTERBOTTENS LÄN</t>
        </is>
      </c>
      <c r="E1294" t="inlineStr">
        <is>
          <t>ROBERTSFORS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60947-2018</t>
        </is>
      </c>
      <c r="B1295" s="1" t="n">
        <v>43423</v>
      </c>
      <c r="C1295" s="1" t="n">
        <v>45357</v>
      </c>
      <c r="D1295" t="inlineStr">
        <is>
          <t>VÄSTERBOTTENS LÄN</t>
        </is>
      </c>
      <c r="E1295" t="inlineStr">
        <is>
          <t>UMEÅ</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65108-2018</t>
        </is>
      </c>
      <c r="B1296" s="1" t="n">
        <v>43423</v>
      </c>
      <c r="C1296" s="1" t="n">
        <v>45357</v>
      </c>
      <c r="D1296" t="inlineStr">
        <is>
          <t>VÄSTERBOTTENS LÄN</t>
        </is>
      </c>
      <c r="E1296" t="inlineStr">
        <is>
          <t>SKELLEFTEÅ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65062-2018</t>
        </is>
      </c>
      <c r="B1297" s="1" t="n">
        <v>43423</v>
      </c>
      <c r="C1297" s="1" t="n">
        <v>45357</v>
      </c>
      <c r="D1297" t="inlineStr">
        <is>
          <t>VÄSTERBOTTENS LÄN</t>
        </is>
      </c>
      <c r="E1297" t="inlineStr">
        <is>
          <t>SKELLEFTEÅ</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64948-2018</t>
        </is>
      </c>
      <c r="B1298" s="1" t="n">
        <v>43423</v>
      </c>
      <c r="C1298" s="1" t="n">
        <v>45357</v>
      </c>
      <c r="D1298" t="inlineStr">
        <is>
          <t>VÄSTERBOTTENS LÄN</t>
        </is>
      </c>
      <c r="E1298" t="inlineStr">
        <is>
          <t>ÅSELE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60903-2018</t>
        </is>
      </c>
      <c r="B1299" s="1" t="n">
        <v>43423</v>
      </c>
      <c r="C1299" s="1" t="n">
        <v>45357</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65079-2018</t>
        </is>
      </c>
      <c r="B1300" s="1" t="n">
        <v>43423</v>
      </c>
      <c r="C1300" s="1" t="n">
        <v>45357</v>
      </c>
      <c r="D1300" t="inlineStr">
        <is>
          <t>VÄSTERBOTTENS LÄN</t>
        </is>
      </c>
      <c r="E1300" t="inlineStr">
        <is>
          <t>SKELLEFTEÅ</t>
        </is>
      </c>
      <c r="G1300" t="n">
        <v>20</v>
      </c>
      <c r="H1300" t="n">
        <v>0</v>
      </c>
      <c r="I1300" t="n">
        <v>0</v>
      </c>
      <c r="J1300" t="n">
        <v>0</v>
      </c>
      <c r="K1300" t="n">
        <v>0</v>
      </c>
      <c r="L1300" t="n">
        <v>0</v>
      </c>
      <c r="M1300" t="n">
        <v>0</v>
      </c>
      <c r="N1300" t="n">
        <v>0</v>
      </c>
      <c r="O1300" t="n">
        <v>0</v>
      </c>
      <c r="P1300" t="n">
        <v>0</v>
      </c>
      <c r="Q1300" t="n">
        <v>0</v>
      </c>
      <c r="R1300" s="2" t="inlineStr"/>
    </row>
    <row r="1301" ht="15" customHeight="1">
      <c r="A1301" t="inlineStr">
        <is>
          <t>A 65101-2018</t>
        </is>
      </c>
      <c r="B1301" s="1" t="n">
        <v>43423</v>
      </c>
      <c r="C1301" s="1" t="n">
        <v>45357</v>
      </c>
      <c r="D1301" t="inlineStr">
        <is>
          <t>VÄSTERBOTTENS LÄN</t>
        </is>
      </c>
      <c r="E1301" t="inlineStr">
        <is>
          <t>SKELLEFTEÅ</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64752-2018</t>
        </is>
      </c>
      <c r="B1302" s="1" t="n">
        <v>43423</v>
      </c>
      <c r="C1302" s="1" t="n">
        <v>45357</v>
      </c>
      <c r="D1302" t="inlineStr">
        <is>
          <t>VÄSTERBOTTENS LÄN</t>
        </is>
      </c>
      <c r="E1302" t="inlineStr">
        <is>
          <t>STORUMAN</t>
        </is>
      </c>
      <c r="G1302" t="n">
        <v>18.2</v>
      </c>
      <c r="H1302" t="n">
        <v>0</v>
      </c>
      <c r="I1302" t="n">
        <v>0</v>
      </c>
      <c r="J1302" t="n">
        <v>0</v>
      </c>
      <c r="K1302" t="n">
        <v>0</v>
      </c>
      <c r="L1302" t="n">
        <v>0</v>
      </c>
      <c r="M1302" t="n">
        <v>0</v>
      </c>
      <c r="N1302" t="n">
        <v>0</v>
      </c>
      <c r="O1302" t="n">
        <v>0</v>
      </c>
      <c r="P1302" t="n">
        <v>0</v>
      </c>
      <c r="Q1302" t="n">
        <v>0</v>
      </c>
      <c r="R1302" s="2" t="inlineStr"/>
    </row>
    <row r="1303" ht="15" customHeight="1">
      <c r="A1303" t="inlineStr">
        <is>
          <t>A 60922-2018</t>
        </is>
      </c>
      <c r="B1303" s="1" t="n">
        <v>43423</v>
      </c>
      <c r="C1303" s="1" t="n">
        <v>45357</v>
      </c>
      <c r="D1303" t="inlineStr">
        <is>
          <t>VÄSTERBOTTENS LÄN</t>
        </is>
      </c>
      <c r="E1303" t="inlineStr">
        <is>
          <t>NORDMALING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61536-2018</t>
        </is>
      </c>
      <c r="B1304" s="1" t="n">
        <v>43424</v>
      </c>
      <c r="C1304" s="1" t="n">
        <v>45357</v>
      </c>
      <c r="D1304" t="inlineStr">
        <is>
          <t>VÄSTERBOTTENS LÄN</t>
        </is>
      </c>
      <c r="E1304" t="inlineStr">
        <is>
          <t>SKELLEFTEÅ</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61654-2018</t>
        </is>
      </c>
      <c r="B1305" s="1" t="n">
        <v>43424</v>
      </c>
      <c r="C1305" s="1" t="n">
        <v>45357</v>
      </c>
      <c r="D1305" t="inlineStr">
        <is>
          <t>VÄSTERBOTTENS LÄN</t>
        </is>
      </c>
      <c r="E1305" t="inlineStr">
        <is>
          <t>ROBERTSFORS</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65269-2018</t>
        </is>
      </c>
      <c r="B1306" s="1" t="n">
        <v>43424</v>
      </c>
      <c r="C1306" s="1" t="n">
        <v>45357</v>
      </c>
      <c r="D1306" t="inlineStr">
        <is>
          <t>VÄSTERBOTTENS LÄN</t>
        </is>
      </c>
      <c r="E1306" t="inlineStr">
        <is>
          <t>SKELLEFTEÅ</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65504-2018</t>
        </is>
      </c>
      <c r="B1307" s="1" t="n">
        <v>43424</v>
      </c>
      <c r="C1307" s="1" t="n">
        <v>45357</v>
      </c>
      <c r="D1307" t="inlineStr">
        <is>
          <t>VÄSTERBOTTENS LÄN</t>
        </is>
      </c>
      <c r="E1307" t="inlineStr">
        <is>
          <t>ÅSELE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65130-2018</t>
        </is>
      </c>
      <c r="B1308" s="1" t="n">
        <v>43424</v>
      </c>
      <c r="C1308" s="1" t="n">
        <v>45357</v>
      </c>
      <c r="D1308" t="inlineStr">
        <is>
          <t>VÄSTERBOTTENS LÄN</t>
        </is>
      </c>
      <c r="E1308" t="inlineStr">
        <is>
          <t>SKELLEFTEÅ</t>
        </is>
      </c>
      <c r="G1308" t="n">
        <v>10.8</v>
      </c>
      <c r="H1308" t="n">
        <v>0</v>
      </c>
      <c r="I1308" t="n">
        <v>0</v>
      </c>
      <c r="J1308" t="n">
        <v>0</v>
      </c>
      <c r="K1308" t="n">
        <v>0</v>
      </c>
      <c r="L1308" t="n">
        <v>0</v>
      </c>
      <c r="M1308" t="n">
        <v>0</v>
      </c>
      <c r="N1308" t="n">
        <v>0</v>
      </c>
      <c r="O1308" t="n">
        <v>0</v>
      </c>
      <c r="P1308" t="n">
        <v>0</v>
      </c>
      <c r="Q1308" t="n">
        <v>0</v>
      </c>
      <c r="R1308" s="2" t="inlineStr"/>
    </row>
    <row r="1309" ht="15" customHeight="1">
      <c r="A1309" t="inlineStr">
        <is>
          <t>A 61543-2018</t>
        </is>
      </c>
      <c r="B1309" s="1" t="n">
        <v>43424</v>
      </c>
      <c r="C1309" s="1" t="n">
        <v>45357</v>
      </c>
      <c r="D1309" t="inlineStr">
        <is>
          <t>VÄSTERBOTTENS LÄN</t>
        </is>
      </c>
      <c r="E1309" t="inlineStr">
        <is>
          <t>UMEÅ</t>
        </is>
      </c>
      <c r="F1309" t="inlineStr">
        <is>
          <t>Holmen skog AB</t>
        </is>
      </c>
      <c r="G1309" t="n">
        <v>13.5</v>
      </c>
      <c r="H1309" t="n">
        <v>0</v>
      </c>
      <c r="I1309" t="n">
        <v>0</v>
      </c>
      <c r="J1309" t="n">
        <v>0</v>
      </c>
      <c r="K1309" t="n">
        <v>0</v>
      </c>
      <c r="L1309" t="n">
        <v>0</v>
      </c>
      <c r="M1309" t="n">
        <v>0</v>
      </c>
      <c r="N1309" t="n">
        <v>0</v>
      </c>
      <c r="O1309" t="n">
        <v>0</v>
      </c>
      <c r="P1309" t="n">
        <v>0</v>
      </c>
      <c r="Q1309" t="n">
        <v>0</v>
      </c>
      <c r="R1309" s="2" t="inlineStr"/>
    </row>
    <row r="1310" ht="15" customHeight="1">
      <c r="A1310" t="inlineStr">
        <is>
          <t>A 65480-2018</t>
        </is>
      </c>
      <c r="B1310" s="1" t="n">
        <v>43424</v>
      </c>
      <c r="C1310" s="1" t="n">
        <v>45357</v>
      </c>
      <c r="D1310" t="inlineStr">
        <is>
          <t>VÄSTERBOTTENS LÄN</t>
        </is>
      </c>
      <c r="E1310" t="inlineStr">
        <is>
          <t>UMEÅ</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65361-2018</t>
        </is>
      </c>
      <c r="B1311" s="1" t="n">
        <v>43424</v>
      </c>
      <c r="C1311" s="1" t="n">
        <v>45357</v>
      </c>
      <c r="D1311" t="inlineStr">
        <is>
          <t>VÄSTERBOTTENS LÄN</t>
        </is>
      </c>
      <c r="E1311" t="inlineStr">
        <is>
          <t>VÄNNÄS</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61321-2018</t>
        </is>
      </c>
      <c r="B1312" s="1" t="n">
        <v>43424</v>
      </c>
      <c r="C1312" s="1" t="n">
        <v>45357</v>
      </c>
      <c r="D1312" t="inlineStr">
        <is>
          <t>VÄSTERBOTTENS LÄN</t>
        </is>
      </c>
      <c r="E1312" t="inlineStr">
        <is>
          <t>UMEÅ</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62201-2018</t>
        </is>
      </c>
      <c r="B1313" s="1" t="n">
        <v>43425</v>
      </c>
      <c r="C1313" s="1" t="n">
        <v>45357</v>
      </c>
      <c r="D1313" t="inlineStr">
        <is>
          <t>VÄSTERBOTTENS LÄN</t>
        </is>
      </c>
      <c r="E1313" t="inlineStr">
        <is>
          <t>VINDELN</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62161-2018</t>
        </is>
      </c>
      <c r="B1314" s="1" t="n">
        <v>43425</v>
      </c>
      <c r="C1314" s="1" t="n">
        <v>45357</v>
      </c>
      <c r="D1314" t="inlineStr">
        <is>
          <t>VÄSTERBOTTENS LÄN</t>
        </is>
      </c>
      <c r="E1314" t="inlineStr">
        <is>
          <t>VINDELN</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62212-2018</t>
        </is>
      </c>
      <c r="B1315" s="1" t="n">
        <v>43425</v>
      </c>
      <c r="C1315" s="1" t="n">
        <v>45357</v>
      </c>
      <c r="D1315" t="inlineStr">
        <is>
          <t>VÄSTERBOTTENS LÄN</t>
        </is>
      </c>
      <c r="E1315" t="inlineStr">
        <is>
          <t>VINDELN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62163-2018</t>
        </is>
      </c>
      <c r="B1316" s="1" t="n">
        <v>43425</v>
      </c>
      <c r="C1316" s="1" t="n">
        <v>45357</v>
      </c>
      <c r="D1316" t="inlineStr">
        <is>
          <t>VÄSTERBOTTENS LÄN</t>
        </is>
      </c>
      <c r="E1316" t="inlineStr">
        <is>
          <t>VINDELN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62155-2018</t>
        </is>
      </c>
      <c r="B1317" s="1" t="n">
        <v>43425</v>
      </c>
      <c r="C1317" s="1" t="n">
        <v>45357</v>
      </c>
      <c r="D1317" t="inlineStr">
        <is>
          <t>VÄSTERBOTTENS LÄN</t>
        </is>
      </c>
      <c r="E1317" t="inlineStr">
        <is>
          <t>VINDELN</t>
        </is>
      </c>
      <c r="G1317" t="n">
        <v>42.2</v>
      </c>
      <c r="H1317" t="n">
        <v>0</v>
      </c>
      <c r="I1317" t="n">
        <v>0</v>
      </c>
      <c r="J1317" t="n">
        <v>0</v>
      </c>
      <c r="K1317" t="n">
        <v>0</v>
      </c>
      <c r="L1317" t="n">
        <v>0</v>
      </c>
      <c r="M1317" t="n">
        <v>0</v>
      </c>
      <c r="N1317" t="n">
        <v>0</v>
      </c>
      <c r="O1317" t="n">
        <v>0</v>
      </c>
      <c r="P1317" t="n">
        <v>0</v>
      </c>
      <c r="Q1317" t="n">
        <v>0</v>
      </c>
      <c r="R1317" s="2" t="inlineStr"/>
    </row>
    <row r="1318" ht="15" customHeight="1">
      <c r="A1318" t="inlineStr">
        <is>
          <t>A 62207-2018</t>
        </is>
      </c>
      <c r="B1318" s="1" t="n">
        <v>43425</v>
      </c>
      <c r="C1318" s="1" t="n">
        <v>45357</v>
      </c>
      <c r="D1318" t="inlineStr">
        <is>
          <t>VÄSTERBOTTENS LÄN</t>
        </is>
      </c>
      <c r="E1318" t="inlineStr">
        <is>
          <t>VINDELN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66081-2018</t>
        </is>
      </c>
      <c r="B1319" s="1" t="n">
        <v>43425</v>
      </c>
      <c r="C1319" s="1" t="n">
        <v>45357</v>
      </c>
      <c r="D1319" t="inlineStr">
        <is>
          <t>VÄSTERBOTTENS LÄN</t>
        </is>
      </c>
      <c r="E1319" t="inlineStr">
        <is>
          <t>DOROTEA</t>
        </is>
      </c>
      <c r="F1319" t="inlineStr">
        <is>
          <t>SCA</t>
        </is>
      </c>
      <c r="G1319" t="n">
        <v>19.4</v>
      </c>
      <c r="H1319" t="n">
        <v>0</v>
      </c>
      <c r="I1319" t="n">
        <v>0</v>
      </c>
      <c r="J1319" t="n">
        <v>0</v>
      </c>
      <c r="K1319" t="n">
        <v>0</v>
      </c>
      <c r="L1319" t="n">
        <v>0</v>
      </c>
      <c r="M1319" t="n">
        <v>0</v>
      </c>
      <c r="N1319" t="n">
        <v>0</v>
      </c>
      <c r="O1319" t="n">
        <v>0</v>
      </c>
      <c r="P1319" t="n">
        <v>0</v>
      </c>
      <c r="Q1319" t="n">
        <v>0</v>
      </c>
      <c r="R1319" s="2" t="inlineStr"/>
    </row>
    <row r="1320" ht="15" customHeight="1">
      <c r="A1320" t="inlineStr">
        <is>
          <t>A 65651-2018</t>
        </is>
      </c>
      <c r="B1320" s="1" t="n">
        <v>43425</v>
      </c>
      <c r="C1320" s="1" t="n">
        <v>45357</v>
      </c>
      <c r="D1320" t="inlineStr">
        <is>
          <t>VÄSTERBOTTENS LÄN</t>
        </is>
      </c>
      <c r="E1320" t="inlineStr">
        <is>
          <t>LYCKSELE</t>
        </is>
      </c>
      <c r="G1320" t="n">
        <v>11.9</v>
      </c>
      <c r="H1320" t="n">
        <v>0</v>
      </c>
      <c r="I1320" t="n">
        <v>0</v>
      </c>
      <c r="J1320" t="n">
        <v>0</v>
      </c>
      <c r="K1320" t="n">
        <v>0</v>
      </c>
      <c r="L1320" t="n">
        <v>0</v>
      </c>
      <c r="M1320" t="n">
        <v>0</v>
      </c>
      <c r="N1320" t="n">
        <v>0</v>
      </c>
      <c r="O1320" t="n">
        <v>0</v>
      </c>
      <c r="P1320" t="n">
        <v>0</v>
      </c>
      <c r="Q1320" t="n">
        <v>0</v>
      </c>
      <c r="R1320" s="2" t="inlineStr"/>
    </row>
    <row r="1321" ht="15" customHeight="1">
      <c r="A1321" t="inlineStr">
        <is>
          <t>A 61938-2018</t>
        </is>
      </c>
      <c r="B1321" s="1" t="n">
        <v>43425</v>
      </c>
      <c r="C1321" s="1" t="n">
        <v>45357</v>
      </c>
      <c r="D1321" t="inlineStr">
        <is>
          <t>VÄSTERBOTTENS LÄN</t>
        </is>
      </c>
      <c r="E1321" t="inlineStr">
        <is>
          <t>VINDELN</t>
        </is>
      </c>
      <c r="G1321" t="n">
        <v>12.3</v>
      </c>
      <c r="H1321" t="n">
        <v>0</v>
      </c>
      <c r="I1321" t="n">
        <v>0</v>
      </c>
      <c r="J1321" t="n">
        <v>0</v>
      </c>
      <c r="K1321" t="n">
        <v>0</v>
      </c>
      <c r="L1321" t="n">
        <v>0</v>
      </c>
      <c r="M1321" t="n">
        <v>0</v>
      </c>
      <c r="N1321" t="n">
        <v>0</v>
      </c>
      <c r="O1321" t="n">
        <v>0</v>
      </c>
      <c r="P1321" t="n">
        <v>0</v>
      </c>
      <c r="Q1321" t="n">
        <v>0</v>
      </c>
      <c r="R1321" s="2" t="inlineStr"/>
    </row>
    <row r="1322" ht="15" customHeight="1">
      <c r="A1322" t="inlineStr">
        <is>
          <t>A 65625-2018</t>
        </is>
      </c>
      <c r="B1322" s="1" t="n">
        <v>43425</v>
      </c>
      <c r="C1322" s="1" t="n">
        <v>45357</v>
      </c>
      <c r="D1322" t="inlineStr">
        <is>
          <t>VÄSTERBOTTENS LÄN</t>
        </is>
      </c>
      <c r="E1322" t="inlineStr">
        <is>
          <t>BJURHOLM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62225-2018</t>
        </is>
      </c>
      <c r="B1323" s="1" t="n">
        <v>43425</v>
      </c>
      <c r="C1323" s="1" t="n">
        <v>45357</v>
      </c>
      <c r="D1323" t="inlineStr">
        <is>
          <t>VÄSTERBOTTENS LÄN</t>
        </is>
      </c>
      <c r="E1323" t="inlineStr">
        <is>
          <t>VINDELN</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61687-2018</t>
        </is>
      </c>
      <c r="B1324" s="1" t="n">
        <v>43425</v>
      </c>
      <c r="C1324" s="1" t="n">
        <v>45357</v>
      </c>
      <c r="D1324" t="inlineStr">
        <is>
          <t>VÄSTERBOTTENS LÄN</t>
        </is>
      </c>
      <c r="E1324" t="inlineStr">
        <is>
          <t>SKELLEFTEÅ</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62226-2018</t>
        </is>
      </c>
      <c r="B1325" s="1" t="n">
        <v>43425</v>
      </c>
      <c r="C1325" s="1" t="n">
        <v>45357</v>
      </c>
      <c r="D1325" t="inlineStr">
        <is>
          <t>VÄSTERBOTTENS LÄN</t>
        </is>
      </c>
      <c r="E1325" t="inlineStr">
        <is>
          <t>VINDELN</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62915-2018</t>
        </is>
      </c>
      <c r="B1326" s="1" t="n">
        <v>43426</v>
      </c>
      <c r="C1326" s="1" t="n">
        <v>45357</v>
      </c>
      <c r="D1326" t="inlineStr">
        <is>
          <t>VÄSTERBOTTENS LÄN</t>
        </is>
      </c>
      <c r="E1326" t="inlineStr">
        <is>
          <t>NORSJÖ</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62319-2018</t>
        </is>
      </c>
      <c r="B1327" s="1" t="n">
        <v>43426</v>
      </c>
      <c r="C1327" s="1" t="n">
        <v>45357</v>
      </c>
      <c r="D1327" t="inlineStr">
        <is>
          <t>VÄSTERBOTTENS LÄN</t>
        </is>
      </c>
      <c r="E1327" t="inlineStr">
        <is>
          <t>SKELLEFTEÅ</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65948-2018</t>
        </is>
      </c>
      <c r="B1328" s="1" t="n">
        <v>43426</v>
      </c>
      <c r="C1328" s="1" t="n">
        <v>45357</v>
      </c>
      <c r="D1328" t="inlineStr">
        <is>
          <t>VÄSTERBOTTENS LÄN</t>
        </is>
      </c>
      <c r="E1328" t="inlineStr">
        <is>
          <t>SKELLEFTEÅ</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66237-2018</t>
        </is>
      </c>
      <c r="B1329" s="1" t="n">
        <v>43426</v>
      </c>
      <c r="C1329" s="1" t="n">
        <v>45357</v>
      </c>
      <c r="D1329" t="inlineStr">
        <is>
          <t>VÄSTERBOTTENS LÄN</t>
        </is>
      </c>
      <c r="E1329" t="inlineStr">
        <is>
          <t>BJURHOLM</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62588-2018</t>
        </is>
      </c>
      <c r="B1330" s="1" t="n">
        <v>43426</v>
      </c>
      <c r="C1330" s="1" t="n">
        <v>45357</v>
      </c>
      <c r="D1330" t="inlineStr">
        <is>
          <t>VÄSTERBOTTENS LÄN</t>
        </is>
      </c>
      <c r="E1330" t="inlineStr">
        <is>
          <t>SKELLEFTEÅ</t>
        </is>
      </c>
      <c r="F1330" t="inlineStr">
        <is>
          <t>Holmen skog AB</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65939-2018</t>
        </is>
      </c>
      <c r="B1331" s="1" t="n">
        <v>43426</v>
      </c>
      <c r="C1331" s="1" t="n">
        <v>45357</v>
      </c>
      <c r="D1331" t="inlineStr">
        <is>
          <t>VÄSTERBOTTENS LÄN</t>
        </is>
      </c>
      <c r="E1331" t="inlineStr">
        <is>
          <t>SKELLEFTEÅ</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62921-2018</t>
        </is>
      </c>
      <c r="B1332" s="1" t="n">
        <v>43426</v>
      </c>
      <c r="C1332" s="1" t="n">
        <v>45357</v>
      </c>
      <c r="D1332" t="inlineStr">
        <is>
          <t>VÄSTERBOTTENS LÄN</t>
        </is>
      </c>
      <c r="E1332" t="inlineStr">
        <is>
          <t>MALÅ</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62864-2018</t>
        </is>
      </c>
      <c r="B1333" s="1" t="n">
        <v>43426</v>
      </c>
      <c r="C1333" s="1" t="n">
        <v>45357</v>
      </c>
      <c r="D1333" t="inlineStr">
        <is>
          <t>VÄSTERBOTTENS LÄN</t>
        </is>
      </c>
      <c r="E1333" t="inlineStr">
        <is>
          <t>UMEÅ</t>
        </is>
      </c>
      <c r="F1333" t="inlineStr">
        <is>
          <t>Holmen skog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63394-2018</t>
        </is>
      </c>
      <c r="B1334" s="1" t="n">
        <v>43427</v>
      </c>
      <c r="C1334" s="1" t="n">
        <v>45357</v>
      </c>
      <c r="D1334" t="inlineStr">
        <is>
          <t>VÄSTERBOTTENS LÄN</t>
        </is>
      </c>
      <c r="E1334" t="inlineStr">
        <is>
          <t>UMEÅ</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66322-2018</t>
        </is>
      </c>
      <c r="B1335" s="1" t="n">
        <v>43427</v>
      </c>
      <c r="C1335" s="1" t="n">
        <v>45357</v>
      </c>
      <c r="D1335" t="inlineStr">
        <is>
          <t>VÄSTERBOTTENS LÄN</t>
        </is>
      </c>
      <c r="E1335" t="inlineStr">
        <is>
          <t>LYCKSELE</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63336-2018</t>
        </is>
      </c>
      <c r="B1336" s="1" t="n">
        <v>43427</v>
      </c>
      <c r="C1336" s="1" t="n">
        <v>45357</v>
      </c>
      <c r="D1336" t="inlineStr">
        <is>
          <t>VÄSTERBOTTENS LÄN</t>
        </is>
      </c>
      <c r="E1336" t="inlineStr">
        <is>
          <t>SKELLEFTEÅ</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63364-2018</t>
        </is>
      </c>
      <c r="B1337" s="1" t="n">
        <v>43427</v>
      </c>
      <c r="C1337" s="1" t="n">
        <v>45357</v>
      </c>
      <c r="D1337" t="inlineStr">
        <is>
          <t>VÄSTERBOTTENS LÄN</t>
        </is>
      </c>
      <c r="E1337" t="inlineStr">
        <is>
          <t>ÅSELE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66328-2018</t>
        </is>
      </c>
      <c r="B1338" s="1" t="n">
        <v>43427</v>
      </c>
      <c r="C1338" s="1" t="n">
        <v>45357</v>
      </c>
      <c r="D1338" t="inlineStr">
        <is>
          <t>VÄSTERBOTTENS LÄN</t>
        </is>
      </c>
      <c r="E1338" t="inlineStr">
        <is>
          <t>VÄNNÄS</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63652-2018</t>
        </is>
      </c>
      <c r="B1339" s="1" t="n">
        <v>43427</v>
      </c>
      <c r="C1339" s="1" t="n">
        <v>45357</v>
      </c>
      <c r="D1339" t="inlineStr">
        <is>
          <t>VÄSTERBOTTENS LÄN</t>
        </is>
      </c>
      <c r="E1339" t="inlineStr">
        <is>
          <t>SKELLEFTEÅ</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66338-2018</t>
        </is>
      </c>
      <c r="B1340" s="1" t="n">
        <v>43428</v>
      </c>
      <c r="C1340" s="1" t="n">
        <v>45357</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63849-2018</t>
        </is>
      </c>
      <c r="B1341" s="1" t="n">
        <v>43430</v>
      </c>
      <c r="C1341" s="1" t="n">
        <v>45357</v>
      </c>
      <c r="D1341" t="inlineStr">
        <is>
          <t>VÄSTERBOTTENS LÄN</t>
        </is>
      </c>
      <c r="E1341" t="inlineStr">
        <is>
          <t>VINDELN</t>
        </is>
      </c>
      <c r="F1341" t="inlineStr">
        <is>
          <t>Sveaskog</t>
        </is>
      </c>
      <c r="G1341" t="n">
        <v>18.2</v>
      </c>
      <c r="H1341" t="n">
        <v>0</v>
      </c>
      <c r="I1341" t="n">
        <v>0</v>
      </c>
      <c r="J1341" t="n">
        <v>0</v>
      </c>
      <c r="K1341" t="n">
        <v>0</v>
      </c>
      <c r="L1341" t="n">
        <v>0</v>
      </c>
      <c r="M1341" t="n">
        <v>0</v>
      </c>
      <c r="N1341" t="n">
        <v>0</v>
      </c>
      <c r="O1341" t="n">
        <v>0</v>
      </c>
      <c r="P1341" t="n">
        <v>0</v>
      </c>
      <c r="Q1341" t="n">
        <v>0</v>
      </c>
      <c r="R1341" s="2" t="inlineStr"/>
    </row>
    <row r="1342" ht="15" customHeight="1">
      <c r="A1342" t="inlineStr">
        <is>
          <t>A 64423-2018</t>
        </is>
      </c>
      <c r="B1342" s="1" t="n">
        <v>43430</v>
      </c>
      <c r="C1342" s="1" t="n">
        <v>45357</v>
      </c>
      <c r="D1342" t="inlineStr">
        <is>
          <t>VÄSTERBOTTENS LÄN</t>
        </is>
      </c>
      <c r="E1342" t="inlineStr">
        <is>
          <t>STORUMAN</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64388-2018</t>
        </is>
      </c>
      <c r="B1343" s="1" t="n">
        <v>43430</v>
      </c>
      <c r="C1343" s="1" t="n">
        <v>45357</v>
      </c>
      <c r="D1343" t="inlineStr">
        <is>
          <t>VÄSTERBOTTENS LÄN</t>
        </is>
      </c>
      <c r="E1343" t="inlineStr">
        <is>
          <t>SKELLEFTEÅ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64424-2018</t>
        </is>
      </c>
      <c r="B1344" s="1" t="n">
        <v>43430</v>
      </c>
      <c r="C1344" s="1" t="n">
        <v>45357</v>
      </c>
      <c r="D1344" t="inlineStr">
        <is>
          <t>VÄSTERBOTTENS LÄN</t>
        </is>
      </c>
      <c r="E1344" t="inlineStr">
        <is>
          <t>STORUMAN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66506-2018</t>
        </is>
      </c>
      <c r="B1345" s="1" t="n">
        <v>43430</v>
      </c>
      <c r="C1345" s="1" t="n">
        <v>45357</v>
      </c>
      <c r="D1345" t="inlineStr">
        <is>
          <t>VÄSTERBOTTENS LÄN</t>
        </is>
      </c>
      <c r="E1345" t="inlineStr">
        <is>
          <t>SKELLEFTEÅ</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64000-2018</t>
        </is>
      </c>
      <c r="B1346" s="1" t="n">
        <v>43430</v>
      </c>
      <c r="C1346" s="1" t="n">
        <v>45357</v>
      </c>
      <c r="D1346" t="inlineStr">
        <is>
          <t>VÄSTERBOTTENS LÄN</t>
        </is>
      </c>
      <c r="E1346" t="inlineStr">
        <is>
          <t>VINDELN</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63881-2018</t>
        </is>
      </c>
      <c r="B1347" s="1" t="n">
        <v>43430</v>
      </c>
      <c r="C1347" s="1" t="n">
        <v>45357</v>
      </c>
      <c r="D1347" t="inlineStr">
        <is>
          <t>VÄSTERBOTTENS LÄN</t>
        </is>
      </c>
      <c r="E1347" t="inlineStr">
        <is>
          <t>SKELLEFTEÅ</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66742-2018</t>
        </is>
      </c>
      <c r="B1348" s="1" t="n">
        <v>43430</v>
      </c>
      <c r="C1348" s="1" t="n">
        <v>45357</v>
      </c>
      <c r="D1348" t="inlineStr">
        <is>
          <t>VÄSTERBOTTENS LÄN</t>
        </is>
      </c>
      <c r="E1348" t="inlineStr">
        <is>
          <t>SKELLEFTEÅ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66452-2018</t>
        </is>
      </c>
      <c r="B1349" s="1" t="n">
        <v>43430</v>
      </c>
      <c r="C1349" s="1" t="n">
        <v>45357</v>
      </c>
      <c r="D1349" t="inlineStr">
        <is>
          <t>VÄSTERBOTTENS LÄN</t>
        </is>
      </c>
      <c r="E1349" t="inlineStr">
        <is>
          <t>LYCKSELE</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66417-2018</t>
        </is>
      </c>
      <c r="B1350" s="1" t="n">
        <v>43430</v>
      </c>
      <c r="C1350" s="1" t="n">
        <v>45357</v>
      </c>
      <c r="D1350" t="inlineStr">
        <is>
          <t>VÄSTERBOTTENS LÄN</t>
        </is>
      </c>
      <c r="E1350" t="inlineStr">
        <is>
          <t>LYCKSELE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64387-2018</t>
        </is>
      </c>
      <c r="B1351" s="1" t="n">
        <v>43430</v>
      </c>
      <c r="C1351" s="1" t="n">
        <v>45357</v>
      </c>
      <c r="D1351" t="inlineStr">
        <is>
          <t>VÄSTERBOTTENS LÄN</t>
        </is>
      </c>
      <c r="E1351" t="inlineStr">
        <is>
          <t>SKELLEFTEÅ</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66741-2018</t>
        </is>
      </c>
      <c r="B1352" s="1" t="n">
        <v>43430</v>
      </c>
      <c r="C1352" s="1" t="n">
        <v>45357</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64386-2018</t>
        </is>
      </c>
      <c r="B1353" s="1" t="n">
        <v>43430</v>
      </c>
      <c r="C1353" s="1" t="n">
        <v>45357</v>
      </c>
      <c r="D1353" t="inlineStr">
        <is>
          <t>VÄSTERBOTTENS LÄN</t>
        </is>
      </c>
      <c r="E1353" t="inlineStr">
        <is>
          <t>SKELLEFTEÅ</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63923-2018</t>
        </is>
      </c>
      <c r="B1354" s="1" t="n">
        <v>43430</v>
      </c>
      <c r="C1354" s="1" t="n">
        <v>45357</v>
      </c>
      <c r="D1354" t="inlineStr">
        <is>
          <t>VÄSTERBOTTENS LÄN</t>
        </is>
      </c>
      <c r="E1354" t="inlineStr">
        <is>
          <t>SKELLEFTEÅ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66958-2018</t>
        </is>
      </c>
      <c r="B1355" s="1" t="n">
        <v>43430</v>
      </c>
      <c r="C1355" s="1" t="n">
        <v>45357</v>
      </c>
      <c r="D1355" t="inlineStr">
        <is>
          <t>VÄSTERBOTTENS LÄN</t>
        </is>
      </c>
      <c r="E1355" t="inlineStr">
        <is>
          <t>LYCKSELE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64759-2018</t>
        </is>
      </c>
      <c r="B1356" s="1" t="n">
        <v>43431</v>
      </c>
      <c r="C1356" s="1" t="n">
        <v>45357</v>
      </c>
      <c r="D1356" t="inlineStr">
        <is>
          <t>VÄSTERBOTTENS LÄN</t>
        </is>
      </c>
      <c r="E1356" t="inlineStr">
        <is>
          <t>LYCKSELE</t>
        </is>
      </c>
      <c r="F1356" t="inlineStr">
        <is>
          <t>Holmen skog AB</t>
        </is>
      </c>
      <c r="G1356" t="n">
        <v>12.2</v>
      </c>
      <c r="H1356" t="n">
        <v>0</v>
      </c>
      <c r="I1356" t="n">
        <v>0</v>
      </c>
      <c r="J1356" t="n">
        <v>0</v>
      </c>
      <c r="K1356" t="n">
        <v>0</v>
      </c>
      <c r="L1356" t="n">
        <v>0</v>
      </c>
      <c r="M1356" t="n">
        <v>0</v>
      </c>
      <c r="N1356" t="n">
        <v>0</v>
      </c>
      <c r="O1356" t="n">
        <v>0</v>
      </c>
      <c r="P1356" t="n">
        <v>0</v>
      </c>
      <c r="Q1356" t="n">
        <v>0</v>
      </c>
      <c r="R1356" s="2" t="inlineStr"/>
    </row>
    <row r="1357" ht="15" customHeight="1">
      <c r="A1357" t="inlineStr">
        <is>
          <t>A 64632-2018</t>
        </is>
      </c>
      <c r="B1357" s="1" t="n">
        <v>43431</v>
      </c>
      <c r="C1357" s="1" t="n">
        <v>45357</v>
      </c>
      <c r="D1357" t="inlineStr">
        <is>
          <t>VÄSTERBOTTENS LÄN</t>
        </is>
      </c>
      <c r="E1357" t="inlineStr">
        <is>
          <t>STORUMAN</t>
        </is>
      </c>
      <c r="F1357" t="inlineStr">
        <is>
          <t>Holmen skog AB</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67088-2018</t>
        </is>
      </c>
      <c r="B1358" s="1" t="n">
        <v>43431</v>
      </c>
      <c r="C1358" s="1" t="n">
        <v>45357</v>
      </c>
      <c r="D1358" t="inlineStr">
        <is>
          <t>VÄSTERBOTTENS LÄN</t>
        </is>
      </c>
      <c r="E1358" t="inlineStr">
        <is>
          <t>VINDELN</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67250-2018</t>
        </is>
      </c>
      <c r="B1359" s="1" t="n">
        <v>43431</v>
      </c>
      <c r="C1359" s="1" t="n">
        <v>45357</v>
      </c>
      <c r="D1359" t="inlineStr">
        <is>
          <t>VÄSTERBOTTENS LÄN</t>
        </is>
      </c>
      <c r="E1359" t="inlineStr">
        <is>
          <t>SKELLEFTEÅ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67226-2018</t>
        </is>
      </c>
      <c r="B1360" s="1" t="n">
        <v>43431</v>
      </c>
      <c r="C1360" s="1" t="n">
        <v>45357</v>
      </c>
      <c r="D1360" t="inlineStr">
        <is>
          <t>VÄSTERBOTTENS LÄN</t>
        </is>
      </c>
      <c r="E1360" t="inlineStr">
        <is>
          <t>SKELLEFTEÅ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65069-2018</t>
        </is>
      </c>
      <c r="B1361" s="1" t="n">
        <v>43432</v>
      </c>
      <c r="C1361" s="1" t="n">
        <v>45357</v>
      </c>
      <c r="D1361" t="inlineStr">
        <is>
          <t>VÄSTERBOTTENS LÄN</t>
        </is>
      </c>
      <c r="E1361" t="inlineStr">
        <is>
          <t>LYCKSELE</t>
        </is>
      </c>
      <c r="F1361" t="inlineStr">
        <is>
          <t>Sveaskog</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67355-2018</t>
        </is>
      </c>
      <c r="B1362" s="1" t="n">
        <v>43432</v>
      </c>
      <c r="C1362" s="1" t="n">
        <v>45357</v>
      </c>
      <c r="D1362" t="inlineStr">
        <is>
          <t>VÄSTERBOTTENS LÄN</t>
        </is>
      </c>
      <c r="E1362" t="inlineStr">
        <is>
          <t>SKELLEFTEÅ</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67303-2018</t>
        </is>
      </c>
      <c r="B1363" s="1" t="n">
        <v>43432</v>
      </c>
      <c r="C1363" s="1" t="n">
        <v>45357</v>
      </c>
      <c r="D1363" t="inlineStr">
        <is>
          <t>VÄSTERBOTTENS LÄN</t>
        </is>
      </c>
      <c r="E1363" t="inlineStr">
        <is>
          <t>VILHELMINA</t>
        </is>
      </c>
      <c r="F1363" t="inlineStr">
        <is>
          <t>Allmännings- och besparingsskogar</t>
        </is>
      </c>
      <c r="G1363" t="n">
        <v>21.4</v>
      </c>
      <c r="H1363" t="n">
        <v>0</v>
      </c>
      <c r="I1363" t="n">
        <v>0</v>
      </c>
      <c r="J1363" t="n">
        <v>0</v>
      </c>
      <c r="K1363" t="n">
        <v>0</v>
      </c>
      <c r="L1363" t="n">
        <v>0</v>
      </c>
      <c r="M1363" t="n">
        <v>0</v>
      </c>
      <c r="N1363" t="n">
        <v>0</v>
      </c>
      <c r="O1363" t="n">
        <v>0</v>
      </c>
      <c r="P1363" t="n">
        <v>0</v>
      </c>
      <c r="Q1363" t="n">
        <v>0</v>
      </c>
      <c r="R1363" s="2" t="inlineStr"/>
    </row>
    <row r="1364" ht="15" customHeight="1">
      <c r="A1364" t="inlineStr">
        <is>
          <t>A 65162-2018</t>
        </is>
      </c>
      <c r="B1364" s="1" t="n">
        <v>43432</v>
      </c>
      <c r="C1364" s="1" t="n">
        <v>45357</v>
      </c>
      <c r="D1364" t="inlineStr">
        <is>
          <t>VÄSTERBOTTENS LÄN</t>
        </is>
      </c>
      <c r="E1364" t="inlineStr">
        <is>
          <t>SKELLEFTEÅ</t>
        </is>
      </c>
      <c r="F1364" t="inlineStr">
        <is>
          <t>Sveaskog</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65179-2018</t>
        </is>
      </c>
      <c r="B1365" s="1" t="n">
        <v>43432</v>
      </c>
      <c r="C1365" s="1" t="n">
        <v>45357</v>
      </c>
      <c r="D1365" t="inlineStr">
        <is>
          <t>VÄSTERBOTTENS LÄN</t>
        </is>
      </c>
      <c r="E1365" t="inlineStr">
        <is>
          <t>VINDELN</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65206-2018</t>
        </is>
      </c>
      <c r="B1366" s="1" t="n">
        <v>43432</v>
      </c>
      <c r="C1366" s="1" t="n">
        <v>45357</v>
      </c>
      <c r="D1366" t="inlineStr">
        <is>
          <t>VÄSTERBOTTENS LÄN</t>
        </is>
      </c>
      <c r="E1366" t="inlineStr">
        <is>
          <t>SKELLEFTEÅ</t>
        </is>
      </c>
      <c r="F1366" t="inlineStr">
        <is>
          <t>Holmen skog AB</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67421-2018</t>
        </is>
      </c>
      <c r="B1367" s="1" t="n">
        <v>43432</v>
      </c>
      <c r="C1367" s="1" t="n">
        <v>45357</v>
      </c>
      <c r="D1367" t="inlineStr">
        <is>
          <t>VÄSTERBOTTENS LÄN</t>
        </is>
      </c>
      <c r="E1367" t="inlineStr">
        <is>
          <t>SORSELE</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67361-2018</t>
        </is>
      </c>
      <c r="B1368" s="1" t="n">
        <v>43432</v>
      </c>
      <c r="C1368" s="1" t="n">
        <v>45357</v>
      </c>
      <c r="D1368" t="inlineStr">
        <is>
          <t>VÄSTERBOTTENS LÄN</t>
        </is>
      </c>
      <c r="E1368" t="inlineStr">
        <is>
          <t>VILHELMINA</t>
        </is>
      </c>
      <c r="F1368" t="inlineStr">
        <is>
          <t>Allmännings- och besparingsskogar</t>
        </is>
      </c>
      <c r="G1368" t="n">
        <v>25.1</v>
      </c>
      <c r="H1368" t="n">
        <v>0</v>
      </c>
      <c r="I1368" t="n">
        <v>0</v>
      </c>
      <c r="J1368" t="n">
        <v>0</v>
      </c>
      <c r="K1368" t="n">
        <v>0</v>
      </c>
      <c r="L1368" t="n">
        <v>0</v>
      </c>
      <c r="M1368" t="n">
        <v>0</v>
      </c>
      <c r="N1368" t="n">
        <v>0</v>
      </c>
      <c r="O1368" t="n">
        <v>0</v>
      </c>
      <c r="P1368" t="n">
        <v>0</v>
      </c>
      <c r="Q1368" t="n">
        <v>0</v>
      </c>
      <c r="R1368" s="2" t="inlineStr"/>
    </row>
    <row r="1369" ht="15" customHeight="1">
      <c r="A1369" t="inlineStr">
        <is>
          <t>A 65303-2018</t>
        </is>
      </c>
      <c r="B1369" s="1" t="n">
        <v>43432</v>
      </c>
      <c r="C1369" s="1" t="n">
        <v>45357</v>
      </c>
      <c r="D1369" t="inlineStr">
        <is>
          <t>VÄSTERBOTTENS LÄN</t>
        </is>
      </c>
      <c r="E1369" t="inlineStr">
        <is>
          <t>VILHELMINA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65178-2018</t>
        </is>
      </c>
      <c r="B1370" s="1" t="n">
        <v>43432</v>
      </c>
      <c r="C1370" s="1" t="n">
        <v>45357</v>
      </c>
      <c r="D1370" t="inlineStr">
        <is>
          <t>VÄSTERBOTTENS LÄN</t>
        </is>
      </c>
      <c r="E1370" t="inlineStr">
        <is>
          <t>SKELLEFTEÅ</t>
        </is>
      </c>
      <c r="F1370" t="inlineStr">
        <is>
          <t>Sveaskog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65274-2018</t>
        </is>
      </c>
      <c r="B1371" s="1" t="n">
        <v>43432</v>
      </c>
      <c r="C1371" s="1" t="n">
        <v>45357</v>
      </c>
      <c r="D1371" t="inlineStr">
        <is>
          <t>VÄSTERBOTTENS LÄN</t>
        </is>
      </c>
      <c r="E1371" t="inlineStr">
        <is>
          <t>VINDELN</t>
        </is>
      </c>
      <c r="F1371" t="inlineStr">
        <is>
          <t>Sveaskog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65177-2018</t>
        </is>
      </c>
      <c r="B1372" s="1" t="n">
        <v>43432</v>
      </c>
      <c r="C1372" s="1" t="n">
        <v>45357</v>
      </c>
      <c r="D1372" t="inlineStr">
        <is>
          <t>VÄSTERBOTTENS LÄN</t>
        </is>
      </c>
      <c r="E1372" t="inlineStr">
        <is>
          <t>SKELLEFTEÅ</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67381-2018</t>
        </is>
      </c>
      <c r="B1373" s="1" t="n">
        <v>43432</v>
      </c>
      <c r="C1373" s="1" t="n">
        <v>45357</v>
      </c>
      <c r="D1373" t="inlineStr">
        <is>
          <t>VÄSTERBOTTENS LÄN</t>
        </is>
      </c>
      <c r="E1373" t="inlineStr">
        <is>
          <t>VILHELMINA</t>
        </is>
      </c>
      <c r="F1373" t="inlineStr">
        <is>
          <t>Allmännings- och besparingsskogar</t>
        </is>
      </c>
      <c r="G1373" t="n">
        <v>11.8</v>
      </c>
      <c r="H1373" t="n">
        <v>0</v>
      </c>
      <c r="I1373" t="n">
        <v>0</v>
      </c>
      <c r="J1373" t="n">
        <v>0</v>
      </c>
      <c r="K1373" t="n">
        <v>0</v>
      </c>
      <c r="L1373" t="n">
        <v>0</v>
      </c>
      <c r="M1373" t="n">
        <v>0</v>
      </c>
      <c r="N1373" t="n">
        <v>0</v>
      </c>
      <c r="O1373" t="n">
        <v>0</v>
      </c>
      <c r="P1373" t="n">
        <v>0</v>
      </c>
      <c r="Q1373" t="n">
        <v>0</v>
      </c>
      <c r="R1373" s="2" t="inlineStr"/>
    </row>
    <row r="1374" ht="15" customHeight="1">
      <c r="A1374" t="inlineStr">
        <is>
          <t>A 65809-2018</t>
        </is>
      </c>
      <c r="B1374" s="1" t="n">
        <v>43433</v>
      </c>
      <c r="C1374" s="1" t="n">
        <v>45357</v>
      </c>
      <c r="D1374" t="inlineStr">
        <is>
          <t>VÄSTERBOTTENS LÄN</t>
        </is>
      </c>
      <c r="E1374" t="inlineStr">
        <is>
          <t>VINDELN</t>
        </is>
      </c>
      <c r="F1374" t="inlineStr">
        <is>
          <t>Sveaskog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67619-2018</t>
        </is>
      </c>
      <c r="B1375" s="1" t="n">
        <v>43433</v>
      </c>
      <c r="C1375" s="1" t="n">
        <v>45357</v>
      </c>
      <c r="D1375" t="inlineStr">
        <is>
          <t>VÄSTERBOTTENS LÄN</t>
        </is>
      </c>
      <c r="E1375" t="inlineStr">
        <is>
          <t>STORUMAN</t>
        </is>
      </c>
      <c r="G1375" t="n">
        <v>23.1</v>
      </c>
      <c r="H1375" t="n">
        <v>0</v>
      </c>
      <c r="I1375" t="n">
        <v>0</v>
      </c>
      <c r="J1375" t="n">
        <v>0</v>
      </c>
      <c r="K1375" t="n">
        <v>0</v>
      </c>
      <c r="L1375" t="n">
        <v>0</v>
      </c>
      <c r="M1375" t="n">
        <v>0</v>
      </c>
      <c r="N1375" t="n">
        <v>0</v>
      </c>
      <c r="O1375" t="n">
        <v>0</v>
      </c>
      <c r="P1375" t="n">
        <v>0</v>
      </c>
      <c r="Q1375" t="n">
        <v>0</v>
      </c>
      <c r="R1375" s="2" t="inlineStr"/>
    </row>
    <row r="1376" ht="15" customHeight="1">
      <c r="A1376" t="inlineStr">
        <is>
          <t>A 67537-2018</t>
        </is>
      </c>
      <c r="B1376" s="1" t="n">
        <v>43433</v>
      </c>
      <c r="C1376" s="1" t="n">
        <v>45357</v>
      </c>
      <c r="D1376" t="inlineStr">
        <is>
          <t>VÄSTERBOTTENS LÄN</t>
        </is>
      </c>
      <c r="E1376" t="inlineStr">
        <is>
          <t>SORSELE</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67772-2018</t>
        </is>
      </c>
      <c r="B1377" s="1" t="n">
        <v>43433</v>
      </c>
      <c r="C1377" s="1" t="n">
        <v>45357</v>
      </c>
      <c r="D1377" t="inlineStr">
        <is>
          <t>VÄSTERBOTTENS LÄN</t>
        </is>
      </c>
      <c r="E1377" t="inlineStr">
        <is>
          <t>NORSJÖ</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65811-2018</t>
        </is>
      </c>
      <c r="B1378" s="1" t="n">
        <v>43433</v>
      </c>
      <c r="C1378" s="1" t="n">
        <v>45357</v>
      </c>
      <c r="D1378" t="inlineStr">
        <is>
          <t>VÄSTERBOTTENS LÄN</t>
        </is>
      </c>
      <c r="E1378" t="inlineStr">
        <is>
          <t>VINDELN</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65494-2018</t>
        </is>
      </c>
      <c r="B1379" s="1" t="n">
        <v>43433</v>
      </c>
      <c r="C1379" s="1" t="n">
        <v>45357</v>
      </c>
      <c r="D1379" t="inlineStr">
        <is>
          <t>VÄSTERBOTTENS LÄN</t>
        </is>
      </c>
      <c r="E1379" t="inlineStr">
        <is>
          <t>NORSJÖ</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67691-2018</t>
        </is>
      </c>
      <c r="B1380" s="1" t="n">
        <v>43433</v>
      </c>
      <c r="C1380" s="1" t="n">
        <v>45357</v>
      </c>
      <c r="D1380" t="inlineStr">
        <is>
          <t>VÄSTERBOTTENS LÄN</t>
        </is>
      </c>
      <c r="E1380" t="inlineStr">
        <is>
          <t>UMEÅ</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67620-2018</t>
        </is>
      </c>
      <c r="B1381" s="1" t="n">
        <v>43433</v>
      </c>
      <c r="C1381" s="1" t="n">
        <v>45357</v>
      </c>
      <c r="D1381" t="inlineStr">
        <is>
          <t>VÄSTERBOTTENS LÄN</t>
        </is>
      </c>
      <c r="E1381" t="inlineStr">
        <is>
          <t>STORUMAN</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67696-2018</t>
        </is>
      </c>
      <c r="B1382" s="1" t="n">
        <v>43433</v>
      </c>
      <c r="C1382" s="1" t="n">
        <v>45357</v>
      </c>
      <c r="D1382" t="inlineStr">
        <is>
          <t>VÄSTERBOTTENS LÄN</t>
        </is>
      </c>
      <c r="E1382" t="inlineStr">
        <is>
          <t>VÄNNÄS</t>
        </is>
      </c>
      <c r="G1382" t="n">
        <v>19.1</v>
      </c>
      <c r="H1382" t="n">
        <v>0</v>
      </c>
      <c r="I1382" t="n">
        <v>0</v>
      </c>
      <c r="J1382" t="n">
        <v>0</v>
      </c>
      <c r="K1382" t="n">
        <v>0</v>
      </c>
      <c r="L1382" t="n">
        <v>0</v>
      </c>
      <c r="M1382" t="n">
        <v>0</v>
      </c>
      <c r="N1382" t="n">
        <v>0</v>
      </c>
      <c r="O1382" t="n">
        <v>0</v>
      </c>
      <c r="P1382" t="n">
        <v>0</v>
      </c>
      <c r="Q1382" t="n">
        <v>0</v>
      </c>
      <c r="R1382" s="2" t="inlineStr"/>
    </row>
    <row r="1383" ht="15" customHeight="1">
      <c r="A1383" t="inlineStr">
        <is>
          <t>A 65822-2018</t>
        </is>
      </c>
      <c r="B1383" s="1" t="n">
        <v>43433</v>
      </c>
      <c r="C1383" s="1" t="n">
        <v>45357</v>
      </c>
      <c r="D1383" t="inlineStr">
        <is>
          <t>VÄSTERBOTTENS LÄN</t>
        </is>
      </c>
      <c r="E1383" t="inlineStr">
        <is>
          <t>SKELLEFTEÅ</t>
        </is>
      </c>
      <c r="F1383" t="inlineStr">
        <is>
          <t>Sveaskog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65341-2018</t>
        </is>
      </c>
      <c r="B1384" s="1" t="n">
        <v>43433</v>
      </c>
      <c r="C1384" s="1" t="n">
        <v>45357</v>
      </c>
      <c r="D1384" t="inlineStr">
        <is>
          <t>VÄSTERBOTTENS LÄN</t>
        </is>
      </c>
      <c r="E1384" t="inlineStr">
        <is>
          <t>SKELLEFTEÅ</t>
        </is>
      </c>
      <c r="F1384" t="inlineStr">
        <is>
          <t>Holmen skog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65579-2018</t>
        </is>
      </c>
      <c r="B1385" s="1" t="n">
        <v>43433</v>
      </c>
      <c r="C1385" s="1" t="n">
        <v>45357</v>
      </c>
      <c r="D1385" t="inlineStr">
        <is>
          <t>VÄSTERBOTTENS LÄN</t>
        </is>
      </c>
      <c r="E1385" t="inlineStr">
        <is>
          <t>VÄNNÄS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67728-2018</t>
        </is>
      </c>
      <c r="B1386" s="1" t="n">
        <v>43434</v>
      </c>
      <c r="C1386" s="1" t="n">
        <v>45357</v>
      </c>
      <c r="D1386" t="inlineStr">
        <is>
          <t>VÄSTERBOTTENS LÄN</t>
        </is>
      </c>
      <c r="E1386" t="inlineStr">
        <is>
          <t>SORSELE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65854-2018</t>
        </is>
      </c>
      <c r="B1387" s="1" t="n">
        <v>43434</v>
      </c>
      <c r="C1387" s="1" t="n">
        <v>45357</v>
      </c>
      <c r="D1387" t="inlineStr">
        <is>
          <t>VÄSTERBOTTENS LÄN</t>
        </is>
      </c>
      <c r="E1387" t="inlineStr">
        <is>
          <t>SKELLEFTEÅ</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67797-2018</t>
        </is>
      </c>
      <c r="B1388" s="1" t="n">
        <v>43434</v>
      </c>
      <c r="C1388" s="1" t="n">
        <v>45357</v>
      </c>
      <c r="D1388" t="inlineStr">
        <is>
          <t>VÄSTERBOTTENS LÄN</t>
        </is>
      </c>
      <c r="E1388" t="inlineStr">
        <is>
          <t>SKELLEFTEÅ</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68106-2018</t>
        </is>
      </c>
      <c r="B1389" s="1" t="n">
        <v>43434</v>
      </c>
      <c r="C1389" s="1" t="n">
        <v>45357</v>
      </c>
      <c r="D1389" t="inlineStr">
        <is>
          <t>VÄSTERBOTTENS LÄN</t>
        </is>
      </c>
      <c r="E1389" t="inlineStr">
        <is>
          <t>BJURHOLM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68100-2018</t>
        </is>
      </c>
      <c r="B1390" s="1" t="n">
        <v>43434</v>
      </c>
      <c r="C1390" s="1" t="n">
        <v>45357</v>
      </c>
      <c r="D1390" t="inlineStr">
        <is>
          <t>VÄSTERBOTTENS LÄN</t>
        </is>
      </c>
      <c r="E1390" t="inlineStr">
        <is>
          <t>BJURHOLM</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66464-2018</t>
        </is>
      </c>
      <c r="B1391" s="1" t="n">
        <v>43437</v>
      </c>
      <c r="C1391" s="1" t="n">
        <v>45357</v>
      </c>
      <c r="D1391" t="inlineStr">
        <is>
          <t>VÄSTERBOTTENS LÄN</t>
        </is>
      </c>
      <c r="E1391" t="inlineStr">
        <is>
          <t>NORSJÖ</t>
        </is>
      </c>
      <c r="F1391" t="inlineStr">
        <is>
          <t>Sveaskog</t>
        </is>
      </c>
      <c r="G1391" t="n">
        <v>18.4</v>
      </c>
      <c r="H1391" t="n">
        <v>0</v>
      </c>
      <c r="I1391" t="n">
        <v>0</v>
      </c>
      <c r="J1391" t="n">
        <v>0</v>
      </c>
      <c r="K1391" t="n">
        <v>0</v>
      </c>
      <c r="L1391" t="n">
        <v>0</v>
      </c>
      <c r="M1391" t="n">
        <v>0</v>
      </c>
      <c r="N1391" t="n">
        <v>0</v>
      </c>
      <c r="O1391" t="n">
        <v>0</v>
      </c>
      <c r="P1391" t="n">
        <v>0</v>
      </c>
      <c r="Q1391" t="n">
        <v>0</v>
      </c>
      <c r="R1391" s="2" t="inlineStr"/>
    </row>
    <row r="1392" ht="15" customHeight="1">
      <c r="A1392" t="inlineStr">
        <is>
          <t>A 66447-2018</t>
        </is>
      </c>
      <c r="B1392" s="1" t="n">
        <v>43437</v>
      </c>
      <c r="C1392" s="1" t="n">
        <v>45357</v>
      </c>
      <c r="D1392" t="inlineStr">
        <is>
          <t>VÄSTERBOTTENS LÄN</t>
        </is>
      </c>
      <c r="E1392" t="inlineStr">
        <is>
          <t>LYCKSELE</t>
        </is>
      </c>
      <c r="F1392" t="inlineStr">
        <is>
          <t>Sveaskog</t>
        </is>
      </c>
      <c r="G1392" t="n">
        <v>11.9</v>
      </c>
      <c r="H1392" t="n">
        <v>0</v>
      </c>
      <c r="I1392" t="n">
        <v>0</v>
      </c>
      <c r="J1392" t="n">
        <v>0</v>
      </c>
      <c r="K1392" t="n">
        <v>0</v>
      </c>
      <c r="L1392" t="n">
        <v>0</v>
      </c>
      <c r="M1392" t="n">
        <v>0</v>
      </c>
      <c r="N1392" t="n">
        <v>0</v>
      </c>
      <c r="O1392" t="n">
        <v>0</v>
      </c>
      <c r="P1392" t="n">
        <v>0</v>
      </c>
      <c r="Q1392" t="n">
        <v>0</v>
      </c>
      <c r="R1392" s="2" t="inlineStr"/>
    </row>
    <row r="1393" ht="15" customHeight="1">
      <c r="A1393" t="inlineStr">
        <is>
          <t>A 66676-2018</t>
        </is>
      </c>
      <c r="B1393" s="1" t="n">
        <v>43437</v>
      </c>
      <c r="C1393" s="1" t="n">
        <v>45357</v>
      </c>
      <c r="D1393" t="inlineStr">
        <is>
          <t>VÄSTERBOTTENS LÄN</t>
        </is>
      </c>
      <c r="E1393" t="inlineStr">
        <is>
          <t>MALÅ</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66670-2018</t>
        </is>
      </c>
      <c r="B1394" s="1" t="n">
        <v>43437</v>
      </c>
      <c r="C1394" s="1" t="n">
        <v>45357</v>
      </c>
      <c r="D1394" t="inlineStr">
        <is>
          <t>VÄSTERBOTTENS LÄN</t>
        </is>
      </c>
      <c r="E1394" t="inlineStr">
        <is>
          <t>MALÅ</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68036-2018</t>
        </is>
      </c>
      <c r="B1395" s="1" t="n">
        <v>43437</v>
      </c>
      <c r="C1395" s="1" t="n">
        <v>45357</v>
      </c>
      <c r="D1395" t="inlineStr">
        <is>
          <t>VÄSTERBOTTENS LÄN</t>
        </is>
      </c>
      <c r="E1395" t="inlineStr">
        <is>
          <t>LYCKSELE</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66610-2018</t>
        </is>
      </c>
      <c r="B1396" s="1" t="n">
        <v>43437</v>
      </c>
      <c r="C1396" s="1" t="n">
        <v>45357</v>
      </c>
      <c r="D1396" t="inlineStr">
        <is>
          <t>VÄSTERBOTTENS LÄN</t>
        </is>
      </c>
      <c r="E1396" t="inlineStr">
        <is>
          <t>LYCKSELE</t>
        </is>
      </c>
      <c r="F1396" t="inlineStr">
        <is>
          <t>Sveaskog</t>
        </is>
      </c>
      <c r="G1396" t="n">
        <v>15.6</v>
      </c>
      <c r="H1396" t="n">
        <v>0</v>
      </c>
      <c r="I1396" t="n">
        <v>0</v>
      </c>
      <c r="J1396" t="n">
        <v>0</v>
      </c>
      <c r="K1396" t="n">
        <v>0</v>
      </c>
      <c r="L1396" t="n">
        <v>0</v>
      </c>
      <c r="M1396" t="n">
        <v>0</v>
      </c>
      <c r="N1396" t="n">
        <v>0</v>
      </c>
      <c r="O1396" t="n">
        <v>0</v>
      </c>
      <c r="P1396" t="n">
        <v>0</v>
      </c>
      <c r="Q1396" t="n">
        <v>0</v>
      </c>
      <c r="R1396" s="2" t="inlineStr"/>
    </row>
    <row r="1397" ht="15" customHeight="1">
      <c r="A1397" t="inlineStr">
        <is>
          <t>A 68252-2018</t>
        </is>
      </c>
      <c r="B1397" s="1" t="n">
        <v>43437</v>
      </c>
      <c r="C1397" s="1" t="n">
        <v>45357</v>
      </c>
      <c r="D1397" t="inlineStr">
        <is>
          <t>VÄSTERBOTTENS LÄN</t>
        </is>
      </c>
      <c r="E1397" t="inlineStr">
        <is>
          <t>VÄNNÄS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66652-2018</t>
        </is>
      </c>
      <c r="B1398" s="1" t="n">
        <v>43437</v>
      </c>
      <c r="C1398" s="1" t="n">
        <v>45357</v>
      </c>
      <c r="D1398" t="inlineStr">
        <is>
          <t>VÄSTERBOTTENS LÄN</t>
        </is>
      </c>
      <c r="E1398" t="inlineStr">
        <is>
          <t>SKELLEFTEÅ</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66620-2018</t>
        </is>
      </c>
      <c r="B1399" s="1" t="n">
        <v>43437</v>
      </c>
      <c r="C1399" s="1" t="n">
        <v>45357</v>
      </c>
      <c r="D1399" t="inlineStr">
        <is>
          <t>VÄSTERBOTTENS LÄN</t>
        </is>
      </c>
      <c r="E1399" t="inlineStr">
        <is>
          <t>SKELLEFTEÅ</t>
        </is>
      </c>
      <c r="F1399" t="inlineStr">
        <is>
          <t>Kommuner</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68066-2018</t>
        </is>
      </c>
      <c r="B1400" s="1" t="n">
        <v>43437</v>
      </c>
      <c r="C1400" s="1" t="n">
        <v>45357</v>
      </c>
      <c r="D1400" t="inlineStr">
        <is>
          <t>VÄSTERBOTTENS LÄN</t>
        </is>
      </c>
      <c r="E1400" t="inlineStr">
        <is>
          <t>SKELLEFTEÅ</t>
        </is>
      </c>
      <c r="F1400" t="inlineStr">
        <is>
          <t>Kommuner</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68190-2018</t>
        </is>
      </c>
      <c r="B1401" s="1" t="n">
        <v>43437</v>
      </c>
      <c r="C1401" s="1" t="n">
        <v>45357</v>
      </c>
      <c r="D1401" t="inlineStr">
        <is>
          <t>VÄSTERBOTTENS LÄN</t>
        </is>
      </c>
      <c r="E1401" t="inlineStr">
        <is>
          <t>VÄNNÄS</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68094-2018</t>
        </is>
      </c>
      <c r="B1402" s="1" t="n">
        <v>43437</v>
      </c>
      <c r="C1402" s="1" t="n">
        <v>45357</v>
      </c>
      <c r="D1402" t="inlineStr">
        <is>
          <t>VÄSTERBOTTENS LÄN</t>
        </is>
      </c>
      <c r="E1402" t="inlineStr">
        <is>
          <t>NORSJÖ</t>
        </is>
      </c>
      <c r="G1402" t="n">
        <v>16.2</v>
      </c>
      <c r="H1402" t="n">
        <v>0</v>
      </c>
      <c r="I1402" t="n">
        <v>0</v>
      </c>
      <c r="J1402" t="n">
        <v>0</v>
      </c>
      <c r="K1402" t="n">
        <v>0</v>
      </c>
      <c r="L1402" t="n">
        <v>0</v>
      </c>
      <c r="M1402" t="n">
        <v>0</v>
      </c>
      <c r="N1402" t="n">
        <v>0</v>
      </c>
      <c r="O1402" t="n">
        <v>0</v>
      </c>
      <c r="P1402" t="n">
        <v>0</v>
      </c>
      <c r="Q1402" t="n">
        <v>0</v>
      </c>
      <c r="R1402" s="2" t="inlineStr"/>
    </row>
    <row r="1403" ht="15" customHeight="1">
      <c r="A1403" t="inlineStr">
        <is>
          <t>A 66746-2018</t>
        </is>
      </c>
      <c r="B1403" s="1" t="n">
        <v>43438</v>
      </c>
      <c r="C1403" s="1" t="n">
        <v>45357</v>
      </c>
      <c r="D1403" t="inlineStr">
        <is>
          <t>VÄSTERBOTTENS LÄN</t>
        </is>
      </c>
      <c r="E1403" t="inlineStr">
        <is>
          <t>LYCKSELE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66866-2018</t>
        </is>
      </c>
      <c r="B1404" s="1" t="n">
        <v>43438</v>
      </c>
      <c r="C1404" s="1" t="n">
        <v>45357</v>
      </c>
      <c r="D1404" t="inlineStr">
        <is>
          <t>VÄSTERBOTTENS LÄN</t>
        </is>
      </c>
      <c r="E1404" t="inlineStr">
        <is>
          <t>MALÅ</t>
        </is>
      </c>
      <c r="F1404" t="inlineStr">
        <is>
          <t>Sveaskog</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66905-2018</t>
        </is>
      </c>
      <c r="B1405" s="1" t="n">
        <v>43438</v>
      </c>
      <c r="C1405" s="1" t="n">
        <v>45357</v>
      </c>
      <c r="D1405" t="inlineStr">
        <is>
          <t>VÄSTERBOTTENS LÄN</t>
        </is>
      </c>
      <c r="E1405" t="inlineStr">
        <is>
          <t>LYCKSELE</t>
        </is>
      </c>
      <c r="F1405" t="inlineStr">
        <is>
          <t>Sveaskog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67818-2018</t>
        </is>
      </c>
      <c r="B1406" s="1" t="n">
        <v>43438</v>
      </c>
      <c r="C1406" s="1" t="n">
        <v>45357</v>
      </c>
      <c r="D1406" t="inlineStr">
        <is>
          <t>VÄSTERBOTTENS LÄN</t>
        </is>
      </c>
      <c r="E1406" t="inlineStr">
        <is>
          <t>LYCKSELE</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66843-2018</t>
        </is>
      </c>
      <c r="B1407" s="1" t="n">
        <v>43438</v>
      </c>
      <c r="C1407" s="1" t="n">
        <v>45357</v>
      </c>
      <c r="D1407" t="inlineStr">
        <is>
          <t>VÄSTERBOTTENS LÄN</t>
        </is>
      </c>
      <c r="E1407" t="inlineStr">
        <is>
          <t>LYCKSELE</t>
        </is>
      </c>
      <c r="F1407" t="inlineStr">
        <is>
          <t>Sveaskog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67379-2018</t>
        </is>
      </c>
      <c r="B1408" s="1" t="n">
        <v>43439</v>
      </c>
      <c r="C1408" s="1" t="n">
        <v>45357</v>
      </c>
      <c r="D1408" t="inlineStr">
        <is>
          <t>VÄSTERBOTTENS LÄN</t>
        </is>
      </c>
      <c r="E1408" t="inlineStr">
        <is>
          <t>MALÅ</t>
        </is>
      </c>
      <c r="F1408" t="inlineStr">
        <is>
          <t>Sveaskog</t>
        </is>
      </c>
      <c r="G1408" t="n">
        <v>8.5</v>
      </c>
      <c r="H1408" t="n">
        <v>0</v>
      </c>
      <c r="I1408" t="n">
        <v>0</v>
      </c>
      <c r="J1408" t="n">
        <v>0</v>
      </c>
      <c r="K1408" t="n">
        <v>0</v>
      </c>
      <c r="L1408" t="n">
        <v>0</v>
      </c>
      <c r="M1408" t="n">
        <v>0</v>
      </c>
      <c r="N1408" t="n">
        <v>0</v>
      </c>
      <c r="O1408" t="n">
        <v>0</v>
      </c>
      <c r="P1408" t="n">
        <v>0</v>
      </c>
      <c r="Q1408" t="n">
        <v>0</v>
      </c>
      <c r="R1408" s="2" t="inlineStr"/>
    </row>
    <row r="1409" ht="15" customHeight="1">
      <c r="A1409" t="inlineStr">
        <is>
          <t>A 68692-2018</t>
        </is>
      </c>
      <c r="B1409" s="1" t="n">
        <v>43439</v>
      </c>
      <c r="C1409" s="1" t="n">
        <v>45357</v>
      </c>
      <c r="D1409" t="inlineStr">
        <is>
          <t>VÄSTERBOTTENS LÄN</t>
        </is>
      </c>
      <c r="E1409" t="inlineStr">
        <is>
          <t>LYCKSELE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67450-2018</t>
        </is>
      </c>
      <c r="B1410" s="1" t="n">
        <v>43439</v>
      </c>
      <c r="C1410" s="1" t="n">
        <v>45357</v>
      </c>
      <c r="D1410" t="inlineStr">
        <is>
          <t>VÄSTERBOTTENS LÄN</t>
        </is>
      </c>
      <c r="E1410" t="inlineStr">
        <is>
          <t>NORSJÖ</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67462-2018</t>
        </is>
      </c>
      <c r="B1411" s="1" t="n">
        <v>43439</v>
      </c>
      <c r="C1411" s="1" t="n">
        <v>45357</v>
      </c>
      <c r="D1411" t="inlineStr">
        <is>
          <t>VÄSTERBOTTENS LÄN</t>
        </is>
      </c>
      <c r="E1411" t="inlineStr">
        <is>
          <t>MALÅ</t>
        </is>
      </c>
      <c r="F1411" t="inlineStr">
        <is>
          <t>Sveaskog</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67262-2018</t>
        </is>
      </c>
      <c r="B1412" s="1" t="n">
        <v>43439</v>
      </c>
      <c r="C1412" s="1" t="n">
        <v>45357</v>
      </c>
      <c r="D1412" t="inlineStr">
        <is>
          <t>VÄSTERBOTTENS LÄN</t>
        </is>
      </c>
      <c r="E1412" t="inlineStr">
        <is>
          <t>SKELLEFTEÅ</t>
        </is>
      </c>
      <c r="F1412" t="inlineStr">
        <is>
          <t>Holmen skog AB</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67211-2018</t>
        </is>
      </c>
      <c r="B1413" s="1" t="n">
        <v>43439</v>
      </c>
      <c r="C1413" s="1" t="n">
        <v>45357</v>
      </c>
      <c r="D1413" t="inlineStr">
        <is>
          <t>VÄSTERBOTTENS LÄN</t>
        </is>
      </c>
      <c r="E1413" t="inlineStr">
        <is>
          <t>SKELLEFTEÅ</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68702-2018</t>
        </is>
      </c>
      <c r="B1414" s="1" t="n">
        <v>43439</v>
      </c>
      <c r="C1414" s="1" t="n">
        <v>45357</v>
      </c>
      <c r="D1414" t="inlineStr">
        <is>
          <t>VÄSTERBOTTENS LÄN</t>
        </is>
      </c>
      <c r="E1414" t="inlineStr">
        <is>
          <t>LYCKSELE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67703-2018</t>
        </is>
      </c>
      <c r="B1415" s="1" t="n">
        <v>43440</v>
      </c>
      <c r="C1415" s="1" t="n">
        <v>45357</v>
      </c>
      <c r="D1415" t="inlineStr">
        <is>
          <t>VÄSTERBOTTENS LÄN</t>
        </is>
      </c>
      <c r="E1415" t="inlineStr">
        <is>
          <t>ÅSELE</t>
        </is>
      </c>
      <c r="F1415" t="inlineStr">
        <is>
          <t>Holmen skog AB</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67680-2018</t>
        </is>
      </c>
      <c r="B1416" s="1" t="n">
        <v>43440</v>
      </c>
      <c r="C1416" s="1" t="n">
        <v>45357</v>
      </c>
      <c r="D1416" t="inlineStr">
        <is>
          <t>VÄSTERBOTTENS LÄN</t>
        </is>
      </c>
      <c r="E1416" t="inlineStr">
        <is>
          <t>SKELLEFTEÅ</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68958-2018</t>
        </is>
      </c>
      <c r="B1417" s="1" t="n">
        <v>43440</v>
      </c>
      <c r="C1417" s="1" t="n">
        <v>45357</v>
      </c>
      <c r="D1417" t="inlineStr">
        <is>
          <t>VÄSTERBOTTENS LÄN</t>
        </is>
      </c>
      <c r="E1417" t="inlineStr">
        <is>
          <t>NORDMALING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67679-2018</t>
        </is>
      </c>
      <c r="B1418" s="1" t="n">
        <v>43440</v>
      </c>
      <c r="C1418" s="1" t="n">
        <v>45357</v>
      </c>
      <c r="D1418" t="inlineStr">
        <is>
          <t>VÄSTERBOTTENS LÄN</t>
        </is>
      </c>
      <c r="E1418" t="inlineStr">
        <is>
          <t>VINDELN</t>
        </is>
      </c>
      <c r="F1418" t="inlineStr">
        <is>
          <t>Naturvårdsverket</t>
        </is>
      </c>
      <c r="G1418" t="n">
        <v>32.4</v>
      </c>
      <c r="H1418" t="n">
        <v>0</v>
      </c>
      <c r="I1418" t="n">
        <v>0</v>
      </c>
      <c r="J1418" t="n">
        <v>0</v>
      </c>
      <c r="K1418" t="n">
        <v>0</v>
      </c>
      <c r="L1418" t="n">
        <v>0</v>
      </c>
      <c r="M1418" t="n">
        <v>0</v>
      </c>
      <c r="N1418" t="n">
        <v>0</v>
      </c>
      <c r="O1418" t="n">
        <v>0</v>
      </c>
      <c r="P1418" t="n">
        <v>0</v>
      </c>
      <c r="Q1418" t="n">
        <v>0</v>
      </c>
      <c r="R1418" s="2" t="inlineStr"/>
    </row>
    <row r="1419" ht="15" customHeight="1">
      <c r="A1419" t="inlineStr">
        <is>
          <t>A 67970-2018</t>
        </is>
      </c>
      <c r="B1419" s="1" t="n">
        <v>43440</v>
      </c>
      <c r="C1419" s="1" t="n">
        <v>45357</v>
      </c>
      <c r="D1419" t="inlineStr">
        <is>
          <t>VÄSTERBOTTENS LÄN</t>
        </is>
      </c>
      <c r="E1419" t="inlineStr">
        <is>
          <t>VÄNNÄS</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67785-2018</t>
        </is>
      </c>
      <c r="B1420" s="1" t="n">
        <v>43440</v>
      </c>
      <c r="C1420" s="1" t="n">
        <v>45357</v>
      </c>
      <c r="D1420" t="inlineStr">
        <is>
          <t>VÄSTERBOTTENS LÄN</t>
        </is>
      </c>
      <c r="E1420" t="inlineStr">
        <is>
          <t>UMEÅ</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67681-2018</t>
        </is>
      </c>
      <c r="B1421" s="1" t="n">
        <v>43440</v>
      </c>
      <c r="C1421" s="1" t="n">
        <v>45357</v>
      </c>
      <c r="D1421" t="inlineStr">
        <is>
          <t>VÄSTERBOTTENS LÄN</t>
        </is>
      </c>
      <c r="E1421" t="inlineStr">
        <is>
          <t>SKELLEFTEÅ</t>
        </is>
      </c>
      <c r="F1421" t="inlineStr">
        <is>
          <t>Sveaskog</t>
        </is>
      </c>
      <c r="G1421" t="n">
        <v>25.6</v>
      </c>
      <c r="H1421" t="n">
        <v>0</v>
      </c>
      <c r="I1421" t="n">
        <v>0</v>
      </c>
      <c r="J1421" t="n">
        <v>0</v>
      </c>
      <c r="K1421" t="n">
        <v>0</v>
      </c>
      <c r="L1421" t="n">
        <v>0</v>
      </c>
      <c r="M1421" t="n">
        <v>0</v>
      </c>
      <c r="N1421" t="n">
        <v>0</v>
      </c>
      <c r="O1421" t="n">
        <v>0</v>
      </c>
      <c r="P1421" t="n">
        <v>0</v>
      </c>
      <c r="Q1421" t="n">
        <v>0</v>
      </c>
      <c r="R1421" s="2" t="inlineStr"/>
    </row>
    <row r="1422" ht="15" customHeight="1">
      <c r="A1422" t="inlineStr">
        <is>
          <t>A 68908-2018</t>
        </is>
      </c>
      <c r="B1422" s="1" t="n">
        <v>43440</v>
      </c>
      <c r="C1422" s="1" t="n">
        <v>45357</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69053-2018</t>
        </is>
      </c>
      <c r="B1423" s="1" t="n">
        <v>43440</v>
      </c>
      <c r="C1423" s="1" t="n">
        <v>45357</v>
      </c>
      <c r="D1423" t="inlineStr">
        <is>
          <t>VÄSTERBOTTENS LÄN</t>
        </is>
      </c>
      <c r="E1423" t="inlineStr">
        <is>
          <t>VILHELMINA</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67919-2018</t>
        </is>
      </c>
      <c r="B1424" s="1" t="n">
        <v>43440</v>
      </c>
      <c r="C1424" s="1" t="n">
        <v>45357</v>
      </c>
      <c r="D1424" t="inlineStr">
        <is>
          <t>VÄSTERBOTTENS LÄN</t>
        </is>
      </c>
      <c r="E1424" t="inlineStr">
        <is>
          <t>SKELLEFTEÅ</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67697-2018</t>
        </is>
      </c>
      <c r="B1425" s="1" t="n">
        <v>43440</v>
      </c>
      <c r="C1425" s="1" t="n">
        <v>45357</v>
      </c>
      <c r="D1425" t="inlineStr">
        <is>
          <t>VÄSTERBOTTENS LÄN</t>
        </is>
      </c>
      <c r="E1425" t="inlineStr">
        <is>
          <t>SKELLEFTEÅ</t>
        </is>
      </c>
      <c r="F1425" t="inlineStr">
        <is>
          <t>Sveaskog</t>
        </is>
      </c>
      <c r="G1425" t="n">
        <v>25.8</v>
      </c>
      <c r="H1425" t="n">
        <v>0</v>
      </c>
      <c r="I1425" t="n">
        <v>0</v>
      </c>
      <c r="J1425" t="n">
        <v>0</v>
      </c>
      <c r="K1425" t="n">
        <v>0</v>
      </c>
      <c r="L1425" t="n">
        <v>0</v>
      </c>
      <c r="M1425" t="n">
        <v>0</v>
      </c>
      <c r="N1425" t="n">
        <v>0</v>
      </c>
      <c r="O1425" t="n">
        <v>0</v>
      </c>
      <c r="P1425" t="n">
        <v>0</v>
      </c>
      <c r="Q1425" t="n">
        <v>0</v>
      </c>
      <c r="R1425" s="2" t="inlineStr"/>
    </row>
    <row r="1426" ht="15" customHeight="1">
      <c r="A1426" t="inlineStr">
        <is>
          <t>A 68019-2018</t>
        </is>
      </c>
      <c r="B1426" s="1" t="n">
        <v>43441</v>
      </c>
      <c r="C1426" s="1" t="n">
        <v>45357</v>
      </c>
      <c r="D1426" t="inlineStr">
        <is>
          <t>VÄSTERBOTTENS LÄN</t>
        </is>
      </c>
      <c r="E1426" t="inlineStr">
        <is>
          <t>SKELLEFTEÅ</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68103-2018</t>
        </is>
      </c>
      <c r="B1427" s="1" t="n">
        <v>43441</v>
      </c>
      <c r="C1427" s="1" t="n">
        <v>45357</v>
      </c>
      <c r="D1427" t="inlineStr">
        <is>
          <t>VÄSTERBOTTENS LÄN</t>
        </is>
      </c>
      <c r="E1427" t="inlineStr">
        <is>
          <t>SKELLEFTEÅ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68352-2018</t>
        </is>
      </c>
      <c r="B1428" s="1" t="n">
        <v>43441</v>
      </c>
      <c r="C1428" s="1" t="n">
        <v>45357</v>
      </c>
      <c r="D1428" t="inlineStr">
        <is>
          <t>VÄSTERBOTTENS LÄN</t>
        </is>
      </c>
      <c r="E1428" t="inlineStr">
        <is>
          <t>BJURHOLM</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69305-2018</t>
        </is>
      </c>
      <c r="B1429" s="1" t="n">
        <v>43441</v>
      </c>
      <c r="C1429" s="1" t="n">
        <v>45357</v>
      </c>
      <c r="D1429" t="inlineStr">
        <is>
          <t>VÄSTERBOTTENS LÄN</t>
        </is>
      </c>
      <c r="E1429" t="inlineStr">
        <is>
          <t>MALÅ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68114-2018</t>
        </is>
      </c>
      <c r="B1430" s="1" t="n">
        <v>43441</v>
      </c>
      <c r="C1430" s="1" t="n">
        <v>45357</v>
      </c>
      <c r="D1430" t="inlineStr">
        <is>
          <t>VÄSTERBOTTENS LÄN</t>
        </is>
      </c>
      <c r="E1430" t="inlineStr">
        <is>
          <t>SKELLEFTEÅ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68085-2018</t>
        </is>
      </c>
      <c r="B1431" s="1" t="n">
        <v>43441</v>
      </c>
      <c r="C1431" s="1" t="n">
        <v>45357</v>
      </c>
      <c r="D1431" t="inlineStr">
        <is>
          <t>VÄSTERBOTTENS LÄN</t>
        </is>
      </c>
      <c r="E1431" t="inlineStr">
        <is>
          <t>LYCKSELE</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68965-2018</t>
        </is>
      </c>
      <c r="B1432" s="1" t="n">
        <v>43441</v>
      </c>
      <c r="C1432" s="1" t="n">
        <v>45357</v>
      </c>
      <c r="D1432" t="inlineStr">
        <is>
          <t>VÄSTERBOTTENS LÄN</t>
        </is>
      </c>
      <c r="E1432" t="inlineStr">
        <is>
          <t>LYCKSELE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68283-2018</t>
        </is>
      </c>
      <c r="B1433" s="1" t="n">
        <v>43441</v>
      </c>
      <c r="C1433" s="1" t="n">
        <v>45357</v>
      </c>
      <c r="D1433" t="inlineStr">
        <is>
          <t>VÄSTERBOTTENS LÄN</t>
        </is>
      </c>
      <c r="E1433" t="inlineStr">
        <is>
          <t>MALÅ</t>
        </is>
      </c>
      <c r="F1433" t="inlineStr">
        <is>
          <t>Sveaskog</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68761-2018</t>
        </is>
      </c>
      <c r="B1434" s="1" t="n">
        <v>43444</v>
      </c>
      <c r="C1434" s="1" t="n">
        <v>45357</v>
      </c>
      <c r="D1434" t="inlineStr">
        <is>
          <t>VÄSTERBOTTENS LÄN</t>
        </is>
      </c>
      <c r="E1434" t="inlineStr">
        <is>
          <t>SKELLEFTEÅ</t>
        </is>
      </c>
      <c r="F1434" t="inlineStr">
        <is>
          <t>Sveaskog</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69848-2018</t>
        </is>
      </c>
      <c r="B1435" s="1" t="n">
        <v>43444</v>
      </c>
      <c r="C1435" s="1" t="n">
        <v>45357</v>
      </c>
      <c r="D1435" t="inlineStr">
        <is>
          <t>VÄSTERBOTTENS LÄN</t>
        </is>
      </c>
      <c r="E1435" t="inlineStr">
        <is>
          <t>LYCKSELE</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69838-2018</t>
        </is>
      </c>
      <c r="B1436" s="1" t="n">
        <v>43444</v>
      </c>
      <c r="C1436" s="1" t="n">
        <v>45357</v>
      </c>
      <c r="D1436" t="inlineStr">
        <is>
          <t>VÄSTERBOTTENS LÄN</t>
        </is>
      </c>
      <c r="E1436" t="inlineStr">
        <is>
          <t>VILHELMINA</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69747-2018</t>
        </is>
      </c>
      <c r="B1437" s="1" t="n">
        <v>43444</v>
      </c>
      <c r="C1437" s="1" t="n">
        <v>45357</v>
      </c>
      <c r="D1437" t="inlineStr">
        <is>
          <t>VÄSTERBOTTENS LÄN</t>
        </is>
      </c>
      <c r="E1437" t="inlineStr">
        <is>
          <t>UMEÅ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69902-2018</t>
        </is>
      </c>
      <c r="B1438" s="1" t="n">
        <v>43444</v>
      </c>
      <c r="C1438" s="1" t="n">
        <v>45357</v>
      </c>
      <c r="D1438" t="inlineStr">
        <is>
          <t>VÄSTERBOTTENS LÄN</t>
        </is>
      </c>
      <c r="E1438" t="inlineStr">
        <is>
          <t>LYCKSELE</t>
        </is>
      </c>
      <c r="G1438" t="n">
        <v>21.1</v>
      </c>
      <c r="H1438" t="n">
        <v>0</v>
      </c>
      <c r="I1438" t="n">
        <v>0</v>
      </c>
      <c r="J1438" t="n">
        <v>0</v>
      </c>
      <c r="K1438" t="n">
        <v>0</v>
      </c>
      <c r="L1438" t="n">
        <v>0</v>
      </c>
      <c r="M1438" t="n">
        <v>0</v>
      </c>
      <c r="N1438" t="n">
        <v>0</v>
      </c>
      <c r="O1438" t="n">
        <v>0</v>
      </c>
      <c r="P1438" t="n">
        <v>0</v>
      </c>
      <c r="Q1438" t="n">
        <v>0</v>
      </c>
      <c r="R1438" s="2" t="inlineStr"/>
    </row>
    <row r="1439" ht="15" customHeight="1">
      <c r="A1439" t="inlineStr">
        <is>
          <t>A 68932-2018</t>
        </is>
      </c>
      <c r="B1439" s="1" t="n">
        <v>43445</v>
      </c>
      <c r="C1439" s="1" t="n">
        <v>45357</v>
      </c>
      <c r="D1439" t="inlineStr">
        <is>
          <t>VÄSTERBOTTENS LÄN</t>
        </is>
      </c>
      <c r="E1439" t="inlineStr">
        <is>
          <t>BJURHOLM</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68924-2018</t>
        </is>
      </c>
      <c r="B1440" s="1" t="n">
        <v>43445</v>
      </c>
      <c r="C1440" s="1" t="n">
        <v>45357</v>
      </c>
      <c r="D1440" t="inlineStr">
        <is>
          <t>VÄSTERBOTTENS LÄN</t>
        </is>
      </c>
      <c r="E1440" t="inlineStr">
        <is>
          <t>SKELLEFTEÅ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70289-2018</t>
        </is>
      </c>
      <c r="B1441" s="1" t="n">
        <v>43445</v>
      </c>
      <c r="C1441" s="1" t="n">
        <v>45357</v>
      </c>
      <c r="D1441" t="inlineStr">
        <is>
          <t>VÄSTERBOTTENS LÄN</t>
        </is>
      </c>
      <c r="E1441" t="inlineStr">
        <is>
          <t>SKELLEFTEÅ</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70318-2018</t>
        </is>
      </c>
      <c r="B1442" s="1" t="n">
        <v>43445</v>
      </c>
      <c r="C1442" s="1" t="n">
        <v>45357</v>
      </c>
      <c r="D1442" t="inlineStr">
        <is>
          <t>VÄSTERBOTTENS LÄN</t>
        </is>
      </c>
      <c r="E1442" t="inlineStr">
        <is>
          <t>VÄNNÄS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70305-2018</t>
        </is>
      </c>
      <c r="B1443" s="1" t="n">
        <v>43445</v>
      </c>
      <c r="C1443" s="1" t="n">
        <v>45357</v>
      </c>
      <c r="D1443" t="inlineStr">
        <is>
          <t>VÄSTERBOTTENS LÄN</t>
        </is>
      </c>
      <c r="E1443" t="inlineStr">
        <is>
          <t>ÅSELE</t>
        </is>
      </c>
      <c r="F1443" t="inlineStr">
        <is>
          <t>Kommuner</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69033-2018</t>
        </is>
      </c>
      <c r="B1444" s="1" t="n">
        <v>43445</v>
      </c>
      <c r="C1444" s="1" t="n">
        <v>45357</v>
      </c>
      <c r="D1444" t="inlineStr">
        <is>
          <t>VÄSTERBOTTENS LÄN</t>
        </is>
      </c>
      <c r="E1444" t="inlineStr">
        <is>
          <t>NORDMALING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69035-2018</t>
        </is>
      </c>
      <c r="B1445" s="1" t="n">
        <v>43445</v>
      </c>
      <c r="C1445" s="1" t="n">
        <v>45357</v>
      </c>
      <c r="D1445" t="inlineStr">
        <is>
          <t>VÄSTERBOTTENS LÄN</t>
        </is>
      </c>
      <c r="E1445" t="inlineStr">
        <is>
          <t>NORDMALING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69105-2018</t>
        </is>
      </c>
      <c r="B1446" s="1" t="n">
        <v>43445</v>
      </c>
      <c r="C1446" s="1" t="n">
        <v>45357</v>
      </c>
      <c r="D1446" t="inlineStr">
        <is>
          <t>VÄSTERBOTTENS LÄN</t>
        </is>
      </c>
      <c r="E1446" t="inlineStr">
        <is>
          <t>MALÅ</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69342-2018</t>
        </is>
      </c>
      <c r="B1447" s="1" t="n">
        <v>43446</v>
      </c>
      <c r="C1447" s="1" t="n">
        <v>45357</v>
      </c>
      <c r="D1447" t="inlineStr">
        <is>
          <t>VÄSTERBOTTENS LÄN</t>
        </is>
      </c>
      <c r="E1447" t="inlineStr">
        <is>
          <t>VÄNNÄS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69333-2018</t>
        </is>
      </c>
      <c r="B1448" s="1" t="n">
        <v>43446</v>
      </c>
      <c r="C1448" s="1" t="n">
        <v>45357</v>
      </c>
      <c r="D1448" t="inlineStr">
        <is>
          <t>VÄSTERBOTTENS LÄN</t>
        </is>
      </c>
      <c r="E1448" t="inlineStr">
        <is>
          <t>VÄNNÄS</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69548-2018</t>
        </is>
      </c>
      <c r="B1449" s="1" t="n">
        <v>43446</v>
      </c>
      <c r="C1449" s="1" t="n">
        <v>45357</v>
      </c>
      <c r="D1449" t="inlineStr">
        <is>
          <t>VÄSTERBOTTENS LÄN</t>
        </is>
      </c>
      <c r="E1449" t="inlineStr">
        <is>
          <t>VINDELN</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69413-2018</t>
        </is>
      </c>
      <c r="B1450" s="1" t="n">
        <v>43446</v>
      </c>
      <c r="C1450" s="1" t="n">
        <v>45357</v>
      </c>
      <c r="D1450" t="inlineStr">
        <is>
          <t>VÄSTERBOTTENS LÄN</t>
        </is>
      </c>
      <c r="E1450" t="inlineStr">
        <is>
          <t>SKELLEFTEÅ</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69543-2018</t>
        </is>
      </c>
      <c r="B1451" s="1" t="n">
        <v>43446</v>
      </c>
      <c r="C1451" s="1" t="n">
        <v>45357</v>
      </c>
      <c r="D1451" t="inlineStr">
        <is>
          <t>VÄSTERBOTTENS LÄN</t>
        </is>
      </c>
      <c r="E1451" t="inlineStr">
        <is>
          <t>VINDELN</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70364-2018</t>
        </is>
      </c>
      <c r="B1452" s="1" t="n">
        <v>43446</v>
      </c>
      <c r="C1452" s="1" t="n">
        <v>45357</v>
      </c>
      <c r="D1452" t="inlineStr">
        <is>
          <t>VÄSTERBOTTENS LÄN</t>
        </is>
      </c>
      <c r="E1452" t="inlineStr">
        <is>
          <t>VÄNNÄS</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69852-2018</t>
        </is>
      </c>
      <c r="B1453" s="1" t="n">
        <v>43447</v>
      </c>
      <c r="C1453" s="1" t="n">
        <v>45357</v>
      </c>
      <c r="D1453" t="inlineStr">
        <is>
          <t>VÄSTERBOTTENS LÄN</t>
        </is>
      </c>
      <c r="E1453" t="inlineStr">
        <is>
          <t>VÄNNÄS</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69770-2018</t>
        </is>
      </c>
      <c r="B1454" s="1" t="n">
        <v>43447</v>
      </c>
      <c r="C1454" s="1" t="n">
        <v>45357</v>
      </c>
      <c r="D1454" t="inlineStr">
        <is>
          <t>VÄSTERBOTTENS LÄN</t>
        </is>
      </c>
      <c r="E1454" t="inlineStr">
        <is>
          <t>MALÅ</t>
        </is>
      </c>
      <c r="F1454" t="inlineStr">
        <is>
          <t>Sveaskog</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70553-2018</t>
        </is>
      </c>
      <c r="B1455" s="1" t="n">
        <v>43447</v>
      </c>
      <c r="C1455" s="1" t="n">
        <v>45357</v>
      </c>
      <c r="D1455" t="inlineStr">
        <is>
          <t>VÄSTERBOTTENS LÄN</t>
        </is>
      </c>
      <c r="E1455" t="inlineStr">
        <is>
          <t>NORSJÖ</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69881-2018</t>
        </is>
      </c>
      <c r="B1456" s="1" t="n">
        <v>43447</v>
      </c>
      <c r="C1456" s="1" t="n">
        <v>45357</v>
      </c>
      <c r="D1456" t="inlineStr">
        <is>
          <t>VÄSTERBOTTENS LÄN</t>
        </is>
      </c>
      <c r="E1456" t="inlineStr">
        <is>
          <t>SKELLEFTEÅ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70565-2018</t>
        </is>
      </c>
      <c r="B1457" s="1" t="n">
        <v>43447</v>
      </c>
      <c r="C1457" s="1" t="n">
        <v>45357</v>
      </c>
      <c r="D1457" t="inlineStr">
        <is>
          <t>VÄSTERBOTTENS LÄN</t>
        </is>
      </c>
      <c r="E1457" t="inlineStr">
        <is>
          <t>LYCKSELE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70491-2018</t>
        </is>
      </c>
      <c r="B1458" s="1" t="n">
        <v>43447</v>
      </c>
      <c r="C1458" s="1" t="n">
        <v>45357</v>
      </c>
      <c r="D1458" t="inlineStr">
        <is>
          <t>VÄSTERBOTTENS LÄN</t>
        </is>
      </c>
      <c r="E1458" t="inlineStr">
        <is>
          <t>LYCKSELE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70695-2018</t>
        </is>
      </c>
      <c r="B1459" s="1" t="n">
        <v>43447</v>
      </c>
      <c r="C1459" s="1" t="n">
        <v>45357</v>
      </c>
      <c r="D1459" t="inlineStr">
        <is>
          <t>VÄSTERBOTTENS LÄN</t>
        </is>
      </c>
      <c r="E1459" t="inlineStr">
        <is>
          <t>LYCKSELE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70484-2018</t>
        </is>
      </c>
      <c r="B1460" s="1" t="n">
        <v>43447</v>
      </c>
      <c r="C1460" s="1" t="n">
        <v>45357</v>
      </c>
      <c r="D1460" t="inlineStr">
        <is>
          <t>VÄSTERBOTTENS LÄN</t>
        </is>
      </c>
      <c r="E1460" t="inlineStr">
        <is>
          <t>LYCKSELE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69662-2018</t>
        </is>
      </c>
      <c r="B1461" s="1" t="n">
        <v>43447</v>
      </c>
      <c r="C1461" s="1" t="n">
        <v>45357</v>
      </c>
      <c r="D1461" t="inlineStr">
        <is>
          <t>VÄSTERBOTTENS LÄN</t>
        </is>
      </c>
      <c r="E1461" t="inlineStr">
        <is>
          <t>VÄNNÄS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70608-2018</t>
        </is>
      </c>
      <c r="B1462" s="1" t="n">
        <v>43447</v>
      </c>
      <c r="C1462" s="1" t="n">
        <v>45357</v>
      </c>
      <c r="D1462" t="inlineStr">
        <is>
          <t>VÄSTERBOTTENS LÄN</t>
        </is>
      </c>
      <c r="E1462" t="inlineStr">
        <is>
          <t>SKELLEFTEÅ</t>
        </is>
      </c>
      <c r="G1462" t="n">
        <v>11.9</v>
      </c>
      <c r="H1462" t="n">
        <v>0</v>
      </c>
      <c r="I1462" t="n">
        <v>0</v>
      </c>
      <c r="J1462" t="n">
        <v>0</v>
      </c>
      <c r="K1462" t="n">
        <v>0</v>
      </c>
      <c r="L1462" t="n">
        <v>0</v>
      </c>
      <c r="M1462" t="n">
        <v>0</v>
      </c>
      <c r="N1462" t="n">
        <v>0</v>
      </c>
      <c r="O1462" t="n">
        <v>0</v>
      </c>
      <c r="P1462" t="n">
        <v>0</v>
      </c>
      <c r="Q1462" t="n">
        <v>0</v>
      </c>
      <c r="R1462" s="2" t="inlineStr"/>
    </row>
    <row r="1463" ht="15" customHeight="1">
      <c r="A1463" t="inlineStr">
        <is>
          <t>A 70109-2018</t>
        </is>
      </c>
      <c r="B1463" s="1" t="n">
        <v>43448</v>
      </c>
      <c r="C1463" s="1" t="n">
        <v>45357</v>
      </c>
      <c r="D1463" t="inlineStr">
        <is>
          <t>VÄSTERBOTTENS LÄN</t>
        </is>
      </c>
      <c r="E1463" t="inlineStr">
        <is>
          <t>SKELLEFTEÅ</t>
        </is>
      </c>
      <c r="F1463" t="inlineStr">
        <is>
          <t>Kommuner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70049-2018</t>
        </is>
      </c>
      <c r="B1464" s="1" t="n">
        <v>43448</v>
      </c>
      <c r="C1464" s="1" t="n">
        <v>45357</v>
      </c>
      <c r="D1464" t="inlineStr">
        <is>
          <t>VÄSTERBOTTENS LÄN</t>
        </is>
      </c>
      <c r="E1464" t="inlineStr">
        <is>
          <t>UMEÅ</t>
        </is>
      </c>
      <c r="F1464" t="inlineStr">
        <is>
          <t>Holmen skog AB</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70023-2018</t>
        </is>
      </c>
      <c r="B1465" s="1" t="n">
        <v>43448</v>
      </c>
      <c r="C1465" s="1" t="n">
        <v>45357</v>
      </c>
      <c r="D1465" t="inlineStr">
        <is>
          <t>VÄSTERBOTTENS LÄN</t>
        </is>
      </c>
      <c r="E1465" t="inlineStr">
        <is>
          <t>NORDMALING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70977-2018</t>
        </is>
      </c>
      <c r="B1466" s="1" t="n">
        <v>43448</v>
      </c>
      <c r="C1466" s="1" t="n">
        <v>45357</v>
      </c>
      <c r="D1466" t="inlineStr">
        <is>
          <t>VÄSTERBOTTENS LÄN</t>
        </is>
      </c>
      <c r="E1466" t="inlineStr">
        <is>
          <t>SKELLEFTEÅ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70111-2018</t>
        </is>
      </c>
      <c r="B1467" s="1" t="n">
        <v>43448</v>
      </c>
      <c r="C1467" s="1" t="n">
        <v>45357</v>
      </c>
      <c r="D1467" t="inlineStr">
        <is>
          <t>VÄSTERBOTTENS LÄN</t>
        </is>
      </c>
      <c r="E1467" t="inlineStr">
        <is>
          <t>SKELLEFTEÅ</t>
        </is>
      </c>
      <c r="F1467" t="inlineStr">
        <is>
          <t>Kommuner</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70105-2018</t>
        </is>
      </c>
      <c r="B1468" s="1" t="n">
        <v>43448</v>
      </c>
      <c r="C1468" s="1" t="n">
        <v>45357</v>
      </c>
      <c r="D1468" t="inlineStr">
        <is>
          <t>VÄSTERBOTTENS LÄN</t>
        </is>
      </c>
      <c r="E1468" t="inlineStr">
        <is>
          <t>VILHELMINA</t>
        </is>
      </c>
      <c r="F1468" t="inlineStr">
        <is>
          <t>Sveaskog</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70981-2018</t>
        </is>
      </c>
      <c r="B1469" s="1" t="n">
        <v>43448</v>
      </c>
      <c r="C1469" s="1" t="n">
        <v>45357</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70712-2018</t>
        </is>
      </c>
      <c r="B1470" s="1" t="n">
        <v>43451</v>
      </c>
      <c r="C1470" s="1" t="n">
        <v>45357</v>
      </c>
      <c r="D1470" t="inlineStr">
        <is>
          <t>VÄSTERBOTTENS LÄN</t>
        </is>
      </c>
      <c r="E1470" t="inlineStr">
        <is>
          <t>VINDELN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70716-2018</t>
        </is>
      </c>
      <c r="B1471" s="1" t="n">
        <v>43451</v>
      </c>
      <c r="C1471" s="1" t="n">
        <v>45357</v>
      </c>
      <c r="D1471" t="inlineStr">
        <is>
          <t>VÄSTERBOTTENS LÄN</t>
        </is>
      </c>
      <c r="E1471" t="inlineStr">
        <is>
          <t>NORDMALING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70706-2018</t>
        </is>
      </c>
      <c r="B1472" s="1" t="n">
        <v>43451</v>
      </c>
      <c r="C1472" s="1" t="n">
        <v>45357</v>
      </c>
      <c r="D1472" t="inlineStr">
        <is>
          <t>VÄSTERBOTTENS LÄN</t>
        </is>
      </c>
      <c r="E1472" t="inlineStr">
        <is>
          <t>SORSELE</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71444-2018</t>
        </is>
      </c>
      <c r="B1473" s="1" t="n">
        <v>43451</v>
      </c>
      <c r="C1473" s="1" t="n">
        <v>45357</v>
      </c>
      <c r="D1473" t="inlineStr">
        <is>
          <t>VÄSTERBOTTENS LÄN</t>
        </is>
      </c>
      <c r="E1473" t="inlineStr">
        <is>
          <t>UMEÅ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70790-2018</t>
        </is>
      </c>
      <c r="B1474" s="1" t="n">
        <v>43451</v>
      </c>
      <c r="C1474" s="1" t="n">
        <v>45357</v>
      </c>
      <c r="D1474" t="inlineStr">
        <is>
          <t>VÄSTERBOTTENS LÄN</t>
        </is>
      </c>
      <c r="E1474" t="inlineStr">
        <is>
          <t>SKELLEFTEÅ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71048-2018</t>
        </is>
      </c>
      <c r="B1475" s="1" t="n">
        <v>43451</v>
      </c>
      <c r="C1475" s="1" t="n">
        <v>45357</v>
      </c>
      <c r="D1475" t="inlineStr">
        <is>
          <t>VÄSTERBOTTENS LÄN</t>
        </is>
      </c>
      <c r="E1475" t="inlineStr">
        <is>
          <t>MALÅ</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71448-2018</t>
        </is>
      </c>
      <c r="B1476" s="1" t="n">
        <v>43451</v>
      </c>
      <c r="C1476" s="1" t="n">
        <v>45357</v>
      </c>
      <c r="D1476" t="inlineStr">
        <is>
          <t>VÄSTERBOTTENS LÄN</t>
        </is>
      </c>
      <c r="E1476" t="inlineStr">
        <is>
          <t>UMEÅ</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70733-2018</t>
        </is>
      </c>
      <c r="B1477" s="1" t="n">
        <v>43451</v>
      </c>
      <c r="C1477" s="1" t="n">
        <v>45357</v>
      </c>
      <c r="D1477" t="inlineStr">
        <is>
          <t>VÄSTERBOTTENS LÄN</t>
        </is>
      </c>
      <c r="E1477" t="inlineStr">
        <is>
          <t>UMEÅ</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70689-2018</t>
        </is>
      </c>
      <c r="B1478" s="1" t="n">
        <v>43451</v>
      </c>
      <c r="C1478" s="1" t="n">
        <v>45357</v>
      </c>
      <c r="D1478" t="inlineStr">
        <is>
          <t>VÄSTERBOTTENS LÄN</t>
        </is>
      </c>
      <c r="E1478" t="inlineStr">
        <is>
          <t>NORDMALING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70669-2018</t>
        </is>
      </c>
      <c r="B1479" s="1" t="n">
        <v>43451</v>
      </c>
      <c r="C1479" s="1" t="n">
        <v>45357</v>
      </c>
      <c r="D1479" t="inlineStr">
        <is>
          <t>VÄSTERBOTTENS LÄN</t>
        </is>
      </c>
      <c r="E1479" t="inlineStr">
        <is>
          <t>SKELLEFTEÅ</t>
        </is>
      </c>
      <c r="G1479" t="n">
        <v>16.2</v>
      </c>
      <c r="H1479" t="n">
        <v>0</v>
      </c>
      <c r="I1479" t="n">
        <v>0</v>
      </c>
      <c r="J1479" t="n">
        <v>0</v>
      </c>
      <c r="K1479" t="n">
        <v>0</v>
      </c>
      <c r="L1479" t="n">
        <v>0</v>
      </c>
      <c r="M1479" t="n">
        <v>0</v>
      </c>
      <c r="N1479" t="n">
        <v>0</v>
      </c>
      <c r="O1479" t="n">
        <v>0</v>
      </c>
      <c r="P1479" t="n">
        <v>0</v>
      </c>
      <c r="Q1479" t="n">
        <v>0</v>
      </c>
      <c r="R1479" s="2" t="inlineStr"/>
    </row>
    <row r="1480" ht="15" customHeight="1">
      <c r="A1480" t="inlineStr">
        <is>
          <t>A 71446-2018</t>
        </is>
      </c>
      <c r="B1480" s="1" t="n">
        <v>43451</v>
      </c>
      <c r="C1480" s="1" t="n">
        <v>45357</v>
      </c>
      <c r="D1480" t="inlineStr">
        <is>
          <t>VÄSTERBOTTENS LÄN</t>
        </is>
      </c>
      <c r="E1480" t="inlineStr">
        <is>
          <t>VILHELMINA</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70930-2018</t>
        </is>
      </c>
      <c r="B1481" s="1" t="n">
        <v>43452</v>
      </c>
      <c r="C1481" s="1" t="n">
        <v>45357</v>
      </c>
      <c r="D1481" t="inlineStr">
        <is>
          <t>VÄSTERBOTTENS LÄN</t>
        </is>
      </c>
      <c r="E1481" t="inlineStr">
        <is>
          <t>SKELLEFTEÅ</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71094-2018</t>
        </is>
      </c>
      <c r="B1482" s="1" t="n">
        <v>43452</v>
      </c>
      <c r="C1482" s="1" t="n">
        <v>45357</v>
      </c>
      <c r="D1482" t="inlineStr">
        <is>
          <t>VÄSTERBOTTENS LÄN</t>
        </is>
      </c>
      <c r="E1482" t="inlineStr">
        <is>
          <t>BJURHOLM</t>
        </is>
      </c>
      <c r="F1482" t="inlineStr">
        <is>
          <t>Sveaskog</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71077-2018</t>
        </is>
      </c>
      <c r="B1483" s="1" t="n">
        <v>43452</v>
      </c>
      <c r="C1483" s="1" t="n">
        <v>45357</v>
      </c>
      <c r="D1483" t="inlineStr">
        <is>
          <t>VÄSTERBOTTENS LÄN</t>
        </is>
      </c>
      <c r="E1483" t="inlineStr">
        <is>
          <t>SKELLEFTEÅ</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71571-2018</t>
        </is>
      </c>
      <c r="B1484" s="1" t="n">
        <v>43452</v>
      </c>
      <c r="C1484" s="1" t="n">
        <v>45357</v>
      </c>
      <c r="D1484" t="inlineStr">
        <is>
          <t>VÄSTERBOTTENS LÄN</t>
        </is>
      </c>
      <c r="E1484" t="inlineStr">
        <is>
          <t>SKELLEFTEÅ</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71681-2018</t>
        </is>
      </c>
      <c r="B1485" s="1" t="n">
        <v>43452</v>
      </c>
      <c r="C1485" s="1" t="n">
        <v>45357</v>
      </c>
      <c r="D1485" t="inlineStr">
        <is>
          <t>VÄSTERBOTTENS LÄN</t>
        </is>
      </c>
      <c r="E1485" t="inlineStr">
        <is>
          <t>VÄNNÄS</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71568-2018</t>
        </is>
      </c>
      <c r="B1486" s="1" t="n">
        <v>43452</v>
      </c>
      <c r="C1486" s="1" t="n">
        <v>45357</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71678-2018</t>
        </is>
      </c>
      <c r="B1487" s="1" t="n">
        <v>43452</v>
      </c>
      <c r="C1487" s="1" t="n">
        <v>45357</v>
      </c>
      <c r="D1487" t="inlineStr">
        <is>
          <t>VÄSTERBOTTENS LÄN</t>
        </is>
      </c>
      <c r="E1487" t="inlineStr">
        <is>
          <t>UMEÅ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71473-2018</t>
        </is>
      </c>
      <c r="B1488" s="1" t="n">
        <v>43453</v>
      </c>
      <c r="C1488" s="1" t="n">
        <v>45357</v>
      </c>
      <c r="D1488" t="inlineStr">
        <is>
          <t>VÄSTERBOTTENS LÄN</t>
        </is>
      </c>
      <c r="E1488" t="inlineStr">
        <is>
          <t>VILHELMINA</t>
        </is>
      </c>
      <c r="G1488" t="n">
        <v>39.3</v>
      </c>
      <c r="H1488" t="n">
        <v>0</v>
      </c>
      <c r="I1488" t="n">
        <v>0</v>
      </c>
      <c r="J1488" t="n">
        <v>0</v>
      </c>
      <c r="K1488" t="n">
        <v>0</v>
      </c>
      <c r="L1488" t="n">
        <v>0</v>
      </c>
      <c r="M1488" t="n">
        <v>0</v>
      </c>
      <c r="N1488" t="n">
        <v>0</v>
      </c>
      <c r="O1488" t="n">
        <v>0</v>
      </c>
      <c r="P1488" t="n">
        <v>0</v>
      </c>
      <c r="Q1488" t="n">
        <v>0</v>
      </c>
      <c r="R1488" s="2" t="inlineStr"/>
    </row>
    <row r="1489" ht="15" customHeight="1">
      <c r="A1489" t="inlineStr">
        <is>
          <t>A 71246-2018</t>
        </is>
      </c>
      <c r="B1489" s="1" t="n">
        <v>43453</v>
      </c>
      <c r="C1489" s="1" t="n">
        <v>45357</v>
      </c>
      <c r="D1489" t="inlineStr">
        <is>
          <t>VÄSTERBOTTENS LÄN</t>
        </is>
      </c>
      <c r="E1489" t="inlineStr">
        <is>
          <t>VÄNNÄS</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71242-2018</t>
        </is>
      </c>
      <c r="B1490" s="1" t="n">
        <v>43453</v>
      </c>
      <c r="C1490" s="1" t="n">
        <v>45357</v>
      </c>
      <c r="D1490" t="inlineStr">
        <is>
          <t>VÄSTERBOTTENS LÄN</t>
        </is>
      </c>
      <c r="E1490" t="inlineStr">
        <is>
          <t>NORDMALING</t>
        </is>
      </c>
      <c r="G1490" t="n">
        <v>7.1</v>
      </c>
      <c r="H1490" t="n">
        <v>0</v>
      </c>
      <c r="I1490" t="n">
        <v>0</v>
      </c>
      <c r="J1490" t="n">
        <v>0</v>
      </c>
      <c r="K1490" t="n">
        <v>0</v>
      </c>
      <c r="L1490" t="n">
        <v>0</v>
      </c>
      <c r="M1490" t="n">
        <v>0</v>
      </c>
      <c r="N1490" t="n">
        <v>0</v>
      </c>
      <c r="O1490" t="n">
        <v>0</v>
      </c>
      <c r="P1490" t="n">
        <v>0</v>
      </c>
      <c r="Q1490" t="n">
        <v>0</v>
      </c>
      <c r="R1490" s="2" t="inlineStr"/>
    </row>
    <row r="1491" ht="15" customHeight="1">
      <c r="A1491" t="inlineStr">
        <is>
          <t>A 71469-2018</t>
        </is>
      </c>
      <c r="B1491" s="1" t="n">
        <v>43453</v>
      </c>
      <c r="C1491" s="1" t="n">
        <v>45357</v>
      </c>
      <c r="D1491" t="inlineStr">
        <is>
          <t>VÄSTERBOTTENS LÄN</t>
        </is>
      </c>
      <c r="E1491" t="inlineStr">
        <is>
          <t>ROBERTSFORS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72055-2018</t>
        </is>
      </c>
      <c r="B1492" s="1" t="n">
        <v>43453</v>
      </c>
      <c r="C1492" s="1" t="n">
        <v>45357</v>
      </c>
      <c r="D1492" t="inlineStr">
        <is>
          <t>VÄSTERBOTTENS LÄN</t>
        </is>
      </c>
      <c r="E1492" t="inlineStr">
        <is>
          <t>VINDELN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71324-2018</t>
        </is>
      </c>
      <c r="B1493" s="1" t="n">
        <v>43453</v>
      </c>
      <c r="C1493" s="1" t="n">
        <v>45357</v>
      </c>
      <c r="D1493" t="inlineStr">
        <is>
          <t>VÄSTERBOTTENS LÄN</t>
        </is>
      </c>
      <c r="E1493" t="inlineStr">
        <is>
          <t>SKELLEFTEÅ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71548-2018</t>
        </is>
      </c>
      <c r="B1494" s="1" t="n">
        <v>43454</v>
      </c>
      <c r="C1494" s="1" t="n">
        <v>45357</v>
      </c>
      <c r="D1494" t="inlineStr">
        <is>
          <t>VÄSTERBOTTENS LÄN</t>
        </is>
      </c>
      <c r="E1494" t="inlineStr">
        <is>
          <t>SKELLEFTEÅ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72252-2018</t>
        </is>
      </c>
      <c r="B1495" s="1" t="n">
        <v>43454</v>
      </c>
      <c r="C1495" s="1" t="n">
        <v>45357</v>
      </c>
      <c r="D1495" t="inlineStr">
        <is>
          <t>VÄSTERBOTTENS LÄN</t>
        </is>
      </c>
      <c r="E1495" t="inlineStr">
        <is>
          <t>SKELLEFTEÅ</t>
        </is>
      </c>
      <c r="G1495" t="n">
        <v>20.7</v>
      </c>
      <c r="H1495" t="n">
        <v>0</v>
      </c>
      <c r="I1495" t="n">
        <v>0</v>
      </c>
      <c r="J1495" t="n">
        <v>0</v>
      </c>
      <c r="K1495" t="n">
        <v>0</v>
      </c>
      <c r="L1495" t="n">
        <v>0</v>
      </c>
      <c r="M1495" t="n">
        <v>0</v>
      </c>
      <c r="N1495" t="n">
        <v>0</v>
      </c>
      <c r="O1495" t="n">
        <v>0</v>
      </c>
      <c r="P1495" t="n">
        <v>0</v>
      </c>
      <c r="Q1495" t="n">
        <v>0</v>
      </c>
      <c r="R1495" s="2" t="inlineStr"/>
    </row>
    <row r="1496" ht="15" customHeight="1">
      <c r="A1496" t="inlineStr">
        <is>
          <t>A 306-2019</t>
        </is>
      </c>
      <c r="B1496" s="1" t="n">
        <v>43454</v>
      </c>
      <c r="C1496" s="1" t="n">
        <v>45357</v>
      </c>
      <c r="D1496" t="inlineStr">
        <is>
          <t>VÄSTERBOTTENS LÄN</t>
        </is>
      </c>
      <c r="E1496" t="inlineStr">
        <is>
          <t>MALÅ</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147-2019</t>
        </is>
      </c>
      <c r="B1497" s="1" t="n">
        <v>43454</v>
      </c>
      <c r="C1497" s="1" t="n">
        <v>45357</v>
      </c>
      <c r="D1497" t="inlineStr">
        <is>
          <t>VÄSTERBOTTENS LÄN</t>
        </is>
      </c>
      <c r="E1497" t="inlineStr">
        <is>
          <t>VINDELN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72519-2018</t>
        </is>
      </c>
      <c r="B1498" s="1" t="n">
        <v>43454</v>
      </c>
      <c r="C1498" s="1" t="n">
        <v>45357</v>
      </c>
      <c r="D1498" t="inlineStr">
        <is>
          <t>VÄSTERBOTTENS LÄN</t>
        </is>
      </c>
      <c r="E1498" t="inlineStr">
        <is>
          <t>VINDELN</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71811-2018</t>
        </is>
      </c>
      <c r="B1499" s="1" t="n">
        <v>43454</v>
      </c>
      <c r="C1499" s="1" t="n">
        <v>45357</v>
      </c>
      <c r="D1499" t="inlineStr">
        <is>
          <t>VÄSTERBOTTENS LÄN</t>
        </is>
      </c>
      <c r="E1499" t="inlineStr">
        <is>
          <t>UMEÅ</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360-2019</t>
        </is>
      </c>
      <c r="B1500" s="1" t="n">
        <v>43454</v>
      </c>
      <c r="C1500" s="1" t="n">
        <v>45357</v>
      </c>
      <c r="D1500" t="inlineStr">
        <is>
          <t>VÄSTERBOTTENS LÄN</t>
        </is>
      </c>
      <c r="E1500" t="inlineStr">
        <is>
          <t>LYCKSELE</t>
        </is>
      </c>
      <c r="G1500" t="n">
        <v>10.9</v>
      </c>
      <c r="H1500" t="n">
        <v>0</v>
      </c>
      <c r="I1500" t="n">
        <v>0</v>
      </c>
      <c r="J1500" t="n">
        <v>0</v>
      </c>
      <c r="K1500" t="n">
        <v>0</v>
      </c>
      <c r="L1500" t="n">
        <v>0</v>
      </c>
      <c r="M1500" t="n">
        <v>0</v>
      </c>
      <c r="N1500" t="n">
        <v>0</v>
      </c>
      <c r="O1500" t="n">
        <v>0</v>
      </c>
      <c r="P1500" t="n">
        <v>0</v>
      </c>
      <c r="Q1500" t="n">
        <v>0</v>
      </c>
      <c r="R1500" s="2" t="inlineStr"/>
    </row>
    <row r="1501" ht="15" customHeight="1">
      <c r="A1501" t="inlineStr">
        <is>
          <t>A 361-2019</t>
        </is>
      </c>
      <c r="B1501" s="1" t="n">
        <v>43454</v>
      </c>
      <c r="C1501" s="1" t="n">
        <v>45357</v>
      </c>
      <c r="D1501" t="inlineStr">
        <is>
          <t>VÄSTERBOTTENS LÄN</t>
        </is>
      </c>
      <c r="E1501" t="inlineStr">
        <is>
          <t>LYCKSELE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72183-2018</t>
        </is>
      </c>
      <c r="B1502" s="1" t="n">
        <v>43455</v>
      </c>
      <c r="C1502" s="1" t="n">
        <v>45357</v>
      </c>
      <c r="D1502" t="inlineStr">
        <is>
          <t>VÄSTERBOTTENS LÄN</t>
        </is>
      </c>
      <c r="E1502" t="inlineStr">
        <is>
          <t>SORSELE</t>
        </is>
      </c>
      <c r="F1502" t="inlineStr">
        <is>
          <t>Sveaskog</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72128-2018</t>
        </is>
      </c>
      <c r="B1503" s="1" t="n">
        <v>43455</v>
      </c>
      <c r="C1503" s="1" t="n">
        <v>45357</v>
      </c>
      <c r="D1503" t="inlineStr">
        <is>
          <t>VÄSTERBOTTENS LÄN</t>
        </is>
      </c>
      <c r="E1503" t="inlineStr">
        <is>
          <t>ROBERTSFORS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72299-2018</t>
        </is>
      </c>
      <c r="B1504" s="1" t="n">
        <v>43455</v>
      </c>
      <c r="C1504" s="1" t="n">
        <v>45357</v>
      </c>
      <c r="D1504" t="inlineStr">
        <is>
          <t>VÄSTERBOTTENS LÄN</t>
        </is>
      </c>
      <c r="E1504" t="inlineStr">
        <is>
          <t>NORDMALING</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402-2019</t>
        </is>
      </c>
      <c r="B1505" s="1" t="n">
        <v>43455</v>
      </c>
      <c r="C1505" s="1" t="n">
        <v>45357</v>
      </c>
      <c r="D1505" t="inlineStr">
        <is>
          <t>VÄSTERBOTTENS LÄN</t>
        </is>
      </c>
      <c r="E1505" t="inlineStr">
        <is>
          <t>BJURHOLM</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623-2019</t>
        </is>
      </c>
      <c r="B1506" s="1" t="n">
        <v>43455</v>
      </c>
      <c r="C1506" s="1" t="n">
        <v>45357</v>
      </c>
      <c r="D1506" t="inlineStr">
        <is>
          <t>VÄSTERBOTTENS LÄN</t>
        </is>
      </c>
      <c r="E1506" t="inlineStr">
        <is>
          <t>SKELLEFTEÅ</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72242-2018</t>
        </is>
      </c>
      <c r="B1507" s="1" t="n">
        <v>43455</v>
      </c>
      <c r="C1507" s="1" t="n">
        <v>45357</v>
      </c>
      <c r="D1507" t="inlineStr">
        <is>
          <t>VÄSTERBOTTENS LÄN</t>
        </is>
      </c>
      <c r="E1507" t="inlineStr">
        <is>
          <t>VÄNNÄS</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650-2019</t>
        </is>
      </c>
      <c r="B1508" s="1" t="n">
        <v>43455</v>
      </c>
      <c r="C1508" s="1" t="n">
        <v>45357</v>
      </c>
      <c r="D1508" t="inlineStr">
        <is>
          <t>VÄSTERBOTTENS LÄN</t>
        </is>
      </c>
      <c r="E1508" t="inlineStr">
        <is>
          <t>UMEÅ</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799-2019</t>
        </is>
      </c>
      <c r="B1509" s="1" t="n">
        <v>43455</v>
      </c>
      <c r="C1509" s="1" t="n">
        <v>45357</v>
      </c>
      <c r="D1509" t="inlineStr">
        <is>
          <t>VÄSTERBOTTENS LÄN</t>
        </is>
      </c>
      <c r="E1509" t="inlineStr">
        <is>
          <t>UMEÅ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72187-2018</t>
        </is>
      </c>
      <c r="B1510" s="1" t="n">
        <v>43455</v>
      </c>
      <c r="C1510" s="1" t="n">
        <v>45357</v>
      </c>
      <c r="D1510" t="inlineStr">
        <is>
          <t>VÄSTERBOTTENS LÄN</t>
        </is>
      </c>
      <c r="E1510" t="inlineStr">
        <is>
          <t>SORSELE</t>
        </is>
      </c>
      <c r="F1510" t="inlineStr">
        <is>
          <t>Sveaskog</t>
        </is>
      </c>
      <c r="G1510" t="n">
        <v>14.2</v>
      </c>
      <c r="H1510" t="n">
        <v>0</v>
      </c>
      <c r="I1510" t="n">
        <v>0</v>
      </c>
      <c r="J1510" t="n">
        <v>0</v>
      </c>
      <c r="K1510" t="n">
        <v>0</v>
      </c>
      <c r="L1510" t="n">
        <v>0</v>
      </c>
      <c r="M1510" t="n">
        <v>0</v>
      </c>
      <c r="N1510" t="n">
        <v>0</v>
      </c>
      <c r="O1510" t="n">
        <v>0</v>
      </c>
      <c r="P1510" t="n">
        <v>0</v>
      </c>
      <c r="Q1510" t="n">
        <v>0</v>
      </c>
      <c r="R1510" s="2" t="inlineStr"/>
    </row>
    <row r="1511" ht="15" customHeight="1">
      <c r="A1511" t="inlineStr">
        <is>
          <t>A 71948-2018</t>
        </is>
      </c>
      <c r="B1511" s="1" t="n">
        <v>43455</v>
      </c>
      <c r="C1511" s="1" t="n">
        <v>45357</v>
      </c>
      <c r="D1511" t="inlineStr">
        <is>
          <t>VÄSTERBOTTENS LÄN</t>
        </is>
      </c>
      <c r="E1511" t="inlineStr">
        <is>
          <t>SKELLEFTEÅ</t>
        </is>
      </c>
      <c r="G1511" t="n">
        <v>9.4</v>
      </c>
      <c r="H1511" t="n">
        <v>0</v>
      </c>
      <c r="I1511" t="n">
        <v>0</v>
      </c>
      <c r="J1511" t="n">
        <v>0</v>
      </c>
      <c r="K1511" t="n">
        <v>0</v>
      </c>
      <c r="L1511" t="n">
        <v>0</v>
      </c>
      <c r="M1511" t="n">
        <v>0</v>
      </c>
      <c r="N1511" t="n">
        <v>0</v>
      </c>
      <c r="O1511" t="n">
        <v>0</v>
      </c>
      <c r="P1511" t="n">
        <v>0</v>
      </c>
      <c r="Q1511" t="n">
        <v>0</v>
      </c>
      <c r="R1511" s="2" t="inlineStr"/>
    </row>
    <row r="1512" ht="15" customHeight="1">
      <c r="A1512" t="inlineStr">
        <is>
          <t>A 841-2019</t>
        </is>
      </c>
      <c r="B1512" s="1" t="n">
        <v>43455</v>
      </c>
      <c r="C1512" s="1" t="n">
        <v>45357</v>
      </c>
      <c r="D1512" t="inlineStr">
        <is>
          <t>VÄSTERBOTTENS LÄN</t>
        </is>
      </c>
      <c r="E1512" t="inlineStr">
        <is>
          <t>VÄNNÄS</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72104-2018</t>
        </is>
      </c>
      <c r="B1513" s="1" t="n">
        <v>43455</v>
      </c>
      <c r="C1513" s="1" t="n">
        <v>45357</v>
      </c>
      <c r="D1513" t="inlineStr">
        <is>
          <t>VÄSTERBOTTENS LÄN</t>
        </is>
      </c>
      <c r="E1513" t="inlineStr">
        <is>
          <t>SKELLEFTEÅ</t>
        </is>
      </c>
      <c r="F1513" t="inlineStr">
        <is>
          <t>Holmen skog AB</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72082-2018</t>
        </is>
      </c>
      <c r="B1514" s="1" t="n">
        <v>43455</v>
      </c>
      <c r="C1514" s="1" t="n">
        <v>45357</v>
      </c>
      <c r="D1514" t="inlineStr">
        <is>
          <t>VÄSTERBOTTENS LÄN</t>
        </is>
      </c>
      <c r="E1514" t="inlineStr">
        <is>
          <t>SKELLEFTEÅ</t>
        </is>
      </c>
      <c r="F1514" t="inlineStr">
        <is>
          <t>Holmen skog AB</t>
        </is>
      </c>
      <c r="G1514" t="n">
        <v>12.8</v>
      </c>
      <c r="H1514" t="n">
        <v>0</v>
      </c>
      <c r="I1514" t="n">
        <v>0</v>
      </c>
      <c r="J1514" t="n">
        <v>0</v>
      </c>
      <c r="K1514" t="n">
        <v>0</v>
      </c>
      <c r="L1514" t="n">
        <v>0</v>
      </c>
      <c r="M1514" t="n">
        <v>0</v>
      </c>
      <c r="N1514" t="n">
        <v>0</v>
      </c>
      <c r="O1514" t="n">
        <v>0</v>
      </c>
      <c r="P1514" t="n">
        <v>0</v>
      </c>
      <c r="Q1514" t="n">
        <v>0</v>
      </c>
      <c r="R1514" s="2" t="inlineStr"/>
    </row>
    <row r="1515" ht="15" customHeight="1">
      <c r="A1515" t="inlineStr">
        <is>
          <t>A 626-2019</t>
        </is>
      </c>
      <c r="B1515" s="1" t="n">
        <v>43455</v>
      </c>
      <c r="C1515" s="1" t="n">
        <v>45357</v>
      </c>
      <c r="D1515" t="inlineStr">
        <is>
          <t>VÄSTERBOTTENS LÄN</t>
        </is>
      </c>
      <c r="E1515" t="inlineStr">
        <is>
          <t>SKELLEFTEÅ</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955-2019</t>
        </is>
      </c>
      <c r="B1516" s="1" t="n">
        <v>43456</v>
      </c>
      <c r="C1516" s="1" t="n">
        <v>45357</v>
      </c>
      <c r="D1516" t="inlineStr">
        <is>
          <t>VÄSTERBOTTENS LÄN</t>
        </is>
      </c>
      <c r="E1516" t="inlineStr">
        <is>
          <t>BJURHOLM</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924-2019</t>
        </is>
      </c>
      <c r="B1517" s="1" t="n">
        <v>43461</v>
      </c>
      <c r="C1517" s="1" t="n">
        <v>45357</v>
      </c>
      <c r="D1517" t="inlineStr">
        <is>
          <t>VÄSTERBOTTENS LÄN</t>
        </is>
      </c>
      <c r="E1517" t="inlineStr">
        <is>
          <t>LYCKSELE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1646-2019</t>
        </is>
      </c>
      <c r="B1518" s="1" t="n">
        <v>43461</v>
      </c>
      <c r="C1518" s="1" t="n">
        <v>45357</v>
      </c>
      <c r="D1518" t="inlineStr">
        <is>
          <t>VÄSTERBOTTENS LÄN</t>
        </is>
      </c>
      <c r="E1518" t="inlineStr">
        <is>
          <t>STORUMAN</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72624-2018</t>
        </is>
      </c>
      <c r="B1519" s="1" t="n">
        <v>43464</v>
      </c>
      <c r="C1519" s="1" t="n">
        <v>45357</v>
      </c>
      <c r="D1519" t="inlineStr">
        <is>
          <t>VÄSTERBOTTENS LÄN</t>
        </is>
      </c>
      <c r="E1519" t="inlineStr">
        <is>
          <t>UMEÅ</t>
        </is>
      </c>
      <c r="F1519" t="inlineStr">
        <is>
          <t>Kommuner</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202-2019</t>
        </is>
      </c>
      <c r="B1520" s="1" t="n">
        <v>43467</v>
      </c>
      <c r="C1520" s="1" t="n">
        <v>45357</v>
      </c>
      <c r="D1520" t="inlineStr">
        <is>
          <t>VÄSTERBOTTENS LÄN</t>
        </is>
      </c>
      <c r="E1520" t="inlineStr">
        <is>
          <t>UMEÅ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2102-2019</t>
        </is>
      </c>
      <c r="B1521" s="1" t="n">
        <v>43467</v>
      </c>
      <c r="C1521" s="1" t="n">
        <v>45357</v>
      </c>
      <c r="D1521" t="inlineStr">
        <is>
          <t>VÄSTERBOTTENS LÄN</t>
        </is>
      </c>
      <c r="E1521" t="inlineStr">
        <is>
          <t>VINDELN</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122-2019</t>
        </is>
      </c>
      <c r="B1522" s="1" t="n">
        <v>43467</v>
      </c>
      <c r="C1522" s="1" t="n">
        <v>45357</v>
      </c>
      <c r="D1522" t="inlineStr">
        <is>
          <t>VÄSTERBOTTENS LÄN</t>
        </is>
      </c>
      <c r="E1522" t="inlineStr">
        <is>
          <t>UMEÅ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2123-2019</t>
        </is>
      </c>
      <c r="B1523" s="1" t="n">
        <v>43467</v>
      </c>
      <c r="C1523" s="1" t="n">
        <v>45357</v>
      </c>
      <c r="D1523" t="inlineStr">
        <is>
          <t>VÄSTERBOTTENS LÄN</t>
        </is>
      </c>
      <c r="E1523" t="inlineStr">
        <is>
          <t>VINDELN</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194-2019</t>
        </is>
      </c>
      <c r="B1524" s="1" t="n">
        <v>43467</v>
      </c>
      <c r="C1524" s="1" t="n">
        <v>45357</v>
      </c>
      <c r="D1524" t="inlineStr">
        <is>
          <t>VÄSTERBOTTENS LÄN</t>
        </is>
      </c>
      <c r="E1524" t="inlineStr">
        <is>
          <t>VILHELMINA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469-2019</t>
        </is>
      </c>
      <c r="B1525" s="1" t="n">
        <v>43468</v>
      </c>
      <c r="C1525" s="1" t="n">
        <v>45357</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254-2019</t>
        </is>
      </c>
      <c r="B1526" s="1" t="n">
        <v>43468</v>
      </c>
      <c r="C1526" s="1" t="n">
        <v>45357</v>
      </c>
      <c r="D1526" t="inlineStr">
        <is>
          <t>VÄSTERBOTTENS LÄN</t>
        </is>
      </c>
      <c r="E1526" t="inlineStr">
        <is>
          <t>BJURHOLM</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379-2019</t>
        </is>
      </c>
      <c r="B1527" s="1" t="n">
        <v>43468</v>
      </c>
      <c r="C1527" s="1" t="n">
        <v>45357</v>
      </c>
      <c r="D1527" t="inlineStr">
        <is>
          <t>VÄSTERBOTTENS LÄN</t>
        </is>
      </c>
      <c r="E1527" t="inlineStr">
        <is>
          <t>LYCKSELE</t>
        </is>
      </c>
      <c r="F1527" t="inlineStr">
        <is>
          <t>Sveaskog</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294-2019</t>
        </is>
      </c>
      <c r="B1528" s="1" t="n">
        <v>43468</v>
      </c>
      <c r="C1528" s="1" t="n">
        <v>45357</v>
      </c>
      <c r="D1528" t="inlineStr">
        <is>
          <t>VÄSTERBOTTENS LÄN</t>
        </is>
      </c>
      <c r="E1528" t="inlineStr">
        <is>
          <t>SKELLEFTEÅ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545-2019</t>
        </is>
      </c>
      <c r="B1529" s="1" t="n">
        <v>43469</v>
      </c>
      <c r="C1529" s="1" t="n">
        <v>45357</v>
      </c>
      <c r="D1529" t="inlineStr">
        <is>
          <t>VÄSTERBOTTENS LÄN</t>
        </is>
      </c>
      <c r="E1529" t="inlineStr">
        <is>
          <t>ROBERTSFORS</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2902-2019</t>
        </is>
      </c>
      <c r="B1530" s="1" t="n">
        <v>43469</v>
      </c>
      <c r="C1530" s="1" t="n">
        <v>45357</v>
      </c>
      <c r="D1530" t="inlineStr">
        <is>
          <t>VÄSTERBOTTENS LÄN</t>
        </is>
      </c>
      <c r="E1530" t="inlineStr">
        <is>
          <t>NORSJÖ</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696-2019</t>
        </is>
      </c>
      <c r="B1531" s="1" t="n">
        <v>43469</v>
      </c>
      <c r="C1531" s="1" t="n">
        <v>45357</v>
      </c>
      <c r="D1531" t="inlineStr">
        <is>
          <t>VÄSTERBOTTENS LÄN</t>
        </is>
      </c>
      <c r="E1531" t="inlineStr">
        <is>
          <t>LYCKSELE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2928-2019</t>
        </is>
      </c>
      <c r="B1532" s="1" t="n">
        <v>43469</v>
      </c>
      <c r="C1532" s="1" t="n">
        <v>45357</v>
      </c>
      <c r="D1532" t="inlineStr">
        <is>
          <t>VÄSTERBOTTENS LÄN</t>
        </is>
      </c>
      <c r="E1532" t="inlineStr">
        <is>
          <t>DOROTEA</t>
        </is>
      </c>
      <c r="G1532" t="n">
        <v>11.6</v>
      </c>
      <c r="H1532" t="n">
        <v>0</v>
      </c>
      <c r="I1532" t="n">
        <v>0</v>
      </c>
      <c r="J1532" t="n">
        <v>0</v>
      </c>
      <c r="K1532" t="n">
        <v>0</v>
      </c>
      <c r="L1532" t="n">
        <v>0</v>
      </c>
      <c r="M1532" t="n">
        <v>0</v>
      </c>
      <c r="N1532" t="n">
        <v>0</v>
      </c>
      <c r="O1532" t="n">
        <v>0</v>
      </c>
      <c r="P1532" t="n">
        <v>0</v>
      </c>
      <c r="Q1532" t="n">
        <v>0</v>
      </c>
      <c r="R1532" s="2" t="inlineStr"/>
    </row>
    <row r="1533" ht="15" customHeight="1">
      <c r="A1533" t="inlineStr">
        <is>
          <t>A 707-2019</t>
        </is>
      </c>
      <c r="B1533" s="1" t="n">
        <v>43470</v>
      </c>
      <c r="C1533" s="1" t="n">
        <v>45357</v>
      </c>
      <c r="D1533" t="inlineStr">
        <is>
          <t>VÄSTERBOTTENS LÄN</t>
        </is>
      </c>
      <c r="E1533" t="inlineStr">
        <is>
          <t>VINDELN</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1097-2019</t>
        </is>
      </c>
      <c r="B1534" s="1" t="n">
        <v>43472</v>
      </c>
      <c r="C1534" s="1" t="n">
        <v>45357</v>
      </c>
      <c r="D1534" t="inlineStr">
        <is>
          <t>VÄSTERBOTTENS LÄN</t>
        </is>
      </c>
      <c r="E1534" t="inlineStr">
        <is>
          <t>VINDELN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1146-2019</t>
        </is>
      </c>
      <c r="B1535" s="1" t="n">
        <v>43472</v>
      </c>
      <c r="C1535" s="1" t="n">
        <v>45357</v>
      </c>
      <c r="D1535" t="inlineStr">
        <is>
          <t>VÄSTERBOTTENS LÄN</t>
        </is>
      </c>
      <c r="E1535" t="inlineStr">
        <is>
          <t>VILHELMINA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2970-2019</t>
        </is>
      </c>
      <c r="B1536" s="1" t="n">
        <v>43472</v>
      </c>
      <c r="C1536" s="1" t="n">
        <v>45357</v>
      </c>
      <c r="D1536" t="inlineStr">
        <is>
          <t>VÄSTERBOTTENS LÄN</t>
        </is>
      </c>
      <c r="E1536" t="inlineStr">
        <is>
          <t>ROBERTSFORS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1800-2019</t>
        </is>
      </c>
      <c r="B1537" s="1" t="n">
        <v>43472</v>
      </c>
      <c r="C1537" s="1" t="n">
        <v>45357</v>
      </c>
      <c r="D1537" t="inlineStr">
        <is>
          <t>VÄSTERBOTTENS LÄN</t>
        </is>
      </c>
      <c r="E1537" t="inlineStr">
        <is>
          <t>VILHELMINA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1134-2019</t>
        </is>
      </c>
      <c r="B1538" s="1" t="n">
        <v>43472</v>
      </c>
      <c r="C1538" s="1" t="n">
        <v>45357</v>
      </c>
      <c r="D1538" t="inlineStr">
        <is>
          <t>VÄSTERBOTTENS LÄN</t>
        </is>
      </c>
      <c r="E1538" t="inlineStr">
        <is>
          <t>VILHELMINA</t>
        </is>
      </c>
      <c r="G1538" t="n">
        <v>23.7</v>
      </c>
      <c r="H1538" t="n">
        <v>0</v>
      </c>
      <c r="I1538" t="n">
        <v>0</v>
      </c>
      <c r="J1538" t="n">
        <v>0</v>
      </c>
      <c r="K1538" t="n">
        <v>0</v>
      </c>
      <c r="L1538" t="n">
        <v>0</v>
      </c>
      <c r="M1538" t="n">
        <v>0</v>
      </c>
      <c r="N1538" t="n">
        <v>0</v>
      </c>
      <c r="O1538" t="n">
        <v>0</v>
      </c>
      <c r="P1538" t="n">
        <v>0</v>
      </c>
      <c r="Q1538" t="n">
        <v>0</v>
      </c>
      <c r="R1538" s="2" t="inlineStr"/>
    </row>
    <row r="1539" ht="15" customHeight="1">
      <c r="A1539" t="inlineStr">
        <is>
          <t>A 1142-2019</t>
        </is>
      </c>
      <c r="B1539" s="1" t="n">
        <v>43472</v>
      </c>
      <c r="C1539" s="1" t="n">
        <v>45357</v>
      </c>
      <c r="D1539" t="inlineStr">
        <is>
          <t>VÄSTERBOTTENS LÄN</t>
        </is>
      </c>
      <c r="E1539" t="inlineStr">
        <is>
          <t>DOROTEA</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1005-2019</t>
        </is>
      </c>
      <c r="B1540" s="1" t="n">
        <v>43472</v>
      </c>
      <c r="C1540" s="1" t="n">
        <v>45357</v>
      </c>
      <c r="D1540" t="inlineStr">
        <is>
          <t>VÄSTERBOTTENS LÄN</t>
        </is>
      </c>
      <c r="E1540" t="inlineStr">
        <is>
          <t>SKELLEFTEÅ</t>
        </is>
      </c>
      <c r="F1540" t="inlineStr">
        <is>
          <t>Sveaskog</t>
        </is>
      </c>
      <c r="G1540" t="n">
        <v>13.6</v>
      </c>
      <c r="H1540" t="n">
        <v>0</v>
      </c>
      <c r="I1540" t="n">
        <v>0</v>
      </c>
      <c r="J1540" t="n">
        <v>0</v>
      </c>
      <c r="K1540" t="n">
        <v>0</v>
      </c>
      <c r="L1540" t="n">
        <v>0</v>
      </c>
      <c r="M1540" t="n">
        <v>0</v>
      </c>
      <c r="N1540" t="n">
        <v>0</v>
      </c>
      <c r="O1540" t="n">
        <v>0</v>
      </c>
      <c r="P1540" t="n">
        <v>0</v>
      </c>
      <c r="Q1540" t="n">
        <v>0</v>
      </c>
      <c r="R1540" s="2" t="inlineStr"/>
    </row>
    <row r="1541" ht="15" customHeight="1">
      <c r="A1541" t="inlineStr">
        <is>
          <t>A 2943-2019</t>
        </is>
      </c>
      <c r="B1541" s="1" t="n">
        <v>43472</v>
      </c>
      <c r="C1541" s="1" t="n">
        <v>45357</v>
      </c>
      <c r="D1541" t="inlineStr">
        <is>
          <t>VÄSTERBOTTENS LÄN</t>
        </is>
      </c>
      <c r="E1541" t="inlineStr">
        <is>
          <t>SKELLEFTEÅ</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1141-2019</t>
        </is>
      </c>
      <c r="B1542" s="1" t="n">
        <v>43472</v>
      </c>
      <c r="C1542" s="1" t="n">
        <v>45357</v>
      </c>
      <c r="D1542" t="inlineStr">
        <is>
          <t>VÄSTERBOTTENS LÄN</t>
        </is>
      </c>
      <c r="E1542" t="inlineStr">
        <is>
          <t>VILHELMINA</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900-2019</t>
        </is>
      </c>
      <c r="B1543" s="1" t="n">
        <v>43472</v>
      </c>
      <c r="C1543" s="1" t="n">
        <v>45357</v>
      </c>
      <c r="D1543" t="inlineStr">
        <is>
          <t>VÄSTERBOTTENS LÄN</t>
        </is>
      </c>
      <c r="E1543" t="inlineStr">
        <is>
          <t>LYCKSELE</t>
        </is>
      </c>
      <c r="F1543" t="inlineStr">
        <is>
          <t>Holmen skog AB</t>
        </is>
      </c>
      <c r="G1543" t="n">
        <v>35.4</v>
      </c>
      <c r="H1543" t="n">
        <v>0</v>
      </c>
      <c r="I1543" t="n">
        <v>0</v>
      </c>
      <c r="J1543" t="n">
        <v>0</v>
      </c>
      <c r="K1543" t="n">
        <v>0</v>
      </c>
      <c r="L1543" t="n">
        <v>0</v>
      </c>
      <c r="M1543" t="n">
        <v>0</v>
      </c>
      <c r="N1543" t="n">
        <v>0</v>
      </c>
      <c r="O1543" t="n">
        <v>0</v>
      </c>
      <c r="P1543" t="n">
        <v>0</v>
      </c>
      <c r="Q1543" t="n">
        <v>0</v>
      </c>
      <c r="R1543" s="2" t="inlineStr"/>
    </row>
    <row r="1544" ht="15" customHeight="1">
      <c r="A1544" t="inlineStr">
        <is>
          <t>A 3011-2019</t>
        </is>
      </c>
      <c r="B1544" s="1" t="n">
        <v>43472</v>
      </c>
      <c r="C1544" s="1" t="n">
        <v>45357</v>
      </c>
      <c r="D1544" t="inlineStr">
        <is>
          <t>VÄSTERBOTTENS LÄN</t>
        </is>
      </c>
      <c r="E1544" t="inlineStr">
        <is>
          <t>SKELLEFTEÅ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3141-2019</t>
        </is>
      </c>
      <c r="B1545" s="1" t="n">
        <v>43472</v>
      </c>
      <c r="C1545" s="1" t="n">
        <v>45357</v>
      </c>
      <c r="D1545" t="inlineStr">
        <is>
          <t>VÄSTERBOTTENS LÄN</t>
        </is>
      </c>
      <c r="E1545" t="inlineStr">
        <is>
          <t>SKELLEFTEÅ</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795-2019</t>
        </is>
      </c>
      <c r="B1546" s="1" t="n">
        <v>43472</v>
      </c>
      <c r="C1546" s="1" t="n">
        <v>45357</v>
      </c>
      <c r="D1546" t="inlineStr">
        <is>
          <t>VÄSTERBOTTENS LÄN</t>
        </is>
      </c>
      <c r="E1546" t="inlineStr">
        <is>
          <t>VINDELN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1258-2019</t>
        </is>
      </c>
      <c r="B1547" s="1" t="n">
        <v>43473</v>
      </c>
      <c r="C1547" s="1" t="n">
        <v>45357</v>
      </c>
      <c r="D1547" t="inlineStr">
        <is>
          <t>VÄSTERBOTTENS LÄN</t>
        </is>
      </c>
      <c r="E1547" t="inlineStr">
        <is>
          <t>SKELLEFTEÅ</t>
        </is>
      </c>
      <c r="F1547" t="inlineStr">
        <is>
          <t>Sveaskog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1160-2019</t>
        </is>
      </c>
      <c r="B1548" s="1" t="n">
        <v>43473</v>
      </c>
      <c r="C1548" s="1" t="n">
        <v>45357</v>
      </c>
      <c r="D1548" t="inlineStr">
        <is>
          <t>VÄSTERBOTTENS LÄN</t>
        </is>
      </c>
      <c r="E1548" t="inlineStr">
        <is>
          <t>ÅSELE</t>
        </is>
      </c>
      <c r="F1548" t="inlineStr">
        <is>
          <t>Sveaskog</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1255-2019</t>
        </is>
      </c>
      <c r="B1549" s="1" t="n">
        <v>43473</v>
      </c>
      <c r="C1549" s="1" t="n">
        <v>45357</v>
      </c>
      <c r="D1549" t="inlineStr">
        <is>
          <t>VÄSTERBOTTENS LÄN</t>
        </is>
      </c>
      <c r="E1549" t="inlineStr">
        <is>
          <t>SKELLEFTEÅ</t>
        </is>
      </c>
      <c r="F1549" t="inlineStr">
        <is>
          <t>Sveaskog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1206-2019</t>
        </is>
      </c>
      <c r="B1550" s="1" t="n">
        <v>43473</v>
      </c>
      <c r="C1550" s="1" t="n">
        <v>45357</v>
      </c>
      <c r="D1550" t="inlineStr">
        <is>
          <t>VÄSTERBOTTENS LÄN</t>
        </is>
      </c>
      <c r="E1550" t="inlineStr">
        <is>
          <t>SKELLEFTEÅ</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1540-2019</t>
        </is>
      </c>
      <c r="B1551" s="1" t="n">
        <v>43473</v>
      </c>
      <c r="C1551" s="1" t="n">
        <v>45357</v>
      </c>
      <c r="D1551" t="inlineStr">
        <is>
          <t>VÄSTERBOTTENS LÄN</t>
        </is>
      </c>
      <c r="E1551" t="inlineStr">
        <is>
          <t>BJURHOLM</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1463-2019</t>
        </is>
      </c>
      <c r="B1552" s="1" t="n">
        <v>43473</v>
      </c>
      <c r="C1552" s="1" t="n">
        <v>45357</v>
      </c>
      <c r="D1552" t="inlineStr">
        <is>
          <t>VÄSTERBOTTENS LÄN</t>
        </is>
      </c>
      <c r="E1552" t="inlineStr">
        <is>
          <t>SKELLEFTEÅ</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1542-2019</t>
        </is>
      </c>
      <c r="B1553" s="1" t="n">
        <v>43473</v>
      </c>
      <c r="C1553" s="1" t="n">
        <v>45357</v>
      </c>
      <c r="D1553" t="inlineStr">
        <is>
          <t>VÄSTERBOTTENS LÄN</t>
        </is>
      </c>
      <c r="E1553" t="inlineStr">
        <is>
          <t>BJURHOLM</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1267-2019</t>
        </is>
      </c>
      <c r="B1554" s="1" t="n">
        <v>43473</v>
      </c>
      <c r="C1554" s="1" t="n">
        <v>45357</v>
      </c>
      <c r="D1554" t="inlineStr">
        <is>
          <t>VÄSTERBOTTENS LÄN</t>
        </is>
      </c>
      <c r="E1554" t="inlineStr">
        <is>
          <t>SKELLEFTEÅ</t>
        </is>
      </c>
      <c r="F1554" t="inlineStr">
        <is>
          <t>Sveaskog</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3172-2019</t>
        </is>
      </c>
      <c r="B1555" s="1" t="n">
        <v>43473</v>
      </c>
      <c r="C1555" s="1" t="n">
        <v>45357</v>
      </c>
      <c r="D1555" t="inlineStr">
        <is>
          <t>VÄSTERBOTTENS LÄN</t>
        </is>
      </c>
      <c r="E1555" t="inlineStr">
        <is>
          <t>SKELLEFTEÅ</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1354-2019</t>
        </is>
      </c>
      <c r="B1556" s="1" t="n">
        <v>43473</v>
      </c>
      <c r="C1556" s="1" t="n">
        <v>45357</v>
      </c>
      <c r="D1556" t="inlineStr">
        <is>
          <t>VÄSTERBOTTENS LÄN</t>
        </is>
      </c>
      <c r="E1556" t="inlineStr">
        <is>
          <t>UMEÅ</t>
        </is>
      </c>
      <c r="F1556" t="inlineStr">
        <is>
          <t>Kommuner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3206-2019</t>
        </is>
      </c>
      <c r="B1557" s="1" t="n">
        <v>43473</v>
      </c>
      <c r="C1557" s="1" t="n">
        <v>45357</v>
      </c>
      <c r="D1557" t="inlineStr">
        <is>
          <t>VÄSTERBOTTENS LÄN</t>
        </is>
      </c>
      <c r="E1557" t="inlineStr">
        <is>
          <t>NORSJÖ</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1430-2019</t>
        </is>
      </c>
      <c r="B1558" s="1" t="n">
        <v>43473</v>
      </c>
      <c r="C1558" s="1" t="n">
        <v>45357</v>
      </c>
      <c r="D1558" t="inlineStr">
        <is>
          <t>VÄSTERBOTTENS LÄN</t>
        </is>
      </c>
      <c r="E1558" t="inlineStr">
        <is>
          <t>BJURHOLM</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1473-2019</t>
        </is>
      </c>
      <c r="B1559" s="1" t="n">
        <v>43473</v>
      </c>
      <c r="C1559" s="1" t="n">
        <v>45357</v>
      </c>
      <c r="D1559" t="inlineStr">
        <is>
          <t>VÄSTERBOTTENS LÄN</t>
        </is>
      </c>
      <c r="E1559" t="inlineStr">
        <is>
          <t>BJURHOLM</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1271-2019</t>
        </is>
      </c>
      <c r="B1560" s="1" t="n">
        <v>43473</v>
      </c>
      <c r="C1560" s="1" t="n">
        <v>45357</v>
      </c>
      <c r="D1560" t="inlineStr">
        <is>
          <t>VÄSTERBOTTENS LÄN</t>
        </is>
      </c>
      <c r="E1560" t="inlineStr">
        <is>
          <t>LYCKSELE</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1245-2019</t>
        </is>
      </c>
      <c r="B1561" s="1" t="n">
        <v>43473</v>
      </c>
      <c r="C1561" s="1" t="n">
        <v>45357</v>
      </c>
      <c r="D1561" t="inlineStr">
        <is>
          <t>VÄSTERBOTTENS LÄN</t>
        </is>
      </c>
      <c r="E1561" t="inlineStr">
        <is>
          <t>SKELLEFTEÅ</t>
        </is>
      </c>
      <c r="F1561" t="inlineStr">
        <is>
          <t>Sveaskog</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1565-2019</t>
        </is>
      </c>
      <c r="B1562" s="1" t="n">
        <v>43474</v>
      </c>
      <c r="C1562" s="1" t="n">
        <v>45357</v>
      </c>
      <c r="D1562" t="inlineStr">
        <is>
          <t>VÄSTERBOTTENS LÄN</t>
        </is>
      </c>
      <c r="E1562" t="inlineStr">
        <is>
          <t>SKELLEFTEÅ</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1692-2019</t>
        </is>
      </c>
      <c r="B1563" s="1" t="n">
        <v>43474</v>
      </c>
      <c r="C1563" s="1" t="n">
        <v>45357</v>
      </c>
      <c r="D1563" t="inlineStr">
        <is>
          <t>VÄSTERBOTTENS LÄN</t>
        </is>
      </c>
      <c r="E1563" t="inlineStr">
        <is>
          <t>STORUMAN</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1635-2019</t>
        </is>
      </c>
      <c r="B1564" s="1" t="n">
        <v>43474</v>
      </c>
      <c r="C1564" s="1" t="n">
        <v>45357</v>
      </c>
      <c r="D1564" t="inlineStr">
        <is>
          <t>VÄSTERBOTTENS LÄN</t>
        </is>
      </c>
      <c r="E1564" t="inlineStr">
        <is>
          <t>UMEÅ</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1572-2019</t>
        </is>
      </c>
      <c r="B1565" s="1" t="n">
        <v>43474</v>
      </c>
      <c r="C1565" s="1" t="n">
        <v>45357</v>
      </c>
      <c r="D1565" t="inlineStr">
        <is>
          <t>VÄSTERBOTTENS LÄN</t>
        </is>
      </c>
      <c r="E1565" t="inlineStr">
        <is>
          <t>SKELLEFTEÅ</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1803-2019</t>
        </is>
      </c>
      <c r="B1566" s="1" t="n">
        <v>43474</v>
      </c>
      <c r="C1566" s="1" t="n">
        <v>45357</v>
      </c>
      <c r="D1566" t="inlineStr">
        <is>
          <t>VÄSTERBOTTENS LÄN</t>
        </is>
      </c>
      <c r="E1566" t="inlineStr">
        <is>
          <t>UMEÅ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1673-2019</t>
        </is>
      </c>
      <c r="B1567" s="1" t="n">
        <v>43474</v>
      </c>
      <c r="C1567" s="1" t="n">
        <v>45357</v>
      </c>
      <c r="D1567" t="inlineStr">
        <is>
          <t>VÄSTERBOTTENS LÄN</t>
        </is>
      </c>
      <c r="E1567" t="inlineStr">
        <is>
          <t>SKELLEFTEÅ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2268-2019</t>
        </is>
      </c>
      <c r="B1568" s="1" t="n">
        <v>43475</v>
      </c>
      <c r="C1568" s="1" t="n">
        <v>45357</v>
      </c>
      <c r="D1568" t="inlineStr">
        <is>
          <t>VÄSTERBOTTENS LÄN</t>
        </is>
      </c>
      <c r="E1568" t="inlineStr">
        <is>
          <t>UMEÅ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2301-2019</t>
        </is>
      </c>
      <c r="B1569" s="1" t="n">
        <v>43475</v>
      </c>
      <c r="C1569" s="1" t="n">
        <v>45357</v>
      </c>
      <c r="D1569" t="inlineStr">
        <is>
          <t>VÄSTERBOTTENS LÄN</t>
        </is>
      </c>
      <c r="E1569" t="inlineStr">
        <is>
          <t>DOROTEA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2195-2019</t>
        </is>
      </c>
      <c r="B1570" s="1" t="n">
        <v>43475</v>
      </c>
      <c r="C1570" s="1" t="n">
        <v>45357</v>
      </c>
      <c r="D1570" t="inlineStr">
        <is>
          <t>VÄSTERBOTTENS LÄN</t>
        </is>
      </c>
      <c r="E1570" t="inlineStr">
        <is>
          <t>SKELLEFTEÅ</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2296-2019</t>
        </is>
      </c>
      <c r="B1571" s="1" t="n">
        <v>43475</v>
      </c>
      <c r="C1571" s="1" t="n">
        <v>45357</v>
      </c>
      <c r="D1571" t="inlineStr">
        <is>
          <t>VÄSTERBOTTENS LÄN</t>
        </is>
      </c>
      <c r="E1571" t="inlineStr">
        <is>
          <t>VILHELMINA</t>
        </is>
      </c>
      <c r="G1571" t="n">
        <v>61.9</v>
      </c>
      <c r="H1571" t="n">
        <v>0</v>
      </c>
      <c r="I1571" t="n">
        <v>0</v>
      </c>
      <c r="J1571" t="n">
        <v>0</v>
      </c>
      <c r="K1571" t="n">
        <v>0</v>
      </c>
      <c r="L1571" t="n">
        <v>0</v>
      </c>
      <c r="M1571" t="n">
        <v>0</v>
      </c>
      <c r="N1571" t="n">
        <v>0</v>
      </c>
      <c r="O1571" t="n">
        <v>0</v>
      </c>
      <c r="P1571" t="n">
        <v>0</v>
      </c>
      <c r="Q1571" t="n">
        <v>0</v>
      </c>
      <c r="R1571" s="2" t="inlineStr"/>
    </row>
    <row r="1572" ht="15" customHeight="1">
      <c r="A1572" t="inlineStr">
        <is>
          <t>A 2009-2019</t>
        </is>
      </c>
      <c r="B1572" s="1" t="n">
        <v>43475</v>
      </c>
      <c r="C1572" s="1" t="n">
        <v>45357</v>
      </c>
      <c r="D1572" t="inlineStr">
        <is>
          <t>VÄSTERBOTTENS LÄN</t>
        </is>
      </c>
      <c r="E1572" t="inlineStr">
        <is>
          <t>LYCKSELE</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2300-2019</t>
        </is>
      </c>
      <c r="B1573" s="1" t="n">
        <v>43475</v>
      </c>
      <c r="C1573" s="1" t="n">
        <v>45357</v>
      </c>
      <c r="D1573" t="inlineStr">
        <is>
          <t>VÄSTERBOTTENS LÄN</t>
        </is>
      </c>
      <c r="E1573" t="inlineStr">
        <is>
          <t>DOROTEA</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1938-2019</t>
        </is>
      </c>
      <c r="B1574" s="1" t="n">
        <v>43475</v>
      </c>
      <c r="C1574" s="1" t="n">
        <v>45357</v>
      </c>
      <c r="D1574" t="inlineStr">
        <is>
          <t>VÄSTERBOTTENS LÄN</t>
        </is>
      </c>
      <c r="E1574" t="inlineStr">
        <is>
          <t>UMEÅ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3884-2019</t>
        </is>
      </c>
      <c r="B1575" s="1" t="n">
        <v>43475</v>
      </c>
      <c r="C1575" s="1" t="n">
        <v>45357</v>
      </c>
      <c r="D1575" t="inlineStr">
        <is>
          <t>VÄSTERBOTTENS LÄN</t>
        </is>
      </c>
      <c r="E1575" t="inlineStr">
        <is>
          <t>DOROTEA</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2194-2019</t>
        </is>
      </c>
      <c r="B1576" s="1" t="n">
        <v>43475</v>
      </c>
      <c r="C1576" s="1" t="n">
        <v>45357</v>
      </c>
      <c r="D1576" t="inlineStr">
        <is>
          <t>VÄSTERBOTTENS LÄN</t>
        </is>
      </c>
      <c r="E1576" t="inlineStr">
        <is>
          <t>UMEÅ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2351-2019</t>
        </is>
      </c>
      <c r="B1577" s="1" t="n">
        <v>43476</v>
      </c>
      <c r="C1577" s="1" t="n">
        <v>45357</v>
      </c>
      <c r="D1577" t="inlineStr">
        <is>
          <t>VÄSTERBOTTENS LÄN</t>
        </is>
      </c>
      <c r="E1577" t="inlineStr">
        <is>
          <t>VILHELMINA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2368-2019</t>
        </is>
      </c>
      <c r="B1578" s="1" t="n">
        <v>43476</v>
      </c>
      <c r="C1578" s="1" t="n">
        <v>45357</v>
      </c>
      <c r="D1578" t="inlineStr">
        <is>
          <t>VÄSTERBOTTENS LÄN</t>
        </is>
      </c>
      <c r="E1578" t="inlineStr">
        <is>
          <t>VINDELN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2379-2019</t>
        </is>
      </c>
      <c r="B1579" s="1" t="n">
        <v>43476</v>
      </c>
      <c r="C1579" s="1" t="n">
        <v>45357</v>
      </c>
      <c r="D1579" t="inlineStr">
        <is>
          <t>VÄSTERBOTTENS LÄN</t>
        </is>
      </c>
      <c r="E1579" t="inlineStr">
        <is>
          <t>ROBERTSFORS</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4233-2019</t>
        </is>
      </c>
      <c r="B1580" s="1" t="n">
        <v>43476</v>
      </c>
      <c r="C1580" s="1" t="n">
        <v>45357</v>
      </c>
      <c r="D1580" t="inlineStr">
        <is>
          <t>VÄSTERBOTTENS LÄN</t>
        </is>
      </c>
      <c r="E1580" t="inlineStr">
        <is>
          <t>NORDMALING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2400-2019</t>
        </is>
      </c>
      <c r="B1581" s="1" t="n">
        <v>43476</v>
      </c>
      <c r="C1581" s="1" t="n">
        <v>45357</v>
      </c>
      <c r="D1581" t="inlineStr">
        <is>
          <t>VÄSTERBOTTENS LÄN</t>
        </is>
      </c>
      <c r="E1581" t="inlineStr">
        <is>
          <t>VINDELN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4175-2019</t>
        </is>
      </c>
      <c r="B1582" s="1" t="n">
        <v>43476</v>
      </c>
      <c r="C1582" s="1" t="n">
        <v>45357</v>
      </c>
      <c r="D1582" t="inlineStr">
        <is>
          <t>VÄSTERBOTTENS LÄN</t>
        </is>
      </c>
      <c r="E1582" t="inlineStr">
        <is>
          <t>UMEÅ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2596-2019</t>
        </is>
      </c>
      <c r="B1583" s="1" t="n">
        <v>43476</v>
      </c>
      <c r="C1583" s="1" t="n">
        <v>45357</v>
      </c>
      <c r="D1583" t="inlineStr">
        <is>
          <t>VÄSTERBOTTENS LÄN</t>
        </is>
      </c>
      <c r="E1583" t="inlineStr">
        <is>
          <t>VILHELMINA</t>
        </is>
      </c>
      <c r="G1583" t="n">
        <v>61.9</v>
      </c>
      <c r="H1583" t="n">
        <v>0</v>
      </c>
      <c r="I1583" t="n">
        <v>0</v>
      </c>
      <c r="J1583" t="n">
        <v>0</v>
      </c>
      <c r="K1583" t="n">
        <v>0</v>
      </c>
      <c r="L1583" t="n">
        <v>0</v>
      </c>
      <c r="M1583" t="n">
        <v>0</v>
      </c>
      <c r="N1583" t="n">
        <v>0</v>
      </c>
      <c r="O1583" t="n">
        <v>0</v>
      </c>
      <c r="P1583" t="n">
        <v>0</v>
      </c>
      <c r="Q1583" t="n">
        <v>0</v>
      </c>
      <c r="R1583" s="2" t="inlineStr"/>
    </row>
    <row r="1584" ht="15" customHeight="1">
      <c r="A1584" t="inlineStr">
        <is>
          <t>A 2597-2019</t>
        </is>
      </c>
      <c r="B1584" s="1" t="n">
        <v>43476</v>
      </c>
      <c r="C1584" s="1" t="n">
        <v>45357</v>
      </c>
      <c r="D1584" t="inlineStr">
        <is>
          <t>VÄSTERBOTTENS LÄN</t>
        </is>
      </c>
      <c r="E1584" t="inlineStr">
        <is>
          <t>VINDELN</t>
        </is>
      </c>
      <c r="G1584" t="n">
        <v>14.5</v>
      </c>
      <c r="H1584" t="n">
        <v>0</v>
      </c>
      <c r="I1584" t="n">
        <v>0</v>
      </c>
      <c r="J1584" t="n">
        <v>0</v>
      </c>
      <c r="K1584" t="n">
        <v>0</v>
      </c>
      <c r="L1584" t="n">
        <v>0</v>
      </c>
      <c r="M1584" t="n">
        <v>0</v>
      </c>
      <c r="N1584" t="n">
        <v>0</v>
      </c>
      <c r="O1584" t="n">
        <v>0</v>
      </c>
      <c r="P1584" t="n">
        <v>0</v>
      </c>
      <c r="Q1584" t="n">
        <v>0</v>
      </c>
      <c r="R1584" s="2" t="inlineStr"/>
    </row>
    <row r="1585" ht="15" customHeight="1">
      <c r="A1585" t="inlineStr">
        <is>
          <t>A 4238-2019</t>
        </is>
      </c>
      <c r="B1585" s="1" t="n">
        <v>43476</v>
      </c>
      <c r="C1585" s="1" t="n">
        <v>45357</v>
      </c>
      <c r="D1585" t="inlineStr">
        <is>
          <t>VÄSTERBOTTENS LÄN</t>
        </is>
      </c>
      <c r="E1585" t="inlineStr">
        <is>
          <t>NORDMALING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4647-2019</t>
        </is>
      </c>
      <c r="B1586" s="1" t="n">
        <v>43479</v>
      </c>
      <c r="C1586" s="1" t="n">
        <v>45357</v>
      </c>
      <c r="D1586" t="inlineStr">
        <is>
          <t>VÄSTERBOTTENS LÄN</t>
        </is>
      </c>
      <c r="E1586" t="inlineStr">
        <is>
          <t>SKELLEFTEÅ</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2871-2019</t>
        </is>
      </c>
      <c r="B1587" s="1" t="n">
        <v>43479</v>
      </c>
      <c r="C1587" s="1" t="n">
        <v>45357</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2921-2019</t>
        </is>
      </c>
      <c r="B1588" s="1" t="n">
        <v>43479</v>
      </c>
      <c r="C1588" s="1" t="n">
        <v>45357</v>
      </c>
      <c r="D1588" t="inlineStr">
        <is>
          <t>VÄSTERBOTTENS LÄN</t>
        </is>
      </c>
      <c r="E1588" t="inlineStr">
        <is>
          <t>SKELLEFTEÅ</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4649-2019</t>
        </is>
      </c>
      <c r="B1589" s="1" t="n">
        <v>43479</v>
      </c>
      <c r="C1589" s="1" t="n">
        <v>45357</v>
      </c>
      <c r="D1589" t="inlineStr">
        <is>
          <t>VÄSTERBOTTENS LÄN</t>
        </is>
      </c>
      <c r="E1589" t="inlineStr">
        <is>
          <t>SKELLEFTEÅ</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3104-2019</t>
        </is>
      </c>
      <c r="B1590" s="1" t="n">
        <v>43479</v>
      </c>
      <c r="C1590" s="1" t="n">
        <v>45357</v>
      </c>
      <c r="D1590" t="inlineStr">
        <is>
          <t>VÄSTERBOTTENS LÄN</t>
        </is>
      </c>
      <c r="E1590" t="inlineStr">
        <is>
          <t>LYCKSELE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3094-2019</t>
        </is>
      </c>
      <c r="B1591" s="1" t="n">
        <v>43479</v>
      </c>
      <c r="C1591" s="1" t="n">
        <v>45357</v>
      </c>
      <c r="D1591" t="inlineStr">
        <is>
          <t>VÄSTERBOTTENS LÄN</t>
        </is>
      </c>
      <c r="E1591" t="inlineStr">
        <is>
          <t>VILHELMINA</t>
        </is>
      </c>
      <c r="G1591" t="n">
        <v>39.5</v>
      </c>
      <c r="H1591" t="n">
        <v>0</v>
      </c>
      <c r="I1591" t="n">
        <v>0</v>
      </c>
      <c r="J1591" t="n">
        <v>0</v>
      </c>
      <c r="K1591" t="n">
        <v>0</v>
      </c>
      <c r="L1591" t="n">
        <v>0</v>
      </c>
      <c r="M1591" t="n">
        <v>0</v>
      </c>
      <c r="N1591" t="n">
        <v>0</v>
      </c>
      <c r="O1591" t="n">
        <v>0</v>
      </c>
      <c r="P1591" t="n">
        <v>0</v>
      </c>
      <c r="Q1591" t="n">
        <v>0</v>
      </c>
      <c r="R1591" s="2" t="inlineStr"/>
    </row>
    <row r="1592" ht="15" customHeight="1">
      <c r="A1592" t="inlineStr">
        <is>
          <t>A 2758-2019</t>
        </is>
      </c>
      <c r="B1592" s="1" t="n">
        <v>43479</v>
      </c>
      <c r="C1592" s="1" t="n">
        <v>45357</v>
      </c>
      <c r="D1592" t="inlineStr">
        <is>
          <t>VÄSTERBOTTENS LÄN</t>
        </is>
      </c>
      <c r="E1592" t="inlineStr">
        <is>
          <t>STORUMAN</t>
        </is>
      </c>
      <c r="F1592" t="inlineStr">
        <is>
          <t>Sveaskog</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4653-2019</t>
        </is>
      </c>
      <c r="B1593" s="1" t="n">
        <v>43479</v>
      </c>
      <c r="C1593" s="1" t="n">
        <v>45357</v>
      </c>
      <c r="D1593" t="inlineStr">
        <is>
          <t>VÄSTERBOTTENS LÄN</t>
        </is>
      </c>
      <c r="E1593" t="inlineStr">
        <is>
          <t>SKELLEFTEÅ</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2742-2019</t>
        </is>
      </c>
      <c r="B1594" s="1" t="n">
        <v>43479</v>
      </c>
      <c r="C1594" s="1" t="n">
        <v>45357</v>
      </c>
      <c r="D1594" t="inlineStr">
        <is>
          <t>VÄSTERBOTTENS LÄN</t>
        </is>
      </c>
      <c r="E1594" t="inlineStr">
        <is>
          <t>STORUMAN</t>
        </is>
      </c>
      <c r="F1594" t="inlineStr">
        <is>
          <t>Sveaskog</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4928-2019</t>
        </is>
      </c>
      <c r="B1595" s="1" t="n">
        <v>43479</v>
      </c>
      <c r="C1595" s="1" t="n">
        <v>45357</v>
      </c>
      <c r="D1595" t="inlineStr">
        <is>
          <t>VÄSTERBOTTENS LÄN</t>
        </is>
      </c>
      <c r="E1595" t="inlineStr">
        <is>
          <t>ÅSELE</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4668-2019</t>
        </is>
      </c>
      <c r="B1596" s="1" t="n">
        <v>43479</v>
      </c>
      <c r="C1596" s="1" t="n">
        <v>45357</v>
      </c>
      <c r="D1596" t="inlineStr">
        <is>
          <t>VÄSTERBOTTENS LÄN</t>
        </is>
      </c>
      <c r="E1596" t="inlineStr">
        <is>
          <t>SKELLEFTEÅ</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4643-2019</t>
        </is>
      </c>
      <c r="B1597" s="1" t="n">
        <v>43479</v>
      </c>
      <c r="C1597" s="1" t="n">
        <v>45357</v>
      </c>
      <c r="D1597" t="inlineStr">
        <is>
          <t>VÄSTERBOTTENS LÄN</t>
        </is>
      </c>
      <c r="E1597" t="inlineStr">
        <is>
          <t>SKELLEFTEÅ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3394-2019</t>
        </is>
      </c>
      <c r="B1598" s="1" t="n">
        <v>43480</v>
      </c>
      <c r="C1598" s="1" t="n">
        <v>45357</v>
      </c>
      <c r="D1598" t="inlineStr">
        <is>
          <t>VÄSTERBOTTENS LÄN</t>
        </is>
      </c>
      <c r="E1598" t="inlineStr">
        <is>
          <t>VILHELMINA</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3396-2019</t>
        </is>
      </c>
      <c r="B1599" s="1" t="n">
        <v>43480</v>
      </c>
      <c r="C1599" s="1" t="n">
        <v>45357</v>
      </c>
      <c r="D1599" t="inlineStr">
        <is>
          <t>VÄSTERBOTTENS LÄN</t>
        </is>
      </c>
      <c r="E1599" t="inlineStr">
        <is>
          <t>VILHELMINA</t>
        </is>
      </c>
      <c r="F1599" t="inlineStr">
        <is>
          <t>SCA</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4977-2019</t>
        </is>
      </c>
      <c r="B1600" s="1" t="n">
        <v>43480</v>
      </c>
      <c r="C1600" s="1" t="n">
        <v>45357</v>
      </c>
      <c r="D1600" t="inlineStr">
        <is>
          <t>VÄSTERBOTTENS LÄN</t>
        </is>
      </c>
      <c r="E1600" t="inlineStr">
        <is>
          <t>SKELLEFTEÅ</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5220-2019</t>
        </is>
      </c>
      <c r="B1601" s="1" t="n">
        <v>43480</v>
      </c>
      <c r="C1601" s="1" t="n">
        <v>45357</v>
      </c>
      <c r="D1601" t="inlineStr">
        <is>
          <t>VÄSTERBOTTENS LÄN</t>
        </is>
      </c>
      <c r="E1601" t="inlineStr">
        <is>
          <t>LYCKSELE</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3395-2019</t>
        </is>
      </c>
      <c r="B1602" s="1" t="n">
        <v>43480</v>
      </c>
      <c r="C1602" s="1" t="n">
        <v>45357</v>
      </c>
      <c r="D1602" t="inlineStr">
        <is>
          <t>VÄSTERBOTTENS LÄN</t>
        </is>
      </c>
      <c r="E1602" t="inlineStr">
        <is>
          <t>VILHELMINA</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5226-2019</t>
        </is>
      </c>
      <c r="B1603" s="1" t="n">
        <v>43480</v>
      </c>
      <c r="C1603" s="1" t="n">
        <v>45357</v>
      </c>
      <c r="D1603" t="inlineStr">
        <is>
          <t>VÄSTERBOTTENS LÄN</t>
        </is>
      </c>
      <c r="E1603" t="inlineStr">
        <is>
          <t>LYCKSELE</t>
        </is>
      </c>
      <c r="G1603" t="n">
        <v>11.9</v>
      </c>
      <c r="H1603" t="n">
        <v>0</v>
      </c>
      <c r="I1603" t="n">
        <v>0</v>
      </c>
      <c r="J1603" t="n">
        <v>0</v>
      </c>
      <c r="K1603" t="n">
        <v>0</v>
      </c>
      <c r="L1603" t="n">
        <v>0</v>
      </c>
      <c r="M1603" t="n">
        <v>0</v>
      </c>
      <c r="N1603" t="n">
        <v>0</v>
      </c>
      <c r="O1603" t="n">
        <v>0</v>
      </c>
      <c r="P1603" t="n">
        <v>0</v>
      </c>
      <c r="Q1603" t="n">
        <v>0</v>
      </c>
      <c r="R1603" s="2" t="inlineStr"/>
    </row>
    <row r="1604" ht="15" customHeight="1">
      <c r="A1604" t="inlineStr">
        <is>
          <t>A 3435-2019</t>
        </is>
      </c>
      <c r="B1604" s="1" t="n">
        <v>43481</v>
      </c>
      <c r="C1604" s="1" t="n">
        <v>45357</v>
      </c>
      <c r="D1604" t="inlineStr">
        <is>
          <t>VÄSTERBOTTENS LÄN</t>
        </is>
      </c>
      <c r="E1604" t="inlineStr">
        <is>
          <t>STORUMAN</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5435-2019</t>
        </is>
      </c>
      <c r="B1605" s="1" t="n">
        <v>43481</v>
      </c>
      <c r="C1605" s="1" t="n">
        <v>45357</v>
      </c>
      <c r="D1605" t="inlineStr">
        <is>
          <t>VÄSTERBOTTENS LÄN</t>
        </is>
      </c>
      <c r="E1605" t="inlineStr">
        <is>
          <t>VINDELN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5715-2019</t>
        </is>
      </c>
      <c r="B1606" s="1" t="n">
        <v>43481</v>
      </c>
      <c r="C1606" s="1" t="n">
        <v>45357</v>
      </c>
      <c r="D1606" t="inlineStr">
        <is>
          <t>VÄSTERBOTTENS LÄN</t>
        </is>
      </c>
      <c r="E1606" t="inlineStr">
        <is>
          <t>ROBERTSFORS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5323-2019</t>
        </is>
      </c>
      <c r="B1607" s="1" t="n">
        <v>43481</v>
      </c>
      <c r="C1607" s="1" t="n">
        <v>45357</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3764-2019</t>
        </is>
      </c>
      <c r="B1608" s="1" t="n">
        <v>43481</v>
      </c>
      <c r="C1608" s="1" t="n">
        <v>45357</v>
      </c>
      <c r="D1608" t="inlineStr">
        <is>
          <t>VÄSTERBOTTENS LÄN</t>
        </is>
      </c>
      <c r="E1608" t="inlineStr">
        <is>
          <t>VINDELN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5714-2019</t>
        </is>
      </c>
      <c r="B1609" s="1" t="n">
        <v>43481</v>
      </c>
      <c r="C1609" s="1" t="n">
        <v>45357</v>
      </c>
      <c r="D1609" t="inlineStr">
        <is>
          <t>VÄSTERBOTTENS LÄN</t>
        </is>
      </c>
      <c r="E1609" t="inlineStr">
        <is>
          <t>ROBERTSFORS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5436-2019</t>
        </is>
      </c>
      <c r="B1610" s="1" t="n">
        <v>43481</v>
      </c>
      <c r="C1610" s="1" t="n">
        <v>45357</v>
      </c>
      <c r="D1610" t="inlineStr">
        <is>
          <t>VÄSTERBOTTENS LÄN</t>
        </is>
      </c>
      <c r="E1610" t="inlineStr">
        <is>
          <t>VINDELN</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5440-2019</t>
        </is>
      </c>
      <c r="B1611" s="1" t="n">
        <v>43481</v>
      </c>
      <c r="C1611" s="1" t="n">
        <v>45357</v>
      </c>
      <c r="D1611" t="inlineStr">
        <is>
          <t>VÄSTERBOTTENS LÄN</t>
        </is>
      </c>
      <c r="E1611" t="inlineStr">
        <is>
          <t>NORDMALING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3545-2019</t>
        </is>
      </c>
      <c r="B1612" s="1" t="n">
        <v>43481</v>
      </c>
      <c r="C1612" s="1" t="n">
        <v>45357</v>
      </c>
      <c r="D1612" t="inlineStr">
        <is>
          <t>VÄSTERBOTTENS LÄN</t>
        </is>
      </c>
      <c r="E1612" t="inlineStr">
        <is>
          <t>STORUMAN</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3453-2019</t>
        </is>
      </c>
      <c r="B1613" s="1" t="n">
        <v>43481</v>
      </c>
      <c r="C1613" s="1" t="n">
        <v>45357</v>
      </c>
      <c r="D1613" t="inlineStr">
        <is>
          <t>VÄSTERBOTTENS LÄN</t>
        </is>
      </c>
      <c r="E1613" t="inlineStr">
        <is>
          <t>UMEÅ</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3948-2019</t>
        </is>
      </c>
      <c r="B1614" s="1" t="n">
        <v>43482</v>
      </c>
      <c r="C1614" s="1" t="n">
        <v>45357</v>
      </c>
      <c r="D1614" t="inlineStr">
        <is>
          <t>VÄSTERBOTTENS LÄN</t>
        </is>
      </c>
      <c r="E1614" t="inlineStr">
        <is>
          <t>UMEÅ</t>
        </is>
      </c>
      <c r="F1614" t="inlineStr">
        <is>
          <t>Kommuner</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4030-2019</t>
        </is>
      </c>
      <c r="B1615" s="1" t="n">
        <v>43482</v>
      </c>
      <c r="C1615" s="1" t="n">
        <v>45357</v>
      </c>
      <c r="D1615" t="inlineStr">
        <is>
          <t>VÄSTERBOTTENS LÄN</t>
        </is>
      </c>
      <c r="E1615" t="inlineStr">
        <is>
          <t>SORSELE</t>
        </is>
      </c>
      <c r="F1615" t="inlineStr">
        <is>
          <t>Övriga statliga verk och myndigheter</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4001-2019</t>
        </is>
      </c>
      <c r="B1616" s="1" t="n">
        <v>43482</v>
      </c>
      <c r="C1616" s="1" t="n">
        <v>45357</v>
      </c>
      <c r="D1616" t="inlineStr">
        <is>
          <t>VÄSTERBOTTENS LÄN</t>
        </is>
      </c>
      <c r="E1616" t="inlineStr">
        <is>
          <t>SORSELE</t>
        </is>
      </c>
      <c r="G1616" t="n">
        <v>16.1</v>
      </c>
      <c r="H1616" t="n">
        <v>0</v>
      </c>
      <c r="I1616" t="n">
        <v>0</v>
      </c>
      <c r="J1616" t="n">
        <v>0</v>
      </c>
      <c r="K1616" t="n">
        <v>0</v>
      </c>
      <c r="L1616" t="n">
        <v>0</v>
      </c>
      <c r="M1616" t="n">
        <v>0</v>
      </c>
      <c r="N1616" t="n">
        <v>0</v>
      </c>
      <c r="O1616" t="n">
        <v>0</v>
      </c>
      <c r="P1616" t="n">
        <v>0</v>
      </c>
      <c r="Q1616" t="n">
        <v>0</v>
      </c>
      <c r="R1616" s="2" t="inlineStr"/>
    </row>
    <row r="1617" ht="15" customHeight="1">
      <c r="A1617" t="inlineStr">
        <is>
          <t>A 4024-2019</t>
        </is>
      </c>
      <c r="B1617" s="1" t="n">
        <v>43482</v>
      </c>
      <c r="C1617" s="1" t="n">
        <v>45357</v>
      </c>
      <c r="D1617" t="inlineStr">
        <is>
          <t>VÄSTERBOTTENS LÄN</t>
        </is>
      </c>
      <c r="E1617" t="inlineStr">
        <is>
          <t>SORSELE</t>
        </is>
      </c>
      <c r="F1617" t="inlineStr">
        <is>
          <t>Övriga statliga verk och myndigheter</t>
        </is>
      </c>
      <c r="G1617" t="n">
        <v>20</v>
      </c>
      <c r="H1617" t="n">
        <v>0</v>
      </c>
      <c r="I1617" t="n">
        <v>0</v>
      </c>
      <c r="J1617" t="n">
        <v>0</v>
      </c>
      <c r="K1617" t="n">
        <v>0</v>
      </c>
      <c r="L1617" t="n">
        <v>0</v>
      </c>
      <c r="M1617" t="n">
        <v>0</v>
      </c>
      <c r="N1617" t="n">
        <v>0</v>
      </c>
      <c r="O1617" t="n">
        <v>0</v>
      </c>
      <c r="P1617" t="n">
        <v>0</v>
      </c>
      <c r="Q1617" t="n">
        <v>0</v>
      </c>
      <c r="R1617" s="2" t="inlineStr"/>
    </row>
    <row r="1618" ht="15" customHeight="1">
      <c r="A1618" t="inlineStr">
        <is>
          <t>A 4029-2019</t>
        </is>
      </c>
      <c r="B1618" s="1" t="n">
        <v>43482</v>
      </c>
      <c r="C1618" s="1" t="n">
        <v>45357</v>
      </c>
      <c r="D1618" t="inlineStr">
        <is>
          <t>VÄSTERBOTTENS LÄN</t>
        </is>
      </c>
      <c r="E1618" t="inlineStr">
        <is>
          <t>SORSELE</t>
        </is>
      </c>
      <c r="F1618" t="inlineStr">
        <is>
          <t>Övriga statliga verk och myndigheter</t>
        </is>
      </c>
      <c r="G1618" t="n">
        <v>19.5</v>
      </c>
      <c r="H1618" t="n">
        <v>0</v>
      </c>
      <c r="I1618" t="n">
        <v>0</v>
      </c>
      <c r="J1618" t="n">
        <v>0</v>
      </c>
      <c r="K1618" t="n">
        <v>0</v>
      </c>
      <c r="L1618" t="n">
        <v>0</v>
      </c>
      <c r="M1618" t="n">
        <v>0</v>
      </c>
      <c r="N1618" t="n">
        <v>0</v>
      </c>
      <c r="O1618" t="n">
        <v>0</v>
      </c>
      <c r="P1618" t="n">
        <v>0</v>
      </c>
      <c r="Q1618" t="n">
        <v>0</v>
      </c>
      <c r="R1618" s="2" t="inlineStr"/>
    </row>
    <row r="1619" ht="15" customHeight="1">
      <c r="A1619" t="inlineStr">
        <is>
          <t>A 4007-2019</t>
        </is>
      </c>
      <c r="B1619" s="1" t="n">
        <v>43482</v>
      </c>
      <c r="C1619" s="1" t="n">
        <v>45357</v>
      </c>
      <c r="D1619" t="inlineStr">
        <is>
          <t>VÄSTERBOTTENS LÄN</t>
        </is>
      </c>
      <c r="E1619" t="inlineStr">
        <is>
          <t>SORSELE</t>
        </is>
      </c>
      <c r="F1619" t="inlineStr">
        <is>
          <t>Övriga statliga verk och myndigheter</t>
        </is>
      </c>
      <c r="G1619" t="n">
        <v>17.8</v>
      </c>
      <c r="H1619" t="n">
        <v>0</v>
      </c>
      <c r="I1619" t="n">
        <v>0</v>
      </c>
      <c r="J1619" t="n">
        <v>0</v>
      </c>
      <c r="K1619" t="n">
        <v>0</v>
      </c>
      <c r="L1619" t="n">
        <v>0</v>
      </c>
      <c r="M1619" t="n">
        <v>0</v>
      </c>
      <c r="N1619" t="n">
        <v>0</v>
      </c>
      <c r="O1619" t="n">
        <v>0</v>
      </c>
      <c r="P1619" t="n">
        <v>0</v>
      </c>
      <c r="Q1619" t="n">
        <v>0</v>
      </c>
      <c r="R1619" s="2" t="inlineStr"/>
    </row>
    <row r="1620" ht="15" customHeight="1">
      <c r="A1620" t="inlineStr">
        <is>
          <t>A 4042-2019</t>
        </is>
      </c>
      <c r="B1620" s="1" t="n">
        <v>43482</v>
      </c>
      <c r="C1620" s="1" t="n">
        <v>45357</v>
      </c>
      <c r="D1620" t="inlineStr">
        <is>
          <t>VÄSTERBOTTENS LÄN</t>
        </is>
      </c>
      <c r="E1620" t="inlineStr">
        <is>
          <t>SORSELE</t>
        </is>
      </c>
      <c r="F1620" t="inlineStr">
        <is>
          <t>Övriga statliga verk och myndigheter</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4006-2019</t>
        </is>
      </c>
      <c r="B1621" s="1" t="n">
        <v>43482</v>
      </c>
      <c r="C1621" s="1" t="n">
        <v>45357</v>
      </c>
      <c r="D1621" t="inlineStr">
        <is>
          <t>VÄSTERBOTTENS LÄN</t>
        </is>
      </c>
      <c r="E1621" t="inlineStr">
        <is>
          <t>MALÅ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4064-2019</t>
        </is>
      </c>
      <c r="B1622" s="1" t="n">
        <v>43482</v>
      </c>
      <c r="C1622" s="1" t="n">
        <v>45357</v>
      </c>
      <c r="D1622" t="inlineStr">
        <is>
          <t>VÄSTERBOTTENS LÄN</t>
        </is>
      </c>
      <c r="E1622" t="inlineStr">
        <is>
          <t>SORSELE</t>
        </is>
      </c>
      <c r="F1622" t="inlineStr">
        <is>
          <t>Övriga statliga verk och myndigheter</t>
        </is>
      </c>
      <c r="G1622" t="n">
        <v>19.6</v>
      </c>
      <c r="H1622" t="n">
        <v>0</v>
      </c>
      <c r="I1622" t="n">
        <v>0</v>
      </c>
      <c r="J1622" t="n">
        <v>0</v>
      </c>
      <c r="K1622" t="n">
        <v>0</v>
      </c>
      <c r="L1622" t="n">
        <v>0</v>
      </c>
      <c r="M1622" t="n">
        <v>0</v>
      </c>
      <c r="N1622" t="n">
        <v>0</v>
      </c>
      <c r="O1622" t="n">
        <v>0</v>
      </c>
      <c r="P1622" t="n">
        <v>0</v>
      </c>
      <c r="Q1622" t="n">
        <v>0</v>
      </c>
      <c r="R1622" s="2" t="inlineStr"/>
    </row>
    <row r="1623" ht="15" customHeight="1">
      <c r="A1623" t="inlineStr">
        <is>
          <t>A 5755-2019</t>
        </is>
      </c>
      <c r="B1623" s="1" t="n">
        <v>43482</v>
      </c>
      <c r="C1623" s="1" t="n">
        <v>45357</v>
      </c>
      <c r="D1623" t="inlineStr">
        <is>
          <t>VÄSTERBOTTENS LÄN</t>
        </is>
      </c>
      <c r="E1623" t="inlineStr">
        <is>
          <t>SKELLEFTEÅ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4038-2019</t>
        </is>
      </c>
      <c r="B1624" s="1" t="n">
        <v>43482</v>
      </c>
      <c r="C1624" s="1" t="n">
        <v>45357</v>
      </c>
      <c r="D1624" t="inlineStr">
        <is>
          <t>VÄSTERBOTTENS LÄN</t>
        </is>
      </c>
      <c r="E1624" t="inlineStr">
        <is>
          <t>SORSELE</t>
        </is>
      </c>
      <c r="F1624" t="inlineStr">
        <is>
          <t>Övriga statliga verk och myndigheter</t>
        </is>
      </c>
      <c r="G1624" t="n">
        <v>19.3</v>
      </c>
      <c r="H1624" t="n">
        <v>0</v>
      </c>
      <c r="I1624" t="n">
        <v>0</v>
      </c>
      <c r="J1624" t="n">
        <v>0</v>
      </c>
      <c r="K1624" t="n">
        <v>0</v>
      </c>
      <c r="L1624" t="n">
        <v>0</v>
      </c>
      <c r="M1624" t="n">
        <v>0</v>
      </c>
      <c r="N1624" t="n">
        <v>0</v>
      </c>
      <c r="O1624" t="n">
        <v>0</v>
      </c>
      <c r="P1624" t="n">
        <v>0</v>
      </c>
      <c r="Q1624" t="n">
        <v>0</v>
      </c>
      <c r="R1624" s="2" t="inlineStr"/>
    </row>
    <row r="1625" ht="15" customHeight="1">
      <c r="A1625" t="inlineStr">
        <is>
          <t>A 4017-2019</t>
        </is>
      </c>
      <c r="B1625" s="1" t="n">
        <v>43482</v>
      </c>
      <c r="C1625" s="1" t="n">
        <v>45357</v>
      </c>
      <c r="D1625" t="inlineStr">
        <is>
          <t>VÄSTERBOTTENS LÄN</t>
        </is>
      </c>
      <c r="E1625" t="inlineStr">
        <is>
          <t>SORSELE</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4035-2019</t>
        </is>
      </c>
      <c r="B1626" s="1" t="n">
        <v>43482</v>
      </c>
      <c r="C1626" s="1" t="n">
        <v>45357</v>
      </c>
      <c r="D1626" t="inlineStr">
        <is>
          <t>VÄSTERBOTTENS LÄN</t>
        </is>
      </c>
      <c r="E1626" t="inlineStr">
        <is>
          <t>SORSELE</t>
        </is>
      </c>
      <c r="F1626" t="inlineStr">
        <is>
          <t>Övriga statliga verk och myndigheter</t>
        </is>
      </c>
      <c r="G1626" t="n">
        <v>18.6</v>
      </c>
      <c r="H1626" t="n">
        <v>0</v>
      </c>
      <c r="I1626" t="n">
        <v>0</v>
      </c>
      <c r="J1626" t="n">
        <v>0</v>
      </c>
      <c r="K1626" t="n">
        <v>0</v>
      </c>
      <c r="L1626" t="n">
        <v>0</v>
      </c>
      <c r="M1626" t="n">
        <v>0</v>
      </c>
      <c r="N1626" t="n">
        <v>0</v>
      </c>
      <c r="O1626" t="n">
        <v>0</v>
      </c>
      <c r="P1626" t="n">
        <v>0</v>
      </c>
      <c r="Q1626" t="n">
        <v>0</v>
      </c>
      <c r="R1626" s="2" t="inlineStr"/>
    </row>
    <row r="1627" ht="15" customHeight="1">
      <c r="A1627" t="inlineStr">
        <is>
          <t>A 4039-2019</t>
        </is>
      </c>
      <c r="B1627" s="1" t="n">
        <v>43482</v>
      </c>
      <c r="C1627" s="1" t="n">
        <v>45357</v>
      </c>
      <c r="D1627" t="inlineStr">
        <is>
          <t>VÄSTERBOTTENS LÄN</t>
        </is>
      </c>
      <c r="E1627" t="inlineStr">
        <is>
          <t>SORSELE</t>
        </is>
      </c>
      <c r="F1627" t="inlineStr">
        <is>
          <t>Övriga statliga verk och myndigheter</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5600-2019</t>
        </is>
      </c>
      <c r="B1628" s="1" t="n">
        <v>43482</v>
      </c>
      <c r="C1628" s="1" t="n">
        <v>45357</v>
      </c>
      <c r="D1628" t="inlineStr">
        <is>
          <t>VÄSTERBOTTENS LÄN</t>
        </is>
      </c>
      <c r="E1628" t="inlineStr">
        <is>
          <t>VINDELN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4263-2019</t>
        </is>
      </c>
      <c r="B1629" s="1" t="n">
        <v>43483</v>
      </c>
      <c r="C1629" s="1" t="n">
        <v>45357</v>
      </c>
      <c r="D1629" t="inlineStr">
        <is>
          <t>VÄSTERBOTTENS LÄN</t>
        </is>
      </c>
      <c r="E1629" t="inlineStr">
        <is>
          <t>NORDMALING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6079-2019</t>
        </is>
      </c>
      <c r="B1630" s="1" t="n">
        <v>43483</v>
      </c>
      <c r="C1630" s="1" t="n">
        <v>45357</v>
      </c>
      <c r="D1630" t="inlineStr">
        <is>
          <t>VÄSTERBOTTENS LÄN</t>
        </is>
      </c>
      <c r="E1630" t="inlineStr">
        <is>
          <t>SKELLEFTEÅ</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4315-2019</t>
        </is>
      </c>
      <c r="B1631" s="1" t="n">
        <v>43483</v>
      </c>
      <c r="C1631" s="1" t="n">
        <v>45357</v>
      </c>
      <c r="D1631" t="inlineStr">
        <is>
          <t>VÄSTERBOTTENS LÄN</t>
        </is>
      </c>
      <c r="E1631" t="inlineStr">
        <is>
          <t>VINDELN</t>
        </is>
      </c>
      <c r="G1631" t="n">
        <v>28.5</v>
      </c>
      <c r="H1631" t="n">
        <v>0</v>
      </c>
      <c r="I1631" t="n">
        <v>0</v>
      </c>
      <c r="J1631" t="n">
        <v>0</v>
      </c>
      <c r="K1631" t="n">
        <v>0</v>
      </c>
      <c r="L1631" t="n">
        <v>0</v>
      </c>
      <c r="M1631" t="n">
        <v>0</v>
      </c>
      <c r="N1631" t="n">
        <v>0</v>
      </c>
      <c r="O1631" t="n">
        <v>0</v>
      </c>
      <c r="P1631" t="n">
        <v>0</v>
      </c>
      <c r="Q1631" t="n">
        <v>0</v>
      </c>
      <c r="R1631" s="2" t="inlineStr"/>
    </row>
    <row r="1632" ht="15" customHeight="1">
      <c r="A1632" t="inlineStr">
        <is>
          <t>A 6101-2019</t>
        </is>
      </c>
      <c r="B1632" s="1" t="n">
        <v>43483</v>
      </c>
      <c r="C1632" s="1" t="n">
        <v>45357</v>
      </c>
      <c r="D1632" t="inlineStr">
        <is>
          <t>VÄSTERBOTTENS LÄN</t>
        </is>
      </c>
      <c r="E1632" t="inlineStr">
        <is>
          <t>NORDMALING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4260-2019</t>
        </is>
      </c>
      <c r="B1633" s="1" t="n">
        <v>43483</v>
      </c>
      <c r="C1633" s="1" t="n">
        <v>45357</v>
      </c>
      <c r="D1633" t="inlineStr">
        <is>
          <t>VÄSTERBOTTENS LÄN</t>
        </is>
      </c>
      <c r="E1633" t="inlineStr">
        <is>
          <t>NORDMALING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4827-2019</t>
        </is>
      </c>
      <c r="B1634" s="1" t="n">
        <v>43486</v>
      </c>
      <c r="C1634" s="1" t="n">
        <v>45357</v>
      </c>
      <c r="D1634" t="inlineStr">
        <is>
          <t>VÄSTERBOTTENS LÄN</t>
        </is>
      </c>
      <c r="E1634" t="inlineStr">
        <is>
          <t>NORDMALING</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4594-2019</t>
        </is>
      </c>
      <c r="B1635" s="1" t="n">
        <v>43486</v>
      </c>
      <c r="C1635" s="1" t="n">
        <v>45357</v>
      </c>
      <c r="D1635" t="inlineStr">
        <is>
          <t>VÄSTERBOTTENS LÄN</t>
        </is>
      </c>
      <c r="E1635" t="inlineStr">
        <is>
          <t>ROBERTSFORS</t>
        </is>
      </c>
      <c r="F1635" t="inlineStr">
        <is>
          <t>Holmen skog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6505-2019</t>
        </is>
      </c>
      <c r="B1636" s="1" t="n">
        <v>43486</v>
      </c>
      <c r="C1636" s="1" t="n">
        <v>45357</v>
      </c>
      <c r="D1636" t="inlineStr">
        <is>
          <t>VÄSTERBOTTENS LÄN</t>
        </is>
      </c>
      <c r="E1636" t="inlineStr">
        <is>
          <t>NORSJÖ</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6469-2019</t>
        </is>
      </c>
      <c r="B1637" s="1" t="n">
        <v>43486</v>
      </c>
      <c r="C1637" s="1" t="n">
        <v>45357</v>
      </c>
      <c r="D1637" t="inlineStr">
        <is>
          <t>VÄSTERBOTTENS LÄN</t>
        </is>
      </c>
      <c r="E1637" t="inlineStr">
        <is>
          <t>NORSJÖ</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4815-2019</t>
        </is>
      </c>
      <c r="B1638" s="1" t="n">
        <v>43486</v>
      </c>
      <c r="C1638" s="1" t="n">
        <v>45357</v>
      </c>
      <c r="D1638" t="inlineStr">
        <is>
          <t>VÄSTERBOTTENS LÄN</t>
        </is>
      </c>
      <c r="E1638" t="inlineStr">
        <is>
          <t>LYCKSELE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6500-2019</t>
        </is>
      </c>
      <c r="B1639" s="1" t="n">
        <v>43486</v>
      </c>
      <c r="C1639" s="1" t="n">
        <v>45357</v>
      </c>
      <c r="D1639" t="inlineStr">
        <is>
          <t>VÄSTERBOTTENS LÄN</t>
        </is>
      </c>
      <c r="E1639" t="inlineStr">
        <is>
          <t>NORSJÖ</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4480-2019</t>
        </is>
      </c>
      <c r="B1640" s="1" t="n">
        <v>43486</v>
      </c>
      <c r="C1640" s="1" t="n">
        <v>45357</v>
      </c>
      <c r="D1640" t="inlineStr">
        <is>
          <t>VÄSTERBOTTENS LÄN</t>
        </is>
      </c>
      <c r="E1640" t="inlineStr">
        <is>
          <t>SKELLEFTEÅ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4896-2019</t>
        </is>
      </c>
      <c r="B1641" s="1" t="n">
        <v>43487</v>
      </c>
      <c r="C1641" s="1" t="n">
        <v>45357</v>
      </c>
      <c r="D1641" t="inlineStr">
        <is>
          <t>VÄSTERBOTTENS LÄN</t>
        </is>
      </c>
      <c r="E1641" t="inlineStr">
        <is>
          <t>VÄNNÄS</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4842-2019</t>
        </is>
      </c>
      <c r="B1642" s="1" t="n">
        <v>43487</v>
      </c>
      <c r="C1642" s="1" t="n">
        <v>45357</v>
      </c>
      <c r="D1642" t="inlineStr">
        <is>
          <t>VÄSTERBOTTENS LÄN</t>
        </is>
      </c>
      <c r="E1642" t="inlineStr">
        <is>
          <t>SKELLEFTEÅ</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4873-2019</t>
        </is>
      </c>
      <c r="B1643" s="1" t="n">
        <v>43487</v>
      </c>
      <c r="C1643" s="1" t="n">
        <v>45357</v>
      </c>
      <c r="D1643" t="inlineStr">
        <is>
          <t>VÄSTERBOTTENS LÄN</t>
        </is>
      </c>
      <c r="E1643" t="inlineStr">
        <is>
          <t>UMEÅ</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5128-2019</t>
        </is>
      </c>
      <c r="B1644" s="1" t="n">
        <v>43487</v>
      </c>
      <c r="C1644" s="1" t="n">
        <v>45357</v>
      </c>
      <c r="D1644" t="inlineStr">
        <is>
          <t>VÄSTERBOTTENS LÄN</t>
        </is>
      </c>
      <c r="E1644" t="inlineStr">
        <is>
          <t>VILHELMINA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6607-2019</t>
        </is>
      </c>
      <c r="B1645" s="1" t="n">
        <v>43487</v>
      </c>
      <c r="C1645" s="1" t="n">
        <v>45357</v>
      </c>
      <c r="D1645" t="inlineStr">
        <is>
          <t>VÄSTERBOTTENS LÄN</t>
        </is>
      </c>
      <c r="E1645" t="inlineStr">
        <is>
          <t>NORSJÖ</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6902-2019</t>
        </is>
      </c>
      <c r="B1646" s="1" t="n">
        <v>43488</v>
      </c>
      <c r="C1646" s="1" t="n">
        <v>45357</v>
      </c>
      <c r="D1646" t="inlineStr">
        <is>
          <t>VÄSTERBOTTENS LÄN</t>
        </is>
      </c>
      <c r="E1646" t="inlineStr">
        <is>
          <t>MALÅ</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5403-2019</t>
        </is>
      </c>
      <c r="B1647" s="1" t="n">
        <v>43488</v>
      </c>
      <c r="C1647" s="1" t="n">
        <v>45357</v>
      </c>
      <c r="D1647" t="inlineStr">
        <is>
          <t>VÄSTERBOTTENS LÄN</t>
        </is>
      </c>
      <c r="E1647" t="inlineStr">
        <is>
          <t>VINDELN</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5401-2019</t>
        </is>
      </c>
      <c r="B1648" s="1" t="n">
        <v>43488</v>
      </c>
      <c r="C1648" s="1" t="n">
        <v>45357</v>
      </c>
      <c r="D1648" t="inlineStr">
        <is>
          <t>VÄSTERBOTTENS LÄN</t>
        </is>
      </c>
      <c r="E1648" t="inlineStr">
        <is>
          <t>VINDELN</t>
        </is>
      </c>
      <c r="G1648" t="n">
        <v>12.7</v>
      </c>
      <c r="H1648" t="n">
        <v>0</v>
      </c>
      <c r="I1648" t="n">
        <v>0</v>
      </c>
      <c r="J1648" t="n">
        <v>0</v>
      </c>
      <c r="K1648" t="n">
        <v>0</v>
      </c>
      <c r="L1648" t="n">
        <v>0</v>
      </c>
      <c r="M1648" t="n">
        <v>0</v>
      </c>
      <c r="N1648" t="n">
        <v>0</v>
      </c>
      <c r="O1648" t="n">
        <v>0</v>
      </c>
      <c r="P1648" t="n">
        <v>0</v>
      </c>
      <c r="Q1648" t="n">
        <v>0</v>
      </c>
      <c r="R1648" s="2" t="inlineStr"/>
    </row>
    <row r="1649" ht="15" customHeight="1">
      <c r="A1649" t="inlineStr">
        <is>
          <t>A 5239-2019</t>
        </is>
      </c>
      <c r="B1649" s="1" t="n">
        <v>43488</v>
      </c>
      <c r="C1649" s="1" t="n">
        <v>45357</v>
      </c>
      <c r="D1649" t="inlineStr">
        <is>
          <t>VÄSTERBOTTENS LÄN</t>
        </is>
      </c>
      <c r="E1649" t="inlineStr">
        <is>
          <t>VINDELN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5324-2019</t>
        </is>
      </c>
      <c r="B1650" s="1" t="n">
        <v>43488</v>
      </c>
      <c r="C1650" s="1" t="n">
        <v>45357</v>
      </c>
      <c r="D1650" t="inlineStr">
        <is>
          <t>VÄSTERBOTTENS LÄN</t>
        </is>
      </c>
      <c r="E1650" t="inlineStr">
        <is>
          <t>LYCKSELE</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7175-2019</t>
        </is>
      </c>
      <c r="B1651" s="1" t="n">
        <v>43489</v>
      </c>
      <c r="C1651" s="1" t="n">
        <v>45357</v>
      </c>
      <c r="D1651" t="inlineStr">
        <is>
          <t>VÄSTERBOTTENS LÄN</t>
        </is>
      </c>
      <c r="E1651" t="inlineStr">
        <is>
          <t>SKELLEFTEÅ</t>
        </is>
      </c>
      <c r="G1651" t="n">
        <v>16.5</v>
      </c>
      <c r="H1651" t="n">
        <v>0</v>
      </c>
      <c r="I1651" t="n">
        <v>0</v>
      </c>
      <c r="J1651" t="n">
        <v>0</v>
      </c>
      <c r="K1651" t="n">
        <v>0</v>
      </c>
      <c r="L1651" t="n">
        <v>0</v>
      </c>
      <c r="M1651" t="n">
        <v>0</v>
      </c>
      <c r="N1651" t="n">
        <v>0</v>
      </c>
      <c r="O1651" t="n">
        <v>0</v>
      </c>
      <c r="P1651" t="n">
        <v>0</v>
      </c>
      <c r="Q1651" t="n">
        <v>0</v>
      </c>
      <c r="R1651" s="2" t="inlineStr"/>
    </row>
    <row r="1652" ht="15" customHeight="1">
      <c r="A1652" t="inlineStr">
        <is>
          <t>A 5542-2019</t>
        </is>
      </c>
      <c r="B1652" s="1" t="n">
        <v>43489</v>
      </c>
      <c r="C1652" s="1" t="n">
        <v>45357</v>
      </c>
      <c r="D1652" t="inlineStr">
        <is>
          <t>VÄSTERBOTTENS LÄN</t>
        </is>
      </c>
      <c r="E1652" t="inlineStr">
        <is>
          <t>LYCKSELE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7250-2019</t>
        </is>
      </c>
      <c r="B1653" s="1" t="n">
        <v>43489</v>
      </c>
      <c r="C1653" s="1" t="n">
        <v>45357</v>
      </c>
      <c r="D1653" t="inlineStr">
        <is>
          <t>VÄSTERBOTTENS LÄN</t>
        </is>
      </c>
      <c r="E1653" t="inlineStr">
        <is>
          <t>BJURHOLM</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5882-2019</t>
        </is>
      </c>
      <c r="B1654" s="1" t="n">
        <v>43490</v>
      </c>
      <c r="C1654" s="1" t="n">
        <v>45357</v>
      </c>
      <c r="D1654" t="inlineStr">
        <is>
          <t>VÄSTERBOTTENS LÄN</t>
        </is>
      </c>
      <c r="E1654" t="inlineStr">
        <is>
          <t>VINDELN</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7303-2019</t>
        </is>
      </c>
      <c r="B1655" s="1" t="n">
        <v>43490</v>
      </c>
      <c r="C1655" s="1" t="n">
        <v>45357</v>
      </c>
      <c r="D1655" t="inlineStr">
        <is>
          <t>VÄSTERBOTTENS LÄN</t>
        </is>
      </c>
      <c r="E1655" t="inlineStr">
        <is>
          <t>ROBERTSFORS</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5810-2019</t>
        </is>
      </c>
      <c r="B1656" s="1" t="n">
        <v>43490</v>
      </c>
      <c r="C1656" s="1" t="n">
        <v>45357</v>
      </c>
      <c r="D1656" t="inlineStr">
        <is>
          <t>VÄSTERBOTTENS LÄN</t>
        </is>
      </c>
      <c r="E1656" t="inlineStr">
        <is>
          <t>SKELLEFTEÅ</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6133-2019</t>
        </is>
      </c>
      <c r="B1657" s="1" t="n">
        <v>43493</v>
      </c>
      <c r="C1657" s="1" t="n">
        <v>45357</v>
      </c>
      <c r="D1657" t="inlineStr">
        <is>
          <t>VÄSTERBOTTENS LÄN</t>
        </is>
      </c>
      <c r="E1657" t="inlineStr">
        <is>
          <t>SKELLEFTEÅ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6291-2019</t>
        </is>
      </c>
      <c r="B1658" s="1" t="n">
        <v>43493</v>
      </c>
      <c r="C1658" s="1" t="n">
        <v>45357</v>
      </c>
      <c r="D1658" t="inlineStr">
        <is>
          <t>VÄSTERBOTTENS LÄN</t>
        </is>
      </c>
      <c r="E1658" t="inlineStr">
        <is>
          <t>ROBERTSFORS</t>
        </is>
      </c>
      <c r="F1658" t="inlineStr">
        <is>
          <t>Holmen skog AB</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7698-2019</t>
        </is>
      </c>
      <c r="B1659" s="1" t="n">
        <v>43493</v>
      </c>
      <c r="C1659" s="1" t="n">
        <v>45357</v>
      </c>
      <c r="D1659" t="inlineStr">
        <is>
          <t>VÄSTERBOTTENS LÄN</t>
        </is>
      </c>
      <c r="E1659" t="inlineStr">
        <is>
          <t>STORUMAN</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7686-2019</t>
        </is>
      </c>
      <c r="B1660" s="1" t="n">
        <v>43493</v>
      </c>
      <c r="C1660" s="1" t="n">
        <v>45357</v>
      </c>
      <c r="D1660" t="inlineStr">
        <is>
          <t>VÄSTERBOTTENS LÄN</t>
        </is>
      </c>
      <c r="E1660" t="inlineStr">
        <is>
          <t>SORSELE</t>
        </is>
      </c>
      <c r="G1660" t="n">
        <v>14.3</v>
      </c>
      <c r="H1660" t="n">
        <v>0</v>
      </c>
      <c r="I1660" t="n">
        <v>0</v>
      </c>
      <c r="J1660" t="n">
        <v>0</v>
      </c>
      <c r="K1660" t="n">
        <v>0</v>
      </c>
      <c r="L1660" t="n">
        <v>0</v>
      </c>
      <c r="M1660" t="n">
        <v>0</v>
      </c>
      <c r="N1660" t="n">
        <v>0</v>
      </c>
      <c r="O1660" t="n">
        <v>0</v>
      </c>
      <c r="P1660" t="n">
        <v>0</v>
      </c>
      <c r="Q1660" t="n">
        <v>0</v>
      </c>
      <c r="R1660" s="2" t="inlineStr"/>
    </row>
    <row r="1661" ht="15" customHeight="1">
      <c r="A1661" t="inlineStr">
        <is>
          <t>A 7670-2019</t>
        </is>
      </c>
      <c r="B1661" s="1" t="n">
        <v>43493</v>
      </c>
      <c r="C1661" s="1" t="n">
        <v>45357</v>
      </c>
      <c r="D1661" t="inlineStr">
        <is>
          <t>VÄSTERBOTTENS LÄN</t>
        </is>
      </c>
      <c r="E1661" t="inlineStr">
        <is>
          <t>ÅSELE</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6651-2019</t>
        </is>
      </c>
      <c r="B1662" s="1" t="n">
        <v>43494</v>
      </c>
      <c r="C1662" s="1" t="n">
        <v>45357</v>
      </c>
      <c r="D1662" t="inlineStr">
        <is>
          <t>VÄSTERBOTTENS LÄN</t>
        </is>
      </c>
      <c r="E1662" t="inlineStr">
        <is>
          <t>MALÅ</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6941-2019</t>
        </is>
      </c>
      <c r="B1663" s="1" t="n">
        <v>43495</v>
      </c>
      <c r="C1663" s="1" t="n">
        <v>45357</v>
      </c>
      <c r="D1663" t="inlineStr">
        <is>
          <t>VÄSTERBOTTENS LÄN</t>
        </is>
      </c>
      <c r="E1663" t="inlineStr">
        <is>
          <t>UMEÅ</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6974-2019</t>
        </is>
      </c>
      <c r="B1664" s="1" t="n">
        <v>43495</v>
      </c>
      <c r="C1664" s="1" t="n">
        <v>45357</v>
      </c>
      <c r="D1664" t="inlineStr">
        <is>
          <t>VÄSTERBOTTENS LÄN</t>
        </is>
      </c>
      <c r="E1664" t="inlineStr">
        <is>
          <t>UMEÅ</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8073-2019</t>
        </is>
      </c>
      <c r="B1665" s="1" t="n">
        <v>43495</v>
      </c>
      <c r="C1665" s="1" t="n">
        <v>45357</v>
      </c>
      <c r="D1665" t="inlineStr">
        <is>
          <t>VÄSTERBOTTENS LÄN</t>
        </is>
      </c>
      <c r="E1665" t="inlineStr">
        <is>
          <t>SORSELE</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8159-2019</t>
        </is>
      </c>
      <c r="B1666" s="1" t="n">
        <v>43495</v>
      </c>
      <c r="C1666" s="1" t="n">
        <v>45357</v>
      </c>
      <c r="D1666" t="inlineStr">
        <is>
          <t>VÄSTERBOTTENS LÄN</t>
        </is>
      </c>
      <c r="E1666" t="inlineStr">
        <is>
          <t>LYCKSELE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7029-2019</t>
        </is>
      </c>
      <c r="B1667" s="1" t="n">
        <v>43495</v>
      </c>
      <c r="C1667" s="1" t="n">
        <v>45357</v>
      </c>
      <c r="D1667" t="inlineStr">
        <is>
          <t>VÄSTERBOTTENS LÄN</t>
        </is>
      </c>
      <c r="E1667" t="inlineStr">
        <is>
          <t>VÄNNÄS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8100-2019</t>
        </is>
      </c>
      <c r="B1668" s="1" t="n">
        <v>43495</v>
      </c>
      <c r="C1668" s="1" t="n">
        <v>45357</v>
      </c>
      <c r="D1668" t="inlineStr">
        <is>
          <t>VÄSTERBOTTENS LÄN</t>
        </is>
      </c>
      <c r="E1668" t="inlineStr">
        <is>
          <t>SORSELE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8157-2019</t>
        </is>
      </c>
      <c r="B1669" s="1" t="n">
        <v>43495</v>
      </c>
      <c r="C1669" s="1" t="n">
        <v>45357</v>
      </c>
      <c r="D1669" t="inlineStr">
        <is>
          <t>VÄSTERBOTTENS LÄN</t>
        </is>
      </c>
      <c r="E1669" t="inlineStr">
        <is>
          <t>LYCKSELE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8122-2019</t>
        </is>
      </c>
      <c r="B1670" s="1" t="n">
        <v>43495</v>
      </c>
      <c r="C1670" s="1" t="n">
        <v>45357</v>
      </c>
      <c r="D1670" t="inlineStr">
        <is>
          <t>VÄSTERBOTTENS LÄN</t>
        </is>
      </c>
      <c r="E1670" t="inlineStr">
        <is>
          <t>SORSELE</t>
        </is>
      </c>
      <c r="G1670" t="n">
        <v>22.4</v>
      </c>
      <c r="H1670" t="n">
        <v>0</v>
      </c>
      <c r="I1670" t="n">
        <v>0</v>
      </c>
      <c r="J1670" t="n">
        <v>0</v>
      </c>
      <c r="K1670" t="n">
        <v>0</v>
      </c>
      <c r="L1670" t="n">
        <v>0</v>
      </c>
      <c r="M1670" t="n">
        <v>0</v>
      </c>
      <c r="N1670" t="n">
        <v>0</v>
      </c>
      <c r="O1670" t="n">
        <v>0</v>
      </c>
      <c r="P1670" t="n">
        <v>0</v>
      </c>
      <c r="Q1670" t="n">
        <v>0</v>
      </c>
      <c r="R1670" s="2" t="inlineStr"/>
    </row>
    <row r="1671" ht="15" customHeight="1">
      <c r="A1671" t="inlineStr">
        <is>
          <t>A 8079-2019</t>
        </is>
      </c>
      <c r="B1671" s="1" t="n">
        <v>43495</v>
      </c>
      <c r="C1671" s="1" t="n">
        <v>45357</v>
      </c>
      <c r="D1671" t="inlineStr">
        <is>
          <t>VÄSTERBOTTENS LÄN</t>
        </is>
      </c>
      <c r="E1671" t="inlineStr">
        <is>
          <t>SORSELE</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8104-2019</t>
        </is>
      </c>
      <c r="B1672" s="1" t="n">
        <v>43495</v>
      </c>
      <c r="C1672" s="1" t="n">
        <v>45357</v>
      </c>
      <c r="D1672" t="inlineStr">
        <is>
          <t>VÄSTERBOTTENS LÄN</t>
        </is>
      </c>
      <c r="E1672" t="inlineStr">
        <is>
          <t>SORSELE</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8163-2019</t>
        </is>
      </c>
      <c r="B1673" s="1" t="n">
        <v>43495</v>
      </c>
      <c r="C1673" s="1" t="n">
        <v>45357</v>
      </c>
      <c r="D1673" t="inlineStr">
        <is>
          <t>VÄSTERBOTTENS LÄN</t>
        </is>
      </c>
      <c r="E1673" t="inlineStr">
        <is>
          <t>LYCKSELE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8152-2019</t>
        </is>
      </c>
      <c r="B1674" s="1" t="n">
        <v>43495</v>
      </c>
      <c r="C1674" s="1" t="n">
        <v>45357</v>
      </c>
      <c r="D1674" t="inlineStr">
        <is>
          <t>VÄSTERBOTTENS LÄN</t>
        </is>
      </c>
      <c r="E1674" t="inlineStr">
        <is>
          <t>LYCKSELE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7055-2019</t>
        </is>
      </c>
      <c r="B1675" s="1" t="n">
        <v>43495</v>
      </c>
      <c r="C1675" s="1" t="n">
        <v>45357</v>
      </c>
      <c r="D1675" t="inlineStr">
        <is>
          <t>VÄSTERBOTTENS LÄN</t>
        </is>
      </c>
      <c r="E1675" t="inlineStr">
        <is>
          <t>VINDELN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6949-2019</t>
        </is>
      </c>
      <c r="B1676" s="1" t="n">
        <v>43495</v>
      </c>
      <c r="C1676" s="1" t="n">
        <v>45357</v>
      </c>
      <c r="D1676" t="inlineStr">
        <is>
          <t>VÄSTERBOTTENS LÄN</t>
        </is>
      </c>
      <c r="E1676" t="inlineStr">
        <is>
          <t>VINDELN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7201-2019</t>
        </is>
      </c>
      <c r="B1677" s="1" t="n">
        <v>43496</v>
      </c>
      <c r="C1677" s="1" t="n">
        <v>45357</v>
      </c>
      <c r="D1677" t="inlineStr">
        <is>
          <t>VÄSTERBOTTENS LÄN</t>
        </is>
      </c>
      <c r="E1677" t="inlineStr">
        <is>
          <t>BJURHOLM</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8242-2019</t>
        </is>
      </c>
      <c r="B1678" s="1" t="n">
        <v>43496</v>
      </c>
      <c r="C1678" s="1" t="n">
        <v>45357</v>
      </c>
      <c r="D1678" t="inlineStr">
        <is>
          <t>VÄSTERBOTTENS LÄN</t>
        </is>
      </c>
      <c r="E1678" t="inlineStr">
        <is>
          <t>VÄNNÄS</t>
        </is>
      </c>
      <c r="F1678" t="inlineStr">
        <is>
          <t>Kommuner</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7336-2019</t>
        </is>
      </c>
      <c r="B1679" s="1" t="n">
        <v>43496</v>
      </c>
      <c r="C1679" s="1" t="n">
        <v>45357</v>
      </c>
      <c r="D1679" t="inlineStr">
        <is>
          <t>VÄSTERBOTTENS LÄN</t>
        </is>
      </c>
      <c r="E1679" t="inlineStr">
        <is>
          <t>NORSJÖ</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7407-2019</t>
        </is>
      </c>
      <c r="B1680" s="1" t="n">
        <v>43496</v>
      </c>
      <c r="C1680" s="1" t="n">
        <v>45357</v>
      </c>
      <c r="D1680" t="inlineStr">
        <is>
          <t>VÄSTERBOTTENS LÄN</t>
        </is>
      </c>
      <c r="E1680" t="inlineStr">
        <is>
          <t>BJURHOLM</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7338-2019</t>
        </is>
      </c>
      <c r="B1681" s="1" t="n">
        <v>43496</v>
      </c>
      <c r="C1681" s="1" t="n">
        <v>45357</v>
      </c>
      <c r="D1681" t="inlineStr">
        <is>
          <t>VÄSTERBOTTENS LÄN</t>
        </is>
      </c>
      <c r="E1681" t="inlineStr">
        <is>
          <t>NORSJÖ</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7359-2019</t>
        </is>
      </c>
      <c r="B1682" s="1" t="n">
        <v>43496</v>
      </c>
      <c r="C1682" s="1" t="n">
        <v>45357</v>
      </c>
      <c r="D1682" t="inlineStr">
        <is>
          <t>VÄSTERBOTTENS LÄN</t>
        </is>
      </c>
      <c r="E1682" t="inlineStr">
        <is>
          <t>VILHELMINA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7337-2019</t>
        </is>
      </c>
      <c r="B1683" s="1" t="n">
        <v>43496</v>
      </c>
      <c r="C1683" s="1" t="n">
        <v>45357</v>
      </c>
      <c r="D1683" t="inlineStr">
        <is>
          <t>VÄSTERBOTTENS LÄN</t>
        </is>
      </c>
      <c r="E1683" t="inlineStr">
        <is>
          <t>NORSJÖ</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8038-2019</t>
        </is>
      </c>
      <c r="B1684" s="1" t="n">
        <v>43497</v>
      </c>
      <c r="C1684" s="1" t="n">
        <v>45357</v>
      </c>
      <c r="D1684" t="inlineStr">
        <is>
          <t>VÄSTERBOTTENS LÄN</t>
        </is>
      </c>
      <c r="E1684" t="inlineStr">
        <is>
          <t>STORUMAN</t>
        </is>
      </c>
      <c r="G1684" t="n">
        <v>13.6</v>
      </c>
      <c r="H1684" t="n">
        <v>0</v>
      </c>
      <c r="I1684" t="n">
        <v>0</v>
      </c>
      <c r="J1684" t="n">
        <v>0</v>
      </c>
      <c r="K1684" t="n">
        <v>0</v>
      </c>
      <c r="L1684" t="n">
        <v>0</v>
      </c>
      <c r="M1684" t="n">
        <v>0</v>
      </c>
      <c r="N1684" t="n">
        <v>0</v>
      </c>
      <c r="O1684" t="n">
        <v>0</v>
      </c>
      <c r="P1684" t="n">
        <v>0</v>
      </c>
      <c r="Q1684" t="n">
        <v>0</v>
      </c>
      <c r="R1684" s="2" t="inlineStr"/>
    </row>
    <row r="1685" ht="15" customHeight="1">
      <c r="A1685" t="inlineStr">
        <is>
          <t>A 7572-2019</t>
        </is>
      </c>
      <c r="B1685" s="1" t="n">
        <v>43497</v>
      </c>
      <c r="C1685" s="1" t="n">
        <v>45357</v>
      </c>
      <c r="D1685" t="inlineStr">
        <is>
          <t>VÄSTERBOTTENS LÄN</t>
        </is>
      </c>
      <c r="E1685" t="inlineStr">
        <is>
          <t>LYCKSELE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7521-2019</t>
        </is>
      </c>
      <c r="B1686" s="1" t="n">
        <v>43497</v>
      </c>
      <c r="C1686" s="1" t="n">
        <v>45357</v>
      </c>
      <c r="D1686" t="inlineStr">
        <is>
          <t>VÄSTERBOTTENS LÄN</t>
        </is>
      </c>
      <c r="E1686" t="inlineStr">
        <is>
          <t>STORUMAN</t>
        </is>
      </c>
      <c r="G1686" t="n">
        <v>28.1</v>
      </c>
      <c r="H1686" t="n">
        <v>0</v>
      </c>
      <c r="I1686" t="n">
        <v>0</v>
      </c>
      <c r="J1686" t="n">
        <v>0</v>
      </c>
      <c r="K1686" t="n">
        <v>0</v>
      </c>
      <c r="L1686" t="n">
        <v>0</v>
      </c>
      <c r="M1686" t="n">
        <v>0</v>
      </c>
      <c r="N1686" t="n">
        <v>0</v>
      </c>
      <c r="O1686" t="n">
        <v>0</v>
      </c>
      <c r="P1686" t="n">
        <v>0</v>
      </c>
      <c r="Q1686" t="n">
        <v>0</v>
      </c>
      <c r="R1686" s="2" t="inlineStr"/>
    </row>
    <row r="1687" ht="15" customHeight="1">
      <c r="A1687" t="inlineStr">
        <is>
          <t>A 8004-2019</t>
        </is>
      </c>
      <c r="B1687" s="1" t="n">
        <v>43497</v>
      </c>
      <c r="C1687" s="1" t="n">
        <v>45357</v>
      </c>
      <c r="D1687" t="inlineStr">
        <is>
          <t>VÄSTERBOTTENS LÄN</t>
        </is>
      </c>
      <c r="E1687" t="inlineStr">
        <is>
          <t>BJURHOLM</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7573-2019</t>
        </is>
      </c>
      <c r="B1688" s="1" t="n">
        <v>43497</v>
      </c>
      <c r="C1688" s="1" t="n">
        <v>45357</v>
      </c>
      <c r="D1688" t="inlineStr">
        <is>
          <t>VÄSTERBOTTENS LÄN</t>
        </is>
      </c>
      <c r="E1688" t="inlineStr">
        <is>
          <t>LYCKSELE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7475-2019</t>
        </is>
      </c>
      <c r="B1689" s="1" t="n">
        <v>43497</v>
      </c>
      <c r="C1689" s="1" t="n">
        <v>45357</v>
      </c>
      <c r="D1689" t="inlineStr">
        <is>
          <t>VÄSTERBOTTENS LÄN</t>
        </is>
      </c>
      <c r="E1689" t="inlineStr">
        <is>
          <t>VILHELMINA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8605-2019</t>
        </is>
      </c>
      <c r="B1690" s="1" t="n">
        <v>43497</v>
      </c>
      <c r="C1690" s="1" t="n">
        <v>45357</v>
      </c>
      <c r="D1690" t="inlineStr">
        <is>
          <t>VÄSTERBOTTENS LÄN</t>
        </is>
      </c>
      <c r="E1690" t="inlineStr">
        <is>
          <t>SKELLEFTEÅ</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8516-2019</t>
        </is>
      </c>
      <c r="B1691" s="1" t="n">
        <v>43500</v>
      </c>
      <c r="C1691" s="1" t="n">
        <v>45357</v>
      </c>
      <c r="D1691" t="inlineStr">
        <is>
          <t>VÄSTERBOTTENS LÄN</t>
        </is>
      </c>
      <c r="E1691" t="inlineStr">
        <is>
          <t>VILHELMINA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8518-2019</t>
        </is>
      </c>
      <c r="B1692" s="1" t="n">
        <v>43500</v>
      </c>
      <c r="C1692" s="1" t="n">
        <v>45357</v>
      </c>
      <c r="D1692" t="inlineStr">
        <is>
          <t>VÄSTERBOTTENS LÄN</t>
        </is>
      </c>
      <c r="E1692" t="inlineStr">
        <is>
          <t>ÅSELE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7643-2019</t>
        </is>
      </c>
      <c r="B1693" s="1" t="n">
        <v>43500</v>
      </c>
      <c r="C1693" s="1" t="n">
        <v>45357</v>
      </c>
      <c r="D1693" t="inlineStr">
        <is>
          <t>VÄSTERBOTTENS LÄN</t>
        </is>
      </c>
      <c r="E1693" t="inlineStr">
        <is>
          <t>VÄNNÄS</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8520-2019</t>
        </is>
      </c>
      <c r="B1694" s="1" t="n">
        <v>43500</v>
      </c>
      <c r="C1694" s="1" t="n">
        <v>45357</v>
      </c>
      <c r="D1694" t="inlineStr">
        <is>
          <t>VÄSTERBOTTENS LÄN</t>
        </is>
      </c>
      <c r="E1694" t="inlineStr">
        <is>
          <t>ÅSELE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8164-2019</t>
        </is>
      </c>
      <c r="B1695" s="1" t="n">
        <v>43501</v>
      </c>
      <c r="C1695" s="1" t="n">
        <v>45357</v>
      </c>
      <c r="D1695" t="inlineStr">
        <is>
          <t>VÄSTERBOTTENS LÄN</t>
        </is>
      </c>
      <c r="E1695" t="inlineStr">
        <is>
          <t>ÅSELE</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8072-2019</t>
        </is>
      </c>
      <c r="B1696" s="1" t="n">
        <v>43501</v>
      </c>
      <c r="C1696" s="1" t="n">
        <v>45357</v>
      </c>
      <c r="D1696" t="inlineStr">
        <is>
          <t>VÄSTERBOTTENS LÄN</t>
        </is>
      </c>
      <c r="E1696" t="inlineStr">
        <is>
          <t>STORUMAN</t>
        </is>
      </c>
      <c r="F1696" t="inlineStr">
        <is>
          <t>Kommuner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8773-2019</t>
        </is>
      </c>
      <c r="B1697" s="1" t="n">
        <v>43501</v>
      </c>
      <c r="C1697" s="1" t="n">
        <v>45357</v>
      </c>
      <c r="D1697" t="inlineStr">
        <is>
          <t>VÄSTERBOTTENS LÄN</t>
        </is>
      </c>
      <c r="E1697" t="inlineStr">
        <is>
          <t>NORSJÖ</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8241-2019</t>
        </is>
      </c>
      <c r="B1698" s="1" t="n">
        <v>43501</v>
      </c>
      <c r="C1698" s="1" t="n">
        <v>45357</v>
      </c>
      <c r="D1698" t="inlineStr">
        <is>
          <t>VÄSTERBOTTENS LÄN</t>
        </is>
      </c>
      <c r="E1698" t="inlineStr">
        <is>
          <t>VILHELMINA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8129-2019</t>
        </is>
      </c>
      <c r="B1699" s="1" t="n">
        <v>43501</v>
      </c>
      <c r="C1699" s="1" t="n">
        <v>45357</v>
      </c>
      <c r="D1699" t="inlineStr">
        <is>
          <t>VÄSTERBOTTENS LÄN</t>
        </is>
      </c>
      <c r="E1699" t="inlineStr">
        <is>
          <t>ROBERTSFORS</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8727-2019</t>
        </is>
      </c>
      <c r="B1700" s="1" t="n">
        <v>43501</v>
      </c>
      <c r="C1700" s="1" t="n">
        <v>45357</v>
      </c>
      <c r="D1700" t="inlineStr">
        <is>
          <t>VÄSTERBOTTENS LÄN</t>
        </is>
      </c>
      <c r="E1700" t="inlineStr">
        <is>
          <t>MALÅ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8729-2019</t>
        </is>
      </c>
      <c r="B1701" s="1" t="n">
        <v>43501</v>
      </c>
      <c r="C1701" s="1" t="n">
        <v>45357</v>
      </c>
      <c r="D1701" t="inlineStr">
        <is>
          <t>VÄSTERBOTTENS LÄN</t>
        </is>
      </c>
      <c r="E1701" t="inlineStr">
        <is>
          <t>MALÅ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8782-2019</t>
        </is>
      </c>
      <c r="B1702" s="1" t="n">
        <v>43501</v>
      </c>
      <c r="C1702" s="1" t="n">
        <v>45357</v>
      </c>
      <c r="D1702" t="inlineStr">
        <is>
          <t>VÄSTERBOTTENS LÄN</t>
        </is>
      </c>
      <c r="E1702" t="inlineStr">
        <is>
          <t>SKELLEFTEÅ</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8323-2019</t>
        </is>
      </c>
      <c r="B1703" s="1" t="n">
        <v>43502</v>
      </c>
      <c r="C1703" s="1" t="n">
        <v>45357</v>
      </c>
      <c r="D1703" t="inlineStr">
        <is>
          <t>VÄSTERBOTTENS LÄN</t>
        </is>
      </c>
      <c r="E1703" t="inlineStr">
        <is>
          <t>SKELLEFTEÅ</t>
        </is>
      </c>
      <c r="G1703" t="n">
        <v>13.2</v>
      </c>
      <c r="H1703" t="n">
        <v>0</v>
      </c>
      <c r="I1703" t="n">
        <v>0</v>
      </c>
      <c r="J1703" t="n">
        <v>0</v>
      </c>
      <c r="K1703" t="n">
        <v>0</v>
      </c>
      <c r="L1703" t="n">
        <v>0</v>
      </c>
      <c r="M1703" t="n">
        <v>0</v>
      </c>
      <c r="N1703" t="n">
        <v>0</v>
      </c>
      <c r="O1703" t="n">
        <v>0</v>
      </c>
      <c r="P1703" t="n">
        <v>0</v>
      </c>
      <c r="Q1703" t="n">
        <v>0</v>
      </c>
      <c r="R1703" s="2" t="inlineStr"/>
    </row>
    <row r="1704" ht="15" customHeight="1">
      <c r="A1704" t="inlineStr">
        <is>
          <t>A 8763-2019</t>
        </is>
      </c>
      <c r="B1704" s="1" t="n">
        <v>43502</v>
      </c>
      <c r="C1704" s="1" t="n">
        <v>45357</v>
      </c>
      <c r="D1704" t="inlineStr">
        <is>
          <t>VÄSTERBOTTENS LÄN</t>
        </is>
      </c>
      <c r="E1704" t="inlineStr">
        <is>
          <t>NORSJÖ</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8591-2019</t>
        </is>
      </c>
      <c r="B1705" s="1" t="n">
        <v>43502</v>
      </c>
      <c r="C1705" s="1" t="n">
        <v>45357</v>
      </c>
      <c r="D1705" t="inlineStr">
        <is>
          <t>VÄSTERBOTTENS LÄN</t>
        </is>
      </c>
      <c r="E1705" t="inlineStr">
        <is>
          <t>ROBERTSFORS</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8787-2019</t>
        </is>
      </c>
      <c r="B1706" s="1" t="n">
        <v>43502</v>
      </c>
      <c r="C1706" s="1" t="n">
        <v>45357</v>
      </c>
      <c r="D1706" t="inlineStr">
        <is>
          <t>VÄSTERBOTTENS LÄN</t>
        </is>
      </c>
      <c r="E1706" t="inlineStr">
        <is>
          <t>NORSJÖ</t>
        </is>
      </c>
      <c r="G1706" t="n">
        <v>10.2</v>
      </c>
      <c r="H1706" t="n">
        <v>0</v>
      </c>
      <c r="I1706" t="n">
        <v>0</v>
      </c>
      <c r="J1706" t="n">
        <v>0</v>
      </c>
      <c r="K1706" t="n">
        <v>0</v>
      </c>
      <c r="L1706" t="n">
        <v>0</v>
      </c>
      <c r="M1706" t="n">
        <v>0</v>
      </c>
      <c r="N1706" t="n">
        <v>0</v>
      </c>
      <c r="O1706" t="n">
        <v>0</v>
      </c>
      <c r="P1706" t="n">
        <v>0</v>
      </c>
      <c r="Q1706" t="n">
        <v>0</v>
      </c>
      <c r="R1706" s="2" t="inlineStr"/>
    </row>
    <row r="1707" ht="15" customHeight="1">
      <c r="A1707" t="inlineStr">
        <is>
          <t>A 8772-2019</t>
        </is>
      </c>
      <c r="B1707" s="1" t="n">
        <v>43502</v>
      </c>
      <c r="C1707" s="1" t="n">
        <v>45357</v>
      </c>
      <c r="D1707" t="inlineStr">
        <is>
          <t>VÄSTERBOTTENS LÄN</t>
        </is>
      </c>
      <c r="E1707" t="inlineStr">
        <is>
          <t>NORSJÖ</t>
        </is>
      </c>
      <c r="G1707" t="n">
        <v>13.4</v>
      </c>
      <c r="H1707" t="n">
        <v>0</v>
      </c>
      <c r="I1707" t="n">
        <v>0</v>
      </c>
      <c r="J1707" t="n">
        <v>0</v>
      </c>
      <c r="K1707" t="n">
        <v>0</v>
      </c>
      <c r="L1707" t="n">
        <v>0</v>
      </c>
      <c r="M1707" t="n">
        <v>0</v>
      </c>
      <c r="N1707" t="n">
        <v>0</v>
      </c>
      <c r="O1707" t="n">
        <v>0</v>
      </c>
      <c r="P1707" t="n">
        <v>0</v>
      </c>
      <c r="Q1707" t="n">
        <v>0</v>
      </c>
      <c r="R1707" s="2" t="inlineStr"/>
    </row>
    <row r="1708" ht="15" customHeight="1">
      <c r="A1708" t="inlineStr">
        <is>
          <t>A 8892-2019</t>
        </is>
      </c>
      <c r="B1708" s="1" t="n">
        <v>43503</v>
      </c>
      <c r="C1708" s="1" t="n">
        <v>45357</v>
      </c>
      <c r="D1708" t="inlineStr">
        <is>
          <t>VÄSTERBOTTENS LÄN</t>
        </is>
      </c>
      <c r="E1708" t="inlineStr">
        <is>
          <t>SORSELE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8834-2019</t>
        </is>
      </c>
      <c r="B1709" s="1" t="n">
        <v>43503</v>
      </c>
      <c r="C1709" s="1" t="n">
        <v>45357</v>
      </c>
      <c r="D1709" t="inlineStr">
        <is>
          <t>VÄSTERBOTTENS LÄN</t>
        </is>
      </c>
      <c r="E1709" t="inlineStr">
        <is>
          <t>NORDMALING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8832-2019</t>
        </is>
      </c>
      <c r="B1710" s="1" t="n">
        <v>43503</v>
      </c>
      <c r="C1710" s="1" t="n">
        <v>45357</v>
      </c>
      <c r="D1710" t="inlineStr">
        <is>
          <t>VÄSTERBOTTENS LÄN</t>
        </is>
      </c>
      <c r="E1710" t="inlineStr">
        <is>
          <t>NORDMALING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8958-2019</t>
        </is>
      </c>
      <c r="B1711" s="1" t="n">
        <v>43503</v>
      </c>
      <c r="C1711" s="1" t="n">
        <v>45357</v>
      </c>
      <c r="D1711" t="inlineStr">
        <is>
          <t>VÄSTERBOTTENS LÄN</t>
        </is>
      </c>
      <c r="E1711" t="inlineStr">
        <is>
          <t>STORUMAN</t>
        </is>
      </c>
      <c r="F1711" t="inlineStr">
        <is>
          <t>SCA</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8633-2019</t>
        </is>
      </c>
      <c r="B1712" s="1" t="n">
        <v>43503</v>
      </c>
      <c r="C1712" s="1" t="n">
        <v>45357</v>
      </c>
      <c r="D1712" t="inlineStr">
        <is>
          <t>VÄSTERBOTTENS LÄN</t>
        </is>
      </c>
      <c r="E1712" t="inlineStr">
        <is>
          <t>SKELLEFTEÅ</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8957-2019</t>
        </is>
      </c>
      <c r="B1713" s="1" t="n">
        <v>43503</v>
      </c>
      <c r="C1713" s="1" t="n">
        <v>45357</v>
      </c>
      <c r="D1713" t="inlineStr">
        <is>
          <t>VÄSTERBOTTENS LÄN</t>
        </is>
      </c>
      <c r="E1713" t="inlineStr">
        <is>
          <t>NORSJÖ</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8814-2019</t>
        </is>
      </c>
      <c r="B1714" s="1" t="n">
        <v>43503</v>
      </c>
      <c r="C1714" s="1" t="n">
        <v>45357</v>
      </c>
      <c r="D1714" t="inlineStr">
        <is>
          <t>VÄSTERBOTTENS LÄN</t>
        </is>
      </c>
      <c r="E1714" t="inlineStr">
        <is>
          <t>VILHELMINA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9023-2019</t>
        </is>
      </c>
      <c r="B1715" s="1" t="n">
        <v>43503</v>
      </c>
      <c r="C1715" s="1" t="n">
        <v>45357</v>
      </c>
      <c r="D1715" t="inlineStr">
        <is>
          <t>VÄSTERBOTTENS LÄN</t>
        </is>
      </c>
      <c r="E1715" t="inlineStr">
        <is>
          <t>NORDMALING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8923-2019</t>
        </is>
      </c>
      <c r="B1716" s="1" t="n">
        <v>43503</v>
      </c>
      <c r="C1716" s="1" t="n">
        <v>45357</v>
      </c>
      <c r="D1716" t="inlineStr">
        <is>
          <t>VÄSTERBOTTENS LÄN</t>
        </is>
      </c>
      <c r="E1716" t="inlineStr">
        <is>
          <t>ROBERTSFORS</t>
        </is>
      </c>
      <c r="G1716" t="n">
        <v>17.3</v>
      </c>
      <c r="H1716" t="n">
        <v>0</v>
      </c>
      <c r="I1716" t="n">
        <v>0</v>
      </c>
      <c r="J1716" t="n">
        <v>0</v>
      </c>
      <c r="K1716" t="n">
        <v>0</v>
      </c>
      <c r="L1716" t="n">
        <v>0</v>
      </c>
      <c r="M1716" t="n">
        <v>0</v>
      </c>
      <c r="N1716" t="n">
        <v>0</v>
      </c>
      <c r="O1716" t="n">
        <v>0</v>
      </c>
      <c r="P1716" t="n">
        <v>0</v>
      </c>
      <c r="Q1716" t="n">
        <v>0</v>
      </c>
      <c r="R1716" s="2" t="inlineStr"/>
    </row>
    <row r="1717" ht="15" customHeight="1">
      <c r="A1717" t="inlineStr">
        <is>
          <t>A 9116-2019</t>
        </is>
      </c>
      <c r="B1717" s="1" t="n">
        <v>43504</v>
      </c>
      <c r="C1717" s="1" t="n">
        <v>45357</v>
      </c>
      <c r="D1717" t="inlineStr">
        <is>
          <t>VÄSTERBOTTENS LÄN</t>
        </is>
      </c>
      <c r="E1717" t="inlineStr">
        <is>
          <t>ÅSELE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9165-2019</t>
        </is>
      </c>
      <c r="B1718" s="1" t="n">
        <v>43504</v>
      </c>
      <c r="C1718" s="1" t="n">
        <v>45357</v>
      </c>
      <c r="D1718" t="inlineStr">
        <is>
          <t>VÄSTERBOTTENS LÄN</t>
        </is>
      </c>
      <c r="E1718" t="inlineStr">
        <is>
          <t>ÅSELE</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9112-2019</t>
        </is>
      </c>
      <c r="B1719" s="1" t="n">
        <v>43504</v>
      </c>
      <c r="C1719" s="1" t="n">
        <v>45357</v>
      </c>
      <c r="D1719" t="inlineStr">
        <is>
          <t>VÄSTERBOTTENS LÄN</t>
        </is>
      </c>
      <c r="E1719" t="inlineStr">
        <is>
          <t>UMEÅ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9047-2019</t>
        </is>
      </c>
      <c r="B1720" s="1" t="n">
        <v>43504</v>
      </c>
      <c r="C1720" s="1" t="n">
        <v>45357</v>
      </c>
      <c r="D1720" t="inlineStr">
        <is>
          <t>VÄSTERBOTTENS LÄN</t>
        </is>
      </c>
      <c r="E1720" t="inlineStr">
        <is>
          <t>SKELLEFTEÅ</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9138-2019</t>
        </is>
      </c>
      <c r="B1721" s="1" t="n">
        <v>43504</v>
      </c>
      <c r="C1721" s="1" t="n">
        <v>45357</v>
      </c>
      <c r="D1721" t="inlineStr">
        <is>
          <t>VÄSTERBOTTENS LÄN</t>
        </is>
      </c>
      <c r="E1721" t="inlineStr">
        <is>
          <t>ROBERTSFORS</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9117-2019</t>
        </is>
      </c>
      <c r="B1722" s="1" t="n">
        <v>43504</v>
      </c>
      <c r="C1722" s="1" t="n">
        <v>45357</v>
      </c>
      <c r="D1722" t="inlineStr">
        <is>
          <t>VÄSTERBOTTENS LÄN</t>
        </is>
      </c>
      <c r="E1722" t="inlineStr">
        <is>
          <t>ÅSELE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9136-2019</t>
        </is>
      </c>
      <c r="B1723" s="1" t="n">
        <v>43504</v>
      </c>
      <c r="C1723" s="1" t="n">
        <v>45357</v>
      </c>
      <c r="D1723" t="inlineStr">
        <is>
          <t>VÄSTERBOTTENS LÄN</t>
        </is>
      </c>
      <c r="E1723" t="inlineStr">
        <is>
          <t>ÅSELE</t>
        </is>
      </c>
      <c r="G1723" t="n">
        <v>56.2</v>
      </c>
      <c r="H1723" t="n">
        <v>0</v>
      </c>
      <c r="I1723" t="n">
        <v>0</v>
      </c>
      <c r="J1723" t="n">
        <v>0</v>
      </c>
      <c r="K1723" t="n">
        <v>0</v>
      </c>
      <c r="L1723" t="n">
        <v>0</v>
      </c>
      <c r="M1723" t="n">
        <v>0</v>
      </c>
      <c r="N1723" t="n">
        <v>0</v>
      </c>
      <c r="O1723" t="n">
        <v>0</v>
      </c>
      <c r="P1723" t="n">
        <v>0</v>
      </c>
      <c r="Q1723" t="n">
        <v>0</v>
      </c>
      <c r="R1723" s="2" t="inlineStr"/>
    </row>
    <row r="1724" ht="15" customHeight="1">
      <c r="A1724" t="inlineStr">
        <is>
          <t>A 9191-2019</t>
        </is>
      </c>
      <c r="B1724" s="1" t="n">
        <v>43505</v>
      </c>
      <c r="C1724" s="1" t="n">
        <v>45357</v>
      </c>
      <c r="D1724" t="inlineStr">
        <is>
          <t>VÄSTERBOTTENS LÄN</t>
        </is>
      </c>
      <c r="E1724" t="inlineStr">
        <is>
          <t>LYCKSELE</t>
        </is>
      </c>
      <c r="F1724" t="inlineStr">
        <is>
          <t>Sveaskog</t>
        </is>
      </c>
      <c r="G1724" t="n">
        <v>13.3</v>
      </c>
      <c r="H1724" t="n">
        <v>0</v>
      </c>
      <c r="I1724" t="n">
        <v>0</v>
      </c>
      <c r="J1724" t="n">
        <v>0</v>
      </c>
      <c r="K1724" t="n">
        <v>0</v>
      </c>
      <c r="L1724" t="n">
        <v>0</v>
      </c>
      <c r="M1724" t="n">
        <v>0</v>
      </c>
      <c r="N1724" t="n">
        <v>0</v>
      </c>
      <c r="O1724" t="n">
        <v>0</v>
      </c>
      <c r="P1724" t="n">
        <v>0</v>
      </c>
      <c r="Q1724" t="n">
        <v>0</v>
      </c>
      <c r="R1724" s="2" t="inlineStr"/>
    </row>
    <row r="1725" ht="15" customHeight="1">
      <c r="A1725" t="inlineStr">
        <is>
          <t>A 9250-2019</t>
        </is>
      </c>
      <c r="B1725" s="1" t="n">
        <v>43507</v>
      </c>
      <c r="C1725" s="1" t="n">
        <v>45357</v>
      </c>
      <c r="D1725" t="inlineStr">
        <is>
          <t>VÄSTERBOTTENS LÄN</t>
        </is>
      </c>
      <c r="E1725" t="inlineStr">
        <is>
          <t>LYCKSELE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9407-2019</t>
        </is>
      </c>
      <c r="B1726" s="1" t="n">
        <v>43507</v>
      </c>
      <c r="C1726" s="1" t="n">
        <v>45357</v>
      </c>
      <c r="D1726" t="inlineStr">
        <is>
          <t>VÄSTERBOTTENS LÄN</t>
        </is>
      </c>
      <c r="E1726" t="inlineStr">
        <is>
          <t>SKELLEFTEÅ</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9425-2019</t>
        </is>
      </c>
      <c r="B1727" s="1" t="n">
        <v>43507</v>
      </c>
      <c r="C1727" s="1" t="n">
        <v>45357</v>
      </c>
      <c r="D1727" t="inlineStr">
        <is>
          <t>VÄSTERBOTTENS LÄN</t>
        </is>
      </c>
      <c r="E1727" t="inlineStr">
        <is>
          <t>MALÅ</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9437-2019</t>
        </is>
      </c>
      <c r="B1728" s="1" t="n">
        <v>43507</v>
      </c>
      <c r="C1728" s="1" t="n">
        <v>45357</v>
      </c>
      <c r="D1728" t="inlineStr">
        <is>
          <t>VÄSTERBOTTENS LÄN</t>
        </is>
      </c>
      <c r="E1728" t="inlineStr">
        <is>
          <t>MALÅ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9491-2019</t>
        </is>
      </c>
      <c r="B1729" s="1" t="n">
        <v>43507</v>
      </c>
      <c r="C1729" s="1" t="n">
        <v>45357</v>
      </c>
      <c r="D1729" t="inlineStr">
        <is>
          <t>VÄSTERBOTTENS LÄN</t>
        </is>
      </c>
      <c r="E1729" t="inlineStr">
        <is>
          <t>VILHELMINA</t>
        </is>
      </c>
      <c r="G1729" t="n">
        <v>11.2</v>
      </c>
      <c r="H1729" t="n">
        <v>0</v>
      </c>
      <c r="I1729" t="n">
        <v>0</v>
      </c>
      <c r="J1729" t="n">
        <v>0</v>
      </c>
      <c r="K1729" t="n">
        <v>0</v>
      </c>
      <c r="L1729" t="n">
        <v>0</v>
      </c>
      <c r="M1729" t="n">
        <v>0</v>
      </c>
      <c r="N1729" t="n">
        <v>0</v>
      </c>
      <c r="O1729" t="n">
        <v>0</v>
      </c>
      <c r="P1729" t="n">
        <v>0</v>
      </c>
      <c r="Q1729" t="n">
        <v>0</v>
      </c>
      <c r="R1729" s="2" t="inlineStr"/>
    </row>
    <row r="1730" ht="15" customHeight="1">
      <c r="A1730" t="inlineStr">
        <is>
          <t>A 9527-2019</t>
        </is>
      </c>
      <c r="B1730" s="1" t="n">
        <v>43507</v>
      </c>
      <c r="C1730" s="1" t="n">
        <v>45357</v>
      </c>
      <c r="D1730" t="inlineStr">
        <is>
          <t>VÄSTERBOTTENS LÄN</t>
        </is>
      </c>
      <c r="E1730" t="inlineStr">
        <is>
          <t>ÅSELE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9384-2019</t>
        </is>
      </c>
      <c r="B1731" s="1" t="n">
        <v>43507</v>
      </c>
      <c r="C1731" s="1" t="n">
        <v>45357</v>
      </c>
      <c r="D1731" t="inlineStr">
        <is>
          <t>VÄSTERBOTTENS LÄN</t>
        </is>
      </c>
      <c r="E1731" t="inlineStr">
        <is>
          <t>SKELLEFTEÅ</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9719-2019</t>
        </is>
      </c>
      <c r="B1732" s="1" t="n">
        <v>43508</v>
      </c>
      <c r="C1732" s="1" t="n">
        <v>45357</v>
      </c>
      <c r="D1732" t="inlineStr">
        <is>
          <t>VÄSTERBOTTENS LÄN</t>
        </is>
      </c>
      <c r="E1732" t="inlineStr">
        <is>
          <t>DOROTEA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9726-2019</t>
        </is>
      </c>
      <c r="B1733" s="1" t="n">
        <v>43508</v>
      </c>
      <c r="C1733" s="1" t="n">
        <v>45357</v>
      </c>
      <c r="D1733" t="inlineStr">
        <is>
          <t>VÄSTERBOTTENS LÄN</t>
        </is>
      </c>
      <c r="E1733" t="inlineStr">
        <is>
          <t>VINDELN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9567-2019</t>
        </is>
      </c>
      <c r="B1734" s="1" t="n">
        <v>43508</v>
      </c>
      <c r="C1734" s="1" t="n">
        <v>45357</v>
      </c>
      <c r="D1734" t="inlineStr">
        <is>
          <t>VÄSTERBOTTENS LÄN</t>
        </is>
      </c>
      <c r="E1734" t="inlineStr">
        <is>
          <t>STORUMAN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9732-2019</t>
        </is>
      </c>
      <c r="B1735" s="1" t="n">
        <v>43509</v>
      </c>
      <c r="C1735" s="1" t="n">
        <v>45357</v>
      </c>
      <c r="D1735" t="inlineStr">
        <is>
          <t>VÄSTERBOTTENS LÄN</t>
        </is>
      </c>
      <c r="E1735" t="inlineStr">
        <is>
          <t>SKELLEFTEÅ</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9935-2019</t>
        </is>
      </c>
      <c r="B1736" s="1" t="n">
        <v>43509</v>
      </c>
      <c r="C1736" s="1" t="n">
        <v>45357</v>
      </c>
      <c r="D1736" t="inlineStr">
        <is>
          <t>VÄSTERBOTTENS LÄN</t>
        </is>
      </c>
      <c r="E1736" t="inlineStr">
        <is>
          <t>UMEÅ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9998-2019</t>
        </is>
      </c>
      <c r="B1737" s="1" t="n">
        <v>43509</v>
      </c>
      <c r="C1737" s="1" t="n">
        <v>45357</v>
      </c>
      <c r="D1737" t="inlineStr">
        <is>
          <t>VÄSTERBOTTENS LÄN</t>
        </is>
      </c>
      <c r="E1737" t="inlineStr">
        <is>
          <t>MALÅ</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9941-2019</t>
        </is>
      </c>
      <c r="B1738" s="1" t="n">
        <v>43509</v>
      </c>
      <c r="C1738" s="1" t="n">
        <v>45357</v>
      </c>
      <c r="D1738" t="inlineStr">
        <is>
          <t>VÄSTERBOTTENS LÄN</t>
        </is>
      </c>
      <c r="E1738" t="inlineStr">
        <is>
          <t>UMEÅ</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9984-2019</t>
        </is>
      </c>
      <c r="B1739" s="1" t="n">
        <v>43509</v>
      </c>
      <c r="C1739" s="1" t="n">
        <v>45357</v>
      </c>
      <c r="D1739" t="inlineStr">
        <is>
          <t>VÄSTERBOTTENS LÄN</t>
        </is>
      </c>
      <c r="E1739" t="inlineStr">
        <is>
          <t>VILHELMINA</t>
        </is>
      </c>
      <c r="G1739" t="n">
        <v>21.7</v>
      </c>
      <c r="H1739" t="n">
        <v>0</v>
      </c>
      <c r="I1739" t="n">
        <v>0</v>
      </c>
      <c r="J1739" t="n">
        <v>0</v>
      </c>
      <c r="K1739" t="n">
        <v>0</v>
      </c>
      <c r="L1739" t="n">
        <v>0</v>
      </c>
      <c r="M1739" t="n">
        <v>0</v>
      </c>
      <c r="N1739" t="n">
        <v>0</v>
      </c>
      <c r="O1739" t="n">
        <v>0</v>
      </c>
      <c r="P1739" t="n">
        <v>0</v>
      </c>
      <c r="Q1739" t="n">
        <v>0</v>
      </c>
      <c r="R1739" s="2" t="inlineStr"/>
    </row>
    <row r="1740" ht="15" customHeight="1">
      <c r="A1740" t="inlineStr">
        <is>
          <t>A 9983-2019</t>
        </is>
      </c>
      <c r="B1740" s="1" t="n">
        <v>43509</v>
      </c>
      <c r="C1740" s="1" t="n">
        <v>45357</v>
      </c>
      <c r="D1740" t="inlineStr">
        <is>
          <t>VÄSTERBOTTENS LÄN</t>
        </is>
      </c>
      <c r="E1740" t="inlineStr">
        <is>
          <t>VILHELMINA</t>
        </is>
      </c>
      <c r="G1740" t="n">
        <v>20.1</v>
      </c>
      <c r="H1740" t="n">
        <v>0</v>
      </c>
      <c r="I1740" t="n">
        <v>0</v>
      </c>
      <c r="J1740" t="n">
        <v>0</v>
      </c>
      <c r="K1740" t="n">
        <v>0</v>
      </c>
      <c r="L1740" t="n">
        <v>0</v>
      </c>
      <c r="M1740" t="n">
        <v>0</v>
      </c>
      <c r="N1740" t="n">
        <v>0</v>
      </c>
      <c r="O1740" t="n">
        <v>0</v>
      </c>
      <c r="P1740" t="n">
        <v>0</v>
      </c>
      <c r="Q1740" t="n">
        <v>0</v>
      </c>
      <c r="R1740" s="2" t="inlineStr"/>
    </row>
    <row r="1741" ht="15" customHeight="1">
      <c r="A1741" t="inlineStr">
        <is>
          <t>A 9997-2019</t>
        </is>
      </c>
      <c r="B1741" s="1" t="n">
        <v>43509</v>
      </c>
      <c r="C1741" s="1" t="n">
        <v>45357</v>
      </c>
      <c r="D1741" t="inlineStr">
        <is>
          <t>VÄSTERBOTTENS LÄN</t>
        </is>
      </c>
      <c r="E1741" t="inlineStr">
        <is>
          <t>MALÅ</t>
        </is>
      </c>
      <c r="G1741" t="n">
        <v>15.7</v>
      </c>
      <c r="H1741" t="n">
        <v>0</v>
      </c>
      <c r="I1741" t="n">
        <v>0</v>
      </c>
      <c r="J1741" t="n">
        <v>0</v>
      </c>
      <c r="K1741" t="n">
        <v>0</v>
      </c>
      <c r="L1741" t="n">
        <v>0</v>
      </c>
      <c r="M1741" t="n">
        <v>0</v>
      </c>
      <c r="N1741" t="n">
        <v>0</v>
      </c>
      <c r="O1741" t="n">
        <v>0</v>
      </c>
      <c r="P1741" t="n">
        <v>0</v>
      </c>
      <c r="Q1741" t="n">
        <v>0</v>
      </c>
      <c r="R1741" s="2" t="inlineStr"/>
    </row>
    <row r="1742" ht="15" customHeight="1">
      <c r="A1742" t="inlineStr">
        <is>
          <t>A 9988-2019</t>
        </is>
      </c>
      <c r="B1742" s="1" t="n">
        <v>43509</v>
      </c>
      <c r="C1742" s="1" t="n">
        <v>45357</v>
      </c>
      <c r="D1742" t="inlineStr">
        <is>
          <t>VÄSTERBOTTENS LÄN</t>
        </is>
      </c>
      <c r="E1742" t="inlineStr">
        <is>
          <t>VILHELMINA</t>
        </is>
      </c>
      <c r="G1742" t="n">
        <v>20.4</v>
      </c>
      <c r="H1742" t="n">
        <v>0</v>
      </c>
      <c r="I1742" t="n">
        <v>0</v>
      </c>
      <c r="J1742" t="n">
        <v>0</v>
      </c>
      <c r="K1742" t="n">
        <v>0</v>
      </c>
      <c r="L1742" t="n">
        <v>0</v>
      </c>
      <c r="M1742" t="n">
        <v>0</v>
      </c>
      <c r="N1742" t="n">
        <v>0</v>
      </c>
      <c r="O1742" t="n">
        <v>0</v>
      </c>
      <c r="P1742" t="n">
        <v>0</v>
      </c>
      <c r="Q1742" t="n">
        <v>0</v>
      </c>
      <c r="R1742" s="2" t="inlineStr"/>
    </row>
    <row r="1743" ht="15" customHeight="1">
      <c r="A1743" t="inlineStr">
        <is>
          <t>A 9996-2019</t>
        </is>
      </c>
      <c r="B1743" s="1" t="n">
        <v>43509</v>
      </c>
      <c r="C1743" s="1" t="n">
        <v>45357</v>
      </c>
      <c r="D1743" t="inlineStr">
        <is>
          <t>VÄSTERBOTTENS LÄN</t>
        </is>
      </c>
      <c r="E1743" t="inlineStr">
        <is>
          <t>MALÅ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9985-2019</t>
        </is>
      </c>
      <c r="B1744" s="1" t="n">
        <v>43509</v>
      </c>
      <c r="C1744" s="1" t="n">
        <v>45357</v>
      </c>
      <c r="D1744" t="inlineStr">
        <is>
          <t>VÄSTERBOTTENS LÄN</t>
        </is>
      </c>
      <c r="E1744" t="inlineStr">
        <is>
          <t>VILHELMINA</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9864-2019</t>
        </is>
      </c>
      <c r="B1745" s="1" t="n">
        <v>43509</v>
      </c>
      <c r="C1745" s="1" t="n">
        <v>45357</v>
      </c>
      <c r="D1745" t="inlineStr">
        <is>
          <t>VÄSTERBOTTENS LÄN</t>
        </is>
      </c>
      <c r="E1745" t="inlineStr">
        <is>
          <t>SKELLEFTEÅ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10248-2019</t>
        </is>
      </c>
      <c r="B1746" s="1" t="n">
        <v>43510</v>
      </c>
      <c r="C1746" s="1" t="n">
        <v>45357</v>
      </c>
      <c r="D1746" t="inlineStr">
        <is>
          <t>VÄSTERBOTTENS LÄN</t>
        </is>
      </c>
      <c r="E1746" t="inlineStr">
        <is>
          <t>ÅSELE</t>
        </is>
      </c>
      <c r="F1746" t="inlineStr">
        <is>
          <t>SCA</t>
        </is>
      </c>
      <c r="G1746" t="n">
        <v>8.5</v>
      </c>
      <c r="H1746" t="n">
        <v>0</v>
      </c>
      <c r="I1746" t="n">
        <v>0</v>
      </c>
      <c r="J1746" t="n">
        <v>0</v>
      </c>
      <c r="K1746" t="n">
        <v>0</v>
      </c>
      <c r="L1746" t="n">
        <v>0</v>
      </c>
      <c r="M1746" t="n">
        <v>0</v>
      </c>
      <c r="N1746" t="n">
        <v>0</v>
      </c>
      <c r="O1746" t="n">
        <v>0</v>
      </c>
      <c r="P1746" t="n">
        <v>0</v>
      </c>
      <c r="Q1746" t="n">
        <v>0</v>
      </c>
      <c r="R1746" s="2" t="inlineStr"/>
    </row>
    <row r="1747" ht="15" customHeight="1">
      <c r="A1747" t="inlineStr">
        <is>
          <t>A 10183-2019</t>
        </is>
      </c>
      <c r="B1747" s="1" t="n">
        <v>43510</v>
      </c>
      <c r="C1747" s="1" t="n">
        <v>45357</v>
      </c>
      <c r="D1747" t="inlineStr">
        <is>
          <t>VÄSTERBOTTENS LÄN</t>
        </is>
      </c>
      <c r="E1747" t="inlineStr">
        <is>
          <t>SKELLEFTEÅ</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10245-2019</t>
        </is>
      </c>
      <c r="B1748" s="1" t="n">
        <v>43510</v>
      </c>
      <c r="C1748" s="1" t="n">
        <v>45357</v>
      </c>
      <c r="D1748" t="inlineStr">
        <is>
          <t>VÄSTERBOTTENS LÄN</t>
        </is>
      </c>
      <c r="E1748" t="inlineStr">
        <is>
          <t>NORSJÖ</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10117-2019</t>
        </is>
      </c>
      <c r="B1749" s="1" t="n">
        <v>43510</v>
      </c>
      <c r="C1749" s="1" t="n">
        <v>45357</v>
      </c>
      <c r="D1749" t="inlineStr">
        <is>
          <t>VÄSTERBOTTENS LÄN</t>
        </is>
      </c>
      <c r="E1749" t="inlineStr">
        <is>
          <t>SORSELE</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10283-2019</t>
        </is>
      </c>
      <c r="B1750" s="1" t="n">
        <v>43511</v>
      </c>
      <c r="C1750" s="1" t="n">
        <v>45357</v>
      </c>
      <c r="D1750" t="inlineStr">
        <is>
          <t>VÄSTERBOTTENS LÄN</t>
        </is>
      </c>
      <c r="E1750" t="inlineStr">
        <is>
          <t>NORSJÖ</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10612-2019</t>
        </is>
      </c>
      <c r="B1751" s="1" t="n">
        <v>43511</v>
      </c>
      <c r="C1751" s="1" t="n">
        <v>45357</v>
      </c>
      <c r="D1751" t="inlineStr">
        <is>
          <t>VÄSTERBOTTENS LÄN</t>
        </is>
      </c>
      <c r="E1751" t="inlineStr">
        <is>
          <t>LYCKSELE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10385-2019</t>
        </is>
      </c>
      <c r="B1752" s="1" t="n">
        <v>43511</v>
      </c>
      <c r="C1752" s="1" t="n">
        <v>45357</v>
      </c>
      <c r="D1752" t="inlineStr">
        <is>
          <t>VÄSTERBOTTENS LÄN</t>
        </is>
      </c>
      <c r="E1752" t="inlineStr">
        <is>
          <t>LYCKSELE</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10759-2019</t>
        </is>
      </c>
      <c r="B1753" s="1" t="n">
        <v>43514</v>
      </c>
      <c r="C1753" s="1" t="n">
        <v>45357</v>
      </c>
      <c r="D1753" t="inlineStr">
        <is>
          <t>VÄSTERBOTTENS LÄN</t>
        </is>
      </c>
      <c r="E1753" t="inlineStr">
        <is>
          <t>ROBERTSFORS</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10699-2019</t>
        </is>
      </c>
      <c r="B1754" s="1" t="n">
        <v>43514</v>
      </c>
      <c r="C1754" s="1" t="n">
        <v>45357</v>
      </c>
      <c r="D1754" t="inlineStr">
        <is>
          <t>VÄSTERBOTTENS LÄN</t>
        </is>
      </c>
      <c r="E1754" t="inlineStr">
        <is>
          <t>MALÅ</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10873-2019</t>
        </is>
      </c>
      <c r="B1755" s="1" t="n">
        <v>43514</v>
      </c>
      <c r="C1755" s="1" t="n">
        <v>45357</v>
      </c>
      <c r="D1755" t="inlineStr">
        <is>
          <t>VÄSTERBOTTENS LÄN</t>
        </is>
      </c>
      <c r="E1755" t="inlineStr">
        <is>
          <t>NORSJÖ</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10783-2019</t>
        </is>
      </c>
      <c r="B1756" s="1" t="n">
        <v>43514</v>
      </c>
      <c r="C1756" s="1" t="n">
        <v>45357</v>
      </c>
      <c r="D1756" t="inlineStr">
        <is>
          <t>VÄSTERBOTTENS LÄN</t>
        </is>
      </c>
      <c r="E1756" t="inlineStr">
        <is>
          <t>ROBERTSFORS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10772-2019</t>
        </is>
      </c>
      <c r="B1757" s="1" t="n">
        <v>43514</v>
      </c>
      <c r="C1757" s="1" t="n">
        <v>45357</v>
      </c>
      <c r="D1757" t="inlineStr">
        <is>
          <t>VÄSTERBOTTENS LÄN</t>
        </is>
      </c>
      <c r="E1757" t="inlineStr">
        <is>
          <t>NORSJÖ</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10912-2019</t>
        </is>
      </c>
      <c r="B1758" s="1" t="n">
        <v>43515</v>
      </c>
      <c r="C1758" s="1" t="n">
        <v>45357</v>
      </c>
      <c r="D1758" t="inlineStr">
        <is>
          <t>VÄSTERBOTTENS LÄN</t>
        </is>
      </c>
      <c r="E1758" t="inlineStr">
        <is>
          <t>VINDELN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10983-2019</t>
        </is>
      </c>
      <c r="B1759" s="1" t="n">
        <v>43515</v>
      </c>
      <c r="C1759" s="1" t="n">
        <v>45357</v>
      </c>
      <c r="D1759" t="inlineStr">
        <is>
          <t>VÄSTERBOTTENS LÄN</t>
        </is>
      </c>
      <c r="E1759" t="inlineStr">
        <is>
          <t>LYCKSELE</t>
        </is>
      </c>
      <c r="F1759" t="inlineStr">
        <is>
          <t>Holmen skog AB</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11050-2019</t>
        </is>
      </c>
      <c r="B1760" s="1" t="n">
        <v>43515</v>
      </c>
      <c r="C1760" s="1" t="n">
        <v>45357</v>
      </c>
      <c r="D1760" t="inlineStr">
        <is>
          <t>VÄSTERBOTTENS LÄN</t>
        </is>
      </c>
      <c r="E1760" t="inlineStr">
        <is>
          <t>SKELLEFTEÅ</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11034-2019</t>
        </is>
      </c>
      <c r="B1761" s="1" t="n">
        <v>43515</v>
      </c>
      <c r="C1761" s="1" t="n">
        <v>45357</v>
      </c>
      <c r="D1761" t="inlineStr">
        <is>
          <t>VÄSTERBOTTENS LÄN</t>
        </is>
      </c>
      <c r="E1761" t="inlineStr">
        <is>
          <t>NORSJÖ</t>
        </is>
      </c>
      <c r="F1761" t="inlineStr">
        <is>
          <t>Sveaskog</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11300-2019</t>
        </is>
      </c>
      <c r="B1762" s="1" t="n">
        <v>43516</v>
      </c>
      <c r="C1762" s="1" t="n">
        <v>45357</v>
      </c>
      <c r="D1762" t="inlineStr">
        <is>
          <t>VÄSTERBOTTENS LÄN</t>
        </is>
      </c>
      <c r="E1762" t="inlineStr">
        <is>
          <t>VINDELN</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11421-2019</t>
        </is>
      </c>
      <c r="B1763" s="1" t="n">
        <v>43516</v>
      </c>
      <c r="C1763" s="1" t="n">
        <v>45357</v>
      </c>
      <c r="D1763" t="inlineStr">
        <is>
          <t>VÄSTERBOTTENS LÄN</t>
        </is>
      </c>
      <c r="E1763" t="inlineStr">
        <is>
          <t>UMEÅ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11294-2019</t>
        </is>
      </c>
      <c r="B1764" s="1" t="n">
        <v>43516</v>
      </c>
      <c r="C1764" s="1" t="n">
        <v>45357</v>
      </c>
      <c r="D1764" t="inlineStr">
        <is>
          <t>VÄSTERBOTTENS LÄN</t>
        </is>
      </c>
      <c r="E1764" t="inlineStr">
        <is>
          <t>ÅSELE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11472-2019</t>
        </is>
      </c>
      <c r="B1765" s="1" t="n">
        <v>43517</v>
      </c>
      <c r="C1765" s="1" t="n">
        <v>45357</v>
      </c>
      <c r="D1765" t="inlineStr">
        <is>
          <t>VÄSTERBOTTENS LÄN</t>
        </is>
      </c>
      <c r="E1765" t="inlineStr">
        <is>
          <t>ÅSELE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11603-2019</t>
        </is>
      </c>
      <c r="B1766" s="1" t="n">
        <v>43517</v>
      </c>
      <c r="C1766" s="1" t="n">
        <v>45357</v>
      </c>
      <c r="D1766" t="inlineStr">
        <is>
          <t>VÄSTERBOTTENS LÄN</t>
        </is>
      </c>
      <c r="E1766" t="inlineStr">
        <is>
          <t>NORDMALING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11548-2019</t>
        </is>
      </c>
      <c r="B1767" s="1" t="n">
        <v>43517</v>
      </c>
      <c r="C1767" s="1" t="n">
        <v>45357</v>
      </c>
      <c r="D1767" t="inlineStr">
        <is>
          <t>VÄSTERBOTTENS LÄN</t>
        </is>
      </c>
      <c r="E1767" t="inlineStr">
        <is>
          <t>ROBERTSFORS</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11600-2019</t>
        </is>
      </c>
      <c r="B1768" s="1" t="n">
        <v>43517</v>
      </c>
      <c r="C1768" s="1" t="n">
        <v>45357</v>
      </c>
      <c r="D1768" t="inlineStr">
        <is>
          <t>VÄSTERBOTTENS LÄN</t>
        </is>
      </c>
      <c r="E1768" t="inlineStr">
        <is>
          <t>STORUMAN</t>
        </is>
      </c>
      <c r="G1768" t="n">
        <v>31.9</v>
      </c>
      <c r="H1768" t="n">
        <v>0</v>
      </c>
      <c r="I1768" t="n">
        <v>0</v>
      </c>
      <c r="J1768" t="n">
        <v>0</v>
      </c>
      <c r="K1768" t="n">
        <v>0</v>
      </c>
      <c r="L1768" t="n">
        <v>0</v>
      </c>
      <c r="M1768" t="n">
        <v>0</v>
      </c>
      <c r="N1768" t="n">
        <v>0</v>
      </c>
      <c r="O1768" t="n">
        <v>0</v>
      </c>
      <c r="P1768" t="n">
        <v>0</v>
      </c>
      <c r="Q1768" t="n">
        <v>0</v>
      </c>
      <c r="R1768" s="2" t="inlineStr"/>
    </row>
    <row r="1769" ht="15" customHeight="1">
      <c r="A1769" t="inlineStr">
        <is>
          <t>A 11644-2019</t>
        </is>
      </c>
      <c r="B1769" s="1" t="n">
        <v>43517</v>
      </c>
      <c r="C1769" s="1" t="n">
        <v>45357</v>
      </c>
      <c r="D1769" t="inlineStr">
        <is>
          <t>VÄSTERBOTTENS LÄN</t>
        </is>
      </c>
      <c r="E1769" t="inlineStr">
        <is>
          <t>ÅSELE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11803-2019</t>
        </is>
      </c>
      <c r="B1770" s="1" t="n">
        <v>43518</v>
      </c>
      <c r="C1770" s="1" t="n">
        <v>45357</v>
      </c>
      <c r="D1770" t="inlineStr">
        <is>
          <t>VÄSTERBOTTENS LÄN</t>
        </is>
      </c>
      <c r="E1770" t="inlineStr">
        <is>
          <t>LYCKSELE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11781-2019</t>
        </is>
      </c>
      <c r="B1771" s="1" t="n">
        <v>43518</v>
      </c>
      <c r="C1771" s="1" t="n">
        <v>45357</v>
      </c>
      <c r="D1771" t="inlineStr">
        <is>
          <t>VÄSTERBOTTENS LÄN</t>
        </is>
      </c>
      <c r="E1771" t="inlineStr">
        <is>
          <t>LYCKSELE</t>
        </is>
      </c>
      <c r="G1771" t="n">
        <v>16.4</v>
      </c>
      <c r="H1771" t="n">
        <v>0</v>
      </c>
      <c r="I1771" t="n">
        <v>0</v>
      </c>
      <c r="J1771" t="n">
        <v>0</v>
      </c>
      <c r="K1771" t="n">
        <v>0</v>
      </c>
      <c r="L1771" t="n">
        <v>0</v>
      </c>
      <c r="M1771" t="n">
        <v>0</v>
      </c>
      <c r="N1771" t="n">
        <v>0</v>
      </c>
      <c r="O1771" t="n">
        <v>0</v>
      </c>
      <c r="P1771" t="n">
        <v>0</v>
      </c>
      <c r="Q1771" t="n">
        <v>0</v>
      </c>
      <c r="R1771" s="2" t="inlineStr"/>
    </row>
    <row r="1772" ht="15" customHeight="1">
      <c r="A1772" t="inlineStr">
        <is>
          <t>A 11718-2019</t>
        </is>
      </c>
      <c r="B1772" s="1" t="n">
        <v>43518</v>
      </c>
      <c r="C1772" s="1" t="n">
        <v>45357</v>
      </c>
      <c r="D1772" t="inlineStr">
        <is>
          <t>VÄSTERBOTTENS LÄN</t>
        </is>
      </c>
      <c r="E1772" t="inlineStr">
        <is>
          <t>SKELLEFTEÅ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11809-2019</t>
        </is>
      </c>
      <c r="B1773" s="1" t="n">
        <v>43518</v>
      </c>
      <c r="C1773" s="1" t="n">
        <v>45357</v>
      </c>
      <c r="D1773" t="inlineStr">
        <is>
          <t>VÄSTERBOTTENS LÄN</t>
        </is>
      </c>
      <c r="E1773" t="inlineStr">
        <is>
          <t>LYCKSELE</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11792-2019</t>
        </is>
      </c>
      <c r="B1774" s="1" t="n">
        <v>43518</v>
      </c>
      <c r="C1774" s="1" t="n">
        <v>45357</v>
      </c>
      <c r="D1774" t="inlineStr">
        <is>
          <t>VÄSTERBOTTENS LÄN</t>
        </is>
      </c>
      <c r="E1774" t="inlineStr">
        <is>
          <t>NORSJÖ</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11810-2019</t>
        </is>
      </c>
      <c r="B1775" s="1" t="n">
        <v>43518</v>
      </c>
      <c r="C1775" s="1" t="n">
        <v>45357</v>
      </c>
      <c r="D1775" t="inlineStr">
        <is>
          <t>VÄSTERBOTTENS LÄN</t>
        </is>
      </c>
      <c r="E1775" t="inlineStr">
        <is>
          <t>LYCKSELE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11777-2019</t>
        </is>
      </c>
      <c r="B1776" s="1" t="n">
        <v>43518</v>
      </c>
      <c r="C1776" s="1" t="n">
        <v>45357</v>
      </c>
      <c r="D1776" t="inlineStr">
        <is>
          <t>VÄSTERBOTTENS LÄN</t>
        </is>
      </c>
      <c r="E1776" t="inlineStr">
        <is>
          <t>UMEÅ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11776-2019</t>
        </is>
      </c>
      <c r="B1777" s="1" t="n">
        <v>43518</v>
      </c>
      <c r="C1777" s="1" t="n">
        <v>45357</v>
      </c>
      <c r="D1777" t="inlineStr">
        <is>
          <t>VÄSTERBOTTENS LÄN</t>
        </is>
      </c>
      <c r="E1777" t="inlineStr">
        <is>
          <t>UMEÅ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11778-2019</t>
        </is>
      </c>
      <c r="B1778" s="1" t="n">
        <v>43518</v>
      </c>
      <c r="C1778" s="1" t="n">
        <v>45357</v>
      </c>
      <c r="D1778" t="inlineStr">
        <is>
          <t>VÄSTERBOTTENS LÄN</t>
        </is>
      </c>
      <c r="E1778" t="inlineStr">
        <is>
          <t>UMEÅ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11820-2019</t>
        </is>
      </c>
      <c r="B1779" s="1" t="n">
        <v>43521</v>
      </c>
      <c r="C1779" s="1" t="n">
        <v>45357</v>
      </c>
      <c r="D1779" t="inlineStr">
        <is>
          <t>VÄSTERBOTTENS LÄN</t>
        </is>
      </c>
      <c r="E1779" t="inlineStr">
        <is>
          <t>NORDMALING</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11817-2019</t>
        </is>
      </c>
      <c r="B1780" s="1" t="n">
        <v>43521</v>
      </c>
      <c r="C1780" s="1" t="n">
        <v>45357</v>
      </c>
      <c r="D1780" t="inlineStr">
        <is>
          <t>VÄSTERBOTTENS LÄN</t>
        </is>
      </c>
      <c r="E1780" t="inlineStr">
        <is>
          <t>NORDMALING</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11951-2019</t>
        </is>
      </c>
      <c r="B1781" s="1" t="n">
        <v>43521</v>
      </c>
      <c r="C1781" s="1" t="n">
        <v>45357</v>
      </c>
      <c r="D1781" t="inlineStr">
        <is>
          <t>VÄSTERBOTTENS LÄN</t>
        </is>
      </c>
      <c r="E1781" t="inlineStr">
        <is>
          <t>SKELLEFTEÅ</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11917-2019</t>
        </is>
      </c>
      <c r="B1782" s="1" t="n">
        <v>43521</v>
      </c>
      <c r="C1782" s="1" t="n">
        <v>45357</v>
      </c>
      <c r="D1782" t="inlineStr">
        <is>
          <t>VÄSTERBOTTENS LÄN</t>
        </is>
      </c>
      <c r="E1782" t="inlineStr">
        <is>
          <t>NORSJÖ</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11930-2019</t>
        </is>
      </c>
      <c r="B1783" s="1" t="n">
        <v>43521</v>
      </c>
      <c r="C1783" s="1" t="n">
        <v>45357</v>
      </c>
      <c r="D1783" t="inlineStr">
        <is>
          <t>VÄSTERBOTTENS LÄN</t>
        </is>
      </c>
      <c r="E1783" t="inlineStr">
        <is>
          <t>SKELLEFTEÅ</t>
        </is>
      </c>
      <c r="G1783" t="n">
        <v>9.6</v>
      </c>
      <c r="H1783" t="n">
        <v>0</v>
      </c>
      <c r="I1783" t="n">
        <v>0</v>
      </c>
      <c r="J1783" t="n">
        <v>0</v>
      </c>
      <c r="K1783" t="n">
        <v>0</v>
      </c>
      <c r="L1783" t="n">
        <v>0</v>
      </c>
      <c r="M1783" t="n">
        <v>0</v>
      </c>
      <c r="N1783" t="n">
        <v>0</v>
      </c>
      <c r="O1783" t="n">
        <v>0</v>
      </c>
      <c r="P1783" t="n">
        <v>0</v>
      </c>
      <c r="Q1783" t="n">
        <v>0</v>
      </c>
      <c r="R1783" s="2" t="inlineStr"/>
    </row>
    <row r="1784" ht="15" customHeight="1">
      <c r="A1784" t="inlineStr">
        <is>
          <t>A 12067-2019</t>
        </is>
      </c>
      <c r="B1784" s="1" t="n">
        <v>43521</v>
      </c>
      <c r="C1784" s="1" t="n">
        <v>45357</v>
      </c>
      <c r="D1784" t="inlineStr">
        <is>
          <t>VÄSTERBOTTENS LÄN</t>
        </is>
      </c>
      <c r="E1784" t="inlineStr">
        <is>
          <t>SKELLEFTEÅ</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12164-2019</t>
        </is>
      </c>
      <c r="B1785" s="1" t="n">
        <v>43521</v>
      </c>
      <c r="C1785" s="1" t="n">
        <v>45357</v>
      </c>
      <c r="D1785" t="inlineStr">
        <is>
          <t>VÄSTERBOTTENS LÄN</t>
        </is>
      </c>
      <c r="E1785" t="inlineStr">
        <is>
          <t>SKELLEFTEÅ</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12040-2019</t>
        </is>
      </c>
      <c r="B1786" s="1" t="n">
        <v>43522</v>
      </c>
      <c r="C1786" s="1" t="n">
        <v>45357</v>
      </c>
      <c r="D1786" t="inlineStr">
        <is>
          <t>VÄSTERBOTTENS LÄN</t>
        </is>
      </c>
      <c r="E1786" t="inlineStr">
        <is>
          <t>UMEÅ</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12097-2019</t>
        </is>
      </c>
      <c r="B1787" s="1" t="n">
        <v>43522</v>
      </c>
      <c r="C1787" s="1" t="n">
        <v>45357</v>
      </c>
      <c r="D1787" t="inlineStr">
        <is>
          <t>VÄSTERBOTTENS LÄN</t>
        </is>
      </c>
      <c r="E1787" t="inlineStr">
        <is>
          <t>VINDELN</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12172-2019</t>
        </is>
      </c>
      <c r="B1788" s="1" t="n">
        <v>43522</v>
      </c>
      <c r="C1788" s="1" t="n">
        <v>45357</v>
      </c>
      <c r="D1788" t="inlineStr">
        <is>
          <t>VÄSTERBOTTENS LÄN</t>
        </is>
      </c>
      <c r="E1788" t="inlineStr">
        <is>
          <t>BJURHOLM</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12093-2019</t>
        </is>
      </c>
      <c r="B1789" s="1" t="n">
        <v>43522</v>
      </c>
      <c r="C1789" s="1" t="n">
        <v>45357</v>
      </c>
      <c r="D1789" t="inlineStr">
        <is>
          <t>VÄSTERBOTTENS LÄN</t>
        </is>
      </c>
      <c r="E1789" t="inlineStr">
        <is>
          <t>VINDELN</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12144-2019</t>
        </is>
      </c>
      <c r="B1790" s="1" t="n">
        <v>43522</v>
      </c>
      <c r="C1790" s="1" t="n">
        <v>45357</v>
      </c>
      <c r="D1790" t="inlineStr">
        <is>
          <t>VÄSTERBOTTENS LÄN</t>
        </is>
      </c>
      <c r="E1790" t="inlineStr">
        <is>
          <t>ROBERTSFORS</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12092-2019</t>
        </is>
      </c>
      <c r="B1791" s="1" t="n">
        <v>43522</v>
      </c>
      <c r="C1791" s="1" t="n">
        <v>45357</v>
      </c>
      <c r="D1791" t="inlineStr">
        <is>
          <t>VÄSTERBOTTENS LÄN</t>
        </is>
      </c>
      <c r="E1791" t="inlineStr">
        <is>
          <t>VINDELN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12290-2019</t>
        </is>
      </c>
      <c r="B1792" s="1" t="n">
        <v>43523</v>
      </c>
      <c r="C1792" s="1" t="n">
        <v>45357</v>
      </c>
      <c r="D1792" t="inlineStr">
        <is>
          <t>VÄSTERBOTTENS LÄN</t>
        </is>
      </c>
      <c r="E1792" t="inlineStr">
        <is>
          <t>VILHELMINA</t>
        </is>
      </c>
      <c r="G1792" t="n">
        <v>34.7</v>
      </c>
      <c r="H1792" t="n">
        <v>0</v>
      </c>
      <c r="I1792" t="n">
        <v>0</v>
      </c>
      <c r="J1792" t="n">
        <v>0</v>
      </c>
      <c r="K1792" t="n">
        <v>0</v>
      </c>
      <c r="L1792" t="n">
        <v>0</v>
      </c>
      <c r="M1792" t="n">
        <v>0</v>
      </c>
      <c r="N1792" t="n">
        <v>0</v>
      </c>
      <c r="O1792" t="n">
        <v>0</v>
      </c>
      <c r="P1792" t="n">
        <v>0</v>
      </c>
      <c r="Q1792" t="n">
        <v>0</v>
      </c>
      <c r="R1792" s="2" t="inlineStr"/>
    </row>
    <row r="1793" ht="15" customHeight="1">
      <c r="A1793" t="inlineStr">
        <is>
          <t>A 12516-2019</t>
        </is>
      </c>
      <c r="B1793" s="1" t="n">
        <v>43523</v>
      </c>
      <c r="C1793" s="1" t="n">
        <v>45357</v>
      </c>
      <c r="D1793" t="inlineStr">
        <is>
          <t>VÄSTERBOTTENS LÄN</t>
        </is>
      </c>
      <c r="E1793" t="inlineStr">
        <is>
          <t>LYCKSELE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12519-2019</t>
        </is>
      </c>
      <c r="B1794" s="1" t="n">
        <v>43523</v>
      </c>
      <c r="C1794" s="1" t="n">
        <v>45357</v>
      </c>
      <c r="D1794" t="inlineStr">
        <is>
          <t>VÄSTERBOTTENS LÄN</t>
        </is>
      </c>
      <c r="E1794" t="inlineStr">
        <is>
          <t>ÅSELE</t>
        </is>
      </c>
      <c r="G1794" t="n">
        <v>13.9</v>
      </c>
      <c r="H1794" t="n">
        <v>0</v>
      </c>
      <c r="I1794" t="n">
        <v>0</v>
      </c>
      <c r="J1794" t="n">
        <v>0</v>
      </c>
      <c r="K1794" t="n">
        <v>0</v>
      </c>
      <c r="L1794" t="n">
        <v>0</v>
      </c>
      <c r="M1794" t="n">
        <v>0</v>
      </c>
      <c r="N1794" t="n">
        <v>0</v>
      </c>
      <c r="O1794" t="n">
        <v>0</v>
      </c>
      <c r="P1794" t="n">
        <v>0</v>
      </c>
      <c r="Q1794" t="n">
        <v>0</v>
      </c>
      <c r="R1794" s="2" t="inlineStr"/>
    </row>
    <row r="1795" ht="15" customHeight="1">
      <c r="A1795" t="inlineStr">
        <is>
          <t>A 12527-2019</t>
        </is>
      </c>
      <c r="B1795" s="1" t="n">
        <v>43523</v>
      </c>
      <c r="C1795" s="1" t="n">
        <v>45357</v>
      </c>
      <c r="D1795" t="inlineStr">
        <is>
          <t>VÄSTERBOTTENS LÄN</t>
        </is>
      </c>
      <c r="E1795" t="inlineStr">
        <is>
          <t>VILHELMINA</t>
        </is>
      </c>
      <c r="F1795" t="inlineStr">
        <is>
          <t>Allmännings- och besparingsskogar</t>
        </is>
      </c>
      <c r="G1795" t="n">
        <v>20</v>
      </c>
      <c r="H1795" t="n">
        <v>0</v>
      </c>
      <c r="I1795" t="n">
        <v>0</v>
      </c>
      <c r="J1795" t="n">
        <v>0</v>
      </c>
      <c r="K1795" t="n">
        <v>0</v>
      </c>
      <c r="L1795" t="n">
        <v>0</v>
      </c>
      <c r="M1795" t="n">
        <v>0</v>
      </c>
      <c r="N1795" t="n">
        <v>0</v>
      </c>
      <c r="O1795" t="n">
        <v>0</v>
      </c>
      <c r="P1795" t="n">
        <v>0</v>
      </c>
      <c r="Q1795" t="n">
        <v>0</v>
      </c>
      <c r="R1795" s="2" t="inlineStr"/>
    </row>
    <row r="1796" ht="15" customHeight="1">
      <c r="A1796" t="inlineStr">
        <is>
          <t>A 12520-2019</t>
        </is>
      </c>
      <c r="B1796" s="1" t="n">
        <v>43523</v>
      </c>
      <c r="C1796" s="1" t="n">
        <v>45357</v>
      </c>
      <c r="D1796" t="inlineStr">
        <is>
          <t>VÄSTERBOTTENS LÄN</t>
        </is>
      </c>
      <c r="E1796" t="inlineStr">
        <is>
          <t>VILHELMINA</t>
        </is>
      </c>
      <c r="F1796" t="inlineStr">
        <is>
          <t>Allmännings- och besparingsskogar</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12308-2019</t>
        </is>
      </c>
      <c r="B1797" s="1" t="n">
        <v>43523</v>
      </c>
      <c r="C1797" s="1" t="n">
        <v>45357</v>
      </c>
      <c r="D1797" t="inlineStr">
        <is>
          <t>VÄSTERBOTTENS LÄN</t>
        </is>
      </c>
      <c r="E1797" t="inlineStr">
        <is>
          <t>VILHELMINA</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12627-2019</t>
        </is>
      </c>
      <c r="B1798" s="1" t="n">
        <v>43524</v>
      </c>
      <c r="C1798" s="1" t="n">
        <v>45357</v>
      </c>
      <c r="D1798" t="inlineStr">
        <is>
          <t>VÄSTERBOTTENS LÄN</t>
        </is>
      </c>
      <c r="E1798" t="inlineStr">
        <is>
          <t>LYCKSELE</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12828-2019</t>
        </is>
      </c>
      <c r="B1799" s="1" t="n">
        <v>43524</v>
      </c>
      <c r="C1799" s="1" t="n">
        <v>45357</v>
      </c>
      <c r="D1799" t="inlineStr">
        <is>
          <t>VÄSTERBOTTENS LÄN</t>
        </is>
      </c>
      <c r="E1799" t="inlineStr">
        <is>
          <t>SKELLEFTEÅ</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12998-2019</t>
        </is>
      </c>
      <c r="B1800" s="1" t="n">
        <v>43525</v>
      </c>
      <c r="C1800" s="1" t="n">
        <v>45357</v>
      </c>
      <c r="D1800" t="inlineStr">
        <is>
          <t>VÄSTERBOTTENS LÄN</t>
        </is>
      </c>
      <c r="E1800" t="inlineStr">
        <is>
          <t>SORSELE</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12921-2019</t>
        </is>
      </c>
      <c r="B1801" s="1" t="n">
        <v>43525</v>
      </c>
      <c r="C1801" s="1" t="n">
        <v>45357</v>
      </c>
      <c r="D1801" t="inlineStr">
        <is>
          <t>VÄSTERBOTTENS LÄN</t>
        </is>
      </c>
      <c r="E1801" t="inlineStr">
        <is>
          <t>NORDMALING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12851-2019</t>
        </is>
      </c>
      <c r="B1802" s="1" t="n">
        <v>43525</v>
      </c>
      <c r="C1802" s="1" t="n">
        <v>45357</v>
      </c>
      <c r="D1802" t="inlineStr">
        <is>
          <t>VÄSTERBOTTENS LÄN</t>
        </is>
      </c>
      <c r="E1802" t="inlineStr">
        <is>
          <t>ROBERTSFORS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12910-2019</t>
        </is>
      </c>
      <c r="B1803" s="1" t="n">
        <v>43525</v>
      </c>
      <c r="C1803" s="1" t="n">
        <v>45357</v>
      </c>
      <c r="D1803" t="inlineStr">
        <is>
          <t>VÄSTERBOTTENS LÄN</t>
        </is>
      </c>
      <c r="E1803" t="inlineStr">
        <is>
          <t>NORDMALING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12942-2019</t>
        </is>
      </c>
      <c r="B1804" s="1" t="n">
        <v>43525</v>
      </c>
      <c r="C1804" s="1" t="n">
        <v>45357</v>
      </c>
      <c r="D1804" t="inlineStr">
        <is>
          <t>VÄSTERBOTTENS LÄN</t>
        </is>
      </c>
      <c r="E1804" t="inlineStr">
        <is>
          <t>VINDELN</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12917-2019</t>
        </is>
      </c>
      <c r="B1805" s="1" t="n">
        <v>43525</v>
      </c>
      <c r="C1805" s="1" t="n">
        <v>45357</v>
      </c>
      <c r="D1805" t="inlineStr">
        <is>
          <t>VÄSTERBOTTENS LÄN</t>
        </is>
      </c>
      <c r="E1805" t="inlineStr">
        <is>
          <t>NORDMALING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12912-2019</t>
        </is>
      </c>
      <c r="B1806" s="1" t="n">
        <v>43525</v>
      </c>
      <c r="C1806" s="1" t="n">
        <v>45357</v>
      </c>
      <c r="D1806" t="inlineStr">
        <is>
          <t>VÄSTERBOTTENS LÄN</t>
        </is>
      </c>
      <c r="E1806" t="inlineStr">
        <is>
          <t>NORDMALING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12924-2019</t>
        </is>
      </c>
      <c r="B1807" s="1" t="n">
        <v>43525</v>
      </c>
      <c r="C1807" s="1" t="n">
        <v>45357</v>
      </c>
      <c r="D1807" t="inlineStr">
        <is>
          <t>VÄSTERBOTTENS LÄN</t>
        </is>
      </c>
      <c r="E1807" t="inlineStr">
        <is>
          <t>NORDMALING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12853-2019</t>
        </is>
      </c>
      <c r="B1808" s="1" t="n">
        <v>43525</v>
      </c>
      <c r="C1808" s="1" t="n">
        <v>45357</v>
      </c>
      <c r="D1808" t="inlineStr">
        <is>
          <t>VÄSTERBOTTENS LÄN</t>
        </is>
      </c>
      <c r="E1808" t="inlineStr">
        <is>
          <t>ROBERTSFORS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12966-2019</t>
        </is>
      </c>
      <c r="B1809" s="1" t="n">
        <v>43526</v>
      </c>
      <c r="C1809" s="1" t="n">
        <v>45357</v>
      </c>
      <c r="D1809" t="inlineStr">
        <is>
          <t>VÄSTERBOTTENS LÄN</t>
        </is>
      </c>
      <c r="E1809" t="inlineStr">
        <is>
          <t>SKELLEFTEÅ</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12958-2019</t>
        </is>
      </c>
      <c r="B1810" s="1" t="n">
        <v>43526</v>
      </c>
      <c r="C1810" s="1" t="n">
        <v>45357</v>
      </c>
      <c r="D1810" t="inlineStr">
        <is>
          <t>VÄSTERBOTTENS LÄN</t>
        </is>
      </c>
      <c r="E1810" t="inlineStr">
        <is>
          <t>VINDELN</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12959-2019</t>
        </is>
      </c>
      <c r="B1811" s="1" t="n">
        <v>43526</v>
      </c>
      <c r="C1811" s="1" t="n">
        <v>45357</v>
      </c>
      <c r="D1811" t="inlineStr">
        <is>
          <t>VÄSTERBOTTENS LÄN</t>
        </is>
      </c>
      <c r="E1811" t="inlineStr">
        <is>
          <t>VINDELN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13228-2019</t>
        </is>
      </c>
      <c r="B1812" s="1" t="n">
        <v>43529</v>
      </c>
      <c r="C1812" s="1" t="n">
        <v>45357</v>
      </c>
      <c r="D1812" t="inlineStr">
        <is>
          <t>VÄSTERBOTTENS LÄN</t>
        </is>
      </c>
      <c r="E1812" t="inlineStr">
        <is>
          <t>NORDMALING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13239-2019</t>
        </is>
      </c>
      <c r="B1813" s="1" t="n">
        <v>43529</v>
      </c>
      <c r="C1813" s="1" t="n">
        <v>45357</v>
      </c>
      <c r="D1813" t="inlineStr">
        <is>
          <t>VÄSTERBOTTENS LÄN</t>
        </is>
      </c>
      <c r="E1813" t="inlineStr">
        <is>
          <t>NORDMALING</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13240-2019</t>
        </is>
      </c>
      <c r="B1814" s="1" t="n">
        <v>43529</v>
      </c>
      <c r="C1814" s="1" t="n">
        <v>45357</v>
      </c>
      <c r="D1814" t="inlineStr">
        <is>
          <t>VÄSTERBOTTENS LÄN</t>
        </is>
      </c>
      <c r="E1814" t="inlineStr">
        <is>
          <t>NORDMALING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13229-2019</t>
        </is>
      </c>
      <c r="B1815" s="1" t="n">
        <v>43529</v>
      </c>
      <c r="C1815" s="1" t="n">
        <v>45357</v>
      </c>
      <c r="D1815" t="inlineStr">
        <is>
          <t>VÄSTERBOTTENS LÄN</t>
        </is>
      </c>
      <c r="E1815" t="inlineStr">
        <is>
          <t>NORDMALING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13498-2019</t>
        </is>
      </c>
      <c r="B1816" s="1" t="n">
        <v>43529</v>
      </c>
      <c r="C1816" s="1" t="n">
        <v>45357</v>
      </c>
      <c r="D1816" t="inlineStr">
        <is>
          <t>VÄSTERBOTTENS LÄN</t>
        </is>
      </c>
      <c r="E1816" t="inlineStr">
        <is>
          <t>NORDMALING</t>
        </is>
      </c>
      <c r="G1816" t="n">
        <v>15.5</v>
      </c>
      <c r="H1816" t="n">
        <v>0</v>
      </c>
      <c r="I1816" t="n">
        <v>0</v>
      </c>
      <c r="J1816" t="n">
        <v>0</v>
      </c>
      <c r="K1816" t="n">
        <v>0</v>
      </c>
      <c r="L1816" t="n">
        <v>0</v>
      </c>
      <c r="M1816" t="n">
        <v>0</v>
      </c>
      <c r="N1816" t="n">
        <v>0</v>
      </c>
      <c r="O1816" t="n">
        <v>0</v>
      </c>
      <c r="P1816" t="n">
        <v>0</v>
      </c>
      <c r="Q1816" t="n">
        <v>0</v>
      </c>
      <c r="R1816" s="2" t="inlineStr"/>
    </row>
    <row r="1817" ht="15" customHeight="1">
      <c r="A1817" t="inlineStr">
        <is>
          <t>A 13237-2019</t>
        </is>
      </c>
      <c r="B1817" s="1" t="n">
        <v>43529</v>
      </c>
      <c r="C1817" s="1" t="n">
        <v>45357</v>
      </c>
      <c r="D1817" t="inlineStr">
        <is>
          <t>VÄSTERBOTTENS LÄN</t>
        </is>
      </c>
      <c r="E1817" t="inlineStr">
        <is>
          <t>NORDMALING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13459-2019</t>
        </is>
      </c>
      <c r="B1818" s="1" t="n">
        <v>43530</v>
      </c>
      <c r="C1818" s="1" t="n">
        <v>45357</v>
      </c>
      <c r="D1818" t="inlineStr">
        <is>
          <t>VÄSTERBOTTENS LÄN</t>
        </is>
      </c>
      <c r="E1818" t="inlineStr">
        <is>
          <t>NORDMALING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13688-2019</t>
        </is>
      </c>
      <c r="B1819" s="1" t="n">
        <v>43530</v>
      </c>
      <c r="C1819" s="1" t="n">
        <v>45357</v>
      </c>
      <c r="D1819" t="inlineStr">
        <is>
          <t>VÄSTERBOTTENS LÄN</t>
        </is>
      </c>
      <c r="E1819" t="inlineStr">
        <is>
          <t>VINDELN</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13695-2019</t>
        </is>
      </c>
      <c r="B1820" s="1" t="n">
        <v>43530</v>
      </c>
      <c r="C1820" s="1" t="n">
        <v>45357</v>
      </c>
      <c r="D1820" t="inlineStr">
        <is>
          <t>VÄSTERBOTTENS LÄN</t>
        </is>
      </c>
      <c r="E1820" t="inlineStr">
        <is>
          <t>VINDELN</t>
        </is>
      </c>
      <c r="F1820" t="inlineStr">
        <is>
          <t>SCA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13682-2019</t>
        </is>
      </c>
      <c r="B1821" s="1" t="n">
        <v>43530</v>
      </c>
      <c r="C1821" s="1" t="n">
        <v>45357</v>
      </c>
      <c r="D1821" t="inlineStr">
        <is>
          <t>VÄSTERBOTTENS LÄN</t>
        </is>
      </c>
      <c r="E1821" t="inlineStr">
        <is>
          <t>MALÅ</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13819-2019</t>
        </is>
      </c>
      <c r="B1822" s="1" t="n">
        <v>43530</v>
      </c>
      <c r="C1822" s="1" t="n">
        <v>45357</v>
      </c>
      <c r="D1822" t="inlineStr">
        <is>
          <t>VÄSTERBOTTENS LÄN</t>
        </is>
      </c>
      <c r="E1822" t="inlineStr">
        <is>
          <t>NORDMALING</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13458-2019</t>
        </is>
      </c>
      <c r="B1823" s="1" t="n">
        <v>43530</v>
      </c>
      <c r="C1823" s="1" t="n">
        <v>45357</v>
      </c>
      <c r="D1823" t="inlineStr">
        <is>
          <t>VÄSTERBOTTENS LÄN</t>
        </is>
      </c>
      <c r="E1823" t="inlineStr">
        <is>
          <t>NORDMALING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13708-2019</t>
        </is>
      </c>
      <c r="B1824" s="1" t="n">
        <v>43531</v>
      </c>
      <c r="C1824" s="1" t="n">
        <v>45357</v>
      </c>
      <c r="D1824" t="inlineStr">
        <is>
          <t>VÄSTERBOTTENS LÄN</t>
        </is>
      </c>
      <c r="E1824" t="inlineStr">
        <is>
          <t>NORDMALING</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13709-2019</t>
        </is>
      </c>
      <c r="B1825" s="1" t="n">
        <v>43531</v>
      </c>
      <c r="C1825" s="1" t="n">
        <v>45357</v>
      </c>
      <c r="D1825" t="inlineStr">
        <is>
          <t>VÄSTERBOTTENS LÄN</t>
        </is>
      </c>
      <c r="E1825" t="inlineStr">
        <is>
          <t>NORDMALING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13930-2019</t>
        </is>
      </c>
      <c r="B1826" s="1" t="n">
        <v>43531</v>
      </c>
      <c r="C1826" s="1" t="n">
        <v>45357</v>
      </c>
      <c r="D1826" t="inlineStr">
        <is>
          <t>VÄSTERBOTTENS LÄN</t>
        </is>
      </c>
      <c r="E1826" t="inlineStr">
        <is>
          <t>VINDELN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14002-2019</t>
        </is>
      </c>
      <c r="B1827" s="1" t="n">
        <v>43531</v>
      </c>
      <c r="C1827" s="1" t="n">
        <v>45357</v>
      </c>
      <c r="D1827" t="inlineStr">
        <is>
          <t>VÄSTERBOTTENS LÄN</t>
        </is>
      </c>
      <c r="E1827" t="inlineStr">
        <is>
          <t>ÅSELE</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13952-2019</t>
        </is>
      </c>
      <c r="B1828" s="1" t="n">
        <v>43532</v>
      </c>
      <c r="C1828" s="1" t="n">
        <v>45357</v>
      </c>
      <c r="D1828" t="inlineStr">
        <is>
          <t>VÄSTERBOTTENS LÄN</t>
        </is>
      </c>
      <c r="E1828" t="inlineStr">
        <is>
          <t>SKELLEFTEÅ</t>
        </is>
      </c>
      <c r="F1828" t="inlineStr">
        <is>
          <t>Kommuner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13983-2019</t>
        </is>
      </c>
      <c r="B1829" s="1" t="n">
        <v>43532</v>
      </c>
      <c r="C1829" s="1" t="n">
        <v>45357</v>
      </c>
      <c r="D1829" t="inlineStr">
        <is>
          <t>VÄSTERBOTTENS LÄN</t>
        </is>
      </c>
      <c r="E1829" t="inlineStr">
        <is>
          <t>SKELLEFTEÅ</t>
        </is>
      </c>
      <c r="F1829" t="inlineStr">
        <is>
          <t>Kommuner</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14437-2019</t>
        </is>
      </c>
      <c r="B1830" s="1" t="n">
        <v>43532</v>
      </c>
      <c r="C1830" s="1" t="n">
        <v>45357</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14222-2019</t>
        </is>
      </c>
      <c r="B1831" s="1" t="n">
        <v>43532</v>
      </c>
      <c r="C1831" s="1" t="n">
        <v>45357</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14537-2019</t>
        </is>
      </c>
      <c r="B1832" s="1" t="n">
        <v>43535</v>
      </c>
      <c r="C1832" s="1" t="n">
        <v>45357</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14563-2019</t>
        </is>
      </c>
      <c r="B1833" s="1" t="n">
        <v>43535</v>
      </c>
      <c r="C1833" s="1" t="n">
        <v>45357</v>
      </c>
      <c r="D1833" t="inlineStr">
        <is>
          <t>VÄSTERBOTTENS LÄN</t>
        </is>
      </c>
      <c r="E1833" t="inlineStr">
        <is>
          <t>SKELLEFTEÅ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14566-2019</t>
        </is>
      </c>
      <c r="B1834" s="1" t="n">
        <v>43535</v>
      </c>
      <c r="C1834" s="1" t="n">
        <v>45357</v>
      </c>
      <c r="D1834" t="inlineStr">
        <is>
          <t>VÄSTERBOTTENS LÄN</t>
        </is>
      </c>
      <c r="E1834" t="inlineStr">
        <is>
          <t>SKELLEFTEÅ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14565-2019</t>
        </is>
      </c>
      <c r="B1835" s="1" t="n">
        <v>43535</v>
      </c>
      <c r="C1835" s="1" t="n">
        <v>45357</v>
      </c>
      <c r="D1835" t="inlineStr">
        <is>
          <t>VÄSTERBOTTENS LÄN</t>
        </is>
      </c>
      <c r="E1835" t="inlineStr">
        <is>
          <t>SKELLEFTEÅ</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14701-2019</t>
        </is>
      </c>
      <c r="B1836" s="1" t="n">
        <v>43535</v>
      </c>
      <c r="C1836" s="1" t="n">
        <v>45357</v>
      </c>
      <c r="D1836" t="inlineStr">
        <is>
          <t>VÄSTERBOTTENS LÄN</t>
        </is>
      </c>
      <c r="E1836" t="inlineStr">
        <is>
          <t>LYCKSELE</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14287-2019</t>
        </is>
      </c>
      <c r="B1837" s="1" t="n">
        <v>43535</v>
      </c>
      <c r="C1837" s="1" t="n">
        <v>45357</v>
      </c>
      <c r="D1837" t="inlineStr">
        <is>
          <t>VÄSTERBOTTENS LÄN</t>
        </is>
      </c>
      <c r="E1837" t="inlineStr">
        <is>
          <t>UMEÅ</t>
        </is>
      </c>
      <c r="F1837" t="inlineStr">
        <is>
          <t>Holmen skog AB</t>
        </is>
      </c>
      <c r="G1837" t="n">
        <v>17.2</v>
      </c>
      <c r="H1837" t="n">
        <v>0</v>
      </c>
      <c r="I1837" t="n">
        <v>0</v>
      </c>
      <c r="J1837" t="n">
        <v>0</v>
      </c>
      <c r="K1837" t="n">
        <v>0</v>
      </c>
      <c r="L1837" t="n">
        <v>0</v>
      </c>
      <c r="M1837" t="n">
        <v>0</v>
      </c>
      <c r="N1837" t="n">
        <v>0</v>
      </c>
      <c r="O1837" t="n">
        <v>0</v>
      </c>
      <c r="P1837" t="n">
        <v>0</v>
      </c>
      <c r="Q1837" t="n">
        <v>0</v>
      </c>
      <c r="R1837" s="2" t="inlineStr"/>
    </row>
    <row r="1838" ht="15" customHeight="1">
      <c r="A1838" t="inlineStr">
        <is>
          <t>A 14472-2019</t>
        </is>
      </c>
      <c r="B1838" s="1" t="n">
        <v>43536</v>
      </c>
      <c r="C1838" s="1" t="n">
        <v>45357</v>
      </c>
      <c r="D1838" t="inlineStr">
        <is>
          <t>VÄSTERBOTTENS LÄN</t>
        </is>
      </c>
      <c r="E1838" t="inlineStr">
        <is>
          <t>SKELLEFTEÅ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14584-2019</t>
        </is>
      </c>
      <c r="B1839" s="1" t="n">
        <v>43536</v>
      </c>
      <c r="C1839" s="1" t="n">
        <v>45357</v>
      </c>
      <c r="D1839" t="inlineStr">
        <is>
          <t>VÄSTERBOTTENS LÄN</t>
        </is>
      </c>
      <c r="E1839" t="inlineStr">
        <is>
          <t>ÅSELE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14736-2019</t>
        </is>
      </c>
      <c r="B1840" s="1" t="n">
        <v>43536</v>
      </c>
      <c r="C1840" s="1" t="n">
        <v>45357</v>
      </c>
      <c r="D1840" t="inlineStr">
        <is>
          <t>VÄSTERBOTTENS LÄN</t>
        </is>
      </c>
      <c r="E1840" t="inlineStr">
        <is>
          <t>SKELLEFTEÅ</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14585-2019</t>
        </is>
      </c>
      <c r="B1841" s="1" t="n">
        <v>43536</v>
      </c>
      <c r="C1841" s="1" t="n">
        <v>45357</v>
      </c>
      <c r="D1841" t="inlineStr">
        <is>
          <t>VÄSTERBOTTENS LÄN</t>
        </is>
      </c>
      <c r="E1841" t="inlineStr">
        <is>
          <t>SKELLEFTEÅ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14528-2019</t>
        </is>
      </c>
      <c r="B1842" s="1" t="n">
        <v>43537</v>
      </c>
      <c r="C1842" s="1" t="n">
        <v>45357</v>
      </c>
      <c r="D1842" t="inlineStr">
        <is>
          <t>VÄSTERBOTTENS LÄN</t>
        </is>
      </c>
      <c r="E1842" t="inlineStr">
        <is>
          <t>BJURHOLM</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14973-2019</t>
        </is>
      </c>
      <c r="B1843" s="1" t="n">
        <v>43537</v>
      </c>
      <c r="C1843" s="1" t="n">
        <v>45357</v>
      </c>
      <c r="D1843" t="inlineStr">
        <is>
          <t>VÄSTERBOTTENS LÄN</t>
        </is>
      </c>
      <c r="E1843" t="inlineStr">
        <is>
          <t>SKELLEFTEÅ</t>
        </is>
      </c>
      <c r="F1843" t="inlineStr">
        <is>
          <t>Kommuner</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15049-2019</t>
        </is>
      </c>
      <c r="B1844" s="1" t="n">
        <v>43537</v>
      </c>
      <c r="C1844" s="1" t="n">
        <v>45357</v>
      </c>
      <c r="D1844" t="inlineStr">
        <is>
          <t>VÄSTERBOTTENS LÄN</t>
        </is>
      </c>
      <c r="E1844" t="inlineStr">
        <is>
          <t>UMEÅ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15462-2019</t>
        </is>
      </c>
      <c r="B1845" s="1" t="n">
        <v>43537</v>
      </c>
      <c r="C1845" s="1" t="n">
        <v>45357</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14608-2019</t>
        </is>
      </c>
      <c r="B1846" s="1" t="n">
        <v>43537</v>
      </c>
      <c r="C1846" s="1" t="n">
        <v>45357</v>
      </c>
      <c r="D1846" t="inlineStr">
        <is>
          <t>VÄSTERBOTTENS LÄN</t>
        </is>
      </c>
      <c r="E1846" t="inlineStr">
        <is>
          <t>VINDELN</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14847-2019</t>
        </is>
      </c>
      <c r="B1847" s="1" t="n">
        <v>43537</v>
      </c>
      <c r="C1847" s="1" t="n">
        <v>45357</v>
      </c>
      <c r="D1847" t="inlineStr">
        <is>
          <t>VÄSTERBOTTENS LÄN</t>
        </is>
      </c>
      <c r="E1847" t="inlineStr">
        <is>
          <t>SKELLEFTEÅ</t>
        </is>
      </c>
      <c r="F1847" t="inlineStr">
        <is>
          <t>Kommuner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15369-2019</t>
        </is>
      </c>
      <c r="B1848" s="1" t="n">
        <v>43537</v>
      </c>
      <c r="C1848" s="1" t="n">
        <v>45357</v>
      </c>
      <c r="D1848" t="inlineStr">
        <is>
          <t>VÄSTERBOTTENS LÄN</t>
        </is>
      </c>
      <c r="E1848" t="inlineStr">
        <is>
          <t>SKELLEFTEÅ</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15006-2019</t>
        </is>
      </c>
      <c r="B1849" s="1" t="n">
        <v>43538</v>
      </c>
      <c r="C1849" s="1" t="n">
        <v>45357</v>
      </c>
      <c r="D1849" t="inlineStr">
        <is>
          <t>VÄSTERBOTTENS LÄN</t>
        </is>
      </c>
      <c r="E1849" t="inlineStr">
        <is>
          <t>SKELLEFTEÅ</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15150-2019</t>
        </is>
      </c>
      <c r="B1850" s="1" t="n">
        <v>43538</v>
      </c>
      <c r="C1850" s="1" t="n">
        <v>45357</v>
      </c>
      <c r="D1850" t="inlineStr">
        <is>
          <t>VÄSTERBOTTENS LÄN</t>
        </is>
      </c>
      <c r="E1850" t="inlineStr">
        <is>
          <t>SKELLEFTEÅ</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15147-2019</t>
        </is>
      </c>
      <c r="B1851" s="1" t="n">
        <v>43538</v>
      </c>
      <c r="C1851" s="1" t="n">
        <v>45357</v>
      </c>
      <c r="D1851" t="inlineStr">
        <is>
          <t>VÄSTERBOTTENS LÄN</t>
        </is>
      </c>
      <c r="E1851" t="inlineStr">
        <is>
          <t>SKELLEFTEÅ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14939-2019</t>
        </is>
      </c>
      <c r="B1852" s="1" t="n">
        <v>43538</v>
      </c>
      <c r="C1852" s="1" t="n">
        <v>45357</v>
      </c>
      <c r="D1852" t="inlineStr">
        <is>
          <t>VÄSTERBOTTENS LÄN</t>
        </is>
      </c>
      <c r="E1852" t="inlineStr">
        <is>
          <t>LYCKSELE</t>
        </is>
      </c>
      <c r="G1852" t="n">
        <v>12.2</v>
      </c>
      <c r="H1852" t="n">
        <v>0</v>
      </c>
      <c r="I1852" t="n">
        <v>0</v>
      </c>
      <c r="J1852" t="n">
        <v>0</v>
      </c>
      <c r="K1852" t="n">
        <v>0</v>
      </c>
      <c r="L1852" t="n">
        <v>0</v>
      </c>
      <c r="M1852" t="n">
        <v>0</v>
      </c>
      <c r="N1852" t="n">
        <v>0</v>
      </c>
      <c r="O1852" t="n">
        <v>0</v>
      </c>
      <c r="P1852" t="n">
        <v>0</v>
      </c>
      <c r="Q1852" t="n">
        <v>0</v>
      </c>
      <c r="R1852" s="2" t="inlineStr"/>
    </row>
    <row r="1853" ht="15" customHeight="1">
      <c r="A1853" t="inlineStr">
        <is>
          <t>A 14850-2019</t>
        </is>
      </c>
      <c r="B1853" s="1" t="n">
        <v>43538</v>
      </c>
      <c r="C1853" s="1" t="n">
        <v>45357</v>
      </c>
      <c r="D1853" t="inlineStr">
        <is>
          <t>VÄSTERBOTTENS LÄN</t>
        </is>
      </c>
      <c r="E1853" t="inlineStr">
        <is>
          <t>UMEÅ</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15164-2019</t>
        </is>
      </c>
      <c r="B1854" s="1" t="n">
        <v>43538</v>
      </c>
      <c r="C1854" s="1" t="n">
        <v>45357</v>
      </c>
      <c r="D1854" t="inlineStr">
        <is>
          <t>VÄSTERBOTTENS LÄN</t>
        </is>
      </c>
      <c r="E1854" t="inlineStr">
        <is>
          <t>SKELLEFTEÅ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14908-2019</t>
        </is>
      </c>
      <c r="B1855" s="1" t="n">
        <v>43538</v>
      </c>
      <c r="C1855" s="1" t="n">
        <v>45357</v>
      </c>
      <c r="D1855" t="inlineStr">
        <is>
          <t>VÄSTERBOTTENS LÄN</t>
        </is>
      </c>
      <c r="E1855" t="inlineStr">
        <is>
          <t>VINDELN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15411-2019</t>
        </is>
      </c>
      <c r="B1856" s="1" t="n">
        <v>43539</v>
      </c>
      <c r="C1856" s="1" t="n">
        <v>45357</v>
      </c>
      <c r="D1856" t="inlineStr">
        <is>
          <t>VÄSTERBOTTENS LÄN</t>
        </is>
      </c>
      <c r="E1856" t="inlineStr">
        <is>
          <t>UMEÅ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15514-2019</t>
        </is>
      </c>
      <c r="B1857" s="1" t="n">
        <v>43539</v>
      </c>
      <c r="C1857" s="1" t="n">
        <v>45357</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15496-2019</t>
        </is>
      </c>
      <c r="B1858" s="1" t="n">
        <v>43539</v>
      </c>
      <c r="C1858" s="1" t="n">
        <v>45357</v>
      </c>
      <c r="D1858" t="inlineStr">
        <is>
          <t>VÄSTERBOTTENS LÄN</t>
        </is>
      </c>
      <c r="E1858" t="inlineStr">
        <is>
          <t>ÅSELE</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15612-2019</t>
        </is>
      </c>
      <c r="B1859" s="1" t="n">
        <v>43539</v>
      </c>
      <c r="C1859" s="1" t="n">
        <v>45357</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15637-2019</t>
        </is>
      </c>
      <c r="B1860" s="1" t="n">
        <v>43539</v>
      </c>
      <c r="C1860" s="1" t="n">
        <v>45357</v>
      </c>
      <c r="D1860" t="inlineStr">
        <is>
          <t>VÄSTERBOTTENS LÄN</t>
        </is>
      </c>
      <c r="E1860" t="inlineStr">
        <is>
          <t>SKELLEFTEÅ</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15516-2019</t>
        </is>
      </c>
      <c r="B1861" s="1" t="n">
        <v>43539</v>
      </c>
      <c r="C1861" s="1" t="n">
        <v>45357</v>
      </c>
      <c r="D1861" t="inlineStr">
        <is>
          <t>VÄSTERBOTTENS LÄN</t>
        </is>
      </c>
      <c r="E1861" t="inlineStr">
        <is>
          <t>SKELLEFTEÅ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15513-2019</t>
        </is>
      </c>
      <c r="B1862" s="1" t="n">
        <v>43539</v>
      </c>
      <c r="C1862" s="1" t="n">
        <v>45357</v>
      </c>
      <c r="D1862" t="inlineStr">
        <is>
          <t>VÄSTERBOTTENS LÄN</t>
        </is>
      </c>
      <c r="E1862" t="inlineStr">
        <is>
          <t>SKELLEFTEÅ</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15614-2019</t>
        </is>
      </c>
      <c r="B1863" s="1" t="n">
        <v>43539</v>
      </c>
      <c r="C1863" s="1" t="n">
        <v>45357</v>
      </c>
      <c r="D1863" t="inlineStr">
        <is>
          <t>VÄSTERBOTTENS LÄN</t>
        </is>
      </c>
      <c r="E1863" t="inlineStr">
        <is>
          <t>SKELLEFTEÅ</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15407-2019</t>
        </is>
      </c>
      <c r="B1864" s="1" t="n">
        <v>43539</v>
      </c>
      <c r="C1864" s="1" t="n">
        <v>45357</v>
      </c>
      <c r="D1864" t="inlineStr">
        <is>
          <t>VÄSTERBOTTENS LÄN</t>
        </is>
      </c>
      <c r="E1864" t="inlineStr">
        <is>
          <t>VÄNNÄS</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15613-2019</t>
        </is>
      </c>
      <c r="B1865" s="1" t="n">
        <v>43539</v>
      </c>
      <c r="C1865" s="1" t="n">
        <v>45357</v>
      </c>
      <c r="D1865" t="inlineStr">
        <is>
          <t>VÄSTERBOTTENS LÄN</t>
        </is>
      </c>
      <c r="E1865" t="inlineStr">
        <is>
          <t>SKELLEFTEÅ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15418-2019</t>
        </is>
      </c>
      <c r="B1866" s="1" t="n">
        <v>43542</v>
      </c>
      <c r="C1866" s="1" t="n">
        <v>45357</v>
      </c>
      <c r="D1866" t="inlineStr">
        <is>
          <t>VÄSTERBOTTENS LÄN</t>
        </is>
      </c>
      <c r="E1866" t="inlineStr">
        <is>
          <t>SKELLEFTEÅ</t>
        </is>
      </c>
      <c r="F1866" t="inlineStr">
        <is>
          <t>Kommuner</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15255-2019</t>
        </is>
      </c>
      <c r="B1867" s="1" t="n">
        <v>43542</v>
      </c>
      <c r="C1867" s="1" t="n">
        <v>45357</v>
      </c>
      <c r="D1867" t="inlineStr">
        <is>
          <t>VÄSTERBOTTENS LÄN</t>
        </is>
      </c>
      <c r="E1867" t="inlineStr">
        <is>
          <t>SKELLEFTEÅ</t>
        </is>
      </c>
      <c r="G1867" t="n">
        <v>15.6</v>
      </c>
      <c r="H1867" t="n">
        <v>0</v>
      </c>
      <c r="I1867" t="n">
        <v>0</v>
      </c>
      <c r="J1867" t="n">
        <v>0</v>
      </c>
      <c r="K1867" t="n">
        <v>0</v>
      </c>
      <c r="L1867" t="n">
        <v>0</v>
      </c>
      <c r="M1867" t="n">
        <v>0</v>
      </c>
      <c r="N1867" t="n">
        <v>0</v>
      </c>
      <c r="O1867" t="n">
        <v>0</v>
      </c>
      <c r="P1867" t="n">
        <v>0</v>
      </c>
      <c r="Q1867" t="n">
        <v>0</v>
      </c>
      <c r="R1867" s="2" t="inlineStr"/>
    </row>
    <row r="1868" ht="15" customHeight="1">
      <c r="A1868" t="inlineStr">
        <is>
          <t>A 15664-2019</t>
        </is>
      </c>
      <c r="B1868" s="1" t="n">
        <v>43542</v>
      </c>
      <c r="C1868" s="1" t="n">
        <v>45357</v>
      </c>
      <c r="D1868" t="inlineStr">
        <is>
          <t>VÄSTERBOTTENS LÄN</t>
        </is>
      </c>
      <c r="E1868" t="inlineStr">
        <is>
          <t>VILHELMINA</t>
        </is>
      </c>
      <c r="F1868" t="inlineStr">
        <is>
          <t>Allmännings- och besparingsskogar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15666-2019</t>
        </is>
      </c>
      <c r="B1869" s="1" t="n">
        <v>43542</v>
      </c>
      <c r="C1869" s="1" t="n">
        <v>45357</v>
      </c>
      <c r="D1869" t="inlineStr">
        <is>
          <t>VÄSTERBOTTENS LÄN</t>
        </is>
      </c>
      <c r="E1869" t="inlineStr">
        <is>
          <t>VILHELMINA</t>
        </is>
      </c>
      <c r="F1869" t="inlineStr">
        <is>
          <t>Allmännings- och besparingsskogar</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15813-2019</t>
        </is>
      </c>
      <c r="B1870" s="1" t="n">
        <v>43542</v>
      </c>
      <c r="C1870" s="1" t="n">
        <v>45357</v>
      </c>
      <c r="D1870" t="inlineStr">
        <is>
          <t>VÄSTERBOTTENS LÄN</t>
        </is>
      </c>
      <c r="E1870" t="inlineStr">
        <is>
          <t>LYCKSELE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15638-2019</t>
        </is>
      </c>
      <c r="B1871" s="1" t="n">
        <v>43542</v>
      </c>
      <c r="C1871" s="1" t="n">
        <v>45357</v>
      </c>
      <c r="D1871" t="inlineStr">
        <is>
          <t>VÄSTERBOTTENS LÄN</t>
        </is>
      </c>
      <c r="E1871" t="inlineStr">
        <is>
          <t>SKELLEFTEÅ</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15386-2019</t>
        </is>
      </c>
      <c r="B1872" s="1" t="n">
        <v>43542</v>
      </c>
      <c r="C1872" s="1" t="n">
        <v>45357</v>
      </c>
      <c r="D1872" t="inlineStr">
        <is>
          <t>VÄSTERBOTTENS LÄN</t>
        </is>
      </c>
      <c r="E1872" t="inlineStr">
        <is>
          <t>VILHELMINA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16030-2019</t>
        </is>
      </c>
      <c r="B1873" s="1" t="n">
        <v>43543</v>
      </c>
      <c r="C1873" s="1" t="n">
        <v>45357</v>
      </c>
      <c r="D1873" t="inlineStr">
        <is>
          <t>VÄSTERBOTTENS LÄN</t>
        </is>
      </c>
      <c r="E1873" t="inlineStr">
        <is>
          <t>VINDELN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16142-2019</t>
        </is>
      </c>
      <c r="B1874" s="1" t="n">
        <v>43544</v>
      </c>
      <c r="C1874" s="1" t="n">
        <v>45357</v>
      </c>
      <c r="D1874" t="inlineStr">
        <is>
          <t>VÄSTERBOTTENS LÄN</t>
        </is>
      </c>
      <c r="E1874" t="inlineStr">
        <is>
          <t>ÅSELE</t>
        </is>
      </c>
      <c r="F1874" t="inlineStr">
        <is>
          <t>SCA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16329-2019</t>
        </is>
      </c>
      <c r="B1875" s="1" t="n">
        <v>43545</v>
      </c>
      <c r="C1875" s="1" t="n">
        <v>45357</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16319-2019</t>
        </is>
      </c>
      <c r="B1876" s="1" t="n">
        <v>43545</v>
      </c>
      <c r="C1876" s="1" t="n">
        <v>45357</v>
      </c>
      <c r="D1876" t="inlineStr">
        <is>
          <t>VÄSTERBOTTENS LÄN</t>
        </is>
      </c>
      <c r="E1876" t="inlineStr">
        <is>
          <t>SKELLEFTEÅ</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16364-2019</t>
        </is>
      </c>
      <c r="B1877" s="1" t="n">
        <v>43545</v>
      </c>
      <c r="C1877" s="1" t="n">
        <v>45357</v>
      </c>
      <c r="D1877" t="inlineStr">
        <is>
          <t>VÄSTERBOTTENS LÄN</t>
        </is>
      </c>
      <c r="E1877" t="inlineStr">
        <is>
          <t>VILHELMINA</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16228-2019</t>
        </is>
      </c>
      <c r="B1878" s="1" t="n">
        <v>43545</v>
      </c>
      <c r="C1878" s="1" t="n">
        <v>45357</v>
      </c>
      <c r="D1878" t="inlineStr">
        <is>
          <t>VÄSTERBOTTENS LÄN</t>
        </is>
      </c>
      <c r="E1878" t="inlineStr">
        <is>
          <t>VILHELMINA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16210-2019</t>
        </is>
      </c>
      <c r="B1879" s="1" t="n">
        <v>43545</v>
      </c>
      <c r="C1879" s="1" t="n">
        <v>45357</v>
      </c>
      <c r="D1879" t="inlineStr">
        <is>
          <t>VÄSTERBOTTENS LÄN</t>
        </is>
      </c>
      <c r="E1879" t="inlineStr">
        <is>
          <t>NORDMALING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16366-2019</t>
        </is>
      </c>
      <c r="B1880" s="1" t="n">
        <v>43545</v>
      </c>
      <c r="C1880" s="1" t="n">
        <v>45357</v>
      </c>
      <c r="D1880" t="inlineStr">
        <is>
          <t>VÄSTERBOTTENS LÄN</t>
        </is>
      </c>
      <c r="E1880" t="inlineStr">
        <is>
          <t>VILHELMINA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16467-2019</t>
        </is>
      </c>
      <c r="B1881" s="1" t="n">
        <v>43546</v>
      </c>
      <c r="C1881" s="1" t="n">
        <v>45357</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16598-2019</t>
        </is>
      </c>
      <c r="B1882" s="1" t="n">
        <v>43546</v>
      </c>
      <c r="C1882" s="1" t="n">
        <v>45357</v>
      </c>
      <c r="D1882" t="inlineStr">
        <is>
          <t>VÄSTERBOTTENS LÄN</t>
        </is>
      </c>
      <c r="E1882" t="inlineStr">
        <is>
          <t>SKELLEFTEÅ</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17094-2019</t>
        </is>
      </c>
      <c r="B1883" s="1" t="n">
        <v>43549</v>
      </c>
      <c r="C1883" s="1" t="n">
        <v>45357</v>
      </c>
      <c r="D1883" t="inlineStr">
        <is>
          <t>VÄSTERBOTTENS LÄN</t>
        </is>
      </c>
      <c r="E1883" t="inlineStr">
        <is>
          <t>UMEÅ</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16964-2019</t>
        </is>
      </c>
      <c r="B1884" s="1" t="n">
        <v>43550</v>
      </c>
      <c r="C1884" s="1" t="n">
        <v>45357</v>
      </c>
      <c r="D1884" t="inlineStr">
        <is>
          <t>VÄSTERBOTTENS LÄN</t>
        </is>
      </c>
      <c r="E1884" t="inlineStr">
        <is>
          <t>UMEÅ</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17177-2019</t>
        </is>
      </c>
      <c r="B1885" s="1" t="n">
        <v>43551</v>
      </c>
      <c r="C1885" s="1" t="n">
        <v>45357</v>
      </c>
      <c r="D1885" t="inlineStr">
        <is>
          <t>VÄSTERBOTTENS LÄN</t>
        </is>
      </c>
      <c r="E1885" t="inlineStr">
        <is>
          <t>VINDELN</t>
        </is>
      </c>
      <c r="F1885" t="inlineStr">
        <is>
          <t>SCA</t>
        </is>
      </c>
      <c r="G1885" t="n">
        <v>9.4</v>
      </c>
      <c r="H1885" t="n">
        <v>0</v>
      </c>
      <c r="I1885" t="n">
        <v>0</v>
      </c>
      <c r="J1885" t="n">
        <v>0</v>
      </c>
      <c r="K1885" t="n">
        <v>0</v>
      </c>
      <c r="L1885" t="n">
        <v>0</v>
      </c>
      <c r="M1885" t="n">
        <v>0</v>
      </c>
      <c r="N1885" t="n">
        <v>0</v>
      </c>
      <c r="O1885" t="n">
        <v>0</v>
      </c>
      <c r="P1885" t="n">
        <v>0</v>
      </c>
      <c r="Q1885" t="n">
        <v>0</v>
      </c>
      <c r="R1885" s="2" t="inlineStr"/>
    </row>
    <row r="1886" ht="15" customHeight="1">
      <c r="A1886" t="inlineStr">
        <is>
          <t>A 17266-2019</t>
        </is>
      </c>
      <c r="B1886" s="1" t="n">
        <v>43551</v>
      </c>
      <c r="C1886" s="1" t="n">
        <v>45357</v>
      </c>
      <c r="D1886" t="inlineStr">
        <is>
          <t>VÄSTERBOTTENS LÄN</t>
        </is>
      </c>
      <c r="E1886" t="inlineStr">
        <is>
          <t>LYCKSELE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17178-2019</t>
        </is>
      </c>
      <c r="B1887" s="1" t="n">
        <v>43551</v>
      </c>
      <c r="C1887" s="1" t="n">
        <v>45357</v>
      </c>
      <c r="D1887" t="inlineStr">
        <is>
          <t>VÄSTERBOTTENS LÄN</t>
        </is>
      </c>
      <c r="E1887" t="inlineStr">
        <is>
          <t>ROBERTSFORS</t>
        </is>
      </c>
      <c r="F1887" t="inlineStr">
        <is>
          <t>SCA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17179-2019</t>
        </is>
      </c>
      <c r="B1888" s="1" t="n">
        <v>43551</v>
      </c>
      <c r="C1888" s="1" t="n">
        <v>45357</v>
      </c>
      <c r="D1888" t="inlineStr">
        <is>
          <t>VÄSTERBOTTENS LÄN</t>
        </is>
      </c>
      <c r="E1888" t="inlineStr">
        <is>
          <t>ROBERTSFORS</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17400-2019</t>
        </is>
      </c>
      <c r="B1889" s="1" t="n">
        <v>43552</v>
      </c>
      <c r="C1889" s="1" t="n">
        <v>45357</v>
      </c>
      <c r="D1889" t="inlineStr">
        <is>
          <t>VÄSTERBOTTENS LÄN</t>
        </is>
      </c>
      <c r="E1889" t="inlineStr">
        <is>
          <t>NORSJÖ</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17415-2019</t>
        </is>
      </c>
      <c r="B1890" s="1" t="n">
        <v>43553</v>
      </c>
      <c r="C1890" s="1" t="n">
        <v>45357</v>
      </c>
      <c r="D1890" t="inlineStr">
        <is>
          <t>VÄSTERBOTTENS LÄN</t>
        </is>
      </c>
      <c r="E1890" t="inlineStr">
        <is>
          <t>NORDMALING</t>
        </is>
      </c>
      <c r="G1890" t="n">
        <v>26.5</v>
      </c>
      <c r="H1890" t="n">
        <v>0</v>
      </c>
      <c r="I1890" t="n">
        <v>0</v>
      </c>
      <c r="J1890" t="n">
        <v>0</v>
      </c>
      <c r="K1890" t="n">
        <v>0</v>
      </c>
      <c r="L1890" t="n">
        <v>0</v>
      </c>
      <c r="M1890" t="n">
        <v>0</v>
      </c>
      <c r="N1890" t="n">
        <v>0</v>
      </c>
      <c r="O1890" t="n">
        <v>0</v>
      </c>
      <c r="P1890" t="n">
        <v>0</v>
      </c>
      <c r="Q1890" t="n">
        <v>0</v>
      </c>
      <c r="R1890" s="2" t="inlineStr"/>
    </row>
    <row r="1891" ht="15" customHeight="1">
      <c r="A1891" t="inlineStr">
        <is>
          <t>A 17870-2019</t>
        </is>
      </c>
      <c r="B1891" s="1" t="n">
        <v>43553</v>
      </c>
      <c r="C1891" s="1" t="n">
        <v>45357</v>
      </c>
      <c r="D1891" t="inlineStr">
        <is>
          <t>VÄSTERBOTTENS LÄN</t>
        </is>
      </c>
      <c r="E1891" t="inlineStr">
        <is>
          <t>UMEÅ</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17578-2019</t>
        </is>
      </c>
      <c r="B1892" s="1" t="n">
        <v>43553</v>
      </c>
      <c r="C1892" s="1" t="n">
        <v>45357</v>
      </c>
      <c r="D1892" t="inlineStr">
        <is>
          <t>VÄSTERBOTTENS LÄN</t>
        </is>
      </c>
      <c r="E1892" t="inlineStr">
        <is>
          <t>SKELLEFTEÅ</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17594-2019</t>
        </is>
      </c>
      <c r="B1893" s="1" t="n">
        <v>43553</v>
      </c>
      <c r="C1893" s="1" t="n">
        <v>45357</v>
      </c>
      <c r="D1893" t="inlineStr">
        <is>
          <t>VÄSTERBOTTENS LÄN</t>
        </is>
      </c>
      <c r="E1893" t="inlineStr">
        <is>
          <t>LYCKSELE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17877-2019</t>
        </is>
      </c>
      <c r="B1894" s="1" t="n">
        <v>43553</v>
      </c>
      <c r="C1894" s="1" t="n">
        <v>45357</v>
      </c>
      <c r="D1894" t="inlineStr">
        <is>
          <t>VÄSTERBOTTENS LÄN</t>
        </is>
      </c>
      <c r="E1894" t="inlineStr">
        <is>
          <t>UMEÅ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17416-2019</t>
        </is>
      </c>
      <c r="B1895" s="1" t="n">
        <v>43553</v>
      </c>
      <c r="C1895" s="1" t="n">
        <v>45357</v>
      </c>
      <c r="D1895" t="inlineStr">
        <is>
          <t>VÄSTERBOTTENS LÄN</t>
        </is>
      </c>
      <c r="E1895" t="inlineStr">
        <is>
          <t>NORDMALING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17604-2019</t>
        </is>
      </c>
      <c r="B1896" s="1" t="n">
        <v>43554</v>
      </c>
      <c r="C1896" s="1" t="n">
        <v>45357</v>
      </c>
      <c r="D1896" t="inlineStr">
        <is>
          <t>VÄSTERBOTTENS LÄN</t>
        </is>
      </c>
      <c r="E1896" t="inlineStr">
        <is>
          <t>SKELLEFTEÅ</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17665-2019</t>
        </is>
      </c>
      <c r="B1897" s="1" t="n">
        <v>43556</v>
      </c>
      <c r="C1897" s="1" t="n">
        <v>45357</v>
      </c>
      <c r="D1897" t="inlineStr">
        <is>
          <t>VÄSTERBOTTENS LÄN</t>
        </is>
      </c>
      <c r="E1897" t="inlineStr">
        <is>
          <t>UMEÅ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17859-2019</t>
        </is>
      </c>
      <c r="B1898" s="1" t="n">
        <v>43556</v>
      </c>
      <c r="C1898" s="1" t="n">
        <v>45357</v>
      </c>
      <c r="D1898" t="inlineStr">
        <is>
          <t>VÄSTERBOTTENS LÄN</t>
        </is>
      </c>
      <c r="E1898" t="inlineStr">
        <is>
          <t>VINDELN</t>
        </is>
      </c>
      <c r="F1898" t="inlineStr">
        <is>
          <t>SCA</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18151-2019</t>
        </is>
      </c>
      <c r="B1899" s="1" t="n">
        <v>43556</v>
      </c>
      <c r="C1899" s="1" t="n">
        <v>45357</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18106-2019</t>
        </is>
      </c>
      <c r="B1900" s="1" t="n">
        <v>43556</v>
      </c>
      <c r="C1900" s="1" t="n">
        <v>45357</v>
      </c>
      <c r="D1900" t="inlineStr">
        <is>
          <t>VÄSTERBOTTENS LÄN</t>
        </is>
      </c>
      <c r="E1900" t="inlineStr">
        <is>
          <t>STORUMAN</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18096-2019</t>
        </is>
      </c>
      <c r="B1901" s="1" t="n">
        <v>43556</v>
      </c>
      <c r="C1901" s="1" t="n">
        <v>45357</v>
      </c>
      <c r="D1901" t="inlineStr">
        <is>
          <t>VÄSTERBOTTENS LÄN</t>
        </is>
      </c>
      <c r="E1901" t="inlineStr">
        <is>
          <t>STORUMAN</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17898-2019</t>
        </is>
      </c>
      <c r="B1902" s="1" t="n">
        <v>43557</v>
      </c>
      <c r="C1902" s="1" t="n">
        <v>45357</v>
      </c>
      <c r="D1902" t="inlineStr">
        <is>
          <t>VÄSTERBOTTENS LÄN</t>
        </is>
      </c>
      <c r="E1902" t="inlineStr">
        <is>
          <t>BJURHOLM</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17891-2019</t>
        </is>
      </c>
      <c r="B1903" s="1" t="n">
        <v>43557</v>
      </c>
      <c r="C1903" s="1" t="n">
        <v>45357</v>
      </c>
      <c r="D1903" t="inlineStr">
        <is>
          <t>VÄSTERBOTTENS LÄN</t>
        </is>
      </c>
      <c r="E1903" t="inlineStr">
        <is>
          <t>BJURHOLM</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18072-2019</t>
        </is>
      </c>
      <c r="B1904" s="1" t="n">
        <v>43557</v>
      </c>
      <c r="C1904" s="1" t="n">
        <v>45357</v>
      </c>
      <c r="D1904" t="inlineStr">
        <is>
          <t>VÄSTERBOTTENS LÄN</t>
        </is>
      </c>
      <c r="E1904" t="inlineStr">
        <is>
          <t>SKELLEFTEÅ</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18271-2019</t>
        </is>
      </c>
      <c r="B1905" s="1" t="n">
        <v>43557</v>
      </c>
      <c r="C1905" s="1" t="n">
        <v>45357</v>
      </c>
      <c r="D1905" t="inlineStr">
        <is>
          <t>VÄSTERBOTTENS LÄN</t>
        </is>
      </c>
      <c r="E1905" t="inlineStr">
        <is>
          <t>SKELLEFTEÅ</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18073-2019</t>
        </is>
      </c>
      <c r="B1906" s="1" t="n">
        <v>43557</v>
      </c>
      <c r="C1906" s="1" t="n">
        <v>45357</v>
      </c>
      <c r="D1906" t="inlineStr">
        <is>
          <t>VÄSTERBOTTENS LÄN</t>
        </is>
      </c>
      <c r="E1906" t="inlineStr">
        <is>
          <t>SKELLEFTEÅ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18116-2019</t>
        </is>
      </c>
      <c r="B1907" s="1" t="n">
        <v>43558</v>
      </c>
      <c r="C1907" s="1" t="n">
        <v>45357</v>
      </c>
      <c r="D1907" t="inlineStr">
        <is>
          <t>VÄSTERBOTTENS LÄN</t>
        </is>
      </c>
      <c r="E1907" t="inlineStr">
        <is>
          <t>VINDELN</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18201-2019</t>
        </is>
      </c>
      <c r="B1908" s="1" t="n">
        <v>43558</v>
      </c>
      <c r="C1908" s="1" t="n">
        <v>45357</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18079-2019</t>
        </is>
      </c>
      <c r="B1909" s="1" t="n">
        <v>43558</v>
      </c>
      <c r="C1909" s="1" t="n">
        <v>45357</v>
      </c>
      <c r="D1909" t="inlineStr">
        <is>
          <t>VÄSTERBOTTENS LÄN</t>
        </is>
      </c>
      <c r="E1909" t="inlineStr">
        <is>
          <t>ROBERTSFORS</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18202-2019</t>
        </is>
      </c>
      <c r="B1910" s="1" t="n">
        <v>43558</v>
      </c>
      <c r="C1910" s="1" t="n">
        <v>45357</v>
      </c>
      <c r="D1910" t="inlineStr">
        <is>
          <t>VÄSTERBOTTENS LÄN</t>
        </is>
      </c>
      <c r="E1910" t="inlineStr">
        <is>
          <t>SKELLEFTEÅ</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18137-2019</t>
        </is>
      </c>
      <c r="B1911" s="1" t="n">
        <v>43558</v>
      </c>
      <c r="C1911" s="1" t="n">
        <v>45357</v>
      </c>
      <c r="D1911" t="inlineStr">
        <is>
          <t>VÄSTERBOTTENS LÄN</t>
        </is>
      </c>
      <c r="E1911" t="inlineStr">
        <is>
          <t>SKELLEFTEÅ</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18521-2019</t>
        </is>
      </c>
      <c r="B1912" s="1" t="n">
        <v>43558</v>
      </c>
      <c r="C1912" s="1" t="n">
        <v>45357</v>
      </c>
      <c r="D1912" t="inlineStr">
        <is>
          <t>VÄSTERBOTTENS LÄN</t>
        </is>
      </c>
      <c r="E1912" t="inlineStr">
        <is>
          <t>VILHELMINA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18529-2019</t>
        </is>
      </c>
      <c r="B1913" s="1" t="n">
        <v>43559</v>
      </c>
      <c r="C1913" s="1" t="n">
        <v>45357</v>
      </c>
      <c r="D1913" t="inlineStr">
        <is>
          <t>VÄSTERBOTTENS LÄN</t>
        </is>
      </c>
      <c r="E1913" t="inlineStr">
        <is>
          <t>VILHELMINA</t>
        </is>
      </c>
      <c r="F1913" t="inlineStr">
        <is>
          <t>Kommuner</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18669-2019</t>
        </is>
      </c>
      <c r="B1914" s="1" t="n">
        <v>43559</v>
      </c>
      <c r="C1914" s="1" t="n">
        <v>45357</v>
      </c>
      <c r="D1914" t="inlineStr">
        <is>
          <t>VÄSTERBOTTENS LÄN</t>
        </is>
      </c>
      <c r="E1914" t="inlineStr">
        <is>
          <t>VINDELN</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18449-2019</t>
        </is>
      </c>
      <c r="B1915" s="1" t="n">
        <v>43559</v>
      </c>
      <c r="C1915" s="1" t="n">
        <v>45357</v>
      </c>
      <c r="D1915" t="inlineStr">
        <is>
          <t>VÄSTERBOTTENS LÄN</t>
        </is>
      </c>
      <c r="E1915" t="inlineStr">
        <is>
          <t>VILHELMINA</t>
        </is>
      </c>
      <c r="F1915" t="inlineStr">
        <is>
          <t>Kommuner</t>
        </is>
      </c>
      <c r="G1915" t="n">
        <v>20.8</v>
      </c>
      <c r="H1915" t="n">
        <v>0</v>
      </c>
      <c r="I1915" t="n">
        <v>0</v>
      </c>
      <c r="J1915" t="n">
        <v>0</v>
      </c>
      <c r="K1915" t="n">
        <v>0</v>
      </c>
      <c r="L1915" t="n">
        <v>0</v>
      </c>
      <c r="M1915" t="n">
        <v>0</v>
      </c>
      <c r="N1915" t="n">
        <v>0</v>
      </c>
      <c r="O1915" t="n">
        <v>0</v>
      </c>
      <c r="P1915" t="n">
        <v>0</v>
      </c>
      <c r="Q1915" t="n">
        <v>0</v>
      </c>
      <c r="R1915" s="2" t="inlineStr"/>
    </row>
    <row r="1916" ht="15" customHeight="1">
      <c r="A1916" t="inlineStr">
        <is>
          <t>A 18692-2019</t>
        </is>
      </c>
      <c r="B1916" s="1" t="n">
        <v>43559</v>
      </c>
      <c r="C1916" s="1" t="n">
        <v>45357</v>
      </c>
      <c r="D1916" t="inlineStr">
        <is>
          <t>VÄSTERBOTTENS LÄN</t>
        </is>
      </c>
      <c r="E1916" t="inlineStr">
        <is>
          <t>ÅSELE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18714-2019</t>
        </is>
      </c>
      <c r="B1917" s="1" t="n">
        <v>43560</v>
      </c>
      <c r="C1917" s="1" t="n">
        <v>45357</v>
      </c>
      <c r="D1917" t="inlineStr">
        <is>
          <t>VÄSTERBOTTENS LÄN</t>
        </is>
      </c>
      <c r="E1917" t="inlineStr">
        <is>
          <t>SKELLEFTEÅ</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18712-2019</t>
        </is>
      </c>
      <c r="B1918" s="1" t="n">
        <v>43560</v>
      </c>
      <c r="C1918" s="1" t="n">
        <v>45357</v>
      </c>
      <c r="D1918" t="inlineStr">
        <is>
          <t>VÄSTERBOTTENS LÄN</t>
        </is>
      </c>
      <c r="E1918" t="inlineStr">
        <is>
          <t>SKELLEFTEÅ</t>
        </is>
      </c>
      <c r="F1918" t="inlineStr">
        <is>
          <t>Övriga Aktiebolag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18757-2019</t>
        </is>
      </c>
      <c r="B1919" s="1" t="n">
        <v>43560</v>
      </c>
      <c r="C1919" s="1" t="n">
        <v>45357</v>
      </c>
      <c r="D1919" t="inlineStr">
        <is>
          <t>VÄSTERBOTTENS LÄN</t>
        </is>
      </c>
      <c r="E1919" t="inlineStr">
        <is>
          <t>DOROTEA</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18591-2019</t>
        </is>
      </c>
      <c r="B1920" s="1" t="n">
        <v>43560</v>
      </c>
      <c r="C1920" s="1" t="n">
        <v>45357</v>
      </c>
      <c r="D1920" t="inlineStr">
        <is>
          <t>VÄSTERBOTTENS LÄN</t>
        </is>
      </c>
      <c r="E1920" t="inlineStr">
        <is>
          <t>VÄNNÄS</t>
        </is>
      </c>
      <c r="F1920" t="inlineStr">
        <is>
          <t>Övriga Aktiebolag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18771-2019</t>
        </is>
      </c>
      <c r="B1921" s="1" t="n">
        <v>43560</v>
      </c>
      <c r="C1921" s="1" t="n">
        <v>45357</v>
      </c>
      <c r="D1921" t="inlineStr">
        <is>
          <t>VÄSTERBOTTENS LÄN</t>
        </is>
      </c>
      <c r="E1921" t="inlineStr">
        <is>
          <t>LYCKSELE</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18821-2019</t>
        </is>
      </c>
      <c r="B1922" s="1" t="n">
        <v>43560</v>
      </c>
      <c r="C1922" s="1" t="n">
        <v>45357</v>
      </c>
      <c r="D1922" t="inlineStr">
        <is>
          <t>VÄSTERBOTTENS LÄN</t>
        </is>
      </c>
      <c r="E1922" t="inlineStr">
        <is>
          <t>NORSJÖ</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18816-2019</t>
        </is>
      </c>
      <c r="B1923" s="1" t="n">
        <v>43560</v>
      </c>
      <c r="C1923" s="1" t="n">
        <v>45357</v>
      </c>
      <c r="D1923" t="inlineStr">
        <is>
          <t>VÄSTERBOTTENS LÄN</t>
        </is>
      </c>
      <c r="E1923" t="inlineStr">
        <is>
          <t>ROBERTSFORS</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18846-2019</t>
        </is>
      </c>
      <c r="B1924" s="1" t="n">
        <v>43563</v>
      </c>
      <c r="C1924" s="1" t="n">
        <v>45357</v>
      </c>
      <c r="D1924" t="inlineStr">
        <is>
          <t>VÄSTERBOTTENS LÄN</t>
        </is>
      </c>
      <c r="E1924" t="inlineStr">
        <is>
          <t>NORDMALING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19007-2019</t>
        </is>
      </c>
      <c r="B1925" s="1" t="n">
        <v>43563</v>
      </c>
      <c r="C1925" s="1" t="n">
        <v>45357</v>
      </c>
      <c r="D1925" t="inlineStr">
        <is>
          <t>VÄSTERBOTTENS LÄN</t>
        </is>
      </c>
      <c r="E1925" t="inlineStr">
        <is>
          <t>NORSJÖ</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19101-2019</t>
        </is>
      </c>
      <c r="B1926" s="1" t="n">
        <v>43563</v>
      </c>
      <c r="C1926" s="1" t="n">
        <v>45357</v>
      </c>
      <c r="D1926" t="inlineStr">
        <is>
          <t>VÄSTERBOTTENS LÄN</t>
        </is>
      </c>
      <c r="E1926" t="inlineStr">
        <is>
          <t>SKELLEFTEÅ</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18986-2019</t>
        </is>
      </c>
      <c r="B1927" s="1" t="n">
        <v>43563</v>
      </c>
      <c r="C1927" s="1" t="n">
        <v>45357</v>
      </c>
      <c r="D1927" t="inlineStr">
        <is>
          <t>VÄSTERBOTTENS LÄN</t>
        </is>
      </c>
      <c r="E1927" t="inlineStr">
        <is>
          <t>LYCKSELE</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19059-2019</t>
        </is>
      </c>
      <c r="B1928" s="1" t="n">
        <v>43563</v>
      </c>
      <c r="C1928" s="1" t="n">
        <v>45357</v>
      </c>
      <c r="D1928" t="inlineStr">
        <is>
          <t>VÄSTERBOTTENS LÄN</t>
        </is>
      </c>
      <c r="E1928" t="inlineStr">
        <is>
          <t>SKELLEFTEÅ</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19130-2019</t>
        </is>
      </c>
      <c r="B1929" s="1" t="n">
        <v>43564</v>
      </c>
      <c r="C1929" s="1" t="n">
        <v>45357</v>
      </c>
      <c r="D1929" t="inlineStr">
        <is>
          <t>VÄSTERBOTTENS LÄN</t>
        </is>
      </c>
      <c r="E1929" t="inlineStr">
        <is>
          <t>VILHELMINA</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19382-2019</t>
        </is>
      </c>
      <c r="B1930" s="1" t="n">
        <v>43565</v>
      </c>
      <c r="C1930" s="1" t="n">
        <v>45357</v>
      </c>
      <c r="D1930" t="inlineStr">
        <is>
          <t>VÄSTERBOTTENS LÄN</t>
        </is>
      </c>
      <c r="E1930" t="inlineStr">
        <is>
          <t>SKELLEFTEÅ</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19530-2019</t>
        </is>
      </c>
      <c r="B1931" s="1" t="n">
        <v>43565</v>
      </c>
      <c r="C1931" s="1" t="n">
        <v>45357</v>
      </c>
      <c r="D1931" t="inlineStr">
        <is>
          <t>VÄSTERBOTTENS LÄN</t>
        </is>
      </c>
      <c r="E1931" t="inlineStr">
        <is>
          <t>SKELLEFTEÅ</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19604-2019</t>
        </is>
      </c>
      <c r="B1932" s="1" t="n">
        <v>43566</v>
      </c>
      <c r="C1932" s="1" t="n">
        <v>45357</v>
      </c>
      <c r="D1932" t="inlineStr">
        <is>
          <t>VÄSTERBOTTENS LÄN</t>
        </is>
      </c>
      <c r="E1932" t="inlineStr">
        <is>
          <t>LYCKSELE</t>
        </is>
      </c>
      <c r="F1932" t="inlineStr">
        <is>
          <t>Holmen skog AB</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19709-2019</t>
        </is>
      </c>
      <c r="B1933" s="1" t="n">
        <v>43566</v>
      </c>
      <c r="C1933" s="1" t="n">
        <v>45357</v>
      </c>
      <c r="D1933" t="inlineStr">
        <is>
          <t>VÄSTERBOTTENS LÄN</t>
        </is>
      </c>
      <c r="E1933" t="inlineStr">
        <is>
          <t>DOROTEA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20289-2019</t>
        </is>
      </c>
      <c r="B1934" s="1" t="n">
        <v>43567</v>
      </c>
      <c r="C1934" s="1" t="n">
        <v>45357</v>
      </c>
      <c r="D1934" t="inlineStr">
        <is>
          <t>VÄSTERBOTTENS LÄN</t>
        </is>
      </c>
      <c r="E1934" t="inlineStr">
        <is>
          <t>NORDMALING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19854-2019</t>
        </is>
      </c>
      <c r="B1935" s="1" t="n">
        <v>43567</v>
      </c>
      <c r="C1935" s="1" t="n">
        <v>45357</v>
      </c>
      <c r="D1935" t="inlineStr">
        <is>
          <t>VÄSTERBOTTENS LÄN</t>
        </is>
      </c>
      <c r="E1935" t="inlineStr">
        <is>
          <t>VINDELN</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20163-2019</t>
        </is>
      </c>
      <c r="B1936" s="1" t="n">
        <v>43567</v>
      </c>
      <c r="C1936" s="1" t="n">
        <v>45357</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20336-2019</t>
        </is>
      </c>
      <c r="B1937" s="1" t="n">
        <v>43570</v>
      </c>
      <c r="C1937" s="1" t="n">
        <v>45357</v>
      </c>
      <c r="D1937" t="inlineStr">
        <is>
          <t>VÄSTERBOTTENS LÄN</t>
        </is>
      </c>
      <c r="E1937" t="inlineStr">
        <is>
          <t>NORSJÖ</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20015-2019</t>
        </is>
      </c>
      <c r="B1938" s="1" t="n">
        <v>43570</v>
      </c>
      <c r="C1938" s="1" t="n">
        <v>45357</v>
      </c>
      <c r="D1938" t="inlineStr">
        <is>
          <t>VÄSTERBOTTENS LÄN</t>
        </is>
      </c>
      <c r="E1938" t="inlineStr">
        <is>
          <t>VINDELN</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20103-2019</t>
        </is>
      </c>
      <c r="B1939" s="1" t="n">
        <v>43570</v>
      </c>
      <c r="C1939" s="1" t="n">
        <v>45357</v>
      </c>
      <c r="D1939" t="inlineStr">
        <is>
          <t>VÄSTERBOTTENS LÄN</t>
        </is>
      </c>
      <c r="E1939" t="inlineStr">
        <is>
          <t>BJURHOLM</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20431-2019</t>
        </is>
      </c>
      <c r="B1940" s="1" t="n">
        <v>43571</v>
      </c>
      <c r="C1940" s="1" t="n">
        <v>45357</v>
      </c>
      <c r="D1940" t="inlineStr">
        <is>
          <t>VÄSTERBOTTENS LÄN</t>
        </is>
      </c>
      <c r="E1940" t="inlineStr">
        <is>
          <t>NORSJÖ</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20428-2019</t>
        </is>
      </c>
      <c r="B1941" s="1" t="n">
        <v>43571</v>
      </c>
      <c r="C1941" s="1" t="n">
        <v>45357</v>
      </c>
      <c r="D1941" t="inlineStr">
        <is>
          <t>VÄSTERBOTTENS LÄN</t>
        </is>
      </c>
      <c r="E1941" t="inlineStr">
        <is>
          <t>SKELLEFTEÅ</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20538-2019</t>
        </is>
      </c>
      <c r="B1942" s="1" t="n">
        <v>43572</v>
      </c>
      <c r="C1942" s="1" t="n">
        <v>45357</v>
      </c>
      <c r="D1942" t="inlineStr">
        <is>
          <t>VÄSTERBOTTENS LÄN</t>
        </is>
      </c>
      <c r="E1942" t="inlineStr">
        <is>
          <t>VINDELN</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20584-2019</t>
        </is>
      </c>
      <c r="B1943" s="1" t="n">
        <v>43572</v>
      </c>
      <c r="C1943" s="1" t="n">
        <v>45357</v>
      </c>
      <c r="D1943" t="inlineStr">
        <is>
          <t>VÄSTERBOTTENS LÄN</t>
        </is>
      </c>
      <c r="E1943" t="inlineStr">
        <is>
          <t>SKELLEFTEÅ</t>
        </is>
      </c>
      <c r="F1943" t="inlineStr">
        <is>
          <t>Kommuner</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20458-2019</t>
        </is>
      </c>
      <c r="B1944" s="1" t="n">
        <v>43572</v>
      </c>
      <c r="C1944" s="1" t="n">
        <v>45357</v>
      </c>
      <c r="D1944" t="inlineStr">
        <is>
          <t>VÄSTERBOTTENS LÄN</t>
        </is>
      </c>
      <c r="E1944" t="inlineStr">
        <is>
          <t>UMEÅ</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20583-2019</t>
        </is>
      </c>
      <c r="B1945" s="1" t="n">
        <v>43572</v>
      </c>
      <c r="C1945" s="1" t="n">
        <v>45357</v>
      </c>
      <c r="D1945" t="inlineStr">
        <is>
          <t>VÄSTERBOTTENS LÄN</t>
        </is>
      </c>
      <c r="E1945" t="inlineStr">
        <is>
          <t>VINDELN</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20928-2019</t>
        </is>
      </c>
      <c r="B1946" s="1" t="n">
        <v>43572</v>
      </c>
      <c r="C1946" s="1" t="n">
        <v>45357</v>
      </c>
      <c r="D1946" t="inlineStr">
        <is>
          <t>VÄSTERBOTTENS LÄN</t>
        </is>
      </c>
      <c r="E1946" t="inlineStr">
        <is>
          <t>LYCKSELE</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20502-2019</t>
        </is>
      </c>
      <c r="B1947" s="1" t="n">
        <v>43572</v>
      </c>
      <c r="C1947" s="1" t="n">
        <v>45357</v>
      </c>
      <c r="D1947" t="inlineStr">
        <is>
          <t>VÄSTERBOTTENS LÄN</t>
        </is>
      </c>
      <c r="E1947" t="inlineStr">
        <is>
          <t>VINDELN</t>
        </is>
      </c>
      <c r="G1947" t="n">
        <v>17.4</v>
      </c>
      <c r="H1947" t="n">
        <v>0</v>
      </c>
      <c r="I1947" t="n">
        <v>0</v>
      </c>
      <c r="J1947" t="n">
        <v>0</v>
      </c>
      <c r="K1947" t="n">
        <v>0</v>
      </c>
      <c r="L1947" t="n">
        <v>0</v>
      </c>
      <c r="M1947" t="n">
        <v>0</v>
      </c>
      <c r="N1947" t="n">
        <v>0</v>
      </c>
      <c r="O1947" t="n">
        <v>0</v>
      </c>
      <c r="P1947" t="n">
        <v>0</v>
      </c>
      <c r="Q1947" t="n">
        <v>0</v>
      </c>
      <c r="R1947" s="2" t="inlineStr"/>
    </row>
    <row r="1948" ht="15" customHeight="1">
      <c r="A1948" t="inlineStr">
        <is>
          <t>A 20668-2019</t>
        </is>
      </c>
      <c r="B1948" s="1" t="n">
        <v>43572</v>
      </c>
      <c r="C1948" s="1" t="n">
        <v>45357</v>
      </c>
      <c r="D1948" t="inlineStr">
        <is>
          <t>VÄSTERBOTTENS LÄN</t>
        </is>
      </c>
      <c r="E1948" t="inlineStr">
        <is>
          <t>SKELLEFTEÅ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20595-2019</t>
        </is>
      </c>
      <c r="B1949" s="1" t="n">
        <v>43572</v>
      </c>
      <c r="C1949" s="1" t="n">
        <v>45357</v>
      </c>
      <c r="D1949" t="inlineStr">
        <is>
          <t>VÄSTERBOTTENS LÄN</t>
        </is>
      </c>
      <c r="E1949" t="inlineStr">
        <is>
          <t>VINDELN</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20714-2019</t>
        </is>
      </c>
      <c r="B1950" s="1" t="n">
        <v>43573</v>
      </c>
      <c r="C1950" s="1" t="n">
        <v>45357</v>
      </c>
      <c r="D1950" t="inlineStr">
        <is>
          <t>VÄSTERBOTTENS LÄN</t>
        </is>
      </c>
      <c r="E1950" t="inlineStr">
        <is>
          <t>VÄNNÄS</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20842-2019</t>
        </is>
      </c>
      <c r="B1951" s="1" t="n">
        <v>43577</v>
      </c>
      <c r="C1951" s="1" t="n">
        <v>45357</v>
      </c>
      <c r="D1951" t="inlineStr">
        <is>
          <t>VÄSTERBOTTENS LÄN</t>
        </is>
      </c>
      <c r="E1951" t="inlineStr">
        <is>
          <t>BJURHOLM</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21025-2019</t>
        </is>
      </c>
      <c r="B1952" s="1" t="n">
        <v>43578</v>
      </c>
      <c r="C1952" s="1" t="n">
        <v>45357</v>
      </c>
      <c r="D1952" t="inlineStr">
        <is>
          <t>VÄSTERBOTTENS LÄN</t>
        </is>
      </c>
      <c r="E1952" t="inlineStr">
        <is>
          <t>NORDMALING</t>
        </is>
      </c>
      <c r="G1952" t="n">
        <v>10.8</v>
      </c>
      <c r="H1952" t="n">
        <v>0</v>
      </c>
      <c r="I1952" t="n">
        <v>0</v>
      </c>
      <c r="J1952" t="n">
        <v>0</v>
      </c>
      <c r="K1952" t="n">
        <v>0</v>
      </c>
      <c r="L1952" t="n">
        <v>0</v>
      </c>
      <c r="M1952" t="n">
        <v>0</v>
      </c>
      <c r="N1952" t="n">
        <v>0</v>
      </c>
      <c r="O1952" t="n">
        <v>0</v>
      </c>
      <c r="P1952" t="n">
        <v>0</v>
      </c>
      <c r="Q1952" t="n">
        <v>0</v>
      </c>
      <c r="R1952" s="2" t="inlineStr"/>
    </row>
    <row r="1953" ht="15" customHeight="1">
      <c r="A1953" t="inlineStr">
        <is>
          <t>A 20871-2019</t>
        </is>
      </c>
      <c r="B1953" s="1" t="n">
        <v>43578</v>
      </c>
      <c r="C1953" s="1" t="n">
        <v>45357</v>
      </c>
      <c r="D1953" t="inlineStr">
        <is>
          <t>VÄSTERBOTTENS LÄN</t>
        </is>
      </c>
      <c r="E1953" t="inlineStr">
        <is>
          <t>ROBERTSFORS</t>
        </is>
      </c>
      <c r="F1953" t="inlineStr">
        <is>
          <t>Holmen skog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21034-2019</t>
        </is>
      </c>
      <c r="B1954" s="1" t="n">
        <v>43578</v>
      </c>
      <c r="C1954" s="1" t="n">
        <v>45357</v>
      </c>
      <c r="D1954" t="inlineStr">
        <is>
          <t>VÄSTERBOTTENS LÄN</t>
        </is>
      </c>
      <c r="E1954" t="inlineStr">
        <is>
          <t>NORDMALING</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21104-2019</t>
        </is>
      </c>
      <c r="B1955" s="1" t="n">
        <v>43578</v>
      </c>
      <c r="C1955" s="1" t="n">
        <v>45357</v>
      </c>
      <c r="D1955" t="inlineStr">
        <is>
          <t>VÄSTERBOTTENS LÄN</t>
        </is>
      </c>
      <c r="E1955" t="inlineStr">
        <is>
          <t>BJURHOLM</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21325-2019</t>
        </is>
      </c>
      <c r="B1956" s="1" t="n">
        <v>43579</v>
      </c>
      <c r="C1956" s="1" t="n">
        <v>45357</v>
      </c>
      <c r="D1956" t="inlineStr">
        <is>
          <t>VÄSTERBOTTENS LÄN</t>
        </is>
      </c>
      <c r="E1956" t="inlineStr">
        <is>
          <t>BJURHOLM</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21338-2019</t>
        </is>
      </c>
      <c r="B1957" s="1" t="n">
        <v>43579</v>
      </c>
      <c r="C1957" s="1" t="n">
        <v>45357</v>
      </c>
      <c r="D1957" t="inlineStr">
        <is>
          <t>VÄSTERBOTTENS LÄN</t>
        </is>
      </c>
      <c r="E1957" t="inlineStr">
        <is>
          <t>NORDMALING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21331-2019</t>
        </is>
      </c>
      <c r="B1958" s="1" t="n">
        <v>43579</v>
      </c>
      <c r="C1958" s="1" t="n">
        <v>45357</v>
      </c>
      <c r="D1958" t="inlineStr">
        <is>
          <t>VÄSTERBOTTENS LÄN</t>
        </is>
      </c>
      <c r="E1958" t="inlineStr">
        <is>
          <t>LYCKSELE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21352-2019</t>
        </is>
      </c>
      <c r="B1959" s="1" t="n">
        <v>43579</v>
      </c>
      <c r="C1959" s="1" t="n">
        <v>45357</v>
      </c>
      <c r="D1959" t="inlineStr">
        <is>
          <t>VÄSTERBOTTENS LÄN</t>
        </is>
      </c>
      <c r="E1959" t="inlineStr">
        <is>
          <t>NORSJÖ</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21339-2019</t>
        </is>
      </c>
      <c r="B1960" s="1" t="n">
        <v>43579</v>
      </c>
      <c r="C1960" s="1" t="n">
        <v>45357</v>
      </c>
      <c r="D1960" t="inlineStr">
        <is>
          <t>VÄSTERBOTTENS LÄN</t>
        </is>
      </c>
      <c r="E1960" t="inlineStr">
        <is>
          <t>NORDMALING</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21553-2019</t>
        </is>
      </c>
      <c r="B1961" s="1" t="n">
        <v>43580</v>
      </c>
      <c r="C1961" s="1" t="n">
        <v>45357</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21583-2019</t>
        </is>
      </c>
      <c r="B1962" s="1" t="n">
        <v>43580</v>
      </c>
      <c r="C1962" s="1" t="n">
        <v>45357</v>
      </c>
      <c r="D1962" t="inlineStr">
        <is>
          <t>VÄSTERBOTTENS LÄN</t>
        </is>
      </c>
      <c r="E1962" t="inlineStr">
        <is>
          <t>SKELLEFTEÅ</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21469-2019</t>
        </is>
      </c>
      <c r="B1963" s="1" t="n">
        <v>43580</v>
      </c>
      <c r="C1963" s="1" t="n">
        <v>45357</v>
      </c>
      <c r="D1963" t="inlineStr">
        <is>
          <t>VÄSTERBOTTENS LÄN</t>
        </is>
      </c>
      <c r="E1963" t="inlineStr">
        <is>
          <t>ROBERTSFORS</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21775-2019</t>
        </is>
      </c>
      <c r="B1964" s="1" t="n">
        <v>43581</v>
      </c>
      <c r="C1964" s="1" t="n">
        <v>45357</v>
      </c>
      <c r="D1964" t="inlineStr">
        <is>
          <t>VÄSTERBOTTENS LÄN</t>
        </is>
      </c>
      <c r="E1964" t="inlineStr">
        <is>
          <t>LYCKSELE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21766-2019</t>
        </is>
      </c>
      <c r="B1965" s="1" t="n">
        <v>43581</v>
      </c>
      <c r="C1965" s="1" t="n">
        <v>45357</v>
      </c>
      <c r="D1965" t="inlineStr">
        <is>
          <t>VÄSTERBOTTENS LÄN</t>
        </is>
      </c>
      <c r="E1965" t="inlineStr">
        <is>
          <t>LYCKSELE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21841-2019</t>
        </is>
      </c>
      <c r="B1966" s="1" t="n">
        <v>43581</v>
      </c>
      <c r="C1966" s="1" t="n">
        <v>45357</v>
      </c>
      <c r="D1966" t="inlineStr">
        <is>
          <t>VÄSTERBOTTENS LÄN</t>
        </is>
      </c>
      <c r="E1966" t="inlineStr">
        <is>
          <t>ROBERTSFORS</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21756-2019</t>
        </is>
      </c>
      <c r="B1967" s="1" t="n">
        <v>43581</v>
      </c>
      <c r="C1967" s="1" t="n">
        <v>45357</v>
      </c>
      <c r="D1967" t="inlineStr">
        <is>
          <t>VÄSTERBOTTENS LÄN</t>
        </is>
      </c>
      <c r="E1967" t="inlineStr">
        <is>
          <t>LYCKSELE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21839-2019</t>
        </is>
      </c>
      <c r="B1968" s="1" t="n">
        <v>43581</v>
      </c>
      <c r="C1968" s="1" t="n">
        <v>45357</v>
      </c>
      <c r="D1968" t="inlineStr">
        <is>
          <t>VÄSTERBOTTENS LÄN</t>
        </is>
      </c>
      <c r="E1968" t="inlineStr">
        <is>
          <t>ROBERTSFORS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21754-2019</t>
        </is>
      </c>
      <c r="B1969" s="1" t="n">
        <v>43581</v>
      </c>
      <c r="C1969" s="1" t="n">
        <v>45357</v>
      </c>
      <c r="D1969" t="inlineStr">
        <is>
          <t>VÄSTERBOTTENS LÄN</t>
        </is>
      </c>
      <c r="E1969" t="inlineStr">
        <is>
          <t>LYCKSELE</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21832-2019</t>
        </is>
      </c>
      <c r="B1970" s="1" t="n">
        <v>43581</v>
      </c>
      <c r="C1970" s="1" t="n">
        <v>45357</v>
      </c>
      <c r="D1970" t="inlineStr">
        <is>
          <t>VÄSTERBOTTENS LÄN</t>
        </is>
      </c>
      <c r="E1970" t="inlineStr">
        <is>
          <t>NORSJÖ</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22156-2019</t>
        </is>
      </c>
      <c r="B1971" s="1" t="n">
        <v>43585</v>
      </c>
      <c r="C1971" s="1" t="n">
        <v>45357</v>
      </c>
      <c r="D1971" t="inlineStr">
        <is>
          <t>VÄSTERBOTTENS LÄN</t>
        </is>
      </c>
      <c r="E1971" t="inlineStr">
        <is>
          <t>VÄNNÄS</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22279-2019</t>
        </is>
      </c>
      <c r="B1972" s="1" t="n">
        <v>43585</v>
      </c>
      <c r="C1972" s="1" t="n">
        <v>45357</v>
      </c>
      <c r="D1972" t="inlineStr">
        <is>
          <t>VÄSTERBOTTENS LÄN</t>
        </is>
      </c>
      <c r="E1972" t="inlineStr">
        <is>
          <t>ÅSELE</t>
        </is>
      </c>
      <c r="F1972" t="inlineStr">
        <is>
          <t>SCA</t>
        </is>
      </c>
      <c r="G1972" t="n">
        <v>59.4</v>
      </c>
      <c r="H1972" t="n">
        <v>0</v>
      </c>
      <c r="I1972" t="n">
        <v>0</v>
      </c>
      <c r="J1972" t="n">
        <v>0</v>
      </c>
      <c r="K1972" t="n">
        <v>0</v>
      </c>
      <c r="L1972" t="n">
        <v>0</v>
      </c>
      <c r="M1972" t="n">
        <v>0</v>
      </c>
      <c r="N1972" t="n">
        <v>0</v>
      </c>
      <c r="O1972" t="n">
        <v>0</v>
      </c>
      <c r="P1972" t="n">
        <v>0</v>
      </c>
      <c r="Q1972" t="n">
        <v>0</v>
      </c>
      <c r="R1972" s="2" t="inlineStr"/>
    </row>
    <row r="1973" ht="15" customHeight="1">
      <c r="A1973" t="inlineStr">
        <is>
          <t>A 22461-2019</t>
        </is>
      </c>
      <c r="B1973" s="1" t="n">
        <v>43585</v>
      </c>
      <c r="C1973" s="1" t="n">
        <v>45357</v>
      </c>
      <c r="D1973" t="inlineStr">
        <is>
          <t>VÄSTERBOTTENS LÄN</t>
        </is>
      </c>
      <c r="E1973" t="inlineStr">
        <is>
          <t>ÅSELE</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22370-2019</t>
        </is>
      </c>
      <c r="B1974" s="1" t="n">
        <v>43585</v>
      </c>
      <c r="C1974" s="1" t="n">
        <v>45357</v>
      </c>
      <c r="D1974" t="inlineStr">
        <is>
          <t>VÄSTERBOTTENS LÄN</t>
        </is>
      </c>
      <c r="E1974" t="inlineStr">
        <is>
          <t>BJURHOLM</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22278-2019</t>
        </is>
      </c>
      <c r="B1975" s="1" t="n">
        <v>43585</v>
      </c>
      <c r="C1975" s="1" t="n">
        <v>45357</v>
      </c>
      <c r="D1975" t="inlineStr">
        <is>
          <t>VÄSTERBOTTENS LÄN</t>
        </is>
      </c>
      <c r="E1975" t="inlineStr">
        <is>
          <t>ÅSELE</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22277-2019</t>
        </is>
      </c>
      <c r="B1976" s="1" t="n">
        <v>43585</v>
      </c>
      <c r="C1976" s="1" t="n">
        <v>45357</v>
      </c>
      <c r="D1976" t="inlineStr">
        <is>
          <t>VÄSTERBOTTENS LÄN</t>
        </is>
      </c>
      <c r="E1976" t="inlineStr">
        <is>
          <t>ÅSELE</t>
        </is>
      </c>
      <c r="F1976" t="inlineStr">
        <is>
          <t>SCA</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22272-2019</t>
        </is>
      </c>
      <c r="B1977" s="1" t="n">
        <v>43585</v>
      </c>
      <c r="C1977" s="1" t="n">
        <v>45357</v>
      </c>
      <c r="D1977" t="inlineStr">
        <is>
          <t>VÄSTERBOTTENS LÄN</t>
        </is>
      </c>
      <c r="E1977" t="inlineStr">
        <is>
          <t>DOROTEA</t>
        </is>
      </c>
      <c r="F1977" t="inlineStr">
        <is>
          <t>SCA</t>
        </is>
      </c>
      <c r="G1977" t="n">
        <v>21.6</v>
      </c>
      <c r="H1977" t="n">
        <v>0</v>
      </c>
      <c r="I1977" t="n">
        <v>0</v>
      </c>
      <c r="J1977" t="n">
        <v>0</v>
      </c>
      <c r="K1977" t="n">
        <v>0</v>
      </c>
      <c r="L1977" t="n">
        <v>0</v>
      </c>
      <c r="M1977" t="n">
        <v>0</v>
      </c>
      <c r="N1977" t="n">
        <v>0</v>
      </c>
      <c r="O1977" t="n">
        <v>0</v>
      </c>
      <c r="P1977" t="n">
        <v>0</v>
      </c>
      <c r="Q1977" t="n">
        <v>0</v>
      </c>
      <c r="R1977" s="2" t="inlineStr"/>
    </row>
    <row r="1978" ht="15" customHeight="1">
      <c r="A1978" t="inlineStr">
        <is>
          <t>A 22320-2019</t>
        </is>
      </c>
      <c r="B1978" s="1" t="n">
        <v>43586</v>
      </c>
      <c r="C1978" s="1" t="n">
        <v>45357</v>
      </c>
      <c r="D1978" t="inlineStr">
        <is>
          <t>VÄSTERBOTTENS LÄN</t>
        </is>
      </c>
      <c r="E1978" t="inlineStr">
        <is>
          <t>LYCKSELE</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22318-2019</t>
        </is>
      </c>
      <c r="B1979" s="1" t="n">
        <v>43586</v>
      </c>
      <c r="C1979" s="1" t="n">
        <v>45357</v>
      </c>
      <c r="D1979" t="inlineStr">
        <is>
          <t>VÄSTERBOTTENS LÄN</t>
        </is>
      </c>
      <c r="E1979" t="inlineStr">
        <is>
          <t>LYCKSELE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22493-2019</t>
        </is>
      </c>
      <c r="B1980" s="1" t="n">
        <v>43587</v>
      </c>
      <c r="C1980" s="1" t="n">
        <v>45357</v>
      </c>
      <c r="D1980" t="inlineStr">
        <is>
          <t>VÄSTERBOTTENS LÄN</t>
        </is>
      </c>
      <c r="E1980" t="inlineStr">
        <is>
          <t>ROBERTSFORS</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22580-2019</t>
        </is>
      </c>
      <c r="B1981" s="1" t="n">
        <v>43587</v>
      </c>
      <c r="C1981" s="1" t="n">
        <v>45357</v>
      </c>
      <c r="D1981" t="inlineStr">
        <is>
          <t>VÄSTERBOTTENS LÄN</t>
        </is>
      </c>
      <c r="E1981" t="inlineStr">
        <is>
          <t>SKELLEFTEÅ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22591-2019</t>
        </is>
      </c>
      <c r="B1982" s="1" t="n">
        <v>43587</v>
      </c>
      <c r="C1982" s="1" t="n">
        <v>45357</v>
      </c>
      <c r="D1982" t="inlineStr">
        <is>
          <t>VÄSTERBOTTENS LÄN</t>
        </is>
      </c>
      <c r="E1982" t="inlineStr">
        <is>
          <t>ÅSELE</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22357-2019</t>
        </is>
      </c>
      <c r="B1983" s="1" t="n">
        <v>43587</v>
      </c>
      <c r="C1983" s="1" t="n">
        <v>45357</v>
      </c>
      <c r="D1983" t="inlineStr">
        <is>
          <t>VÄSTERBOTTENS LÄN</t>
        </is>
      </c>
      <c r="E1983" t="inlineStr">
        <is>
          <t>NORDMALING</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22590-2019</t>
        </is>
      </c>
      <c r="B1984" s="1" t="n">
        <v>43587</v>
      </c>
      <c r="C1984" s="1" t="n">
        <v>45357</v>
      </c>
      <c r="D1984" t="inlineStr">
        <is>
          <t>VÄSTERBOTTENS LÄN</t>
        </is>
      </c>
      <c r="E1984" t="inlineStr">
        <is>
          <t>DOROTEA</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22739-2019</t>
        </is>
      </c>
      <c r="B1985" s="1" t="n">
        <v>43588</v>
      </c>
      <c r="C1985" s="1" t="n">
        <v>45357</v>
      </c>
      <c r="D1985" t="inlineStr">
        <is>
          <t>VÄSTERBOTTENS LÄN</t>
        </is>
      </c>
      <c r="E1985" t="inlineStr">
        <is>
          <t>UMEÅ</t>
        </is>
      </c>
      <c r="F1985" t="inlineStr">
        <is>
          <t>Kommuner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23098-2019</t>
        </is>
      </c>
      <c r="B1986" s="1" t="n">
        <v>43591</v>
      </c>
      <c r="C1986" s="1" t="n">
        <v>45357</v>
      </c>
      <c r="D1986" t="inlineStr">
        <is>
          <t>VÄSTERBOTTENS LÄN</t>
        </is>
      </c>
      <c r="E1986" t="inlineStr">
        <is>
          <t>UMEÅ</t>
        </is>
      </c>
      <c r="F1986" t="inlineStr">
        <is>
          <t>Kommuner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23175-2019</t>
        </is>
      </c>
      <c r="B1987" s="1" t="n">
        <v>43591</v>
      </c>
      <c r="C1987" s="1" t="n">
        <v>45357</v>
      </c>
      <c r="D1987" t="inlineStr">
        <is>
          <t>VÄSTERBOTTENS LÄN</t>
        </is>
      </c>
      <c r="E1987" t="inlineStr">
        <is>
          <t>VINDELN</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23064-2019</t>
        </is>
      </c>
      <c r="B1988" s="1" t="n">
        <v>43591</v>
      </c>
      <c r="C1988" s="1" t="n">
        <v>45357</v>
      </c>
      <c r="D1988" t="inlineStr">
        <is>
          <t>VÄSTERBOTTENS LÄN</t>
        </is>
      </c>
      <c r="E1988" t="inlineStr">
        <is>
          <t>DOROTEA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23336-2019</t>
        </is>
      </c>
      <c r="B1989" s="1" t="n">
        <v>43591</v>
      </c>
      <c r="C1989" s="1" t="n">
        <v>45357</v>
      </c>
      <c r="D1989" t="inlineStr">
        <is>
          <t>VÄSTERBOTTENS LÄN</t>
        </is>
      </c>
      <c r="E1989" t="inlineStr">
        <is>
          <t>VINDELN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23316-2019</t>
        </is>
      </c>
      <c r="B1990" s="1" t="n">
        <v>43591</v>
      </c>
      <c r="C1990" s="1" t="n">
        <v>45357</v>
      </c>
      <c r="D1990" t="inlineStr">
        <is>
          <t>VÄSTERBOTTENS LÄN</t>
        </is>
      </c>
      <c r="E1990" t="inlineStr">
        <is>
          <t>ÅSELE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23278-2019</t>
        </is>
      </c>
      <c r="B1991" s="1" t="n">
        <v>43592</v>
      </c>
      <c r="C1991" s="1" t="n">
        <v>45357</v>
      </c>
      <c r="D1991" t="inlineStr">
        <is>
          <t>VÄSTERBOTTENS LÄN</t>
        </is>
      </c>
      <c r="E1991" t="inlineStr">
        <is>
          <t>VILHELMINA</t>
        </is>
      </c>
      <c r="F1991" t="inlineStr">
        <is>
          <t>SCA</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23158-2019</t>
        </is>
      </c>
      <c r="B1992" s="1" t="n">
        <v>43592</v>
      </c>
      <c r="C1992" s="1" t="n">
        <v>45357</v>
      </c>
      <c r="D1992" t="inlineStr">
        <is>
          <t>VÄSTERBOTTENS LÄN</t>
        </is>
      </c>
      <c r="E1992" t="inlineStr">
        <is>
          <t>LYCKSELE</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23226-2019</t>
        </is>
      </c>
      <c r="B1993" s="1" t="n">
        <v>43592</v>
      </c>
      <c r="C1993" s="1" t="n">
        <v>45357</v>
      </c>
      <c r="D1993" t="inlineStr">
        <is>
          <t>VÄSTERBOTTENS LÄN</t>
        </is>
      </c>
      <c r="E1993" t="inlineStr">
        <is>
          <t>VÄNNÄS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23177-2019</t>
        </is>
      </c>
      <c r="B1994" s="1" t="n">
        <v>43592</v>
      </c>
      <c r="C1994" s="1" t="n">
        <v>45357</v>
      </c>
      <c r="D1994" t="inlineStr">
        <is>
          <t>VÄSTERBOTTENS LÄN</t>
        </is>
      </c>
      <c r="E1994" t="inlineStr">
        <is>
          <t>ROBERTSFORS</t>
        </is>
      </c>
      <c r="F1994" t="inlineStr">
        <is>
          <t>Holmen skog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23277-2019</t>
        </is>
      </c>
      <c r="B1995" s="1" t="n">
        <v>43592</v>
      </c>
      <c r="C1995" s="1" t="n">
        <v>45357</v>
      </c>
      <c r="D1995" t="inlineStr">
        <is>
          <t>VÄSTERBOTTENS LÄN</t>
        </is>
      </c>
      <c r="E1995" t="inlineStr">
        <is>
          <t>VILHELMINA</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23414-2019</t>
        </is>
      </c>
      <c r="B1996" s="1" t="n">
        <v>43592</v>
      </c>
      <c r="C1996" s="1" t="n">
        <v>45357</v>
      </c>
      <c r="D1996" t="inlineStr">
        <is>
          <t>VÄSTERBOTTENS LÄN</t>
        </is>
      </c>
      <c r="E1996" t="inlineStr">
        <is>
          <t>NORDMALING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23103-2019</t>
        </is>
      </c>
      <c r="B1997" s="1" t="n">
        <v>43592</v>
      </c>
      <c r="C1997" s="1" t="n">
        <v>45357</v>
      </c>
      <c r="D1997" t="inlineStr">
        <is>
          <t>VÄSTERBOTTENS LÄN</t>
        </is>
      </c>
      <c r="E1997" t="inlineStr">
        <is>
          <t>LYCKSELE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23436-2019</t>
        </is>
      </c>
      <c r="B1998" s="1" t="n">
        <v>43592</v>
      </c>
      <c r="C1998" s="1" t="n">
        <v>45357</v>
      </c>
      <c r="D1998" t="inlineStr">
        <is>
          <t>VÄSTERBOTTENS LÄN</t>
        </is>
      </c>
      <c r="E1998" t="inlineStr">
        <is>
          <t>SKELLEFTEÅ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23396-2019</t>
        </is>
      </c>
      <c r="B1999" s="1" t="n">
        <v>43592</v>
      </c>
      <c r="C1999" s="1" t="n">
        <v>45357</v>
      </c>
      <c r="D1999" t="inlineStr">
        <is>
          <t>VÄSTERBOTTENS LÄN</t>
        </is>
      </c>
      <c r="E1999" t="inlineStr">
        <is>
          <t>SKELLEFTEÅ</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23106-2019</t>
        </is>
      </c>
      <c r="B2000" s="1" t="n">
        <v>43592</v>
      </c>
      <c r="C2000" s="1" t="n">
        <v>45357</v>
      </c>
      <c r="D2000" t="inlineStr">
        <is>
          <t>VÄSTERBOTTENS LÄN</t>
        </is>
      </c>
      <c r="E2000" t="inlineStr">
        <is>
          <t>LYCKSELE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23282-2019</t>
        </is>
      </c>
      <c r="B2001" s="1" t="n">
        <v>43593</v>
      </c>
      <c r="C2001" s="1" t="n">
        <v>45357</v>
      </c>
      <c r="D2001" t="inlineStr">
        <is>
          <t>VÄSTERBOTTENS LÄN</t>
        </is>
      </c>
      <c r="E2001" t="inlineStr">
        <is>
          <t>LYCKSELE</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23510-2019</t>
        </is>
      </c>
      <c r="B2002" s="1" t="n">
        <v>43593</v>
      </c>
      <c r="C2002" s="1" t="n">
        <v>45357</v>
      </c>
      <c r="D2002" t="inlineStr">
        <is>
          <t>VÄSTERBOTTENS LÄN</t>
        </is>
      </c>
      <c r="E2002" t="inlineStr">
        <is>
          <t>UMEÅ</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23581-2019</t>
        </is>
      </c>
      <c r="B2003" s="1" t="n">
        <v>43593</v>
      </c>
      <c r="C2003" s="1" t="n">
        <v>45357</v>
      </c>
      <c r="D2003" t="inlineStr">
        <is>
          <t>VÄSTERBOTTENS LÄN</t>
        </is>
      </c>
      <c r="E2003" t="inlineStr">
        <is>
          <t>NORDMALING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23662-2019</t>
        </is>
      </c>
      <c r="B2004" s="1" t="n">
        <v>43593</v>
      </c>
      <c r="C2004" s="1" t="n">
        <v>45357</v>
      </c>
      <c r="D2004" t="inlineStr">
        <is>
          <t>VÄSTERBOTTENS LÄN</t>
        </is>
      </c>
      <c r="E2004" t="inlineStr">
        <is>
          <t>MALÅ</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23520-2019</t>
        </is>
      </c>
      <c r="B2005" s="1" t="n">
        <v>43593</v>
      </c>
      <c r="C2005" s="1" t="n">
        <v>45357</v>
      </c>
      <c r="D2005" t="inlineStr">
        <is>
          <t>VÄSTERBOTTENS LÄN</t>
        </is>
      </c>
      <c r="E2005" t="inlineStr">
        <is>
          <t>LYCKSELE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23664-2019</t>
        </is>
      </c>
      <c r="B2006" s="1" t="n">
        <v>43593</v>
      </c>
      <c r="C2006" s="1" t="n">
        <v>45357</v>
      </c>
      <c r="D2006" t="inlineStr">
        <is>
          <t>VÄSTERBOTTENS LÄN</t>
        </is>
      </c>
      <c r="E2006" t="inlineStr">
        <is>
          <t>MALÅ</t>
        </is>
      </c>
      <c r="F2006" t="inlineStr">
        <is>
          <t>Sveaskog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23491-2019</t>
        </is>
      </c>
      <c r="B2007" s="1" t="n">
        <v>43593</v>
      </c>
      <c r="C2007" s="1" t="n">
        <v>45357</v>
      </c>
      <c r="D2007" t="inlineStr">
        <is>
          <t>VÄSTERBOTTENS LÄN</t>
        </is>
      </c>
      <c r="E2007" t="inlineStr">
        <is>
          <t>UMEÅ</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23508-2019</t>
        </is>
      </c>
      <c r="B2008" s="1" t="n">
        <v>43593</v>
      </c>
      <c r="C2008" s="1" t="n">
        <v>45357</v>
      </c>
      <c r="D2008" t="inlineStr">
        <is>
          <t>VÄSTERBOTTENS LÄN</t>
        </is>
      </c>
      <c r="E2008" t="inlineStr">
        <is>
          <t>DOROTEA</t>
        </is>
      </c>
      <c r="F2008" t="inlineStr">
        <is>
          <t>SCA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23651-2019</t>
        </is>
      </c>
      <c r="B2009" s="1" t="n">
        <v>43593</v>
      </c>
      <c r="C2009" s="1" t="n">
        <v>45357</v>
      </c>
      <c r="D2009" t="inlineStr">
        <is>
          <t>VÄSTERBOTTENS LÄN</t>
        </is>
      </c>
      <c r="E2009" t="inlineStr">
        <is>
          <t>MALÅ</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23724-2019</t>
        </is>
      </c>
      <c r="B2010" s="1" t="n">
        <v>43594</v>
      </c>
      <c r="C2010" s="1" t="n">
        <v>45357</v>
      </c>
      <c r="D2010" t="inlineStr">
        <is>
          <t>VÄSTERBOTTENS LÄN</t>
        </is>
      </c>
      <c r="E2010" t="inlineStr">
        <is>
          <t>VILHELMINA</t>
        </is>
      </c>
      <c r="F2010" t="inlineStr">
        <is>
          <t>SCA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23536-2019</t>
        </is>
      </c>
      <c r="B2011" s="1" t="n">
        <v>43594</v>
      </c>
      <c r="C2011" s="1" t="n">
        <v>45357</v>
      </c>
      <c r="D2011" t="inlineStr">
        <is>
          <t>VÄSTERBOTTENS LÄN</t>
        </is>
      </c>
      <c r="E2011" t="inlineStr">
        <is>
          <t>LYCKSELE</t>
        </is>
      </c>
      <c r="F2011" t="inlineStr">
        <is>
          <t>Sveaskog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23723-2019</t>
        </is>
      </c>
      <c r="B2012" s="1" t="n">
        <v>43594</v>
      </c>
      <c r="C2012" s="1" t="n">
        <v>45357</v>
      </c>
      <c r="D2012" t="inlineStr">
        <is>
          <t>VÄSTERBOTTENS LÄN</t>
        </is>
      </c>
      <c r="E2012" t="inlineStr">
        <is>
          <t>VILHELMINA</t>
        </is>
      </c>
      <c r="F2012" t="inlineStr">
        <is>
          <t>SCA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23756-2019</t>
        </is>
      </c>
      <c r="B2013" s="1" t="n">
        <v>43594</v>
      </c>
      <c r="C2013" s="1" t="n">
        <v>45357</v>
      </c>
      <c r="D2013" t="inlineStr">
        <is>
          <t>VÄSTERBOTTENS LÄN</t>
        </is>
      </c>
      <c r="E2013" t="inlineStr">
        <is>
          <t>MALÅ</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23938-2019</t>
        </is>
      </c>
      <c r="B2014" s="1" t="n">
        <v>43595</v>
      </c>
      <c r="C2014" s="1" t="n">
        <v>45357</v>
      </c>
      <c r="D2014" t="inlineStr">
        <is>
          <t>VÄSTERBOTTENS LÄN</t>
        </is>
      </c>
      <c r="E2014" t="inlineStr">
        <is>
          <t>LYCKSELE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23807-2019</t>
        </is>
      </c>
      <c r="B2015" s="1" t="n">
        <v>43595</v>
      </c>
      <c r="C2015" s="1" t="n">
        <v>45357</v>
      </c>
      <c r="D2015" t="inlineStr">
        <is>
          <t>VÄSTERBOTTENS LÄN</t>
        </is>
      </c>
      <c r="E2015" t="inlineStr">
        <is>
          <t>VINDELN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23796-2019</t>
        </is>
      </c>
      <c r="B2016" s="1" t="n">
        <v>43595</v>
      </c>
      <c r="C2016" s="1" t="n">
        <v>45357</v>
      </c>
      <c r="D2016" t="inlineStr">
        <is>
          <t>VÄSTERBOTTENS LÄN</t>
        </is>
      </c>
      <c r="E2016" t="inlineStr">
        <is>
          <t>UMEÅ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24259-2019</t>
        </is>
      </c>
      <c r="B2017" s="1" t="n">
        <v>43597</v>
      </c>
      <c r="C2017" s="1" t="n">
        <v>45357</v>
      </c>
      <c r="D2017" t="inlineStr">
        <is>
          <t>VÄSTERBOTTENS LÄN</t>
        </is>
      </c>
      <c r="E2017" t="inlineStr">
        <is>
          <t>BJURHOLM</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23957-2019</t>
        </is>
      </c>
      <c r="B2018" s="1" t="n">
        <v>43597</v>
      </c>
      <c r="C2018" s="1" t="n">
        <v>45357</v>
      </c>
      <c r="D2018" t="inlineStr">
        <is>
          <t>VÄSTERBOTTENS LÄN</t>
        </is>
      </c>
      <c r="E2018" t="inlineStr">
        <is>
          <t>VINDELN</t>
        </is>
      </c>
      <c r="G2018" t="n">
        <v>8.5</v>
      </c>
      <c r="H2018" t="n">
        <v>0</v>
      </c>
      <c r="I2018" t="n">
        <v>0</v>
      </c>
      <c r="J2018" t="n">
        <v>0</v>
      </c>
      <c r="K2018" t="n">
        <v>0</v>
      </c>
      <c r="L2018" t="n">
        <v>0</v>
      </c>
      <c r="M2018" t="n">
        <v>0</v>
      </c>
      <c r="N2018" t="n">
        <v>0</v>
      </c>
      <c r="O2018" t="n">
        <v>0</v>
      </c>
      <c r="P2018" t="n">
        <v>0</v>
      </c>
      <c r="Q2018" t="n">
        <v>0</v>
      </c>
      <c r="R2018" s="2" t="inlineStr"/>
    </row>
    <row r="2019" ht="15" customHeight="1">
      <c r="A2019" t="inlineStr">
        <is>
          <t>A 23956-2019</t>
        </is>
      </c>
      <c r="B2019" s="1" t="n">
        <v>43597</v>
      </c>
      <c r="C2019" s="1" t="n">
        <v>45357</v>
      </c>
      <c r="D2019" t="inlineStr">
        <is>
          <t>VÄSTERBOTTENS LÄN</t>
        </is>
      </c>
      <c r="E2019" t="inlineStr">
        <is>
          <t>VINDELN</t>
        </is>
      </c>
      <c r="G2019" t="n">
        <v>42.3</v>
      </c>
      <c r="H2019" t="n">
        <v>0</v>
      </c>
      <c r="I2019" t="n">
        <v>0</v>
      </c>
      <c r="J2019" t="n">
        <v>0</v>
      </c>
      <c r="K2019" t="n">
        <v>0</v>
      </c>
      <c r="L2019" t="n">
        <v>0</v>
      </c>
      <c r="M2019" t="n">
        <v>0</v>
      </c>
      <c r="N2019" t="n">
        <v>0</v>
      </c>
      <c r="O2019" t="n">
        <v>0</v>
      </c>
      <c r="P2019" t="n">
        <v>0</v>
      </c>
      <c r="Q2019" t="n">
        <v>0</v>
      </c>
      <c r="R2019" s="2" t="inlineStr"/>
    </row>
    <row r="2020" ht="15" customHeight="1">
      <c r="A2020" t="inlineStr">
        <is>
          <t>A 24332-2019</t>
        </is>
      </c>
      <c r="B2020" s="1" t="n">
        <v>43598</v>
      </c>
      <c r="C2020" s="1" t="n">
        <v>45357</v>
      </c>
      <c r="D2020" t="inlineStr">
        <is>
          <t>VÄSTERBOTTENS LÄN</t>
        </is>
      </c>
      <c r="E2020" t="inlineStr">
        <is>
          <t>LYCKSELE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24063-2019</t>
        </is>
      </c>
      <c r="B2021" s="1" t="n">
        <v>43598</v>
      </c>
      <c r="C2021" s="1" t="n">
        <v>45357</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24335-2019</t>
        </is>
      </c>
      <c r="B2022" s="1" t="n">
        <v>43598</v>
      </c>
      <c r="C2022" s="1" t="n">
        <v>45357</v>
      </c>
      <c r="D2022" t="inlineStr">
        <is>
          <t>VÄSTERBOTTENS LÄN</t>
        </is>
      </c>
      <c r="E2022" t="inlineStr">
        <is>
          <t>LYCKSELE</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24155-2019</t>
        </is>
      </c>
      <c r="B2023" s="1" t="n">
        <v>43598</v>
      </c>
      <c r="C2023" s="1" t="n">
        <v>45357</v>
      </c>
      <c r="D2023" t="inlineStr">
        <is>
          <t>VÄSTERBOTTENS LÄN</t>
        </is>
      </c>
      <c r="E2023" t="inlineStr">
        <is>
          <t>VINDELN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24955-2019</t>
        </is>
      </c>
      <c r="B2024" s="1" t="n">
        <v>43598</v>
      </c>
      <c r="C2024" s="1" t="n">
        <v>45357</v>
      </c>
      <c r="D2024" t="inlineStr">
        <is>
          <t>VÄSTERBOTTENS LÄN</t>
        </is>
      </c>
      <c r="E2024" t="inlineStr">
        <is>
          <t>STORUMAN</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24153-2019</t>
        </is>
      </c>
      <c r="B2025" s="1" t="n">
        <v>43598</v>
      </c>
      <c r="C2025" s="1" t="n">
        <v>45357</v>
      </c>
      <c r="D2025" t="inlineStr">
        <is>
          <t>VÄSTERBOTTENS LÄN</t>
        </is>
      </c>
      <c r="E2025" t="inlineStr">
        <is>
          <t>VINDELN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24164-2019</t>
        </is>
      </c>
      <c r="B2026" s="1" t="n">
        <v>43598</v>
      </c>
      <c r="C2026" s="1" t="n">
        <v>45357</v>
      </c>
      <c r="D2026" t="inlineStr">
        <is>
          <t>VÄSTERBOTTENS LÄN</t>
        </is>
      </c>
      <c r="E2026" t="inlineStr">
        <is>
          <t>SKELLEFTEÅ</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24080-2019</t>
        </is>
      </c>
      <c r="B2027" s="1" t="n">
        <v>43598</v>
      </c>
      <c r="C2027" s="1" t="n">
        <v>45357</v>
      </c>
      <c r="D2027" t="inlineStr">
        <is>
          <t>VÄSTERBOTTENS LÄN</t>
        </is>
      </c>
      <c r="E2027" t="inlineStr">
        <is>
          <t>STORUMAN</t>
        </is>
      </c>
      <c r="F2027" t="inlineStr">
        <is>
          <t>Sveaskog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24952-2019</t>
        </is>
      </c>
      <c r="B2028" s="1" t="n">
        <v>43598</v>
      </c>
      <c r="C2028" s="1" t="n">
        <v>45357</v>
      </c>
      <c r="D2028" t="inlineStr">
        <is>
          <t>VÄSTERBOTTENS LÄN</t>
        </is>
      </c>
      <c r="E2028" t="inlineStr">
        <is>
          <t>STORUMAN</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24210-2019</t>
        </is>
      </c>
      <c r="B2029" s="1" t="n">
        <v>43599</v>
      </c>
      <c r="C2029" s="1" t="n">
        <v>45357</v>
      </c>
      <c r="D2029" t="inlineStr">
        <is>
          <t>VÄSTERBOTTENS LÄN</t>
        </is>
      </c>
      <c r="E2029" t="inlineStr">
        <is>
          <t>SKELLEFTEÅ</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24386-2019</t>
        </is>
      </c>
      <c r="B2030" s="1" t="n">
        <v>43599</v>
      </c>
      <c r="C2030" s="1" t="n">
        <v>45357</v>
      </c>
      <c r="D2030" t="inlineStr">
        <is>
          <t>VÄSTERBOTTENS LÄN</t>
        </is>
      </c>
      <c r="E2030" t="inlineStr">
        <is>
          <t>VÄNNÄS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24581-2019</t>
        </is>
      </c>
      <c r="B2031" s="1" t="n">
        <v>43600</v>
      </c>
      <c r="C2031" s="1" t="n">
        <v>45357</v>
      </c>
      <c r="D2031" t="inlineStr">
        <is>
          <t>VÄSTERBOTTENS LÄN</t>
        </is>
      </c>
      <c r="E2031" t="inlineStr">
        <is>
          <t>LYCKSELE</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25119-2019</t>
        </is>
      </c>
      <c r="B2032" s="1" t="n">
        <v>43601</v>
      </c>
      <c r="C2032" s="1" t="n">
        <v>45357</v>
      </c>
      <c r="D2032" t="inlineStr">
        <is>
          <t>VÄSTERBOTTENS LÄN</t>
        </is>
      </c>
      <c r="E2032" t="inlineStr">
        <is>
          <t>SORSELE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24790-2019</t>
        </is>
      </c>
      <c r="B2033" s="1" t="n">
        <v>43601</v>
      </c>
      <c r="C2033" s="1" t="n">
        <v>45357</v>
      </c>
      <c r="D2033" t="inlineStr">
        <is>
          <t>VÄSTERBOTTENS LÄN</t>
        </is>
      </c>
      <c r="E2033" t="inlineStr">
        <is>
          <t>ÅSELE</t>
        </is>
      </c>
      <c r="F2033" t="inlineStr">
        <is>
          <t>SCA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25191-2019</t>
        </is>
      </c>
      <c r="B2034" s="1" t="n">
        <v>43601</v>
      </c>
      <c r="C2034" s="1" t="n">
        <v>45357</v>
      </c>
      <c r="D2034" t="inlineStr">
        <is>
          <t>VÄSTERBOTTENS LÄN</t>
        </is>
      </c>
      <c r="E2034" t="inlineStr">
        <is>
          <t>SORSELE</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25160-2019</t>
        </is>
      </c>
      <c r="B2035" s="1" t="n">
        <v>43601</v>
      </c>
      <c r="C2035" s="1" t="n">
        <v>45357</v>
      </c>
      <c r="D2035" t="inlineStr">
        <is>
          <t>VÄSTERBOTTENS LÄN</t>
        </is>
      </c>
      <c r="E2035" t="inlineStr">
        <is>
          <t>SORSELE</t>
        </is>
      </c>
      <c r="G2035" t="n">
        <v>16.7</v>
      </c>
      <c r="H2035" t="n">
        <v>0</v>
      </c>
      <c r="I2035" t="n">
        <v>0</v>
      </c>
      <c r="J2035" t="n">
        <v>0</v>
      </c>
      <c r="K2035" t="n">
        <v>0</v>
      </c>
      <c r="L2035" t="n">
        <v>0</v>
      </c>
      <c r="M2035" t="n">
        <v>0</v>
      </c>
      <c r="N2035" t="n">
        <v>0</v>
      </c>
      <c r="O2035" t="n">
        <v>0</v>
      </c>
      <c r="P2035" t="n">
        <v>0</v>
      </c>
      <c r="Q2035" t="n">
        <v>0</v>
      </c>
      <c r="R2035" s="2" t="inlineStr"/>
    </row>
    <row r="2036" ht="15" customHeight="1">
      <c r="A2036" t="inlineStr">
        <is>
          <t>A 24606-2019</t>
        </is>
      </c>
      <c r="B2036" s="1" t="n">
        <v>43601</v>
      </c>
      <c r="C2036" s="1" t="n">
        <v>45357</v>
      </c>
      <c r="D2036" t="inlineStr">
        <is>
          <t>VÄSTERBOTTENS LÄN</t>
        </is>
      </c>
      <c r="E2036" t="inlineStr">
        <is>
          <t>MALÅ</t>
        </is>
      </c>
      <c r="F2036" t="inlineStr">
        <is>
          <t>Sveaskog</t>
        </is>
      </c>
      <c r="G2036" t="n">
        <v>14.8</v>
      </c>
      <c r="H2036" t="n">
        <v>0</v>
      </c>
      <c r="I2036" t="n">
        <v>0</v>
      </c>
      <c r="J2036" t="n">
        <v>0</v>
      </c>
      <c r="K2036" t="n">
        <v>0</v>
      </c>
      <c r="L2036" t="n">
        <v>0</v>
      </c>
      <c r="M2036" t="n">
        <v>0</v>
      </c>
      <c r="N2036" t="n">
        <v>0</v>
      </c>
      <c r="O2036" t="n">
        <v>0</v>
      </c>
      <c r="P2036" t="n">
        <v>0</v>
      </c>
      <c r="Q2036" t="n">
        <v>0</v>
      </c>
      <c r="R2036" s="2" t="inlineStr"/>
    </row>
    <row r="2037" ht="15" customHeight="1">
      <c r="A2037" t="inlineStr">
        <is>
          <t>A 25622-2019</t>
        </is>
      </c>
      <c r="B2037" s="1" t="n">
        <v>43602</v>
      </c>
      <c r="C2037" s="1" t="n">
        <v>45357</v>
      </c>
      <c r="D2037" t="inlineStr">
        <is>
          <t>VÄSTERBOTTENS LÄN</t>
        </is>
      </c>
      <c r="E2037" t="inlineStr">
        <is>
          <t>STORUMAN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25624-2019</t>
        </is>
      </c>
      <c r="B2038" s="1" t="n">
        <v>43602</v>
      </c>
      <c r="C2038" s="1" t="n">
        <v>45357</v>
      </c>
      <c r="D2038" t="inlineStr">
        <is>
          <t>VÄSTERBOTTENS LÄN</t>
        </is>
      </c>
      <c r="E2038" t="inlineStr">
        <is>
          <t>VINDELN</t>
        </is>
      </c>
      <c r="F2038" t="inlineStr">
        <is>
          <t>Kommuner</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25085-2019</t>
        </is>
      </c>
      <c r="B2039" s="1" t="n">
        <v>43605</v>
      </c>
      <c r="C2039" s="1" t="n">
        <v>45357</v>
      </c>
      <c r="D2039" t="inlineStr">
        <is>
          <t>VÄSTERBOTTENS LÄN</t>
        </is>
      </c>
      <c r="E2039" t="inlineStr">
        <is>
          <t>SORSELE</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25118-2019</t>
        </is>
      </c>
      <c r="B2040" s="1" t="n">
        <v>43605</v>
      </c>
      <c r="C2040" s="1" t="n">
        <v>45357</v>
      </c>
      <c r="D2040" t="inlineStr">
        <is>
          <t>VÄSTERBOTTENS LÄN</t>
        </is>
      </c>
      <c r="E2040" t="inlineStr">
        <is>
          <t>SORSELE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25290-2019</t>
        </is>
      </c>
      <c r="B2041" s="1" t="n">
        <v>43605</v>
      </c>
      <c r="C2041" s="1" t="n">
        <v>45357</v>
      </c>
      <c r="D2041" t="inlineStr">
        <is>
          <t>VÄSTERBOTTENS LÄN</t>
        </is>
      </c>
      <c r="E2041" t="inlineStr">
        <is>
          <t>VÄNNÄS</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25273-2019</t>
        </is>
      </c>
      <c r="B2042" s="1" t="n">
        <v>43605</v>
      </c>
      <c r="C2042" s="1" t="n">
        <v>45357</v>
      </c>
      <c r="D2042" t="inlineStr">
        <is>
          <t>VÄSTERBOTTENS LÄN</t>
        </is>
      </c>
      <c r="E2042" t="inlineStr">
        <is>
          <t>UMEÅ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26115-2019</t>
        </is>
      </c>
      <c r="B2043" s="1" t="n">
        <v>43605</v>
      </c>
      <c r="C2043" s="1" t="n">
        <v>45357</v>
      </c>
      <c r="D2043" t="inlineStr">
        <is>
          <t>VÄSTERBOTTENS LÄN</t>
        </is>
      </c>
      <c r="E2043" t="inlineStr">
        <is>
          <t>SKELLEFTEÅ</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26174-2019</t>
        </is>
      </c>
      <c r="B2044" s="1" t="n">
        <v>43605</v>
      </c>
      <c r="C2044" s="1" t="n">
        <v>45357</v>
      </c>
      <c r="D2044" t="inlineStr">
        <is>
          <t>VÄSTERBOTTENS LÄN</t>
        </is>
      </c>
      <c r="E2044" t="inlineStr">
        <is>
          <t>SKELLEFTEÅ</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25080-2019</t>
        </is>
      </c>
      <c r="B2045" s="1" t="n">
        <v>43605</v>
      </c>
      <c r="C2045" s="1" t="n">
        <v>45357</v>
      </c>
      <c r="D2045" t="inlineStr">
        <is>
          <t>VÄSTERBOTTENS LÄN</t>
        </is>
      </c>
      <c r="E2045" t="inlineStr">
        <is>
          <t>SORSELE</t>
        </is>
      </c>
      <c r="G2045" t="n">
        <v>15.7</v>
      </c>
      <c r="H2045" t="n">
        <v>0</v>
      </c>
      <c r="I2045" t="n">
        <v>0</v>
      </c>
      <c r="J2045" t="n">
        <v>0</v>
      </c>
      <c r="K2045" t="n">
        <v>0</v>
      </c>
      <c r="L2045" t="n">
        <v>0</v>
      </c>
      <c r="M2045" t="n">
        <v>0</v>
      </c>
      <c r="N2045" t="n">
        <v>0</v>
      </c>
      <c r="O2045" t="n">
        <v>0</v>
      </c>
      <c r="P2045" t="n">
        <v>0</v>
      </c>
      <c r="Q2045" t="n">
        <v>0</v>
      </c>
      <c r="R2045" s="2" t="inlineStr"/>
    </row>
    <row r="2046" ht="15" customHeight="1">
      <c r="A2046" t="inlineStr">
        <is>
          <t>A 26104-2019</t>
        </is>
      </c>
      <c r="B2046" s="1" t="n">
        <v>43605</v>
      </c>
      <c r="C2046" s="1" t="n">
        <v>45357</v>
      </c>
      <c r="D2046" t="inlineStr">
        <is>
          <t>VÄSTERBOTTENS LÄN</t>
        </is>
      </c>
      <c r="E2046" t="inlineStr">
        <is>
          <t>NORSJÖ</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25787-2019</t>
        </is>
      </c>
      <c r="B2047" s="1" t="n">
        <v>43605</v>
      </c>
      <c r="C2047" s="1" t="n">
        <v>45357</v>
      </c>
      <c r="D2047" t="inlineStr">
        <is>
          <t>VÄSTERBOTTENS LÄN</t>
        </is>
      </c>
      <c r="E2047" t="inlineStr">
        <is>
          <t>UMEÅ</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25514-2019</t>
        </is>
      </c>
      <c r="B2048" s="1" t="n">
        <v>43606</v>
      </c>
      <c r="C2048" s="1" t="n">
        <v>45357</v>
      </c>
      <c r="D2048" t="inlineStr">
        <is>
          <t>VÄSTERBOTTENS LÄN</t>
        </is>
      </c>
      <c r="E2048" t="inlineStr">
        <is>
          <t>UMEÅ</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26382-2019</t>
        </is>
      </c>
      <c r="B2049" s="1" t="n">
        <v>43606</v>
      </c>
      <c r="C2049" s="1" t="n">
        <v>45357</v>
      </c>
      <c r="D2049" t="inlineStr">
        <is>
          <t>VÄSTERBOTTENS LÄN</t>
        </is>
      </c>
      <c r="E2049" t="inlineStr">
        <is>
          <t>UMEÅ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25717-2019</t>
        </is>
      </c>
      <c r="B2050" s="1" t="n">
        <v>43607</v>
      </c>
      <c r="C2050" s="1" t="n">
        <v>45357</v>
      </c>
      <c r="D2050" t="inlineStr">
        <is>
          <t>VÄSTERBOTTENS LÄN</t>
        </is>
      </c>
      <c r="E2050" t="inlineStr">
        <is>
          <t>DOROTEA</t>
        </is>
      </c>
      <c r="F2050" t="inlineStr">
        <is>
          <t>SCA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25683-2019</t>
        </is>
      </c>
      <c r="B2051" s="1" t="n">
        <v>43607</v>
      </c>
      <c r="C2051" s="1" t="n">
        <v>45357</v>
      </c>
      <c r="D2051" t="inlineStr">
        <is>
          <t>VÄSTERBOTTENS LÄN</t>
        </is>
      </c>
      <c r="E2051" t="inlineStr">
        <is>
          <t>SORSELE</t>
        </is>
      </c>
      <c r="F2051" t="inlineStr">
        <is>
          <t>Sveaskog</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25902-2019</t>
        </is>
      </c>
      <c r="B2052" s="1" t="n">
        <v>43608</v>
      </c>
      <c r="C2052" s="1" t="n">
        <v>45357</v>
      </c>
      <c r="D2052" t="inlineStr">
        <is>
          <t>VÄSTERBOTTENS LÄN</t>
        </is>
      </c>
      <c r="E2052" t="inlineStr">
        <is>
          <t>ROBERTSFORS</t>
        </is>
      </c>
      <c r="F2052" t="inlineStr">
        <is>
          <t>Holmen skog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25935-2019</t>
        </is>
      </c>
      <c r="B2053" s="1" t="n">
        <v>43608</v>
      </c>
      <c r="C2053" s="1" t="n">
        <v>45357</v>
      </c>
      <c r="D2053" t="inlineStr">
        <is>
          <t>VÄSTERBOTTENS LÄN</t>
        </is>
      </c>
      <c r="E2053" t="inlineStr">
        <is>
          <t>BJURHOLM</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26020-2019</t>
        </is>
      </c>
      <c r="B2054" s="1" t="n">
        <v>43608</v>
      </c>
      <c r="C2054" s="1" t="n">
        <v>45357</v>
      </c>
      <c r="D2054" t="inlineStr">
        <is>
          <t>VÄSTERBOTTENS LÄN</t>
        </is>
      </c>
      <c r="E2054" t="inlineStr">
        <is>
          <t>DOROTEA</t>
        </is>
      </c>
      <c r="F2054" t="inlineStr">
        <is>
          <t>SCA</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26852-2019</t>
        </is>
      </c>
      <c r="B2055" s="1" t="n">
        <v>43608</v>
      </c>
      <c r="C2055" s="1" t="n">
        <v>45357</v>
      </c>
      <c r="D2055" t="inlineStr">
        <is>
          <t>VÄSTERBOTTENS LÄN</t>
        </is>
      </c>
      <c r="E2055" t="inlineStr">
        <is>
          <t>VILHELMINA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26019-2019</t>
        </is>
      </c>
      <c r="B2056" s="1" t="n">
        <v>43608</v>
      </c>
      <c r="C2056" s="1" t="n">
        <v>45357</v>
      </c>
      <c r="D2056" t="inlineStr">
        <is>
          <t>VÄSTERBOTTENS LÄN</t>
        </is>
      </c>
      <c r="E2056" t="inlineStr">
        <is>
          <t>DOROTEA</t>
        </is>
      </c>
      <c r="F2056" t="inlineStr">
        <is>
          <t>SCA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26896-2019</t>
        </is>
      </c>
      <c r="B2057" s="1" t="n">
        <v>43608</v>
      </c>
      <c r="C2057" s="1" t="n">
        <v>45357</v>
      </c>
      <c r="D2057" t="inlineStr">
        <is>
          <t>VÄSTERBOTTENS LÄN</t>
        </is>
      </c>
      <c r="E2057" t="inlineStr">
        <is>
          <t>VILHELMINA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26039-2019</t>
        </is>
      </c>
      <c r="B2058" s="1" t="n">
        <v>43609</v>
      </c>
      <c r="C2058" s="1" t="n">
        <v>45357</v>
      </c>
      <c r="D2058" t="inlineStr">
        <is>
          <t>VÄSTERBOTTENS LÄN</t>
        </is>
      </c>
      <c r="E2058" t="inlineStr">
        <is>
          <t>SKELLEFTEÅ</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26148-2019</t>
        </is>
      </c>
      <c r="B2059" s="1" t="n">
        <v>43609</v>
      </c>
      <c r="C2059" s="1" t="n">
        <v>45357</v>
      </c>
      <c r="D2059" t="inlineStr">
        <is>
          <t>VÄSTERBOTTENS LÄN</t>
        </is>
      </c>
      <c r="E2059" t="inlineStr">
        <is>
          <t>SKELLEFTEÅ</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26180-2019</t>
        </is>
      </c>
      <c r="B2060" s="1" t="n">
        <v>43609</v>
      </c>
      <c r="C2060" s="1" t="n">
        <v>45357</v>
      </c>
      <c r="D2060" t="inlineStr">
        <is>
          <t>VÄSTERBOTTENS LÄN</t>
        </is>
      </c>
      <c r="E2060" t="inlineStr">
        <is>
          <t>SKELLEFTEÅ</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26989-2019</t>
        </is>
      </c>
      <c r="B2061" s="1" t="n">
        <v>43609</v>
      </c>
      <c r="C2061" s="1" t="n">
        <v>45357</v>
      </c>
      <c r="D2061" t="inlineStr">
        <is>
          <t>VÄSTERBOTTENS LÄN</t>
        </is>
      </c>
      <c r="E2061" t="inlineStr">
        <is>
          <t>MALÅ</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26966-2019</t>
        </is>
      </c>
      <c r="B2062" s="1" t="n">
        <v>43609</v>
      </c>
      <c r="C2062" s="1" t="n">
        <v>45357</v>
      </c>
      <c r="D2062" t="inlineStr">
        <is>
          <t>VÄSTERBOTTENS LÄN</t>
        </is>
      </c>
      <c r="E2062" t="inlineStr">
        <is>
          <t>VINDELN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26075-2019</t>
        </is>
      </c>
      <c r="B2063" s="1" t="n">
        <v>43609</v>
      </c>
      <c r="C2063" s="1" t="n">
        <v>45357</v>
      </c>
      <c r="D2063" t="inlineStr">
        <is>
          <t>VÄSTERBOTTENS LÄN</t>
        </is>
      </c>
      <c r="E2063" t="inlineStr">
        <is>
          <t>SKELLEFTEÅ</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26965-2019</t>
        </is>
      </c>
      <c r="B2064" s="1" t="n">
        <v>43609</v>
      </c>
      <c r="C2064" s="1" t="n">
        <v>45357</v>
      </c>
      <c r="D2064" t="inlineStr">
        <is>
          <t>VÄSTERBOTTENS LÄN</t>
        </is>
      </c>
      <c r="E2064" t="inlineStr">
        <is>
          <t>VINDELN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26278-2019</t>
        </is>
      </c>
      <c r="B2065" s="1" t="n">
        <v>43611</v>
      </c>
      <c r="C2065" s="1" t="n">
        <v>45357</v>
      </c>
      <c r="D2065" t="inlineStr">
        <is>
          <t>VÄSTERBOTTENS LÄN</t>
        </is>
      </c>
      <c r="E2065" t="inlineStr">
        <is>
          <t>STORUMAN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26277-2019</t>
        </is>
      </c>
      <c r="B2066" s="1" t="n">
        <v>43611</v>
      </c>
      <c r="C2066" s="1" t="n">
        <v>45357</v>
      </c>
      <c r="D2066" t="inlineStr">
        <is>
          <t>VÄSTERBOTTENS LÄN</t>
        </is>
      </c>
      <c r="E2066" t="inlineStr">
        <is>
          <t>STORUMAN</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26296-2019</t>
        </is>
      </c>
      <c r="B2067" s="1" t="n">
        <v>43612</v>
      </c>
      <c r="C2067" s="1" t="n">
        <v>45357</v>
      </c>
      <c r="D2067" t="inlineStr">
        <is>
          <t>VÄSTERBOTTENS LÄN</t>
        </is>
      </c>
      <c r="E2067" t="inlineStr">
        <is>
          <t>ROBERTSFORS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26297-2019</t>
        </is>
      </c>
      <c r="B2068" s="1" t="n">
        <v>43612</v>
      </c>
      <c r="C2068" s="1" t="n">
        <v>45357</v>
      </c>
      <c r="D2068" t="inlineStr">
        <is>
          <t>VÄSTERBOTTENS LÄN</t>
        </is>
      </c>
      <c r="E2068" t="inlineStr">
        <is>
          <t>ROBERTSFORS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26523-2019</t>
        </is>
      </c>
      <c r="B2069" s="1" t="n">
        <v>43612</v>
      </c>
      <c r="C2069" s="1" t="n">
        <v>45357</v>
      </c>
      <c r="D2069" t="inlineStr">
        <is>
          <t>VÄSTERBOTTENS LÄN</t>
        </is>
      </c>
      <c r="E2069" t="inlineStr">
        <is>
          <t>NORSJÖ</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26511-2019</t>
        </is>
      </c>
      <c r="B2070" s="1" t="n">
        <v>43612</v>
      </c>
      <c r="C2070" s="1" t="n">
        <v>45357</v>
      </c>
      <c r="D2070" t="inlineStr">
        <is>
          <t>VÄSTERBOTTENS LÄN</t>
        </is>
      </c>
      <c r="E2070" t="inlineStr">
        <is>
          <t>VINDELN</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27075-2019</t>
        </is>
      </c>
      <c r="B2071" s="1" t="n">
        <v>43612</v>
      </c>
      <c r="C2071" s="1" t="n">
        <v>45357</v>
      </c>
      <c r="D2071" t="inlineStr">
        <is>
          <t>VÄSTERBOTTENS LÄN</t>
        </is>
      </c>
      <c r="E2071" t="inlineStr">
        <is>
          <t>VILHELMINA</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26513-2019</t>
        </is>
      </c>
      <c r="B2072" s="1" t="n">
        <v>43612</v>
      </c>
      <c r="C2072" s="1" t="n">
        <v>45357</v>
      </c>
      <c r="D2072" t="inlineStr">
        <is>
          <t>VÄSTERBOTTENS LÄN</t>
        </is>
      </c>
      <c r="E2072" t="inlineStr">
        <is>
          <t>NORSJÖ</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26763-2019</t>
        </is>
      </c>
      <c r="B2073" s="1" t="n">
        <v>43613</v>
      </c>
      <c r="C2073" s="1" t="n">
        <v>45357</v>
      </c>
      <c r="D2073" t="inlineStr">
        <is>
          <t>VÄSTERBOTTENS LÄN</t>
        </is>
      </c>
      <c r="E2073" t="inlineStr">
        <is>
          <t>VILHELMINA</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26942-2019</t>
        </is>
      </c>
      <c r="B2074" s="1" t="n">
        <v>43613</v>
      </c>
      <c r="C2074" s="1" t="n">
        <v>45357</v>
      </c>
      <c r="D2074" t="inlineStr">
        <is>
          <t>VÄSTERBOTTENS LÄN</t>
        </is>
      </c>
      <c r="E2074" t="inlineStr">
        <is>
          <t>DOROTEA</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28147-2019</t>
        </is>
      </c>
      <c r="B2075" s="1" t="n">
        <v>43613</v>
      </c>
      <c r="C2075" s="1" t="n">
        <v>45357</v>
      </c>
      <c r="D2075" t="inlineStr">
        <is>
          <t>VÄSTERBOTTENS LÄN</t>
        </is>
      </c>
      <c r="E2075" t="inlineStr">
        <is>
          <t>UMEÅ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26859-2019</t>
        </is>
      </c>
      <c r="B2076" s="1" t="n">
        <v>43613</v>
      </c>
      <c r="C2076" s="1" t="n">
        <v>45357</v>
      </c>
      <c r="D2076" t="inlineStr">
        <is>
          <t>VÄSTERBOTTENS LÄN</t>
        </is>
      </c>
      <c r="E2076" t="inlineStr">
        <is>
          <t>SKELLEFTEÅ</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28114-2019</t>
        </is>
      </c>
      <c r="B2077" s="1" t="n">
        <v>43613</v>
      </c>
      <c r="C2077" s="1" t="n">
        <v>45357</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28194-2019</t>
        </is>
      </c>
      <c r="B2078" s="1" t="n">
        <v>43613</v>
      </c>
      <c r="C2078" s="1" t="n">
        <v>45357</v>
      </c>
      <c r="D2078" t="inlineStr">
        <is>
          <t>VÄSTERBOTTENS LÄN</t>
        </is>
      </c>
      <c r="E2078" t="inlineStr">
        <is>
          <t>ROBERTSFORS</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26907-2019</t>
        </is>
      </c>
      <c r="B2079" s="1" t="n">
        <v>43613</v>
      </c>
      <c r="C2079" s="1" t="n">
        <v>45357</v>
      </c>
      <c r="D2079" t="inlineStr">
        <is>
          <t>VÄSTERBOTTENS LÄN</t>
        </is>
      </c>
      <c r="E2079" t="inlineStr">
        <is>
          <t>SKELLEFTEÅ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27038-2019</t>
        </is>
      </c>
      <c r="B2080" s="1" t="n">
        <v>43614</v>
      </c>
      <c r="C2080" s="1" t="n">
        <v>45357</v>
      </c>
      <c r="D2080" t="inlineStr">
        <is>
          <t>VÄSTERBOTTENS LÄN</t>
        </is>
      </c>
      <c r="E2080" t="inlineStr">
        <is>
          <t>STORUMAN</t>
        </is>
      </c>
      <c r="F2080" t="inlineStr">
        <is>
          <t>Sveaskog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27091-2019</t>
        </is>
      </c>
      <c r="B2081" s="1" t="n">
        <v>43614</v>
      </c>
      <c r="C2081" s="1" t="n">
        <v>45357</v>
      </c>
      <c r="D2081" t="inlineStr">
        <is>
          <t>VÄSTERBOTTENS LÄN</t>
        </is>
      </c>
      <c r="E2081" t="inlineStr">
        <is>
          <t>ROBERTSFORS</t>
        </is>
      </c>
      <c r="F2081" t="inlineStr">
        <is>
          <t>Holmen skog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27102-2019</t>
        </is>
      </c>
      <c r="B2082" s="1" t="n">
        <v>43614</v>
      </c>
      <c r="C2082" s="1" t="n">
        <v>45357</v>
      </c>
      <c r="D2082" t="inlineStr">
        <is>
          <t>VÄSTERBOTTENS LÄN</t>
        </is>
      </c>
      <c r="E2082" t="inlineStr">
        <is>
          <t>STORUMAN</t>
        </is>
      </c>
      <c r="F2082" t="inlineStr">
        <is>
          <t>Sveaskog</t>
        </is>
      </c>
      <c r="G2082" t="n">
        <v>16.9</v>
      </c>
      <c r="H2082" t="n">
        <v>0</v>
      </c>
      <c r="I2082" t="n">
        <v>0</v>
      </c>
      <c r="J2082" t="n">
        <v>0</v>
      </c>
      <c r="K2082" t="n">
        <v>0</v>
      </c>
      <c r="L2082" t="n">
        <v>0</v>
      </c>
      <c r="M2082" t="n">
        <v>0</v>
      </c>
      <c r="N2082" t="n">
        <v>0</v>
      </c>
      <c r="O2082" t="n">
        <v>0</v>
      </c>
      <c r="P2082" t="n">
        <v>0</v>
      </c>
      <c r="Q2082" t="n">
        <v>0</v>
      </c>
      <c r="R2082" s="2" t="inlineStr"/>
    </row>
    <row r="2083" ht="15" customHeight="1">
      <c r="A2083" t="inlineStr">
        <is>
          <t>A 27254-2019</t>
        </is>
      </c>
      <c r="B2083" s="1" t="n">
        <v>43614</v>
      </c>
      <c r="C2083" s="1" t="n">
        <v>45357</v>
      </c>
      <c r="D2083" t="inlineStr">
        <is>
          <t>VÄSTERBOTTENS LÄN</t>
        </is>
      </c>
      <c r="E2083" t="inlineStr">
        <is>
          <t>VILHELMINA</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28710-2019</t>
        </is>
      </c>
      <c r="B2084" s="1" t="n">
        <v>43614</v>
      </c>
      <c r="C2084" s="1" t="n">
        <v>45357</v>
      </c>
      <c r="D2084" t="inlineStr">
        <is>
          <t>VÄSTERBOTTENS LÄN</t>
        </is>
      </c>
      <c r="E2084" t="inlineStr">
        <is>
          <t>ÅSELE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27253-2019</t>
        </is>
      </c>
      <c r="B2085" s="1" t="n">
        <v>43614</v>
      </c>
      <c r="C2085" s="1" t="n">
        <v>45357</v>
      </c>
      <c r="D2085" t="inlineStr">
        <is>
          <t>VÄSTERBOTTENS LÄN</t>
        </is>
      </c>
      <c r="E2085" t="inlineStr">
        <is>
          <t>VILHELMINA</t>
        </is>
      </c>
      <c r="F2085" t="inlineStr">
        <is>
          <t>SCA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27342-2019</t>
        </is>
      </c>
      <c r="B2086" s="1" t="n">
        <v>43616</v>
      </c>
      <c r="C2086" s="1" t="n">
        <v>45357</v>
      </c>
      <c r="D2086" t="inlineStr">
        <is>
          <t>VÄSTERBOTTENS LÄN</t>
        </is>
      </c>
      <c r="E2086" t="inlineStr">
        <is>
          <t>STORUMAN</t>
        </is>
      </c>
      <c r="F2086" t="inlineStr">
        <is>
          <t>Sveaskog</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28945-2019</t>
        </is>
      </c>
      <c r="B2087" s="1" t="n">
        <v>43619</v>
      </c>
      <c r="C2087" s="1" t="n">
        <v>45357</v>
      </c>
      <c r="D2087" t="inlineStr">
        <is>
          <t>VÄSTERBOTTENS LÄN</t>
        </is>
      </c>
      <c r="E2087" t="inlineStr">
        <is>
          <t>BJURHOLM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28946-2019</t>
        </is>
      </c>
      <c r="B2088" s="1" t="n">
        <v>43619</v>
      </c>
      <c r="C2088" s="1" t="n">
        <v>45357</v>
      </c>
      <c r="D2088" t="inlineStr">
        <is>
          <t>VÄSTERBOTTENS LÄN</t>
        </is>
      </c>
      <c r="E2088" t="inlineStr">
        <is>
          <t>BJURHOLM</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28920-2019</t>
        </is>
      </c>
      <c r="B2089" s="1" t="n">
        <v>43619</v>
      </c>
      <c r="C2089" s="1" t="n">
        <v>45357</v>
      </c>
      <c r="D2089" t="inlineStr">
        <is>
          <t>VÄSTERBOTTENS LÄN</t>
        </is>
      </c>
      <c r="E2089" t="inlineStr">
        <is>
          <t>SKELLEFTEÅ</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28941-2019</t>
        </is>
      </c>
      <c r="B2090" s="1" t="n">
        <v>43619</v>
      </c>
      <c r="C2090" s="1" t="n">
        <v>45357</v>
      </c>
      <c r="D2090" t="inlineStr">
        <is>
          <t>VÄSTERBOTTENS LÄN</t>
        </is>
      </c>
      <c r="E2090" t="inlineStr">
        <is>
          <t>BJURHOLM</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28921-2019</t>
        </is>
      </c>
      <c r="B2091" s="1" t="n">
        <v>43619</v>
      </c>
      <c r="C2091" s="1" t="n">
        <v>45357</v>
      </c>
      <c r="D2091" t="inlineStr">
        <is>
          <t>VÄSTERBOTTENS LÄN</t>
        </is>
      </c>
      <c r="E2091" t="inlineStr">
        <is>
          <t>VINDELN</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28951-2019</t>
        </is>
      </c>
      <c r="B2092" s="1" t="n">
        <v>43619</v>
      </c>
      <c r="C2092" s="1" t="n">
        <v>45357</v>
      </c>
      <c r="D2092" t="inlineStr">
        <is>
          <t>VÄSTERBOTTENS LÄN</t>
        </is>
      </c>
      <c r="E2092" t="inlineStr">
        <is>
          <t>MALÅ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28983-2019</t>
        </is>
      </c>
      <c r="B2093" s="1" t="n">
        <v>43620</v>
      </c>
      <c r="C2093" s="1" t="n">
        <v>45357</v>
      </c>
      <c r="D2093" t="inlineStr">
        <is>
          <t>VÄSTERBOTTENS LÄN</t>
        </is>
      </c>
      <c r="E2093" t="inlineStr">
        <is>
          <t>SKELLEFTEÅ</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29034-2019</t>
        </is>
      </c>
      <c r="B2094" s="1" t="n">
        <v>43620</v>
      </c>
      <c r="C2094" s="1" t="n">
        <v>45357</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28979-2019</t>
        </is>
      </c>
      <c r="B2095" s="1" t="n">
        <v>43620</v>
      </c>
      <c r="C2095" s="1" t="n">
        <v>45357</v>
      </c>
      <c r="D2095" t="inlineStr">
        <is>
          <t>VÄSTERBOTTENS LÄN</t>
        </is>
      </c>
      <c r="E2095" t="inlineStr">
        <is>
          <t>SKELLEFTEÅ</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28995-2019</t>
        </is>
      </c>
      <c r="B2096" s="1" t="n">
        <v>43620</v>
      </c>
      <c r="C2096" s="1" t="n">
        <v>45357</v>
      </c>
      <c r="D2096" t="inlineStr">
        <is>
          <t>VÄSTERBOTTENS LÄN</t>
        </is>
      </c>
      <c r="E2096" t="inlineStr">
        <is>
          <t>UMEÅ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28129-2019</t>
        </is>
      </c>
      <c r="B2097" s="1" t="n">
        <v>43621</v>
      </c>
      <c r="C2097" s="1" t="n">
        <v>45357</v>
      </c>
      <c r="D2097" t="inlineStr">
        <is>
          <t>VÄSTERBOTTENS LÄN</t>
        </is>
      </c>
      <c r="E2097" t="inlineStr">
        <is>
          <t>SORSELE</t>
        </is>
      </c>
      <c r="F2097" t="inlineStr">
        <is>
          <t>Sveaskog</t>
        </is>
      </c>
      <c r="G2097" t="n">
        <v>51.4</v>
      </c>
      <c r="H2097" t="n">
        <v>0</v>
      </c>
      <c r="I2097" t="n">
        <v>0</v>
      </c>
      <c r="J2097" t="n">
        <v>0</v>
      </c>
      <c r="K2097" t="n">
        <v>0</v>
      </c>
      <c r="L2097" t="n">
        <v>0</v>
      </c>
      <c r="M2097" t="n">
        <v>0</v>
      </c>
      <c r="N2097" t="n">
        <v>0</v>
      </c>
      <c r="O2097" t="n">
        <v>0</v>
      </c>
      <c r="P2097" t="n">
        <v>0</v>
      </c>
      <c r="Q2097" t="n">
        <v>0</v>
      </c>
      <c r="R2097" s="2" t="inlineStr"/>
    </row>
    <row r="2098" ht="15" customHeight="1">
      <c r="A2098" t="inlineStr">
        <is>
          <t>A 28211-2019</t>
        </is>
      </c>
      <c r="B2098" s="1" t="n">
        <v>43621</v>
      </c>
      <c r="C2098" s="1" t="n">
        <v>45357</v>
      </c>
      <c r="D2098" t="inlineStr">
        <is>
          <t>VÄSTERBOTTENS LÄN</t>
        </is>
      </c>
      <c r="E2098" t="inlineStr">
        <is>
          <t>SKELLEFTEÅ</t>
        </is>
      </c>
      <c r="F2098" t="inlineStr">
        <is>
          <t>SCA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28219-2019</t>
        </is>
      </c>
      <c r="B2099" s="1" t="n">
        <v>43621</v>
      </c>
      <c r="C2099" s="1" t="n">
        <v>45357</v>
      </c>
      <c r="D2099" t="inlineStr">
        <is>
          <t>VÄSTERBOTTENS LÄN</t>
        </is>
      </c>
      <c r="E2099" t="inlineStr">
        <is>
          <t>DOROTEA</t>
        </is>
      </c>
      <c r="F2099" t="inlineStr">
        <is>
          <t>SCA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29088-2019</t>
        </is>
      </c>
      <c r="B2100" s="1" t="n">
        <v>43621</v>
      </c>
      <c r="C2100" s="1" t="n">
        <v>45357</v>
      </c>
      <c r="D2100" t="inlineStr">
        <is>
          <t>VÄSTERBOTTENS LÄN</t>
        </is>
      </c>
      <c r="E2100" t="inlineStr">
        <is>
          <t>LYCKSELE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28061-2019</t>
        </is>
      </c>
      <c r="B2101" s="1" t="n">
        <v>43621</v>
      </c>
      <c r="C2101" s="1" t="n">
        <v>45357</v>
      </c>
      <c r="D2101" t="inlineStr">
        <is>
          <t>VÄSTERBOTTENS LÄN</t>
        </is>
      </c>
      <c r="E2101" t="inlineStr">
        <is>
          <t>VINDELN</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29060-2019</t>
        </is>
      </c>
      <c r="B2102" s="1" t="n">
        <v>43621</v>
      </c>
      <c r="C2102" s="1" t="n">
        <v>45357</v>
      </c>
      <c r="D2102" t="inlineStr">
        <is>
          <t>VÄSTERBOTTENS LÄN</t>
        </is>
      </c>
      <c r="E2102" t="inlineStr">
        <is>
          <t>NORDMALING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28270-2019</t>
        </is>
      </c>
      <c r="B2103" s="1" t="n">
        <v>43623</v>
      </c>
      <c r="C2103" s="1" t="n">
        <v>45357</v>
      </c>
      <c r="D2103" t="inlineStr">
        <is>
          <t>VÄSTERBOTTENS LÄN</t>
        </is>
      </c>
      <c r="E2103" t="inlineStr">
        <is>
          <t>SORSELE</t>
        </is>
      </c>
      <c r="F2103" t="inlineStr">
        <is>
          <t>Sveaskog</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29281-2019</t>
        </is>
      </c>
      <c r="B2104" s="1" t="n">
        <v>43623</v>
      </c>
      <c r="C2104" s="1" t="n">
        <v>45357</v>
      </c>
      <c r="D2104" t="inlineStr">
        <is>
          <t>VÄSTERBOTTENS LÄN</t>
        </is>
      </c>
      <c r="E2104" t="inlineStr">
        <is>
          <t>UMEÅ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28300-2019</t>
        </is>
      </c>
      <c r="B2105" s="1" t="n">
        <v>43623</v>
      </c>
      <c r="C2105" s="1" t="n">
        <v>45357</v>
      </c>
      <c r="D2105" t="inlineStr">
        <is>
          <t>VÄSTERBOTTENS LÄN</t>
        </is>
      </c>
      <c r="E2105" t="inlineStr">
        <is>
          <t>NORSJÖ</t>
        </is>
      </c>
      <c r="F2105" t="inlineStr">
        <is>
          <t>Holmen skog AB</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28569-2019</t>
        </is>
      </c>
      <c r="B2106" s="1" t="n">
        <v>43626</v>
      </c>
      <c r="C2106" s="1" t="n">
        <v>45357</v>
      </c>
      <c r="D2106" t="inlineStr">
        <is>
          <t>VÄSTERBOTTENS LÄN</t>
        </is>
      </c>
      <c r="E2106" t="inlineStr">
        <is>
          <t>LYCKSELE</t>
        </is>
      </c>
      <c r="F2106" t="inlineStr">
        <is>
          <t>Holmen skog AB</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29348-2019</t>
        </is>
      </c>
      <c r="B2107" s="1" t="n">
        <v>43626</v>
      </c>
      <c r="C2107" s="1" t="n">
        <v>45357</v>
      </c>
      <c r="D2107" t="inlineStr">
        <is>
          <t>VÄSTERBOTTENS LÄN</t>
        </is>
      </c>
      <c r="E2107" t="inlineStr">
        <is>
          <t>BJURHOLM</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28571-2019</t>
        </is>
      </c>
      <c r="B2108" s="1" t="n">
        <v>43626</v>
      </c>
      <c r="C2108" s="1" t="n">
        <v>45357</v>
      </c>
      <c r="D2108" t="inlineStr">
        <is>
          <t>VÄSTERBOTTENS LÄN</t>
        </is>
      </c>
      <c r="E2108" t="inlineStr">
        <is>
          <t>NORSJÖ</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28612-2019</t>
        </is>
      </c>
      <c r="B2109" s="1" t="n">
        <v>43626</v>
      </c>
      <c r="C2109" s="1" t="n">
        <v>45357</v>
      </c>
      <c r="D2109" t="inlineStr">
        <is>
          <t>VÄSTERBOTTENS LÄN</t>
        </is>
      </c>
      <c r="E2109" t="inlineStr">
        <is>
          <t>SKELLEFTEÅ</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28573-2019</t>
        </is>
      </c>
      <c r="B2110" s="1" t="n">
        <v>43626</v>
      </c>
      <c r="C2110" s="1" t="n">
        <v>45357</v>
      </c>
      <c r="D2110" t="inlineStr">
        <is>
          <t>VÄSTERBOTTENS LÄN</t>
        </is>
      </c>
      <c r="E2110" t="inlineStr">
        <is>
          <t>NORSJÖ</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28777-2019</t>
        </is>
      </c>
      <c r="B2111" s="1" t="n">
        <v>43627</v>
      </c>
      <c r="C2111" s="1" t="n">
        <v>45357</v>
      </c>
      <c r="D2111" t="inlineStr">
        <is>
          <t>VÄSTERBOTTENS LÄN</t>
        </is>
      </c>
      <c r="E2111" t="inlineStr">
        <is>
          <t>SKELLEFTEÅ</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29397-2019</t>
        </is>
      </c>
      <c r="B2112" s="1" t="n">
        <v>43627</v>
      </c>
      <c r="C2112" s="1" t="n">
        <v>45357</v>
      </c>
      <c r="D2112" t="inlineStr">
        <is>
          <t>VÄSTERBOTTENS LÄN</t>
        </is>
      </c>
      <c r="E2112" t="inlineStr">
        <is>
          <t>LYCKSELE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29394-2019</t>
        </is>
      </c>
      <c r="B2113" s="1" t="n">
        <v>43627</v>
      </c>
      <c r="C2113" s="1" t="n">
        <v>45357</v>
      </c>
      <c r="D2113" t="inlineStr">
        <is>
          <t>VÄSTERBOTTENS LÄN</t>
        </is>
      </c>
      <c r="E2113" t="inlineStr">
        <is>
          <t>LYCKSELE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29128-2019</t>
        </is>
      </c>
      <c r="B2114" s="1" t="n">
        <v>43628</v>
      </c>
      <c r="C2114" s="1" t="n">
        <v>45357</v>
      </c>
      <c r="D2114" t="inlineStr">
        <is>
          <t>VÄSTERBOTTENS LÄN</t>
        </is>
      </c>
      <c r="E2114" t="inlineStr">
        <is>
          <t>UMEÅ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29126-2019</t>
        </is>
      </c>
      <c r="B2115" s="1" t="n">
        <v>43628</v>
      </c>
      <c r="C2115" s="1" t="n">
        <v>45357</v>
      </c>
      <c r="D2115" t="inlineStr">
        <is>
          <t>VÄSTERBOTTENS LÄN</t>
        </is>
      </c>
      <c r="E2115" t="inlineStr">
        <is>
          <t>UMEÅ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29657-2019</t>
        </is>
      </c>
      <c r="B2116" s="1" t="n">
        <v>43628</v>
      </c>
      <c r="C2116" s="1" t="n">
        <v>45357</v>
      </c>
      <c r="D2116" t="inlineStr">
        <is>
          <t>VÄSTERBOTTENS LÄN</t>
        </is>
      </c>
      <c r="E2116" t="inlineStr">
        <is>
          <t>BJURHOLM</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29053-2019</t>
        </is>
      </c>
      <c r="B2117" s="1" t="n">
        <v>43628</v>
      </c>
      <c r="C2117" s="1" t="n">
        <v>45357</v>
      </c>
      <c r="D2117" t="inlineStr">
        <is>
          <t>VÄSTERBOTTENS LÄN</t>
        </is>
      </c>
      <c r="E2117" t="inlineStr">
        <is>
          <t>SKELLEFTEÅ</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29321-2019</t>
        </is>
      </c>
      <c r="B2118" s="1" t="n">
        <v>43629</v>
      </c>
      <c r="C2118" s="1" t="n">
        <v>45357</v>
      </c>
      <c r="D2118" t="inlineStr">
        <is>
          <t>VÄSTERBOTTENS LÄN</t>
        </is>
      </c>
      <c r="E2118" t="inlineStr">
        <is>
          <t>SKELLEFTEÅ</t>
        </is>
      </c>
      <c r="F2118" t="inlineStr">
        <is>
          <t>Holmen skog AB</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29383-2019</t>
        </is>
      </c>
      <c r="B2119" s="1" t="n">
        <v>43629</v>
      </c>
      <c r="C2119" s="1" t="n">
        <v>45357</v>
      </c>
      <c r="D2119" t="inlineStr">
        <is>
          <t>VÄSTERBOTTENS LÄN</t>
        </is>
      </c>
      <c r="E2119" t="inlineStr">
        <is>
          <t>SKELLEFTEÅ</t>
        </is>
      </c>
      <c r="F2119" t="inlineStr">
        <is>
          <t>Holmen skog AB</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29236-2019</t>
        </is>
      </c>
      <c r="B2120" s="1" t="n">
        <v>43629</v>
      </c>
      <c r="C2120" s="1" t="n">
        <v>45357</v>
      </c>
      <c r="D2120" t="inlineStr">
        <is>
          <t>VÄSTERBOTTENS LÄN</t>
        </is>
      </c>
      <c r="E2120" t="inlineStr">
        <is>
          <t>ROBERTSFORS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29908-2019</t>
        </is>
      </c>
      <c r="B2121" s="1" t="n">
        <v>43629</v>
      </c>
      <c r="C2121" s="1" t="n">
        <v>45357</v>
      </c>
      <c r="D2121" t="inlineStr">
        <is>
          <t>VÄSTERBOTTENS LÄN</t>
        </is>
      </c>
      <c r="E2121" t="inlineStr">
        <is>
          <t>STORUMAN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29650-2019</t>
        </is>
      </c>
      <c r="B2122" s="1" t="n">
        <v>43630</v>
      </c>
      <c r="C2122" s="1" t="n">
        <v>45357</v>
      </c>
      <c r="D2122" t="inlineStr">
        <is>
          <t>VÄSTERBOTTENS LÄN</t>
        </is>
      </c>
      <c r="E2122" t="inlineStr">
        <is>
          <t>VINDELN</t>
        </is>
      </c>
      <c r="F2122" t="inlineStr">
        <is>
          <t>Holmen skog AB</t>
        </is>
      </c>
      <c r="G2122" t="n">
        <v>12.6</v>
      </c>
      <c r="H2122" t="n">
        <v>0</v>
      </c>
      <c r="I2122" t="n">
        <v>0</v>
      </c>
      <c r="J2122" t="n">
        <v>0</v>
      </c>
      <c r="K2122" t="n">
        <v>0</v>
      </c>
      <c r="L2122" t="n">
        <v>0</v>
      </c>
      <c r="M2122" t="n">
        <v>0</v>
      </c>
      <c r="N2122" t="n">
        <v>0</v>
      </c>
      <c r="O2122" t="n">
        <v>0</v>
      </c>
      <c r="P2122" t="n">
        <v>0</v>
      </c>
      <c r="Q2122" t="n">
        <v>0</v>
      </c>
      <c r="R2122" s="2" t="inlineStr"/>
    </row>
    <row r="2123" ht="15" customHeight="1">
      <c r="A2123" t="inlineStr">
        <is>
          <t>A 30082-2019</t>
        </is>
      </c>
      <c r="B2123" s="1" t="n">
        <v>43633</v>
      </c>
      <c r="C2123" s="1" t="n">
        <v>45357</v>
      </c>
      <c r="D2123" t="inlineStr">
        <is>
          <t>VÄSTERBOTTENS LÄN</t>
        </is>
      </c>
      <c r="E2123" t="inlineStr">
        <is>
          <t>LYCKSELE</t>
        </is>
      </c>
      <c r="F2123" t="inlineStr">
        <is>
          <t>SCA</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30300-2019</t>
        </is>
      </c>
      <c r="B2124" s="1" t="n">
        <v>43633</v>
      </c>
      <c r="C2124" s="1" t="n">
        <v>45357</v>
      </c>
      <c r="D2124" t="inlineStr">
        <is>
          <t>VÄSTERBOTTENS LÄN</t>
        </is>
      </c>
      <c r="E2124" t="inlineStr">
        <is>
          <t>DOROTEA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30440-2019</t>
        </is>
      </c>
      <c r="B2125" s="1" t="n">
        <v>43633</v>
      </c>
      <c r="C2125" s="1" t="n">
        <v>45357</v>
      </c>
      <c r="D2125" t="inlineStr">
        <is>
          <t>VÄSTERBOTTENS LÄN</t>
        </is>
      </c>
      <c r="E2125" t="inlineStr">
        <is>
          <t>UMEÅ</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30420-2019</t>
        </is>
      </c>
      <c r="B2126" s="1" t="n">
        <v>43633</v>
      </c>
      <c r="C2126" s="1" t="n">
        <v>45357</v>
      </c>
      <c r="D2126" t="inlineStr">
        <is>
          <t>VÄSTERBOTTENS LÄN</t>
        </is>
      </c>
      <c r="E2126" t="inlineStr">
        <is>
          <t>LYCKSELE</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30187-2019</t>
        </is>
      </c>
      <c r="B2127" s="1" t="n">
        <v>43634</v>
      </c>
      <c r="C2127" s="1" t="n">
        <v>45357</v>
      </c>
      <c r="D2127" t="inlineStr">
        <is>
          <t>VÄSTERBOTTENS LÄN</t>
        </is>
      </c>
      <c r="E2127" t="inlineStr">
        <is>
          <t>UMEÅ</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30333-2019</t>
        </is>
      </c>
      <c r="B2128" s="1" t="n">
        <v>43634</v>
      </c>
      <c r="C2128" s="1" t="n">
        <v>45357</v>
      </c>
      <c r="D2128" t="inlineStr">
        <is>
          <t>VÄSTERBOTTENS LÄN</t>
        </is>
      </c>
      <c r="E2128" t="inlineStr">
        <is>
          <t>LYCKSELE</t>
        </is>
      </c>
      <c r="F2128" t="inlineStr">
        <is>
          <t>Sveaskog</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30354-2019</t>
        </is>
      </c>
      <c r="B2129" s="1" t="n">
        <v>43634</v>
      </c>
      <c r="C2129" s="1" t="n">
        <v>45357</v>
      </c>
      <c r="D2129" t="inlineStr">
        <is>
          <t>VÄSTERBOTTENS LÄN</t>
        </is>
      </c>
      <c r="E2129" t="inlineStr">
        <is>
          <t>BJURHOLM</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30505-2019</t>
        </is>
      </c>
      <c r="B2130" s="1" t="n">
        <v>43634</v>
      </c>
      <c r="C2130" s="1" t="n">
        <v>45357</v>
      </c>
      <c r="D2130" t="inlineStr">
        <is>
          <t>VÄSTERBOTTENS LÄN</t>
        </is>
      </c>
      <c r="E2130" t="inlineStr">
        <is>
          <t>ROBERTSFORS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30335-2019</t>
        </is>
      </c>
      <c r="B2131" s="1" t="n">
        <v>43634</v>
      </c>
      <c r="C2131" s="1" t="n">
        <v>45357</v>
      </c>
      <c r="D2131" t="inlineStr">
        <is>
          <t>VÄSTERBOTTENS LÄN</t>
        </is>
      </c>
      <c r="E2131" t="inlineStr">
        <is>
          <t>LYCKSELE</t>
        </is>
      </c>
      <c r="F2131" t="inlineStr">
        <is>
          <t>Sveaskog</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30559-2019</t>
        </is>
      </c>
      <c r="B2132" s="1" t="n">
        <v>43634</v>
      </c>
      <c r="C2132" s="1" t="n">
        <v>45357</v>
      </c>
      <c r="D2132" t="inlineStr">
        <is>
          <t>VÄSTERBOTTENS LÄN</t>
        </is>
      </c>
      <c r="E2132" t="inlineStr">
        <is>
          <t>SKELLEFTEÅ</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30452-2019</t>
        </is>
      </c>
      <c r="B2133" s="1" t="n">
        <v>43635</v>
      </c>
      <c r="C2133" s="1" t="n">
        <v>45357</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31184-2019</t>
        </is>
      </c>
      <c r="B2134" s="1" t="n">
        <v>43635</v>
      </c>
      <c r="C2134" s="1" t="n">
        <v>45357</v>
      </c>
      <c r="D2134" t="inlineStr">
        <is>
          <t>VÄSTERBOTTENS LÄN</t>
        </is>
      </c>
      <c r="E2134" t="inlineStr">
        <is>
          <t>MALÅ</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30883-2019</t>
        </is>
      </c>
      <c r="B2135" s="1" t="n">
        <v>43636</v>
      </c>
      <c r="C2135" s="1" t="n">
        <v>45357</v>
      </c>
      <c r="D2135" t="inlineStr">
        <is>
          <t>VÄSTERBOTTENS LÄN</t>
        </is>
      </c>
      <c r="E2135" t="inlineStr">
        <is>
          <t>ÅSELE</t>
        </is>
      </c>
      <c r="F2135" t="inlineStr">
        <is>
          <t>Sveaskog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30882-2019</t>
        </is>
      </c>
      <c r="B2136" s="1" t="n">
        <v>43636</v>
      </c>
      <c r="C2136" s="1" t="n">
        <v>45357</v>
      </c>
      <c r="D2136" t="inlineStr">
        <is>
          <t>VÄSTERBOTTENS LÄN</t>
        </is>
      </c>
      <c r="E2136" t="inlineStr">
        <is>
          <t>BJURHOLM</t>
        </is>
      </c>
      <c r="F2136" t="inlineStr">
        <is>
          <t>Sveaskog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30754-2019</t>
        </is>
      </c>
      <c r="B2137" s="1" t="n">
        <v>43636</v>
      </c>
      <c r="C2137" s="1" t="n">
        <v>45357</v>
      </c>
      <c r="D2137" t="inlineStr">
        <is>
          <t>VÄSTERBOTTENS LÄN</t>
        </is>
      </c>
      <c r="E2137" t="inlineStr">
        <is>
          <t>SKELLEFTEÅ</t>
        </is>
      </c>
      <c r="F2137" t="inlineStr">
        <is>
          <t>Holmen skog AB</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32374-2019</t>
        </is>
      </c>
      <c r="B2138" s="1" t="n">
        <v>43636</v>
      </c>
      <c r="C2138" s="1" t="n">
        <v>45357</v>
      </c>
      <c r="D2138" t="inlineStr">
        <is>
          <t>VÄSTERBOTTENS LÄN</t>
        </is>
      </c>
      <c r="E2138" t="inlineStr">
        <is>
          <t>DOROTEA</t>
        </is>
      </c>
      <c r="F2138" t="inlineStr">
        <is>
          <t>SCA</t>
        </is>
      </c>
      <c r="G2138" t="n">
        <v>9.9</v>
      </c>
      <c r="H2138" t="n">
        <v>0</v>
      </c>
      <c r="I2138" t="n">
        <v>0</v>
      </c>
      <c r="J2138" t="n">
        <v>0</v>
      </c>
      <c r="K2138" t="n">
        <v>0</v>
      </c>
      <c r="L2138" t="n">
        <v>0</v>
      </c>
      <c r="M2138" t="n">
        <v>0</v>
      </c>
      <c r="N2138" t="n">
        <v>0</v>
      </c>
      <c r="O2138" t="n">
        <v>0</v>
      </c>
      <c r="P2138" t="n">
        <v>0</v>
      </c>
      <c r="Q2138" t="n">
        <v>0</v>
      </c>
      <c r="R2138" s="2" t="inlineStr"/>
    </row>
    <row r="2139" ht="15" customHeight="1">
      <c r="A2139" t="inlineStr">
        <is>
          <t>A 30804-2019</t>
        </is>
      </c>
      <c r="B2139" s="1" t="n">
        <v>43636</v>
      </c>
      <c r="C2139" s="1" t="n">
        <v>45357</v>
      </c>
      <c r="D2139" t="inlineStr">
        <is>
          <t>VÄSTERBOTTENS LÄN</t>
        </is>
      </c>
      <c r="E2139" t="inlineStr">
        <is>
          <t>SKELLEFTEÅ</t>
        </is>
      </c>
      <c r="F2139" t="inlineStr">
        <is>
          <t>Holmen skog AB</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30964-2019</t>
        </is>
      </c>
      <c r="B2140" s="1" t="n">
        <v>43639</v>
      </c>
      <c r="C2140" s="1" t="n">
        <v>45357</v>
      </c>
      <c r="D2140" t="inlineStr">
        <is>
          <t>VÄSTERBOTTENS LÄN</t>
        </is>
      </c>
      <c r="E2140" t="inlineStr">
        <is>
          <t>UMEÅ</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30966-2019</t>
        </is>
      </c>
      <c r="B2141" s="1" t="n">
        <v>43639</v>
      </c>
      <c r="C2141" s="1" t="n">
        <v>45357</v>
      </c>
      <c r="D2141" t="inlineStr">
        <is>
          <t>VÄSTERBOTTENS LÄN</t>
        </is>
      </c>
      <c r="E2141" t="inlineStr">
        <is>
          <t>UMEÅ</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30965-2019</t>
        </is>
      </c>
      <c r="B2142" s="1" t="n">
        <v>43639</v>
      </c>
      <c r="C2142" s="1" t="n">
        <v>45357</v>
      </c>
      <c r="D2142" t="inlineStr">
        <is>
          <t>VÄSTERBOTTENS LÄN</t>
        </is>
      </c>
      <c r="E2142" t="inlineStr">
        <is>
          <t>UMEÅ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31012-2019</t>
        </is>
      </c>
      <c r="B2143" s="1" t="n">
        <v>43640</v>
      </c>
      <c r="C2143" s="1" t="n">
        <v>45357</v>
      </c>
      <c r="D2143" t="inlineStr">
        <is>
          <t>VÄSTERBOTTENS LÄN</t>
        </is>
      </c>
      <c r="E2143" t="inlineStr">
        <is>
          <t>SKELLEFTEÅ</t>
        </is>
      </c>
      <c r="F2143" t="inlineStr">
        <is>
          <t>Holmen skog AB</t>
        </is>
      </c>
      <c r="G2143" t="n">
        <v>6.3</v>
      </c>
      <c r="H2143" t="n">
        <v>0</v>
      </c>
      <c r="I2143" t="n">
        <v>0</v>
      </c>
      <c r="J2143" t="n">
        <v>0</v>
      </c>
      <c r="K2143" t="n">
        <v>0</v>
      </c>
      <c r="L2143" t="n">
        <v>0</v>
      </c>
      <c r="M2143" t="n">
        <v>0</v>
      </c>
      <c r="N2143" t="n">
        <v>0</v>
      </c>
      <c r="O2143" t="n">
        <v>0</v>
      </c>
      <c r="P2143" t="n">
        <v>0</v>
      </c>
      <c r="Q2143" t="n">
        <v>0</v>
      </c>
      <c r="R2143" s="2" t="inlineStr"/>
      <c r="U2143">
        <f>HYPERLINK("https://klasma.github.io/Logging_2482/knärot/A 31012-2019 karta knärot.png", "A 31012-2019")</f>
        <v/>
      </c>
      <c r="V2143">
        <f>HYPERLINK("https://klasma.github.io/Logging_2482/klagomål/A 31012-2019 FSC-klagomål.docx", "A 31012-2019")</f>
        <v/>
      </c>
      <c r="W2143">
        <f>HYPERLINK("https://klasma.github.io/Logging_2482/klagomålsmail/A 31012-2019 FSC-klagomål mail.docx", "A 31012-2019")</f>
        <v/>
      </c>
      <c r="X2143">
        <f>HYPERLINK("https://klasma.github.io/Logging_2482/tillsyn/A 31012-2019 tillsynsbegäran.docx", "A 31012-2019")</f>
        <v/>
      </c>
      <c r="Y2143">
        <f>HYPERLINK("https://klasma.github.io/Logging_2482/tillsynsmail/A 31012-2019 tillsynsbegäran mail.docx", "A 31012-2019")</f>
        <v/>
      </c>
    </row>
    <row r="2144" ht="15" customHeight="1">
      <c r="A2144" t="inlineStr">
        <is>
          <t>A 31265-2019</t>
        </is>
      </c>
      <c r="B2144" s="1" t="n">
        <v>43640</v>
      </c>
      <c r="C2144" s="1" t="n">
        <v>45357</v>
      </c>
      <c r="D2144" t="inlineStr">
        <is>
          <t>VÄSTERBOTTENS LÄN</t>
        </is>
      </c>
      <c r="E2144" t="inlineStr">
        <is>
          <t>UMEÅ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31612-2019</t>
        </is>
      </c>
      <c r="B2145" s="1" t="n">
        <v>43640</v>
      </c>
      <c r="C2145" s="1" t="n">
        <v>45357</v>
      </c>
      <c r="D2145" t="inlineStr">
        <is>
          <t>VÄSTERBOTTENS LÄN</t>
        </is>
      </c>
      <c r="E2145" t="inlineStr">
        <is>
          <t>VILHELMINA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31471-2019</t>
        </is>
      </c>
      <c r="B2146" s="1" t="n">
        <v>43640</v>
      </c>
      <c r="C2146" s="1" t="n">
        <v>45357</v>
      </c>
      <c r="D2146" t="inlineStr">
        <is>
          <t>VÄSTERBOTTENS LÄN</t>
        </is>
      </c>
      <c r="E2146" t="inlineStr">
        <is>
          <t>VÄNNÄS</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31615-2019</t>
        </is>
      </c>
      <c r="B2147" s="1" t="n">
        <v>43640</v>
      </c>
      <c r="C2147" s="1" t="n">
        <v>45357</v>
      </c>
      <c r="D2147" t="inlineStr">
        <is>
          <t>VÄSTERBOTTENS LÄN</t>
        </is>
      </c>
      <c r="E2147" t="inlineStr">
        <is>
          <t>VILHELMINA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31610-2019</t>
        </is>
      </c>
      <c r="B2148" s="1" t="n">
        <v>43640</v>
      </c>
      <c r="C2148" s="1" t="n">
        <v>45357</v>
      </c>
      <c r="D2148" t="inlineStr">
        <is>
          <t>VÄSTERBOTTENS LÄN</t>
        </is>
      </c>
      <c r="E2148" t="inlineStr">
        <is>
          <t>VILHELMINA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31607-2019</t>
        </is>
      </c>
      <c r="B2149" s="1" t="n">
        <v>43640</v>
      </c>
      <c r="C2149" s="1" t="n">
        <v>45357</v>
      </c>
      <c r="D2149" t="inlineStr">
        <is>
          <t>VÄSTERBOTTENS LÄN</t>
        </is>
      </c>
      <c r="E2149" t="inlineStr">
        <is>
          <t>VILHELMINA</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31845-2019</t>
        </is>
      </c>
      <c r="B2150" s="1" t="n">
        <v>43640</v>
      </c>
      <c r="C2150" s="1" t="n">
        <v>45357</v>
      </c>
      <c r="D2150" t="inlineStr">
        <is>
          <t>VÄSTERBOTTENS LÄN</t>
        </is>
      </c>
      <c r="E2150" t="inlineStr">
        <is>
          <t>VILHELMINA</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31511-2019</t>
        </is>
      </c>
      <c r="B2151" s="1" t="n">
        <v>43641</v>
      </c>
      <c r="C2151" s="1" t="n">
        <v>45357</v>
      </c>
      <c r="D2151" t="inlineStr">
        <is>
          <t>VÄSTERBOTTENS LÄN</t>
        </is>
      </c>
      <c r="E2151" t="inlineStr">
        <is>
          <t>VILHELMINA</t>
        </is>
      </c>
      <c r="G2151" t="n">
        <v>21.8</v>
      </c>
      <c r="H2151" t="n">
        <v>0</v>
      </c>
      <c r="I2151" t="n">
        <v>0</v>
      </c>
      <c r="J2151" t="n">
        <v>0</v>
      </c>
      <c r="K2151" t="n">
        <v>0</v>
      </c>
      <c r="L2151" t="n">
        <v>0</v>
      </c>
      <c r="M2151" t="n">
        <v>0</v>
      </c>
      <c r="N2151" t="n">
        <v>0</v>
      </c>
      <c r="O2151" t="n">
        <v>0</v>
      </c>
      <c r="P2151" t="n">
        <v>0</v>
      </c>
      <c r="Q2151" t="n">
        <v>0</v>
      </c>
      <c r="R2151" s="2" t="inlineStr"/>
    </row>
    <row r="2152" ht="15" customHeight="1">
      <c r="A2152" t="inlineStr">
        <is>
          <t>A 31500-2019</t>
        </is>
      </c>
      <c r="B2152" s="1" t="n">
        <v>43641</v>
      </c>
      <c r="C2152" s="1" t="n">
        <v>45357</v>
      </c>
      <c r="D2152" t="inlineStr">
        <is>
          <t>VÄSTERBOTTENS LÄN</t>
        </is>
      </c>
      <c r="E2152" t="inlineStr">
        <is>
          <t>SKELLEFTEÅ</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31919-2019</t>
        </is>
      </c>
      <c r="B2153" s="1" t="n">
        <v>43641</v>
      </c>
      <c r="C2153" s="1" t="n">
        <v>45357</v>
      </c>
      <c r="D2153" t="inlineStr">
        <is>
          <t>VÄSTERBOTTENS LÄN</t>
        </is>
      </c>
      <c r="E2153" t="inlineStr">
        <is>
          <t>UMEÅ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31816-2019</t>
        </is>
      </c>
      <c r="B2154" s="1" t="n">
        <v>43641</v>
      </c>
      <c r="C2154" s="1" t="n">
        <v>45357</v>
      </c>
      <c r="D2154" t="inlineStr">
        <is>
          <t>VÄSTERBOTTENS LÄN</t>
        </is>
      </c>
      <c r="E2154" t="inlineStr">
        <is>
          <t>VINDELN</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31917-2019</t>
        </is>
      </c>
      <c r="B2155" s="1" t="n">
        <v>43641</v>
      </c>
      <c r="C2155" s="1" t="n">
        <v>45357</v>
      </c>
      <c r="D2155" t="inlineStr">
        <is>
          <t>VÄSTERBOTTENS LÄN</t>
        </is>
      </c>
      <c r="E2155" t="inlineStr">
        <is>
          <t>LYCKSELE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31322-2019</t>
        </is>
      </c>
      <c r="B2156" s="1" t="n">
        <v>43641</v>
      </c>
      <c r="C2156" s="1" t="n">
        <v>45357</v>
      </c>
      <c r="D2156" t="inlineStr">
        <is>
          <t>VÄSTERBOTTENS LÄN</t>
        </is>
      </c>
      <c r="E2156" t="inlineStr">
        <is>
          <t>SKELLEFTEÅ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31745-2019</t>
        </is>
      </c>
      <c r="B2157" s="1" t="n">
        <v>43642</v>
      </c>
      <c r="C2157" s="1" t="n">
        <v>45357</v>
      </c>
      <c r="D2157" t="inlineStr">
        <is>
          <t>VÄSTERBOTTENS LÄN</t>
        </is>
      </c>
      <c r="E2157" t="inlineStr">
        <is>
          <t>MALÅ</t>
        </is>
      </c>
      <c r="F2157" t="inlineStr">
        <is>
          <t>Sveaskog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31629-2019</t>
        </is>
      </c>
      <c r="B2158" s="1" t="n">
        <v>43642</v>
      </c>
      <c r="C2158" s="1" t="n">
        <v>45357</v>
      </c>
      <c r="D2158" t="inlineStr">
        <is>
          <t>VÄSTERBOTTENS LÄN</t>
        </is>
      </c>
      <c r="E2158" t="inlineStr">
        <is>
          <t>SKELLEFTEÅ</t>
        </is>
      </c>
      <c r="F2158" t="inlineStr">
        <is>
          <t>Holmen skog AB</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31883-2019</t>
        </is>
      </c>
      <c r="B2159" s="1" t="n">
        <v>43642</v>
      </c>
      <c r="C2159" s="1" t="n">
        <v>45357</v>
      </c>
      <c r="D2159" t="inlineStr">
        <is>
          <t>VÄSTERBOTTENS LÄN</t>
        </is>
      </c>
      <c r="E2159" t="inlineStr">
        <is>
          <t>LYCKSELE</t>
        </is>
      </c>
      <c r="F2159" t="inlineStr">
        <is>
          <t>Holmen skog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32079-2019</t>
        </is>
      </c>
      <c r="B2160" s="1" t="n">
        <v>43642</v>
      </c>
      <c r="C2160" s="1" t="n">
        <v>45357</v>
      </c>
      <c r="D2160" t="inlineStr">
        <is>
          <t>VÄSTERBOTTENS LÄN</t>
        </is>
      </c>
      <c r="E2160" t="inlineStr">
        <is>
          <t>UMEÅ</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31933-2019</t>
        </is>
      </c>
      <c r="B2161" s="1" t="n">
        <v>43642</v>
      </c>
      <c r="C2161" s="1" t="n">
        <v>45357</v>
      </c>
      <c r="D2161" t="inlineStr">
        <is>
          <t>VÄSTERBOTTENS LÄN</t>
        </is>
      </c>
      <c r="E2161" t="inlineStr">
        <is>
          <t>ROBERTSFORS</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32083-2019</t>
        </is>
      </c>
      <c r="B2162" s="1" t="n">
        <v>43642</v>
      </c>
      <c r="C2162" s="1" t="n">
        <v>45357</v>
      </c>
      <c r="D2162" t="inlineStr">
        <is>
          <t>VÄSTERBOTTENS LÄN</t>
        </is>
      </c>
      <c r="E2162" t="inlineStr">
        <is>
          <t>LYCKSELE</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31876-2019</t>
        </is>
      </c>
      <c r="B2163" s="1" t="n">
        <v>43642</v>
      </c>
      <c r="C2163" s="1" t="n">
        <v>45357</v>
      </c>
      <c r="D2163" t="inlineStr">
        <is>
          <t>VÄSTERBOTTENS LÄN</t>
        </is>
      </c>
      <c r="E2163" t="inlineStr">
        <is>
          <t>LYCKSELE</t>
        </is>
      </c>
      <c r="F2163" t="inlineStr">
        <is>
          <t>Holmen skog AB</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32074-2019</t>
        </is>
      </c>
      <c r="B2164" s="1" t="n">
        <v>43642</v>
      </c>
      <c r="C2164" s="1" t="n">
        <v>45357</v>
      </c>
      <c r="D2164" t="inlineStr">
        <is>
          <t>VÄSTERBOTTENS LÄN</t>
        </is>
      </c>
      <c r="E2164" t="inlineStr">
        <is>
          <t>LYCKSELE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31938-2019</t>
        </is>
      </c>
      <c r="B2165" s="1" t="n">
        <v>43643</v>
      </c>
      <c r="C2165" s="1" t="n">
        <v>45357</v>
      </c>
      <c r="D2165" t="inlineStr">
        <is>
          <t>VÄSTERBOTTENS LÄN</t>
        </is>
      </c>
      <c r="E2165" t="inlineStr">
        <is>
          <t>UMEÅ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32239-2019</t>
        </is>
      </c>
      <c r="B2166" s="1" t="n">
        <v>43644</v>
      </c>
      <c r="C2166" s="1" t="n">
        <v>45357</v>
      </c>
      <c r="D2166" t="inlineStr">
        <is>
          <t>VÄSTERBOTTENS LÄN</t>
        </is>
      </c>
      <c r="E2166" t="inlineStr">
        <is>
          <t>SKELLEFTEÅ</t>
        </is>
      </c>
      <c r="F2166" t="inlineStr">
        <is>
          <t>Kyrkan</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32439-2019</t>
        </is>
      </c>
      <c r="B2167" s="1" t="n">
        <v>43644</v>
      </c>
      <c r="C2167" s="1" t="n">
        <v>45357</v>
      </c>
      <c r="D2167" t="inlineStr">
        <is>
          <t>VÄSTERBOTTENS LÄN</t>
        </is>
      </c>
      <c r="E2167" t="inlineStr">
        <is>
          <t>VÄNNÄS</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32343-2019</t>
        </is>
      </c>
      <c r="B2168" s="1" t="n">
        <v>43644</v>
      </c>
      <c r="C2168" s="1" t="n">
        <v>45357</v>
      </c>
      <c r="D2168" t="inlineStr">
        <is>
          <t>VÄSTERBOTTENS LÄN</t>
        </is>
      </c>
      <c r="E2168" t="inlineStr">
        <is>
          <t>SKELLEFTEÅ</t>
        </is>
      </c>
      <c r="F2168" t="inlineStr">
        <is>
          <t>Holmen skog AB</t>
        </is>
      </c>
      <c r="G2168" t="n">
        <v>12.8</v>
      </c>
      <c r="H2168" t="n">
        <v>0</v>
      </c>
      <c r="I2168" t="n">
        <v>0</v>
      </c>
      <c r="J2168" t="n">
        <v>0</v>
      </c>
      <c r="K2168" t="n">
        <v>0</v>
      </c>
      <c r="L2168" t="n">
        <v>0</v>
      </c>
      <c r="M2168" t="n">
        <v>0</v>
      </c>
      <c r="N2168" t="n">
        <v>0</v>
      </c>
      <c r="O2168" t="n">
        <v>0</v>
      </c>
      <c r="P2168" t="n">
        <v>0</v>
      </c>
      <c r="Q2168" t="n">
        <v>0</v>
      </c>
      <c r="R2168" s="2" t="inlineStr"/>
    </row>
    <row r="2169" ht="15" customHeight="1">
      <c r="A2169" t="inlineStr">
        <is>
          <t>A 33337-2019</t>
        </is>
      </c>
      <c r="B2169" s="1" t="n">
        <v>43644</v>
      </c>
      <c r="C2169" s="1" t="n">
        <v>45357</v>
      </c>
      <c r="D2169" t="inlineStr">
        <is>
          <t>VÄSTERBOTTENS LÄN</t>
        </is>
      </c>
      <c r="E2169" t="inlineStr">
        <is>
          <t>ROBERTSFORS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33504-2019</t>
        </is>
      </c>
      <c r="B2170" s="1" t="n">
        <v>43644</v>
      </c>
      <c r="C2170" s="1" t="n">
        <v>45357</v>
      </c>
      <c r="D2170" t="inlineStr">
        <is>
          <t>VÄSTERBOTTENS LÄN</t>
        </is>
      </c>
      <c r="E2170" t="inlineStr">
        <is>
          <t>STORUMAN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32433-2019</t>
        </is>
      </c>
      <c r="B2171" s="1" t="n">
        <v>43644</v>
      </c>
      <c r="C2171" s="1" t="n">
        <v>45357</v>
      </c>
      <c r="D2171" t="inlineStr">
        <is>
          <t>VÄSTERBOTTENS LÄN</t>
        </is>
      </c>
      <c r="E2171" t="inlineStr">
        <is>
          <t>NORSJÖ</t>
        </is>
      </c>
      <c r="F2171" t="inlineStr">
        <is>
          <t>Holmen skog AB</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33524-2019</t>
        </is>
      </c>
      <c r="B2172" s="1" t="n">
        <v>43644</v>
      </c>
      <c r="C2172" s="1" t="n">
        <v>45357</v>
      </c>
      <c r="D2172" t="inlineStr">
        <is>
          <t>VÄSTERBOTTENS LÄN</t>
        </is>
      </c>
      <c r="E2172" t="inlineStr">
        <is>
          <t>STORUMAN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33356-2019</t>
        </is>
      </c>
      <c r="B2173" s="1" t="n">
        <v>43644</v>
      </c>
      <c r="C2173" s="1" t="n">
        <v>45357</v>
      </c>
      <c r="D2173" t="inlineStr">
        <is>
          <t>VÄSTERBOTTENS LÄN</t>
        </is>
      </c>
      <c r="E2173" t="inlineStr">
        <is>
          <t>ROBERTSFORS</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32477-2019</t>
        </is>
      </c>
      <c r="B2174" s="1" t="n">
        <v>43644</v>
      </c>
      <c r="C2174" s="1" t="n">
        <v>45357</v>
      </c>
      <c r="D2174" t="inlineStr">
        <is>
          <t>VÄSTERBOTTENS LÄN</t>
        </is>
      </c>
      <c r="E2174" t="inlineStr">
        <is>
          <t>VINDELN</t>
        </is>
      </c>
      <c r="F2174" t="inlineStr">
        <is>
          <t>SCA</t>
        </is>
      </c>
      <c r="G2174" t="n">
        <v>11.1</v>
      </c>
      <c r="H2174" t="n">
        <v>0</v>
      </c>
      <c r="I2174" t="n">
        <v>0</v>
      </c>
      <c r="J2174" t="n">
        <v>0</v>
      </c>
      <c r="K2174" t="n">
        <v>0</v>
      </c>
      <c r="L2174" t="n">
        <v>0</v>
      </c>
      <c r="M2174" t="n">
        <v>0</v>
      </c>
      <c r="N2174" t="n">
        <v>0</v>
      </c>
      <c r="O2174" t="n">
        <v>0</v>
      </c>
      <c r="P2174" t="n">
        <v>0</v>
      </c>
      <c r="Q2174" t="n">
        <v>0</v>
      </c>
      <c r="R2174" s="2" t="inlineStr"/>
    </row>
    <row r="2175" ht="15" customHeight="1">
      <c r="A2175" t="inlineStr">
        <is>
          <t>A 33372-2019</t>
        </is>
      </c>
      <c r="B2175" s="1" t="n">
        <v>43644</v>
      </c>
      <c r="C2175" s="1" t="n">
        <v>45357</v>
      </c>
      <c r="D2175" t="inlineStr">
        <is>
          <t>VÄSTERBOTTENS LÄN</t>
        </is>
      </c>
      <c r="E2175" t="inlineStr">
        <is>
          <t>NORSJÖ</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32496-2019</t>
        </is>
      </c>
      <c r="B2176" s="1" t="n">
        <v>43644</v>
      </c>
      <c r="C2176" s="1" t="n">
        <v>45357</v>
      </c>
      <c r="D2176" t="inlineStr">
        <is>
          <t>VÄSTERBOTTENS LÄN</t>
        </is>
      </c>
      <c r="E2176" t="inlineStr">
        <is>
          <t>DOROTEA</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32724-2019</t>
        </is>
      </c>
      <c r="B2177" s="1" t="n">
        <v>43647</v>
      </c>
      <c r="C2177" s="1" t="n">
        <v>45357</v>
      </c>
      <c r="D2177" t="inlineStr">
        <is>
          <t>VÄSTERBOTTENS LÄN</t>
        </is>
      </c>
      <c r="E2177" t="inlineStr">
        <is>
          <t>VINDELN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32731-2019</t>
        </is>
      </c>
      <c r="B2178" s="1" t="n">
        <v>43648</v>
      </c>
      <c r="C2178" s="1" t="n">
        <v>45357</v>
      </c>
      <c r="D2178" t="inlineStr">
        <is>
          <t>VÄSTERBOTTENS LÄN</t>
        </is>
      </c>
      <c r="E2178" t="inlineStr">
        <is>
          <t>VILHELMINA</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32609-2019</t>
        </is>
      </c>
      <c r="B2179" s="1" t="n">
        <v>43647</v>
      </c>
      <c r="C2179" s="1" t="n">
        <v>45357</v>
      </c>
      <c r="D2179" t="inlineStr">
        <is>
          <t>VÄSTERBOTTENS LÄN</t>
        </is>
      </c>
      <c r="E2179" t="inlineStr">
        <is>
          <t>VINDELN</t>
        </is>
      </c>
      <c r="F2179" t="inlineStr">
        <is>
          <t>Sveaskog</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32606-2019</t>
        </is>
      </c>
      <c r="B2180" s="1" t="n">
        <v>43647</v>
      </c>
      <c r="C2180" s="1" t="n">
        <v>45357</v>
      </c>
      <c r="D2180" t="inlineStr">
        <is>
          <t>VÄSTERBOTTENS LÄN</t>
        </is>
      </c>
      <c r="E2180" t="inlineStr">
        <is>
          <t>SKELLEFTEÅ</t>
        </is>
      </c>
      <c r="F2180" t="inlineStr">
        <is>
          <t>Holmen skog AB</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32717-2019</t>
        </is>
      </c>
      <c r="B2181" s="1" t="n">
        <v>43647</v>
      </c>
      <c r="C2181" s="1" t="n">
        <v>45357</v>
      </c>
      <c r="D2181" t="inlineStr">
        <is>
          <t>VÄSTERBOTTENS LÄN</t>
        </is>
      </c>
      <c r="E2181" t="inlineStr">
        <is>
          <t>STORUMAN</t>
        </is>
      </c>
      <c r="F2181" t="inlineStr">
        <is>
          <t>Kyrkan</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34575-2019</t>
        </is>
      </c>
      <c r="B2182" s="1" t="n">
        <v>43647</v>
      </c>
      <c r="C2182" s="1" t="n">
        <v>45357</v>
      </c>
      <c r="D2182" t="inlineStr">
        <is>
          <t>VÄSTERBOTTENS LÄN</t>
        </is>
      </c>
      <c r="E2182" t="inlineStr">
        <is>
          <t>SKELLEFTEÅ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32723-2019</t>
        </is>
      </c>
      <c r="B2183" s="1" t="n">
        <v>43647</v>
      </c>
      <c r="C2183" s="1" t="n">
        <v>45357</v>
      </c>
      <c r="D2183" t="inlineStr">
        <is>
          <t>VÄSTERBOTTENS LÄN</t>
        </is>
      </c>
      <c r="E2183" t="inlineStr">
        <is>
          <t>VINDELN</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34645-2019</t>
        </is>
      </c>
      <c r="B2184" s="1" t="n">
        <v>43647</v>
      </c>
      <c r="C2184" s="1" t="n">
        <v>45357</v>
      </c>
      <c r="D2184" t="inlineStr">
        <is>
          <t>VÄSTERBOTTENS LÄN</t>
        </is>
      </c>
      <c r="E2184" t="inlineStr">
        <is>
          <t>SKELLEFTEÅ</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34568-2019</t>
        </is>
      </c>
      <c r="B2185" s="1" t="n">
        <v>43647</v>
      </c>
      <c r="C2185" s="1" t="n">
        <v>45357</v>
      </c>
      <c r="D2185" t="inlineStr">
        <is>
          <t>VÄSTERBOTTENS LÄN</t>
        </is>
      </c>
      <c r="E2185" t="inlineStr">
        <is>
          <t>ROBERTSFORS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32679-2019</t>
        </is>
      </c>
      <c r="B2186" s="1" t="n">
        <v>43647</v>
      </c>
      <c r="C2186" s="1" t="n">
        <v>45357</v>
      </c>
      <c r="D2186" t="inlineStr">
        <is>
          <t>VÄSTERBOTTENS LÄN</t>
        </is>
      </c>
      <c r="E2186" t="inlineStr">
        <is>
          <t>SKELLEFTEÅ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34627-2019</t>
        </is>
      </c>
      <c r="B2187" s="1" t="n">
        <v>43647</v>
      </c>
      <c r="C2187" s="1" t="n">
        <v>45357</v>
      </c>
      <c r="D2187" t="inlineStr">
        <is>
          <t>VÄSTERBOTTENS LÄN</t>
        </is>
      </c>
      <c r="E2187" t="inlineStr">
        <is>
          <t>SKELLEFTEÅ</t>
        </is>
      </c>
      <c r="G2187" t="n">
        <v>11.6</v>
      </c>
      <c r="H2187" t="n">
        <v>0</v>
      </c>
      <c r="I2187" t="n">
        <v>0</v>
      </c>
      <c r="J2187" t="n">
        <v>0</v>
      </c>
      <c r="K2187" t="n">
        <v>0</v>
      </c>
      <c r="L2187" t="n">
        <v>0</v>
      </c>
      <c r="M2187" t="n">
        <v>0</v>
      </c>
      <c r="N2187" t="n">
        <v>0</v>
      </c>
      <c r="O2187" t="n">
        <v>0</v>
      </c>
      <c r="P2187" t="n">
        <v>0</v>
      </c>
      <c r="Q2187" t="n">
        <v>0</v>
      </c>
      <c r="R2187" s="2" t="inlineStr"/>
    </row>
    <row r="2188" ht="15" customHeight="1">
      <c r="A2188" t="inlineStr">
        <is>
          <t>A 32645-2019</t>
        </is>
      </c>
      <c r="B2188" s="1" t="n">
        <v>43647</v>
      </c>
      <c r="C2188" s="1" t="n">
        <v>45357</v>
      </c>
      <c r="D2188" t="inlineStr">
        <is>
          <t>VÄSTERBOTTENS LÄN</t>
        </is>
      </c>
      <c r="E2188" t="inlineStr">
        <is>
          <t>VINDELN</t>
        </is>
      </c>
      <c r="F2188" t="inlineStr">
        <is>
          <t>Sveaskog</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32772-2019</t>
        </is>
      </c>
      <c r="B2189" s="1" t="n">
        <v>43648</v>
      </c>
      <c r="C2189" s="1" t="n">
        <v>45357</v>
      </c>
      <c r="D2189" t="inlineStr">
        <is>
          <t>VÄSTERBOTTENS LÄN</t>
        </is>
      </c>
      <c r="E2189" t="inlineStr">
        <is>
          <t>SKELLEFTEÅ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32866-2019</t>
        </is>
      </c>
      <c r="B2190" s="1" t="n">
        <v>43648</v>
      </c>
      <c r="C2190" s="1" t="n">
        <v>45357</v>
      </c>
      <c r="D2190" t="inlineStr">
        <is>
          <t>VÄSTERBOTTENS LÄN</t>
        </is>
      </c>
      <c r="E2190" t="inlineStr">
        <is>
          <t>SKELLEFTEÅ</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34685-2019</t>
        </is>
      </c>
      <c r="B2191" s="1" t="n">
        <v>43648</v>
      </c>
      <c r="C2191" s="1" t="n">
        <v>45357</v>
      </c>
      <c r="D2191" t="inlineStr">
        <is>
          <t>VÄSTERBOTTENS LÄN</t>
        </is>
      </c>
      <c r="E2191" t="inlineStr">
        <is>
          <t>SKELLEFTEÅ</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34724-2019</t>
        </is>
      </c>
      <c r="B2192" s="1" t="n">
        <v>43648</v>
      </c>
      <c r="C2192" s="1" t="n">
        <v>45357</v>
      </c>
      <c r="D2192" t="inlineStr">
        <is>
          <t>VÄSTERBOTTENS LÄN</t>
        </is>
      </c>
      <c r="E2192" t="inlineStr">
        <is>
          <t>NORSJÖ</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32977-2019</t>
        </is>
      </c>
      <c r="B2193" s="1" t="n">
        <v>43648</v>
      </c>
      <c r="C2193" s="1" t="n">
        <v>45357</v>
      </c>
      <c r="D2193" t="inlineStr">
        <is>
          <t>VÄSTERBOTTENS LÄN</t>
        </is>
      </c>
      <c r="E2193" t="inlineStr">
        <is>
          <t>NORSJÖ</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32787-2019</t>
        </is>
      </c>
      <c r="B2194" s="1" t="n">
        <v>43648</v>
      </c>
      <c r="C2194" s="1" t="n">
        <v>45357</v>
      </c>
      <c r="D2194" t="inlineStr">
        <is>
          <t>VÄSTERBOTTENS LÄN</t>
        </is>
      </c>
      <c r="E2194" t="inlineStr">
        <is>
          <t>VILHELMINA</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33063-2019</t>
        </is>
      </c>
      <c r="B2195" s="1" t="n">
        <v>43649</v>
      </c>
      <c r="C2195" s="1" t="n">
        <v>45357</v>
      </c>
      <c r="D2195" t="inlineStr">
        <is>
          <t>VÄSTERBOTTENS LÄN</t>
        </is>
      </c>
      <c r="E2195" t="inlineStr">
        <is>
          <t>SKELLEFTEÅ</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33058-2019</t>
        </is>
      </c>
      <c r="B2196" s="1" t="n">
        <v>43649</v>
      </c>
      <c r="C2196" s="1" t="n">
        <v>45357</v>
      </c>
      <c r="D2196" t="inlineStr">
        <is>
          <t>VÄSTERBOTTENS LÄN</t>
        </is>
      </c>
      <c r="E2196" t="inlineStr">
        <is>
          <t>SKELLEFTEÅ</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33009-2019</t>
        </is>
      </c>
      <c r="B2197" s="1" t="n">
        <v>43649</v>
      </c>
      <c r="C2197" s="1" t="n">
        <v>45357</v>
      </c>
      <c r="D2197" t="inlineStr">
        <is>
          <t>VÄSTERBOTTENS LÄN</t>
        </is>
      </c>
      <c r="E2197" t="inlineStr">
        <is>
          <t>NORSJÖ</t>
        </is>
      </c>
      <c r="F2197" t="inlineStr">
        <is>
          <t>Holmen skog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33033-2019</t>
        </is>
      </c>
      <c r="B2198" s="1" t="n">
        <v>43649</v>
      </c>
      <c r="C2198" s="1" t="n">
        <v>45357</v>
      </c>
      <c r="D2198" t="inlineStr">
        <is>
          <t>VÄSTERBOTTENS LÄN</t>
        </is>
      </c>
      <c r="E2198" t="inlineStr">
        <is>
          <t>UMEÅ</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34894-2019</t>
        </is>
      </c>
      <c r="B2199" s="1" t="n">
        <v>43649</v>
      </c>
      <c r="C2199" s="1" t="n">
        <v>45357</v>
      </c>
      <c r="D2199" t="inlineStr">
        <is>
          <t>VÄSTERBOTTENS LÄN</t>
        </is>
      </c>
      <c r="E2199" t="inlineStr">
        <is>
          <t>SKELLEFTEÅ</t>
        </is>
      </c>
      <c r="G2199" t="n">
        <v>20.4</v>
      </c>
      <c r="H2199" t="n">
        <v>0</v>
      </c>
      <c r="I2199" t="n">
        <v>0</v>
      </c>
      <c r="J2199" t="n">
        <v>0</v>
      </c>
      <c r="K2199" t="n">
        <v>0</v>
      </c>
      <c r="L2199" t="n">
        <v>0</v>
      </c>
      <c r="M2199" t="n">
        <v>0</v>
      </c>
      <c r="N2199" t="n">
        <v>0</v>
      </c>
      <c r="O2199" t="n">
        <v>0</v>
      </c>
      <c r="P2199" t="n">
        <v>0</v>
      </c>
      <c r="Q2199" t="n">
        <v>0</v>
      </c>
      <c r="R2199" s="2" t="inlineStr"/>
    </row>
    <row r="2200" ht="15" customHeight="1">
      <c r="A2200" t="inlineStr">
        <is>
          <t>A 33193-2019</t>
        </is>
      </c>
      <c r="B2200" s="1" t="n">
        <v>43649</v>
      </c>
      <c r="C2200" s="1" t="n">
        <v>45357</v>
      </c>
      <c r="D2200" t="inlineStr">
        <is>
          <t>VÄSTERBOTTENS LÄN</t>
        </is>
      </c>
      <c r="E2200" t="inlineStr">
        <is>
          <t>SKELLEFTEÅ</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33203-2019</t>
        </is>
      </c>
      <c r="B2201" s="1" t="n">
        <v>43649</v>
      </c>
      <c r="C2201" s="1" t="n">
        <v>45357</v>
      </c>
      <c r="D2201" t="inlineStr">
        <is>
          <t>VÄSTERBOTTENS LÄN</t>
        </is>
      </c>
      <c r="E2201" t="inlineStr">
        <is>
          <t>LYCKSELE</t>
        </is>
      </c>
      <c r="F2201" t="inlineStr">
        <is>
          <t>Holmen skog AB</t>
        </is>
      </c>
      <c r="G2201" t="n">
        <v>20.2</v>
      </c>
      <c r="H2201" t="n">
        <v>0</v>
      </c>
      <c r="I2201" t="n">
        <v>0</v>
      </c>
      <c r="J2201" t="n">
        <v>0</v>
      </c>
      <c r="K2201" t="n">
        <v>0</v>
      </c>
      <c r="L2201" t="n">
        <v>0</v>
      </c>
      <c r="M2201" t="n">
        <v>0</v>
      </c>
      <c r="N2201" t="n">
        <v>0</v>
      </c>
      <c r="O2201" t="n">
        <v>0</v>
      </c>
      <c r="P2201" t="n">
        <v>0</v>
      </c>
      <c r="Q2201" t="n">
        <v>0</v>
      </c>
      <c r="R2201" s="2" t="inlineStr"/>
    </row>
    <row r="2202" ht="15" customHeight="1">
      <c r="A2202" t="inlineStr">
        <is>
          <t>A 34852-2019</t>
        </is>
      </c>
      <c r="B2202" s="1" t="n">
        <v>43649</v>
      </c>
      <c r="C2202" s="1" t="n">
        <v>45357</v>
      </c>
      <c r="D2202" t="inlineStr">
        <is>
          <t>VÄSTERBOTTENS LÄN</t>
        </is>
      </c>
      <c r="E2202" t="inlineStr">
        <is>
          <t>LYCKSELE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33029-2019</t>
        </is>
      </c>
      <c r="B2203" s="1" t="n">
        <v>43649</v>
      </c>
      <c r="C2203" s="1" t="n">
        <v>45357</v>
      </c>
      <c r="D2203" t="inlineStr">
        <is>
          <t>VÄSTERBOTTENS LÄN</t>
        </is>
      </c>
      <c r="E2203" t="inlineStr">
        <is>
          <t>UMEÅ</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34906-2019</t>
        </is>
      </c>
      <c r="B2204" s="1" t="n">
        <v>43649</v>
      </c>
      <c r="C2204" s="1" t="n">
        <v>45357</v>
      </c>
      <c r="D2204" t="inlineStr">
        <is>
          <t>VÄSTERBOTTENS LÄN</t>
        </is>
      </c>
      <c r="E2204" t="inlineStr">
        <is>
          <t>SKELLEFTEÅ</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33261-2019</t>
        </is>
      </c>
      <c r="B2205" s="1" t="n">
        <v>43650</v>
      </c>
      <c r="C2205" s="1" t="n">
        <v>45357</v>
      </c>
      <c r="D2205" t="inlineStr">
        <is>
          <t>VÄSTERBOTTENS LÄN</t>
        </is>
      </c>
      <c r="E2205" t="inlineStr">
        <is>
          <t>NORDMALING</t>
        </is>
      </c>
      <c r="G2205" t="n">
        <v>9.6</v>
      </c>
      <c r="H2205" t="n">
        <v>0</v>
      </c>
      <c r="I2205" t="n">
        <v>0</v>
      </c>
      <c r="J2205" t="n">
        <v>0</v>
      </c>
      <c r="K2205" t="n">
        <v>0</v>
      </c>
      <c r="L2205" t="n">
        <v>0</v>
      </c>
      <c r="M2205" t="n">
        <v>0</v>
      </c>
      <c r="N2205" t="n">
        <v>0</v>
      </c>
      <c r="O2205" t="n">
        <v>0</v>
      </c>
      <c r="P2205" t="n">
        <v>0</v>
      </c>
      <c r="Q2205" t="n">
        <v>0</v>
      </c>
      <c r="R2205" s="2" t="inlineStr"/>
    </row>
    <row r="2206" ht="15" customHeight="1">
      <c r="A2206" t="inlineStr">
        <is>
          <t>A 33416-2019</t>
        </is>
      </c>
      <c r="B2206" s="1" t="n">
        <v>43650</v>
      </c>
      <c r="C2206" s="1" t="n">
        <v>45357</v>
      </c>
      <c r="D2206" t="inlineStr">
        <is>
          <t>VÄSTERBOTTENS LÄN</t>
        </is>
      </c>
      <c r="E2206" t="inlineStr">
        <is>
          <t>STORUMAN</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33466-2019</t>
        </is>
      </c>
      <c r="B2207" s="1" t="n">
        <v>43650</v>
      </c>
      <c r="C2207" s="1" t="n">
        <v>45357</v>
      </c>
      <c r="D2207" t="inlineStr">
        <is>
          <t>VÄSTERBOTTENS LÄN</t>
        </is>
      </c>
      <c r="E2207" t="inlineStr">
        <is>
          <t>ROBERTSFORS</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33034-2019</t>
        </is>
      </c>
      <c r="B2208" s="1" t="n">
        <v>43650</v>
      </c>
      <c r="C2208" s="1" t="n">
        <v>45357</v>
      </c>
      <c r="D2208" t="inlineStr">
        <is>
          <t>VÄSTERBOTTENS LÄN</t>
        </is>
      </c>
      <c r="E2208" t="inlineStr">
        <is>
          <t>UMEÅ</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33484-2019</t>
        </is>
      </c>
      <c r="B2209" s="1" t="n">
        <v>43650</v>
      </c>
      <c r="C2209" s="1" t="n">
        <v>45357</v>
      </c>
      <c r="D2209" t="inlineStr">
        <is>
          <t>VÄSTERBOTTENS LÄN</t>
        </is>
      </c>
      <c r="E2209" t="inlineStr">
        <is>
          <t>NORSJÖ</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33414-2019</t>
        </is>
      </c>
      <c r="B2210" s="1" t="n">
        <v>43650</v>
      </c>
      <c r="C2210" s="1" t="n">
        <v>45357</v>
      </c>
      <c r="D2210" t="inlineStr">
        <is>
          <t>VÄSTERBOTTENS LÄN</t>
        </is>
      </c>
      <c r="E2210" t="inlineStr">
        <is>
          <t>LYCKSELE</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33483-2019</t>
        </is>
      </c>
      <c r="B2211" s="1" t="n">
        <v>43651</v>
      </c>
      <c r="C2211" s="1" t="n">
        <v>45357</v>
      </c>
      <c r="D2211" t="inlineStr">
        <is>
          <t>VÄSTERBOTTENS LÄN</t>
        </is>
      </c>
      <c r="E2211" t="inlineStr">
        <is>
          <t>NORSJÖ</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35229-2019</t>
        </is>
      </c>
      <c r="B2212" s="1" t="n">
        <v>43650</v>
      </c>
      <c r="C2212" s="1" t="n">
        <v>45357</v>
      </c>
      <c r="D2212" t="inlineStr">
        <is>
          <t>VÄSTERBOTTENS LÄN</t>
        </is>
      </c>
      <c r="E2212" t="inlineStr">
        <is>
          <t>SKELLEFTEÅ</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33467-2019</t>
        </is>
      </c>
      <c r="B2213" s="1" t="n">
        <v>43650</v>
      </c>
      <c r="C2213" s="1" t="n">
        <v>45357</v>
      </c>
      <c r="D2213" t="inlineStr">
        <is>
          <t>VÄSTERBOTTENS LÄN</t>
        </is>
      </c>
      <c r="E2213" t="inlineStr">
        <is>
          <t>VÄNNÄS</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33533-2019</t>
        </is>
      </c>
      <c r="B2214" s="1" t="n">
        <v>43651</v>
      </c>
      <c r="C2214" s="1" t="n">
        <v>45357</v>
      </c>
      <c r="D2214" t="inlineStr">
        <is>
          <t>VÄSTERBOTTENS LÄN</t>
        </is>
      </c>
      <c r="E2214" t="inlineStr">
        <is>
          <t>STORUMAN</t>
        </is>
      </c>
      <c r="F2214" t="inlineStr">
        <is>
          <t>Sveaskog</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33491-2019</t>
        </is>
      </c>
      <c r="B2215" s="1" t="n">
        <v>43651</v>
      </c>
      <c r="C2215" s="1" t="n">
        <v>45357</v>
      </c>
      <c r="D2215" t="inlineStr">
        <is>
          <t>VÄSTERBOTTENS LÄN</t>
        </is>
      </c>
      <c r="E2215" t="inlineStr">
        <is>
          <t>MALÅ</t>
        </is>
      </c>
      <c r="F2215" t="inlineStr">
        <is>
          <t>Sveaskog</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33718-2019</t>
        </is>
      </c>
      <c r="B2216" s="1" t="n">
        <v>43651</v>
      </c>
      <c r="C2216" s="1" t="n">
        <v>45357</v>
      </c>
      <c r="D2216" t="inlineStr">
        <is>
          <t>VÄSTERBOTTENS LÄN</t>
        </is>
      </c>
      <c r="E2216" t="inlineStr">
        <is>
          <t>STORUMAN</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33810-2019</t>
        </is>
      </c>
      <c r="B2217" s="1" t="n">
        <v>43651</v>
      </c>
      <c r="C2217" s="1" t="n">
        <v>45357</v>
      </c>
      <c r="D2217" t="inlineStr">
        <is>
          <t>VÄSTERBOTTENS LÄN</t>
        </is>
      </c>
      <c r="E2217" t="inlineStr">
        <is>
          <t>LYCKSELE</t>
        </is>
      </c>
      <c r="F2217" t="inlineStr">
        <is>
          <t>Sveaskog</t>
        </is>
      </c>
      <c r="G2217" t="n">
        <v>18.9</v>
      </c>
      <c r="H2217" t="n">
        <v>0</v>
      </c>
      <c r="I2217" t="n">
        <v>0</v>
      </c>
      <c r="J2217" t="n">
        <v>0</v>
      </c>
      <c r="K2217" t="n">
        <v>0</v>
      </c>
      <c r="L2217" t="n">
        <v>0</v>
      </c>
      <c r="M2217" t="n">
        <v>0</v>
      </c>
      <c r="N2217" t="n">
        <v>0</v>
      </c>
      <c r="O2217" t="n">
        <v>0</v>
      </c>
      <c r="P2217" t="n">
        <v>0</v>
      </c>
      <c r="Q2217" t="n">
        <v>0</v>
      </c>
      <c r="R2217" s="2" t="inlineStr"/>
    </row>
    <row r="2218" ht="15" customHeight="1">
      <c r="A2218" t="inlineStr">
        <is>
          <t>A 33850-2019</t>
        </is>
      </c>
      <c r="B2218" s="1" t="n">
        <v>43651</v>
      </c>
      <c r="C2218" s="1" t="n">
        <v>45357</v>
      </c>
      <c r="D2218" t="inlineStr">
        <is>
          <t>VÄSTERBOTTENS LÄN</t>
        </is>
      </c>
      <c r="E2218" t="inlineStr">
        <is>
          <t>VINDELN</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35451-2019</t>
        </is>
      </c>
      <c r="B2219" s="1" t="n">
        <v>43651</v>
      </c>
      <c r="C2219" s="1" t="n">
        <v>45357</v>
      </c>
      <c r="D2219" t="inlineStr">
        <is>
          <t>VÄSTERBOTTENS LÄN</t>
        </is>
      </c>
      <c r="E2219" t="inlineStr">
        <is>
          <t>UMEÅ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35308-2019</t>
        </is>
      </c>
      <c r="B2220" s="1" t="n">
        <v>43651</v>
      </c>
      <c r="C2220" s="1" t="n">
        <v>45357</v>
      </c>
      <c r="D2220" t="inlineStr">
        <is>
          <t>VÄSTERBOTTENS LÄN</t>
        </is>
      </c>
      <c r="E2220" t="inlineStr">
        <is>
          <t>ROBERTSFORS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35450-2019</t>
        </is>
      </c>
      <c r="B2221" s="1" t="n">
        <v>43651</v>
      </c>
      <c r="C2221" s="1" t="n">
        <v>45357</v>
      </c>
      <c r="D2221" t="inlineStr">
        <is>
          <t>VÄSTERBOTTENS LÄN</t>
        </is>
      </c>
      <c r="E2221" t="inlineStr">
        <is>
          <t>UMEÅ</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35445-2019</t>
        </is>
      </c>
      <c r="B2222" s="1" t="n">
        <v>43651</v>
      </c>
      <c r="C2222" s="1" t="n">
        <v>45357</v>
      </c>
      <c r="D2222" t="inlineStr">
        <is>
          <t>VÄSTERBOTTENS LÄN</t>
        </is>
      </c>
      <c r="E2222" t="inlineStr">
        <is>
          <t>SKELLEFTEÅ</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35452-2019</t>
        </is>
      </c>
      <c r="B2223" s="1" t="n">
        <v>43651</v>
      </c>
      <c r="C2223" s="1" t="n">
        <v>45357</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35380-2019</t>
        </is>
      </c>
      <c r="B2224" s="1" t="n">
        <v>43651</v>
      </c>
      <c r="C2224" s="1" t="n">
        <v>45357</v>
      </c>
      <c r="D2224" t="inlineStr">
        <is>
          <t>VÄSTERBOTTENS LÄN</t>
        </is>
      </c>
      <c r="E2224" t="inlineStr">
        <is>
          <t>UMEÅ</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33888-2019</t>
        </is>
      </c>
      <c r="B2225" s="1" t="n">
        <v>43653</v>
      </c>
      <c r="C2225" s="1" t="n">
        <v>45357</v>
      </c>
      <c r="D2225" t="inlineStr">
        <is>
          <t>VÄSTERBOTTENS LÄN</t>
        </is>
      </c>
      <c r="E2225" t="inlineStr">
        <is>
          <t>SKELLEFTEÅ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34089-2019</t>
        </is>
      </c>
      <c r="B2226" s="1" t="n">
        <v>43654</v>
      </c>
      <c r="C2226" s="1" t="n">
        <v>45357</v>
      </c>
      <c r="D2226" t="inlineStr">
        <is>
          <t>VÄSTERBOTTENS LÄN</t>
        </is>
      </c>
      <c r="E2226" t="inlineStr">
        <is>
          <t>SKELLEFTEÅ</t>
        </is>
      </c>
      <c r="F2226" t="inlineStr">
        <is>
          <t>Holmen skog AB</t>
        </is>
      </c>
      <c r="G2226" t="n">
        <v>20.9</v>
      </c>
      <c r="H2226" t="n">
        <v>0</v>
      </c>
      <c r="I2226" t="n">
        <v>0</v>
      </c>
      <c r="J2226" t="n">
        <v>0</v>
      </c>
      <c r="K2226" t="n">
        <v>0</v>
      </c>
      <c r="L2226" t="n">
        <v>0</v>
      </c>
      <c r="M2226" t="n">
        <v>0</v>
      </c>
      <c r="N2226" t="n">
        <v>0</v>
      </c>
      <c r="O2226" t="n">
        <v>0</v>
      </c>
      <c r="P2226" t="n">
        <v>0</v>
      </c>
      <c r="Q2226" t="n">
        <v>0</v>
      </c>
      <c r="R2226" s="2" t="inlineStr"/>
    </row>
    <row r="2227" ht="15" customHeight="1">
      <c r="A2227" t="inlineStr">
        <is>
          <t>A 34548-2019</t>
        </is>
      </c>
      <c r="B2227" s="1" t="n">
        <v>43654</v>
      </c>
      <c r="C2227" s="1" t="n">
        <v>45357</v>
      </c>
      <c r="D2227" t="inlineStr">
        <is>
          <t>VÄSTERBOTTENS LÄN</t>
        </is>
      </c>
      <c r="E2227" t="inlineStr">
        <is>
          <t>STORUMAN</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35580-2019</t>
        </is>
      </c>
      <c r="B2228" s="1" t="n">
        <v>43654</v>
      </c>
      <c r="C2228" s="1" t="n">
        <v>45357</v>
      </c>
      <c r="D2228" t="inlineStr">
        <is>
          <t>VÄSTERBOTTENS LÄN</t>
        </is>
      </c>
      <c r="E2228" t="inlineStr">
        <is>
          <t>VINDELN</t>
        </is>
      </c>
      <c r="G2228" t="n">
        <v>25.4</v>
      </c>
      <c r="H2228" t="n">
        <v>0</v>
      </c>
      <c r="I2228" t="n">
        <v>0</v>
      </c>
      <c r="J2228" t="n">
        <v>0</v>
      </c>
      <c r="K2228" t="n">
        <v>0</v>
      </c>
      <c r="L2228" t="n">
        <v>0</v>
      </c>
      <c r="M2228" t="n">
        <v>0</v>
      </c>
      <c r="N2228" t="n">
        <v>0</v>
      </c>
      <c r="O2228" t="n">
        <v>0</v>
      </c>
      <c r="P2228" t="n">
        <v>0</v>
      </c>
      <c r="Q2228" t="n">
        <v>0</v>
      </c>
      <c r="R2228" s="2" t="inlineStr"/>
    </row>
    <row r="2229" ht="15" customHeight="1">
      <c r="A2229" t="inlineStr">
        <is>
          <t>A 34129-2019</t>
        </is>
      </c>
      <c r="B2229" s="1" t="n">
        <v>43654</v>
      </c>
      <c r="C2229" s="1" t="n">
        <v>45357</v>
      </c>
      <c r="D2229" t="inlineStr">
        <is>
          <t>VÄSTERBOTTENS LÄN</t>
        </is>
      </c>
      <c r="E2229" t="inlineStr">
        <is>
          <t>VINDELN</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35587-2019</t>
        </is>
      </c>
      <c r="B2230" s="1" t="n">
        <v>43654</v>
      </c>
      <c r="C2230" s="1" t="n">
        <v>45357</v>
      </c>
      <c r="D2230" t="inlineStr">
        <is>
          <t>VÄSTERBOTTENS LÄN</t>
        </is>
      </c>
      <c r="E2230" t="inlineStr">
        <is>
          <t>VINDELN</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34249-2019</t>
        </is>
      </c>
      <c r="B2231" s="1" t="n">
        <v>43655</v>
      </c>
      <c r="C2231" s="1" t="n">
        <v>45357</v>
      </c>
      <c r="D2231" t="inlineStr">
        <is>
          <t>VÄSTERBOTTENS LÄN</t>
        </is>
      </c>
      <c r="E2231" t="inlineStr">
        <is>
          <t>LYCKSELE</t>
        </is>
      </c>
      <c r="G2231" t="n">
        <v>13.4</v>
      </c>
      <c r="H2231" t="n">
        <v>0</v>
      </c>
      <c r="I2231" t="n">
        <v>0</v>
      </c>
      <c r="J2231" t="n">
        <v>0</v>
      </c>
      <c r="K2231" t="n">
        <v>0</v>
      </c>
      <c r="L2231" t="n">
        <v>0</v>
      </c>
      <c r="M2231" t="n">
        <v>0</v>
      </c>
      <c r="N2231" t="n">
        <v>0</v>
      </c>
      <c r="O2231" t="n">
        <v>0</v>
      </c>
      <c r="P2231" t="n">
        <v>0</v>
      </c>
      <c r="Q2231" t="n">
        <v>0</v>
      </c>
      <c r="R2231" s="2" t="inlineStr"/>
    </row>
    <row r="2232" ht="15" customHeight="1">
      <c r="A2232" t="inlineStr">
        <is>
          <t>A 34253-2019</t>
        </is>
      </c>
      <c r="B2232" s="1" t="n">
        <v>43655</v>
      </c>
      <c r="C2232" s="1" t="n">
        <v>45357</v>
      </c>
      <c r="D2232" t="inlineStr">
        <is>
          <t>VÄSTERBOTTENS LÄN</t>
        </is>
      </c>
      <c r="E2232" t="inlineStr">
        <is>
          <t>SKELLEFTEÅ</t>
        </is>
      </c>
      <c r="F2232" t="inlineStr">
        <is>
          <t>Holmen skog AB</t>
        </is>
      </c>
      <c r="G2232" t="n">
        <v>18.9</v>
      </c>
      <c r="H2232" t="n">
        <v>0</v>
      </c>
      <c r="I2232" t="n">
        <v>0</v>
      </c>
      <c r="J2232" t="n">
        <v>0</v>
      </c>
      <c r="K2232" t="n">
        <v>0</v>
      </c>
      <c r="L2232" t="n">
        <v>0</v>
      </c>
      <c r="M2232" t="n">
        <v>0</v>
      </c>
      <c r="N2232" t="n">
        <v>0</v>
      </c>
      <c r="O2232" t="n">
        <v>0</v>
      </c>
      <c r="P2232" t="n">
        <v>0</v>
      </c>
      <c r="Q2232" t="n">
        <v>0</v>
      </c>
      <c r="R2232" s="2" t="inlineStr"/>
    </row>
    <row r="2233" ht="15" customHeight="1">
      <c r="A2233" t="inlineStr">
        <is>
          <t>A 34370-2019</t>
        </is>
      </c>
      <c r="B2233" s="1" t="n">
        <v>43656</v>
      </c>
      <c r="C2233" s="1" t="n">
        <v>45357</v>
      </c>
      <c r="D2233" t="inlineStr">
        <is>
          <t>VÄSTERBOTTENS LÄN</t>
        </is>
      </c>
      <c r="E2233" t="inlineStr">
        <is>
          <t>VILHELMINA</t>
        </is>
      </c>
      <c r="G2233" t="n">
        <v>20.7</v>
      </c>
      <c r="H2233" t="n">
        <v>0</v>
      </c>
      <c r="I2233" t="n">
        <v>0</v>
      </c>
      <c r="J2233" t="n">
        <v>0</v>
      </c>
      <c r="K2233" t="n">
        <v>0</v>
      </c>
      <c r="L2233" t="n">
        <v>0</v>
      </c>
      <c r="M2233" t="n">
        <v>0</v>
      </c>
      <c r="N2233" t="n">
        <v>0</v>
      </c>
      <c r="O2233" t="n">
        <v>0</v>
      </c>
      <c r="P2233" t="n">
        <v>0</v>
      </c>
      <c r="Q2233" t="n">
        <v>0</v>
      </c>
      <c r="R2233" s="2" t="inlineStr"/>
    </row>
    <row r="2234" ht="15" customHeight="1">
      <c r="A2234" t="inlineStr">
        <is>
          <t>A 34666-2019</t>
        </is>
      </c>
      <c r="B2234" s="1" t="n">
        <v>43657</v>
      </c>
      <c r="C2234" s="1" t="n">
        <v>45357</v>
      </c>
      <c r="D2234" t="inlineStr">
        <is>
          <t>VÄSTERBOTTENS LÄN</t>
        </is>
      </c>
      <c r="E2234" t="inlineStr">
        <is>
          <t>VÄNNÄS</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34939-2019</t>
        </is>
      </c>
      <c r="B2235" s="1" t="n">
        <v>43658</v>
      </c>
      <c r="C2235" s="1" t="n">
        <v>45357</v>
      </c>
      <c r="D2235" t="inlineStr">
        <is>
          <t>VÄSTERBOTTENS LÄN</t>
        </is>
      </c>
      <c r="E2235" t="inlineStr">
        <is>
          <t>SKELLEFTEÅ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36154-2019</t>
        </is>
      </c>
      <c r="B2236" s="1" t="n">
        <v>43658</v>
      </c>
      <c r="C2236" s="1" t="n">
        <v>45357</v>
      </c>
      <c r="D2236" t="inlineStr">
        <is>
          <t>VÄSTERBOTTENS LÄN</t>
        </is>
      </c>
      <c r="E2236" t="inlineStr">
        <is>
          <t>LYCKSELE</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34997-2019</t>
        </is>
      </c>
      <c r="B2237" s="1" t="n">
        <v>43660</v>
      </c>
      <c r="C2237" s="1" t="n">
        <v>45357</v>
      </c>
      <c r="D2237" t="inlineStr">
        <is>
          <t>VÄSTERBOTTENS LÄN</t>
        </is>
      </c>
      <c r="E2237" t="inlineStr">
        <is>
          <t>SKELLEFTEÅ</t>
        </is>
      </c>
      <c r="F2237" t="inlineStr">
        <is>
          <t>Sveaskog</t>
        </is>
      </c>
      <c r="G2237" t="n">
        <v>11.1</v>
      </c>
      <c r="H2237" t="n">
        <v>0</v>
      </c>
      <c r="I2237" t="n">
        <v>0</v>
      </c>
      <c r="J2237" t="n">
        <v>0</v>
      </c>
      <c r="K2237" t="n">
        <v>0</v>
      </c>
      <c r="L2237" t="n">
        <v>0</v>
      </c>
      <c r="M2237" t="n">
        <v>0</v>
      </c>
      <c r="N2237" t="n">
        <v>0</v>
      </c>
      <c r="O2237" t="n">
        <v>0</v>
      </c>
      <c r="P2237" t="n">
        <v>0</v>
      </c>
      <c r="Q2237" t="n">
        <v>0</v>
      </c>
      <c r="R2237" s="2" t="inlineStr"/>
    </row>
    <row r="2238" ht="15" customHeight="1">
      <c r="A2238" t="inlineStr">
        <is>
          <t>A 35006-2019</t>
        </is>
      </c>
      <c r="B2238" s="1" t="n">
        <v>43661</v>
      </c>
      <c r="C2238" s="1" t="n">
        <v>45357</v>
      </c>
      <c r="D2238" t="inlineStr">
        <is>
          <t>VÄSTERBOTTENS LÄN</t>
        </is>
      </c>
      <c r="E2238" t="inlineStr">
        <is>
          <t>STORUMAN</t>
        </is>
      </c>
      <c r="F2238" t="inlineStr">
        <is>
          <t>Sveaskog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35084-2019</t>
        </is>
      </c>
      <c r="B2239" s="1" t="n">
        <v>43661</v>
      </c>
      <c r="C2239" s="1" t="n">
        <v>45357</v>
      </c>
      <c r="D2239" t="inlineStr">
        <is>
          <t>VÄSTERBOTTENS LÄN</t>
        </is>
      </c>
      <c r="E2239" t="inlineStr">
        <is>
          <t>SKELLEFTEÅ</t>
        </is>
      </c>
      <c r="F2239" t="inlineStr">
        <is>
          <t>Sveaskog</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35075-2019</t>
        </is>
      </c>
      <c r="B2240" s="1" t="n">
        <v>43661</v>
      </c>
      <c r="C2240" s="1" t="n">
        <v>45357</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35104-2019</t>
        </is>
      </c>
      <c r="B2241" s="1" t="n">
        <v>43661</v>
      </c>
      <c r="C2241" s="1" t="n">
        <v>45357</v>
      </c>
      <c r="D2241" t="inlineStr">
        <is>
          <t>VÄSTERBOTTENS LÄN</t>
        </is>
      </c>
      <c r="E2241" t="inlineStr">
        <is>
          <t>SKELLEFTEÅ</t>
        </is>
      </c>
      <c r="F2241" t="inlineStr">
        <is>
          <t>Sveaskog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35120-2019</t>
        </is>
      </c>
      <c r="B2242" s="1" t="n">
        <v>43661</v>
      </c>
      <c r="C2242" s="1" t="n">
        <v>45357</v>
      </c>
      <c r="D2242" t="inlineStr">
        <is>
          <t>VÄSTERBOTTENS LÄN</t>
        </is>
      </c>
      <c r="E2242" t="inlineStr">
        <is>
          <t>SKELLEFTEÅ</t>
        </is>
      </c>
      <c r="F2242" t="inlineStr">
        <is>
          <t>Sveaskog</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35051-2019</t>
        </is>
      </c>
      <c r="B2243" s="1" t="n">
        <v>43661</v>
      </c>
      <c r="C2243" s="1" t="n">
        <v>45357</v>
      </c>
      <c r="D2243" t="inlineStr">
        <is>
          <t>VÄSTERBOTTENS LÄN</t>
        </is>
      </c>
      <c r="E2243" t="inlineStr">
        <is>
          <t>VILHELMINA</t>
        </is>
      </c>
      <c r="F2243" t="inlineStr">
        <is>
          <t>Sveaskog</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35073-2019</t>
        </is>
      </c>
      <c r="B2244" s="1" t="n">
        <v>43661</v>
      </c>
      <c r="C2244" s="1" t="n">
        <v>45357</v>
      </c>
      <c r="D2244" t="inlineStr">
        <is>
          <t>VÄSTERBOTTENS LÄN</t>
        </is>
      </c>
      <c r="E2244" t="inlineStr">
        <is>
          <t>SKELLEFTEÅ</t>
        </is>
      </c>
      <c r="F2244" t="inlineStr">
        <is>
          <t>Sveaskog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35080-2019</t>
        </is>
      </c>
      <c r="B2245" s="1" t="n">
        <v>43661</v>
      </c>
      <c r="C2245" s="1" t="n">
        <v>45357</v>
      </c>
      <c r="D2245" t="inlineStr">
        <is>
          <t>VÄSTERBOTTENS LÄN</t>
        </is>
      </c>
      <c r="E2245" t="inlineStr">
        <is>
          <t>SKELLEFTEÅ</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35091-2019</t>
        </is>
      </c>
      <c r="B2246" s="1" t="n">
        <v>43661</v>
      </c>
      <c r="C2246" s="1" t="n">
        <v>45357</v>
      </c>
      <c r="D2246" t="inlineStr">
        <is>
          <t>VÄSTERBOTTENS LÄN</t>
        </is>
      </c>
      <c r="E2246" t="inlineStr">
        <is>
          <t>LYCKSELE</t>
        </is>
      </c>
      <c r="F2246" t="inlineStr">
        <is>
          <t>Sveaskog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35092-2019</t>
        </is>
      </c>
      <c r="B2247" s="1" t="n">
        <v>43661</v>
      </c>
      <c r="C2247" s="1" t="n">
        <v>45357</v>
      </c>
      <c r="D2247" t="inlineStr">
        <is>
          <t>VÄSTERBOTTENS LÄN</t>
        </is>
      </c>
      <c r="E2247" t="inlineStr">
        <is>
          <t>LYCKSELE</t>
        </is>
      </c>
      <c r="F2247" t="inlineStr">
        <is>
          <t>Sveaskog</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35054-2019</t>
        </is>
      </c>
      <c r="B2248" s="1" t="n">
        <v>43661</v>
      </c>
      <c r="C2248" s="1" t="n">
        <v>45357</v>
      </c>
      <c r="D2248" t="inlineStr">
        <is>
          <t>VÄSTERBOTTENS LÄN</t>
        </is>
      </c>
      <c r="E2248" t="inlineStr">
        <is>
          <t>VILHELMINA</t>
        </is>
      </c>
      <c r="F2248" t="inlineStr">
        <is>
          <t>Sveaskog</t>
        </is>
      </c>
      <c r="G2248" t="n">
        <v>18.8</v>
      </c>
      <c r="H2248" t="n">
        <v>0</v>
      </c>
      <c r="I2248" t="n">
        <v>0</v>
      </c>
      <c r="J2248" t="n">
        <v>0</v>
      </c>
      <c r="K2248" t="n">
        <v>0</v>
      </c>
      <c r="L2248" t="n">
        <v>0</v>
      </c>
      <c r="M2248" t="n">
        <v>0</v>
      </c>
      <c r="N2248" t="n">
        <v>0</v>
      </c>
      <c r="O2248" t="n">
        <v>0</v>
      </c>
      <c r="P2248" t="n">
        <v>0</v>
      </c>
      <c r="Q2248" t="n">
        <v>0</v>
      </c>
      <c r="R2248" s="2" t="inlineStr"/>
    </row>
    <row r="2249" ht="15" customHeight="1">
      <c r="A2249" t="inlineStr">
        <is>
          <t>A 35121-2019</t>
        </is>
      </c>
      <c r="B2249" s="1" t="n">
        <v>43661</v>
      </c>
      <c r="C2249" s="1" t="n">
        <v>45357</v>
      </c>
      <c r="D2249" t="inlineStr">
        <is>
          <t>VÄSTERBOTTENS LÄN</t>
        </is>
      </c>
      <c r="E2249" t="inlineStr">
        <is>
          <t>SKELLEFTEÅ</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35027-2019</t>
        </is>
      </c>
      <c r="B2250" s="1" t="n">
        <v>43661</v>
      </c>
      <c r="C2250" s="1" t="n">
        <v>45357</v>
      </c>
      <c r="D2250" t="inlineStr">
        <is>
          <t>VÄSTERBOTTENS LÄN</t>
        </is>
      </c>
      <c r="E2250" t="inlineStr">
        <is>
          <t>STORUMAN</t>
        </is>
      </c>
      <c r="F2250" t="inlineStr">
        <is>
          <t>Sveaskog</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35024-2019</t>
        </is>
      </c>
      <c r="B2251" s="1" t="n">
        <v>43661</v>
      </c>
      <c r="C2251" s="1" t="n">
        <v>45357</v>
      </c>
      <c r="D2251" t="inlineStr">
        <is>
          <t>VÄSTERBOTTENS LÄN</t>
        </is>
      </c>
      <c r="E2251" t="inlineStr">
        <is>
          <t>SKELLEFTEÅ</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35363-2019</t>
        </is>
      </c>
      <c r="B2252" s="1" t="n">
        <v>43663</v>
      </c>
      <c r="C2252" s="1" t="n">
        <v>45357</v>
      </c>
      <c r="D2252" t="inlineStr">
        <is>
          <t>VÄSTERBOTTENS LÄN</t>
        </is>
      </c>
      <c r="E2252" t="inlineStr">
        <is>
          <t>SKELLEFTEÅ</t>
        </is>
      </c>
      <c r="F2252" t="inlineStr">
        <is>
          <t>Sveaskog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36402-2019</t>
        </is>
      </c>
      <c r="B2253" s="1" t="n">
        <v>43663</v>
      </c>
      <c r="C2253" s="1" t="n">
        <v>45357</v>
      </c>
      <c r="D2253" t="inlineStr">
        <is>
          <t>VÄSTERBOTTENS LÄN</t>
        </is>
      </c>
      <c r="E2253" t="inlineStr">
        <is>
          <t>ROBERTSFORS</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35564-2019</t>
        </is>
      </c>
      <c r="B2254" s="1" t="n">
        <v>43664</v>
      </c>
      <c r="C2254" s="1" t="n">
        <v>45357</v>
      </c>
      <c r="D2254" t="inlineStr">
        <is>
          <t>VÄSTERBOTTENS LÄN</t>
        </is>
      </c>
      <c r="E2254" t="inlineStr">
        <is>
          <t>ÅSELE</t>
        </is>
      </c>
      <c r="F2254" t="inlineStr">
        <is>
          <t>Sveaskog</t>
        </is>
      </c>
      <c r="G2254" t="n">
        <v>41.5</v>
      </c>
      <c r="H2254" t="n">
        <v>0</v>
      </c>
      <c r="I2254" t="n">
        <v>0</v>
      </c>
      <c r="J2254" t="n">
        <v>0</v>
      </c>
      <c r="K2254" t="n">
        <v>0</v>
      </c>
      <c r="L2254" t="n">
        <v>0</v>
      </c>
      <c r="M2254" t="n">
        <v>0</v>
      </c>
      <c r="N2254" t="n">
        <v>0</v>
      </c>
      <c r="O2254" t="n">
        <v>0</v>
      </c>
      <c r="P2254" t="n">
        <v>0</v>
      </c>
      <c r="Q2254" t="n">
        <v>0</v>
      </c>
      <c r="R2254" s="2" t="inlineStr"/>
    </row>
    <row r="2255" ht="15" customHeight="1">
      <c r="A2255" t="inlineStr">
        <is>
          <t>A 35613-2019</t>
        </is>
      </c>
      <c r="B2255" s="1" t="n">
        <v>43664</v>
      </c>
      <c r="C2255" s="1" t="n">
        <v>45357</v>
      </c>
      <c r="D2255" t="inlineStr">
        <is>
          <t>VÄSTERBOTTENS LÄN</t>
        </is>
      </c>
      <c r="E2255" t="inlineStr">
        <is>
          <t>ÅSELE</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35562-2019</t>
        </is>
      </c>
      <c r="B2256" s="1" t="n">
        <v>43664</v>
      </c>
      <c r="C2256" s="1" t="n">
        <v>45357</v>
      </c>
      <c r="D2256" t="inlineStr">
        <is>
          <t>VÄSTERBOTTENS LÄN</t>
        </is>
      </c>
      <c r="E2256" t="inlineStr">
        <is>
          <t>ÅSELE</t>
        </is>
      </c>
      <c r="F2256" t="inlineStr">
        <is>
          <t>Sveaskog</t>
        </is>
      </c>
      <c r="G2256" t="n">
        <v>18.2</v>
      </c>
      <c r="H2256" t="n">
        <v>0</v>
      </c>
      <c r="I2256" t="n">
        <v>0</v>
      </c>
      <c r="J2256" t="n">
        <v>0</v>
      </c>
      <c r="K2256" t="n">
        <v>0</v>
      </c>
      <c r="L2256" t="n">
        <v>0</v>
      </c>
      <c r="M2256" t="n">
        <v>0</v>
      </c>
      <c r="N2256" t="n">
        <v>0</v>
      </c>
      <c r="O2256" t="n">
        <v>0</v>
      </c>
      <c r="P2256" t="n">
        <v>0</v>
      </c>
      <c r="Q2256" t="n">
        <v>0</v>
      </c>
      <c r="R2256" s="2" t="inlineStr"/>
    </row>
    <row r="2257" ht="15" customHeight="1">
      <c r="A2257" t="inlineStr">
        <is>
          <t>A 35571-2019</t>
        </is>
      </c>
      <c r="B2257" s="1" t="n">
        <v>43664</v>
      </c>
      <c r="C2257" s="1" t="n">
        <v>45357</v>
      </c>
      <c r="D2257" t="inlineStr">
        <is>
          <t>VÄSTERBOTTENS LÄN</t>
        </is>
      </c>
      <c r="E2257" t="inlineStr">
        <is>
          <t>DOROTEA</t>
        </is>
      </c>
      <c r="F2257" t="inlineStr">
        <is>
          <t>Sveaskog</t>
        </is>
      </c>
      <c r="G2257" t="n">
        <v>30.2</v>
      </c>
      <c r="H2257" t="n">
        <v>0</v>
      </c>
      <c r="I2257" t="n">
        <v>0</v>
      </c>
      <c r="J2257" t="n">
        <v>0</v>
      </c>
      <c r="K2257" t="n">
        <v>0</v>
      </c>
      <c r="L2257" t="n">
        <v>0</v>
      </c>
      <c r="M2257" t="n">
        <v>0</v>
      </c>
      <c r="N2257" t="n">
        <v>0</v>
      </c>
      <c r="O2257" t="n">
        <v>0</v>
      </c>
      <c r="P2257" t="n">
        <v>0</v>
      </c>
      <c r="Q2257" t="n">
        <v>0</v>
      </c>
      <c r="R2257" s="2" t="inlineStr"/>
    </row>
    <row r="2258" ht="15" customHeight="1">
      <c r="A2258" t="inlineStr">
        <is>
          <t>A 35723-2019</t>
        </is>
      </c>
      <c r="B2258" s="1" t="n">
        <v>43664</v>
      </c>
      <c r="C2258" s="1" t="n">
        <v>45357</v>
      </c>
      <c r="D2258" t="inlineStr">
        <is>
          <t>VÄSTERBOTTENS LÄN</t>
        </is>
      </c>
      <c r="E2258" t="inlineStr">
        <is>
          <t>VILHELMINA</t>
        </is>
      </c>
      <c r="G2258" t="n">
        <v>16.8</v>
      </c>
      <c r="H2258" t="n">
        <v>0</v>
      </c>
      <c r="I2258" t="n">
        <v>0</v>
      </c>
      <c r="J2258" t="n">
        <v>0</v>
      </c>
      <c r="K2258" t="n">
        <v>0</v>
      </c>
      <c r="L2258" t="n">
        <v>0</v>
      </c>
      <c r="M2258" t="n">
        <v>0</v>
      </c>
      <c r="N2258" t="n">
        <v>0</v>
      </c>
      <c r="O2258" t="n">
        <v>0</v>
      </c>
      <c r="P2258" t="n">
        <v>0</v>
      </c>
      <c r="Q2258" t="n">
        <v>0</v>
      </c>
      <c r="R2258" s="2" t="inlineStr"/>
    </row>
    <row r="2259" ht="15" customHeight="1">
      <c r="A2259" t="inlineStr">
        <is>
          <t>A 35737-2019</t>
        </is>
      </c>
      <c r="B2259" s="1" t="n">
        <v>43664</v>
      </c>
      <c r="C2259" s="1" t="n">
        <v>45357</v>
      </c>
      <c r="D2259" t="inlineStr">
        <is>
          <t>VÄSTERBOTTENS LÄN</t>
        </is>
      </c>
      <c r="E2259" t="inlineStr">
        <is>
          <t>VILHELMINA</t>
        </is>
      </c>
      <c r="G2259" t="n">
        <v>22.4</v>
      </c>
      <c r="H2259" t="n">
        <v>0</v>
      </c>
      <c r="I2259" t="n">
        <v>0</v>
      </c>
      <c r="J2259" t="n">
        <v>0</v>
      </c>
      <c r="K2259" t="n">
        <v>0</v>
      </c>
      <c r="L2259" t="n">
        <v>0</v>
      </c>
      <c r="M2259" t="n">
        <v>0</v>
      </c>
      <c r="N2259" t="n">
        <v>0</v>
      </c>
      <c r="O2259" t="n">
        <v>0</v>
      </c>
      <c r="P2259" t="n">
        <v>0</v>
      </c>
      <c r="Q2259" t="n">
        <v>0</v>
      </c>
      <c r="R2259" s="2" t="inlineStr"/>
    </row>
    <row r="2260" ht="15" customHeight="1">
      <c r="A2260" t="inlineStr">
        <is>
          <t>A 35726-2019</t>
        </is>
      </c>
      <c r="B2260" s="1" t="n">
        <v>43664</v>
      </c>
      <c r="C2260" s="1" t="n">
        <v>45357</v>
      </c>
      <c r="D2260" t="inlineStr">
        <is>
          <t>VÄSTERBOTTENS LÄN</t>
        </is>
      </c>
      <c r="E2260" t="inlineStr">
        <is>
          <t>VILHELMINA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35731-2019</t>
        </is>
      </c>
      <c r="B2261" s="1" t="n">
        <v>43665</v>
      </c>
      <c r="C2261" s="1" t="n">
        <v>45357</v>
      </c>
      <c r="D2261" t="inlineStr">
        <is>
          <t>VÄSTERBOTTENS LÄN</t>
        </is>
      </c>
      <c r="E2261" t="inlineStr">
        <is>
          <t>VILHELMINA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35732-2019</t>
        </is>
      </c>
      <c r="B2262" s="1" t="n">
        <v>43664</v>
      </c>
      <c r="C2262" s="1" t="n">
        <v>45357</v>
      </c>
      <c r="D2262" t="inlineStr">
        <is>
          <t>VÄSTERBOTTENS LÄN</t>
        </is>
      </c>
      <c r="E2262" t="inlineStr">
        <is>
          <t>DOROTEA</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35786-2019</t>
        </is>
      </c>
      <c r="B2263" s="1" t="n">
        <v>43665</v>
      </c>
      <c r="C2263" s="1" t="n">
        <v>45357</v>
      </c>
      <c r="D2263" t="inlineStr">
        <is>
          <t>VÄSTERBOTTENS LÄN</t>
        </is>
      </c>
      <c r="E2263" t="inlineStr">
        <is>
          <t>SKELLEFTEÅ</t>
        </is>
      </c>
      <c r="F2263" t="inlineStr">
        <is>
          <t>Holmen skog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36155-2019</t>
        </is>
      </c>
      <c r="B2264" s="1" t="n">
        <v>43668</v>
      </c>
      <c r="C2264" s="1" t="n">
        <v>45357</v>
      </c>
      <c r="D2264" t="inlineStr">
        <is>
          <t>VÄSTERBOTTENS LÄN</t>
        </is>
      </c>
      <c r="E2264" t="inlineStr">
        <is>
          <t>LYCKSELE</t>
        </is>
      </c>
      <c r="F2264" t="inlineStr">
        <is>
          <t>Sveaskog</t>
        </is>
      </c>
      <c r="G2264" t="n">
        <v>18.2</v>
      </c>
      <c r="H2264" t="n">
        <v>0</v>
      </c>
      <c r="I2264" t="n">
        <v>0</v>
      </c>
      <c r="J2264" t="n">
        <v>0</v>
      </c>
      <c r="K2264" t="n">
        <v>0</v>
      </c>
      <c r="L2264" t="n">
        <v>0</v>
      </c>
      <c r="M2264" t="n">
        <v>0</v>
      </c>
      <c r="N2264" t="n">
        <v>0</v>
      </c>
      <c r="O2264" t="n">
        <v>0</v>
      </c>
      <c r="P2264" t="n">
        <v>0</v>
      </c>
      <c r="Q2264" t="n">
        <v>0</v>
      </c>
      <c r="R2264" s="2" t="inlineStr"/>
    </row>
    <row r="2265" ht="15" customHeight="1">
      <c r="A2265" t="inlineStr">
        <is>
          <t>A 36862-2019</t>
        </is>
      </c>
      <c r="B2265" s="1" t="n">
        <v>43675</v>
      </c>
      <c r="C2265" s="1" t="n">
        <v>45357</v>
      </c>
      <c r="D2265" t="inlineStr">
        <is>
          <t>VÄSTERBOTTENS LÄN</t>
        </is>
      </c>
      <c r="E2265" t="inlineStr">
        <is>
          <t>SORSELE</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37128-2019</t>
        </is>
      </c>
      <c r="B2266" s="1" t="n">
        <v>43676</v>
      </c>
      <c r="C2266" s="1" t="n">
        <v>45357</v>
      </c>
      <c r="D2266" t="inlineStr">
        <is>
          <t>VÄSTERBOTTENS LÄN</t>
        </is>
      </c>
      <c r="E2266" t="inlineStr">
        <is>
          <t>VINDELN</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37192-2019</t>
        </is>
      </c>
      <c r="B2267" s="1" t="n">
        <v>43676</v>
      </c>
      <c r="C2267" s="1" t="n">
        <v>45357</v>
      </c>
      <c r="D2267" t="inlineStr">
        <is>
          <t>VÄSTERBOTTENS LÄN</t>
        </is>
      </c>
      <c r="E2267" t="inlineStr">
        <is>
          <t>MALÅ</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36996-2019</t>
        </is>
      </c>
      <c r="B2268" s="1" t="n">
        <v>43676</v>
      </c>
      <c r="C2268" s="1" t="n">
        <v>45357</v>
      </c>
      <c r="D2268" t="inlineStr">
        <is>
          <t>VÄSTERBOTTENS LÄN</t>
        </is>
      </c>
      <c r="E2268" t="inlineStr">
        <is>
          <t>SKELLEFTEÅ</t>
        </is>
      </c>
      <c r="F2268" t="inlineStr">
        <is>
          <t>Holmen skog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37185-2019</t>
        </is>
      </c>
      <c r="B2269" s="1" t="n">
        <v>43676</v>
      </c>
      <c r="C2269" s="1" t="n">
        <v>45357</v>
      </c>
      <c r="D2269" t="inlineStr">
        <is>
          <t>VÄSTERBOTTENS LÄN</t>
        </is>
      </c>
      <c r="E2269" t="inlineStr">
        <is>
          <t>NORDMALING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37198-2019</t>
        </is>
      </c>
      <c r="B2270" s="1" t="n">
        <v>43677</v>
      </c>
      <c r="C2270" s="1" t="n">
        <v>45357</v>
      </c>
      <c r="D2270" t="inlineStr">
        <is>
          <t>VÄSTERBOTTENS LÄN</t>
        </is>
      </c>
      <c r="E2270" t="inlineStr">
        <is>
          <t>ROBERTSFORS</t>
        </is>
      </c>
      <c r="F2270" t="inlineStr">
        <is>
          <t>Holmen skog AB</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37340-2019</t>
        </is>
      </c>
      <c r="B2271" s="1" t="n">
        <v>43677</v>
      </c>
      <c r="C2271" s="1" t="n">
        <v>45357</v>
      </c>
      <c r="D2271" t="inlineStr">
        <is>
          <t>VÄSTERBOTTENS LÄN</t>
        </is>
      </c>
      <c r="E2271" t="inlineStr">
        <is>
          <t>NORDMALING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37162-2019</t>
        </is>
      </c>
      <c r="B2272" s="1" t="n">
        <v>43677</v>
      </c>
      <c r="C2272" s="1" t="n">
        <v>45357</v>
      </c>
      <c r="D2272" t="inlineStr">
        <is>
          <t>VÄSTERBOTTENS LÄN</t>
        </is>
      </c>
      <c r="E2272" t="inlineStr">
        <is>
          <t>LYCKSELE</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37559-2019</t>
        </is>
      </c>
      <c r="B2273" s="1" t="n">
        <v>43678</v>
      </c>
      <c r="C2273" s="1" t="n">
        <v>45357</v>
      </c>
      <c r="D2273" t="inlineStr">
        <is>
          <t>VÄSTERBOTTENS LÄN</t>
        </is>
      </c>
      <c r="E2273" t="inlineStr">
        <is>
          <t>NORDMALING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37429-2019</t>
        </is>
      </c>
      <c r="B2274" s="1" t="n">
        <v>43678</v>
      </c>
      <c r="C2274" s="1" t="n">
        <v>45357</v>
      </c>
      <c r="D2274" t="inlineStr">
        <is>
          <t>VÄSTERBOTTENS LÄN</t>
        </is>
      </c>
      <c r="E2274" t="inlineStr">
        <is>
          <t>SORSELE</t>
        </is>
      </c>
      <c r="F2274" t="inlineStr">
        <is>
          <t>SCA</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37576-2019</t>
        </is>
      </c>
      <c r="B2275" s="1" t="n">
        <v>43679</v>
      </c>
      <c r="C2275" s="1" t="n">
        <v>45357</v>
      </c>
      <c r="D2275" t="inlineStr">
        <is>
          <t>VÄSTERBOTTENS LÄN</t>
        </is>
      </c>
      <c r="E2275" t="inlineStr">
        <is>
          <t>SORSELE</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37824-2019</t>
        </is>
      </c>
      <c r="B2276" s="1" t="n">
        <v>43682</v>
      </c>
      <c r="C2276" s="1" t="n">
        <v>45357</v>
      </c>
      <c r="D2276" t="inlineStr">
        <is>
          <t>VÄSTERBOTTENS LÄN</t>
        </is>
      </c>
      <c r="E2276" t="inlineStr">
        <is>
          <t>VILHELMINA</t>
        </is>
      </c>
      <c r="G2276" t="n">
        <v>14.2</v>
      </c>
      <c r="H2276" t="n">
        <v>0</v>
      </c>
      <c r="I2276" t="n">
        <v>0</v>
      </c>
      <c r="J2276" t="n">
        <v>0</v>
      </c>
      <c r="K2276" t="n">
        <v>0</v>
      </c>
      <c r="L2276" t="n">
        <v>0</v>
      </c>
      <c r="M2276" t="n">
        <v>0</v>
      </c>
      <c r="N2276" t="n">
        <v>0</v>
      </c>
      <c r="O2276" t="n">
        <v>0</v>
      </c>
      <c r="P2276" t="n">
        <v>0</v>
      </c>
      <c r="Q2276" t="n">
        <v>0</v>
      </c>
      <c r="R2276" s="2" t="inlineStr"/>
    </row>
    <row r="2277" ht="15" customHeight="1">
      <c r="A2277" t="inlineStr">
        <is>
          <t>A 37844-2019</t>
        </is>
      </c>
      <c r="B2277" s="1" t="n">
        <v>43682</v>
      </c>
      <c r="C2277" s="1" t="n">
        <v>45357</v>
      </c>
      <c r="D2277" t="inlineStr">
        <is>
          <t>VÄSTERBOTTENS LÄN</t>
        </is>
      </c>
      <c r="E2277" t="inlineStr">
        <is>
          <t>DOROTEA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38007-2019</t>
        </is>
      </c>
      <c r="B2278" s="1" t="n">
        <v>43683</v>
      </c>
      <c r="C2278" s="1" t="n">
        <v>45357</v>
      </c>
      <c r="D2278" t="inlineStr">
        <is>
          <t>VÄSTERBOTTENS LÄN</t>
        </is>
      </c>
      <c r="E2278" t="inlineStr">
        <is>
          <t>BJURHOLM</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38414-2019</t>
        </is>
      </c>
      <c r="B2279" s="1" t="n">
        <v>43683</v>
      </c>
      <c r="C2279" s="1" t="n">
        <v>45357</v>
      </c>
      <c r="D2279" t="inlineStr">
        <is>
          <t>VÄSTERBOTTENS LÄN</t>
        </is>
      </c>
      <c r="E2279" t="inlineStr">
        <is>
          <t>ROBERTSFORS</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38011-2019</t>
        </is>
      </c>
      <c r="B2280" s="1" t="n">
        <v>43683</v>
      </c>
      <c r="C2280" s="1" t="n">
        <v>45357</v>
      </c>
      <c r="D2280" t="inlineStr">
        <is>
          <t>VÄSTERBOTTENS LÄN</t>
        </is>
      </c>
      <c r="E2280" t="inlineStr">
        <is>
          <t>BJURHOLM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38018-2019</t>
        </is>
      </c>
      <c r="B2281" s="1" t="n">
        <v>43683</v>
      </c>
      <c r="C2281" s="1" t="n">
        <v>45357</v>
      </c>
      <c r="D2281" t="inlineStr">
        <is>
          <t>VÄSTERBOTTENS LÄN</t>
        </is>
      </c>
      <c r="E2281" t="inlineStr">
        <is>
          <t>BJURHOLM</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38033-2019</t>
        </is>
      </c>
      <c r="B2282" s="1" t="n">
        <v>43683</v>
      </c>
      <c r="C2282" s="1" t="n">
        <v>45357</v>
      </c>
      <c r="D2282" t="inlineStr">
        <is>
          <t>VÄSTERBOTTENS LÄN</t>
        </is>
      </c>
      <c r="E2282" t="inlineStr">
        <is>
          <t>NORDMALING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38022-2019</t>
        </is>
      </c>
      <c r="B2283" s="1" t="n">
        <v>43683</v>
      </c>
      <c r="C2283" s="1" t="n">
        <v>45357</v>
      </c>
      <c r="D2283" t="inlineStr">
        <is>
          <t>VÄSTERBOTTENS LÄN</t>
        </is>
      </c>
      <c r="E2283" t="inlineStr">
        <is>
          <t>BJURHOLM</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38674-2019</t>
        </is>
      </c>
      <c r="B2284" s="1" t="n">
        <v>43684</v>
      </c>
      <c r="C2284" s="1" t="n">
        <v>45357</v>
      </c>
      <c r="D2284" t="inlineStr">
        <is>
          <t>VÄSTERBOTTENS LÄN</t>
        </is>
      </c>
      <c r="E2284" t="inlineStr">
        <is>
          <t>SKELLEFTEÅ</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38551-2019</t>
        </is>
      </c>
      <c r="B2285" s="1" t="n">
        <v>43685</v>
      </c>
      <c r="C2285" s="1" t="n">
        <v>45357</v>
      </c>
      <c r="D2285" t="inlineStr">
        <is>
          <t>VÄSTERBOTTENS LÄN</t>
        </is>
      </c>
      <c r="E2285" t="inlineStr">
        <is>
          <t>LYCKSELE</t>
        </is>
      </c>
      <c r="F2285" t="inlineStr">
        <is>
          <t>Holmen skog AB</t>
        </is>
      </c>
      <c r="G2285" t="n">
        <v>16.2</v>
      </c>
      <c r="H2285" t="n">
        <v>0</v>
      </c>
      <c r="I2285" t="n">
        <v>0</v>
      </c>
      <c r="J2285" t="n">
        <v>0</v>
      </c>
      <c r="K2285" t="n">
        <v>0</v>
      </c>
      <c r="L2285" t="n">
        <v>0</v>
      </c>
      <c r="M2285" t="n">
        <v>0</v>
      </c>
      <c r="N2285" t="n">
        <v>0</v>
      </c>
      <c r="O2285" t="n">
        <v>0</v>
      </c>
      <c r="P2285" t="n">
        <v>0</v>
      </c>
      <c r="Q2285" t="n">
        <v>0</v>
      </c>
      <c r="R2285" s="2" t="inlineStr"/>
    </row>
    <row r="2286" ht="15" customHeight="1">
      <c r="A2286" t="inlineStr">
        <is>
          <t>A 38761-2019</t>
        </is>
      </c>
      <c r="B2286" s="1" t="n">
        <v>43686</v>
      </c>
      <c r="C2286" s="1" t="n">
        <v>45357</v>
      </c>
      <c r="D2286" t="inlineStr">
        <is>
          <t>VÄSTERBOTTENS LÄN</t>
        </is>
      </c>
      <c r="E2286" t="inlineStr">
        <is>
          <t>VINDELN</t>
        </is>
      </c>
      <c r="F2286" t="inlineStr">
        <is>
          <t>SCA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38772-2019</t>
        </is>
      </c>
      <c r="B2287" s="1" t="n">
        <v>43686</v>
      </c>
      <c r="C2287" s="1" t="n">
        <v>45357</v>
      </c>
      <c r="D2287" t="inlineStr">
        <is>
          <t>VÄSTERBOTTENS LÄN</t>
        </is>
      </c>
      <c r="E2287" t="inlineStr">
        <is>
          <t>ÅSELE</t>
        </is>
      </c>
      <c r="F2287" t="inlineStr">
        <is>
          <t>SCA</t>
        </is>
      </c>
      <c r="G2287" t="n">
        <v>11.6</v>
      </c>
      <c r="H2287" t="n">
        <v>0</v>
      </c>
      <c r="I2287" t="n">
        <v>0</v>
      </c>
      <c r="J2287" t="n">
        <v>0</v>
      </c>
      <c r="K2287" t="n">
        <v>0</v>
      </c>
      <c r="L2287" t="n">
        <v>0</v>
      </c>
      <c r="M2287" t="n">
        <v>0</v>
      </c>
      <c r="N2287" t="n">
        <v>0</v>
      </c>
      <c r="O2287" t="n">
        <v>0</v>
      </c>
      <c r="P2287" t="n">
        <v>0</v>
      </c>
      <c r="Q2287" t="n">
        <v>0</v>
      </c>
      <c r="R2287" s="2" t="inlineStr"/>
    </row>
    <row r="2288" ht="15" customHeight="1">
      <c r="A2288" t="inlineStr">
        <is>
          <t>A 38771-2019</t>
        </is>
      </c>
      <c r="B2288" s="1" t="n">
        <v>43686</v>
      </c>
      <c r="C2288" s="1" t="n">
        <v>45357</v>
      </c>
      <c r="D2288" t="inlineStr">
        <is>
          <t>VÄSTERBOTTENS LÄN</t>
        </is>
      </c>
      <c r="E2288" t="inlineStr">
        <is>
          <t>VINDELN</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39619-2019</t>
        </is>
      </c>
      <c r="B2289" s="1" t="n">
        <v>43686</v>
      </c>
      <c r="C2289" s="1" t="n">
        <v>45357</v>
      </c>
      <c r="D2289" t="inlineStr">
        <is>
          <t>VÄSTERBOTTENS LÄN</t>
        </is>
      </c>
      <c r="E2289" t="inlineStr">
        <is>
          <t>ROBERTSFORS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38784-2019</t>
        </is>
      </c>
      <c r="B2290" s="1" t="n">
        <v>43686</v>
      </c>
      <c r="C2290" s="1" t="n">
        <v>45357</v>
      </c>
      <c r="D2290" t="inlineStr">
        <is>
          <t>VÄSTERBOTTENS LÄN</t>
        </is>
      </c>
      <c r="E2290" t="inlineStr">
        <is>
          <t>VINDELN</t>
        </is>
      </c>
      <c r="F2290" t="inlineStr">
        <is>
          <t>SCA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38759-2019</t>
        </is>
      </c>
      <c r="B2291" s="1" t="n">
        <v>43686</v>
      </c>
      <c r="C2291" s="1" t="n">
        <v>45357</v>
      </c>
      <c r="D2291" t="inlineStr">
        <is>
          <t>VÄSTERBOTTENS LÄN</t>
        </is>
      </c>
      <c r="E2291" t="inlineStr">
        <is>
          <t>VINDELN</t>
        </is>
      </c>
      <c r="F2291" t="inlineStr">
        <is>
          <t>SCA</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38800-2019</t>
        </is>
      </c>
      <c r="B2292" s="1" t="n">
        <v>43688</v>
      </c>
      <c r="C2292" s="1" t="n">
        <v>45357</v>
      </c>
      <c r="D2292" t="inlineStr">
        <is>
          <t>VÄSTERBOTTENS LÄN</t>
        </is>
      </c>
      <c r="E2292" t="inlineStr">
        <is>
          <t>LYCKSELE</t>
        </is>
      </c>
      <c r="F2292" t="inlineStr">
        <is>
          <t>Holmen skog AB</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38797-2019</t>
        </is>
      </c>
      <c r="B2293" s="1" t="n">
        <v>43688</v>
      </c>
      <c r="C2293" s="1" t="n">
        <v>45357</v>
      </c>
      <c r="D2293" t="inlineStr">
        <is>
          <t>VÄSTERBOTTENS LÄN</t>
        </is>
      </c>
      <c r="E2293" t="inlineStr">
        <is>
          <t>SKELLEFTEÅ</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39060-2019</t>
        </is>
      </c>
      <c r="B2294" s="1" t="n">
        <v>43689</v>
      </c>
      <c r="C2294" s="1" t="n">
        <v>45357</v>
      </c>
      <c r="D2294" t="inlineStr">
        <is>
          <t>VÄSTERBOTTENS LÄN</t>
        </is>
      </c>
      <c r="E2294" t="inlineStr">
        <is>
          <t>ROBERTSFORS</t>
        </is>
      </c>
      <c r="F2294" t="inlineStr">
        <is>
          <t>Holmen skog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39100-2019</t>
        </is>
      </c>
      <c r="B2295" s="1" t="n">
        <v>43689</v>
      </c>
      <c r="C2295" s="1" t="n">
        <v>45357</v>
      </c>
      <c r="D2295" t="inlineStr">
        <is>
          <t>VÄSTERBOTTENS LÄN</t>
        </is>
      </c>
      <c r="E2295" t="inlineStr">
        <is>
          <t>NORSJÖ</t>
        </is>
      </c>
      <c r="F2295" t="inlineStr">
        <is>
          <t>Sveaskog</t>
        </is>
      </c>
      <c r="G2295" t="n">
        <v>11.7</v>
      </c>
      <c r="H2295" t="n">
        <v>0</v>
      </c>
      <c r="I2295" t="n">
        <v>0</v>
      </c>
      <c r="J2295" t="n">
        <v>0</v>
      </c>
      <c r="K2295" t="n">
        <v>0</v>
      </c>
      <c r="L2295" t="n">
        <v>0</v>
      </c>
      <c r="M2295" t="n">
        <v>0</v>
      </c>
      <c r="N2295" t="n">
        <v>0</v>
      </c>
      <c r="O2295" t="n">
        <v>0</v>
      </c>
      <c r="P2295" t="n">
        <v>0</v>
      </c>
      <c r="Q2295" t="n">
        <v>0</v>
      </c>
      <c r="R2295" s="2" t="inlineStr"/>
    </row>
    <row r="2296" ht="15" customHeight="1">
      <c r="A2296" t="inlineStr">
        <is>
          <t>A 39138-2019</t>
        </is>
      </c>
      <c r="B2296" s="1" t="n">
        <v>43689</v>
      </c>
      <c r="C2296" s="1" t="n">
        <v>45357</v>
      </c>
      <c r="D2296" t="inlineStr">
        <is>
          <t>VÄSTERBOTTENS LÄN</t>
        </is>
      </c>
      <c r="E2296" t="inlineStr">
        <is>
          <t>NORDMALING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39889-2019</t>
        </is>
      </c>
      <c r="B2297" s="1" t="n">
        <v>43689</v>
      </c>
      <c r="C2297" s="1" t="n">
        <v>45357</v>
      </c>
      <c r="D2297" t="inlineStr">
        <is>
          <t>VÄSTERBOTTENS LÄN</t>
        </is>
      </c>
      <c r="E2297" t="inlineStr">
        <is>
          <t>NORSJÖ</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40002-2019</t>
        </is>
      </c>
      <c r="B2298" s="1" t="n">
        <v>43689</v>
      </c>
      <c r="C2298" s="1" t="n">
        <v>45357</v>
      </c>
      <c r="D2298" t="inlineStr">
        <is>
          <t>VÄSTERBOTTENS LÄN</t>
        </is>
      </c>
      <c r="E2298" t="inlineStr">
        <is>
          <t>ROBERTSFORS</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39106-2019</t>
        </is>
      </c>
      <c r="B2299" s="1" t="n">
        <v>43689</v>
      </c>
      <c r="C2299" s="1" t="n">
        <v>45357</v>
      </c>
      <c r="D2299" t="inlineStr">
        <is>
          <t>VÄSTERBOTTENS LÄN</t>
        </is>
      </c>
      <c r="E2299" t="inlineStr">
        <is>
          <t>SKELLEFTEÅ</t>
        </is>
      </c>
      <c r="F2299" t="inlineStr">
        <is>
          <t>Holmen skog AB</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39067-2019</t>
        </is>
      </c>
      <c r="B2300" s="1" t="n">
        <v>43689</v>
      </c>
      <c r="C2300" s="1" t="n">
        <v>45357</v>
      </c>
      <c r="D2300" t="inlineStr">
        <is>
          <t>VÄSTERBOTTENS LÄN</t>
        </is>
      </c>
      <c r="E2300" t="inlineStr">
        <is>
          <t>NORDMALING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38973-2019</t>
        </is>
      </c>
      <c r="B2301" s="1" t="n">
        <v>43689</v>
      </c>
      <c r="C2301" s="1" t="n">
        <v>45357</v>
      </c>
      <c r="D2301" t="inlineStr">
        <is>
          <t>VÄSTERBOTTENS LÄN</t>
        </is>
      </c>
      <c r="E2301" t="inlineStr">
        <is>
          <t>SKELLEFTEÅ</t>
        </is>
      </c>
      <c r="F2301" t="inlineStr">
        <is>
          <t>Holmen skog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39719-2019</t>
        </is>
      </c>
      <c r="B2302" s="1" t="n">
        <v>43689</v>
      </c>
      <c r="C2302" s="1" t="n">
        <v>45357</v>
      </c>
      <c r="D2302" t="inlineStr">
        <is>
          <t>VÄSTERBOTTENS LÄN</t>
        </is>
      </c>
      <c r="E2302" t="inlineStr">
        <is>
          <t>VÄNNÄS</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40003-2019</t>
        </is>
      </c>
      <c r="B2303" s="1" t="n">
        <v>43689</v>
      </c>
      <c r="C2303" s="1" t="n">
        <v>45357</v>
      </c>
      <c r="D2303" t="inlineStr">
        <is>
          <t>VÄSTERBOTTENS LÄN</t>
        </is>
      </c>
      <c r="E2303" t="inlineStr">
        <is>
          <t>ROBERTSFORS</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39373-2019</t>
        </is>
      </c>
      <c r="B2304" s="1" t="n">
        <v>43690</v>
      </c>
      <c r="C2304" s="1" t="n">
        <v>45357</v>
      </c>
      <c r="D2304" t="inlineStr">
        <is>
          <t>VÄSTERBOTTENS LÄN</t>
        </is>
      </c>
      <c r="E2304" t="inlineStr">
        <is>
          <t>LYCKSELE</t>
        </is>
      </c>
      <c r="F2304" t="inlineStr">
        <is>
          <t>Holmen skog AB</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39201-2019</t>
        </is>
      </c>
      <c r="B2305" s="1" t="n">
        <v>43690</v>
      </c>
      <c r="C2305" s="1" t="n">
        <v>45357</v>
      </c>
      <c r="D2305" t="inlineStr">
        <is>
          <t>VÄSTERBOTTENS LÄN</t>
        </is>
      </c>
      <c r="E2305" t="inlineStr">
        <is>
          <t>LYCKSELE</t>
        </is>
      </c>
      <c r="F2305" t="inlineStr">
        <is>
          <t>Sveaskog</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39324-2019</t>
        </is>
      </c>
      <c r="B2306" s="1" t="n">
        <v>43690</v>
      </c>
      <c r="C2306" s="1" t="n">
        <v>45357</v>
      </c>
      <c r="D2306" t="inlineStr">
        <is>
          <t>VÄSTERBOTTENS LÄN</t>
        </is>
      </c>
      <c r="E2306" t="inlineStr">
        <is>
          <t>ROBERTSFORS</t>
        </is>
      </c>
      <c r="F2306" t="inlineStr">
        <is>
          <t>Holmen skog AB</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39406-2019</t>
        </is>
      </c>
      <c r="B2307" s="1" t="n">
        <v>43690</v>
      </c>
      <c r="C2307" s="1" t="n">
        <v>45357</v>
      </c>
      <c r="D2307" t="inlineStr">
        <is>
          <t>VÄSTERBOTTENS LÄN</t>
        </is>
      </c>
      <c r="E2307" t="inlineStr">
        <is>
          <t>VINDELN</t>
        </is>
      </c>
      <c r="F2307" t="inlineStr">
        <is>
          <t>SCA</t>
        </is>
      </c>
      <c r="G2307" t="n">
        <v>30.1</v>
      </c>
      <c r="H2307" t="n">
        <v>0</v>
      </c>
      <c r="I2307" t="n">
        <v>0</v>
      </c>
      <c r="J2307" t="n">
        <v>0</v>
      </c>
      <c r="K2307" t="n">
        <v>0</v>
      </c>
      <c r="L2307" t="n">
        <v>0</v>
      </c>
      <c r="M2307" t="n">
        <v>0</v>
      </c>
      <c r="N2307" t="n">
        <v>0</v>
      </c>
      <c r="O2307" t="n">
        <v>0</v>
      </c>
      <c r="P2307" t="n">
        <v>0</v>
      </c>
      <c r="Q2307" t="n">
        <v>0</v>
      </c>
      <c r="R2307" s="2" t="inlineStr"/>
      <c r="U2307">
        <f>HYPERLINK("https://klasma.github.io/Logging_2404/knärot/A 39406-2019 karta knärot.png", "A 39406-2019")</f>
        <v/>
      </c>
      <c r="V2307">
        <f>HYPERLINK("https://klasma.github.io/Logging_2404/klagomål/A 39406-2019 FSC-klagomål.docx", "A 39406-2019")</f>
        <v/>
      </c>
      <c r="W2307">
        <f>HYPERLINK("https://klasma.github.io/Logging_2404/klagomålsmail/A 39406-2019 FSC-klagomål mail.docx", "A 39406-2019")</f>
        <v/>
      </c>
      <c r="X2307">
        <f>HYPERLINK("https://klasma.github.io/Logging_2404/tillsyn/A 39406-2019 tillsynsbegäran.docx", "A 39406-2019")</f>
        <v/>
      </c>
      <c r="Y2307">
        <f>HYPERLINK("https://klasma.github.io/Logging_2404/tillsynsmail/A 39406-2019 tillsynsbegäran mail.docx", "A 39406-2019")</f>
        <v/>
      </c>
    </row>
    <row r="2308" ht="15" customHeight="1">
      <c r="A2308" t="inlineStr">
        <is>
          <t>A 40282-2019</t>
        </is>
      </c>
      <c r="B2308" s="1" t="n">
        <v>43690</v>
      </c>
      <c r="C2308" s="1" t="n">
        <v>45357</v>
      </c>
      <c r="D2308" t="inlineStr">
        <is>
          <t>VÄSTERBOTTENS LÄN</t>
        </is>
      </c>
      <c r="E2308" t="inlineStr">
        <is>
          <t>VILHELMINA</t>
        </is>
      </c>
      <c r="G2308" t="n">
        <v>13.2</v>
      </c>
      <c r="H2308" t="n">
        <v>0</v>
      </c>
      <c r="I2308" t="n">
        <v>0</v>
      </c>
      <c r="J2308" t="n">
        <v>0</v>
      </c>
      <c r="K2308" t="n">
        <v>0</v>
      </c>
      <c r="L2308" t="n">
        <v>0</v>
      </c>
      <c r="M2308" t="n">
        <v>0</v>
      </c>
      <c r="N2308" t="n">
        <v>0</v>
      </c>
      <c r="O2308" t="n">
        <v>0</v>
      </c>
      <c r="P2308" t="n">
        <v>0</v>
      </c>
      <c r="Q2308" t="n">
        <v>0</v>
      </c>
      <c r="R2308" s="2" t="inlineStr"/>
    </row>
    <row r="2309" ht="15" customHeight="1">
      <c r="A2309" t="inlineStr">
        <is>
          <t>A 39162-2019</t>
        </is>
      </c>
      <c r="B2309" s="1" t="n">
        <v>43690</v>
      </c>
      <c r="C2309" s="1" t="n">
        <v>45357</v>
      </c>
      <c r="D2309" t="inlineStr">
        <is>
          <t>VÄSTERBOTTENS LÄN</t>
        </is>
      </c>
      <c r="E2309" t="inlineStr">
        <is>
          <t>MALÅ</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39401-2019</t>
        </is>
      </c>
      <c r="B2310" s="1" t="n">
        <v>43690</v>
      </c>
      <c r="C2310" s="1" t="n">
        <v>45357</v>
      </c>
      <c r="D2310" t="inlineStr">
        <is>
          <t>VÄSTERBOTTENS LÄN</t>
        </is>
      </c>
      <c r="E2310" t="inlineStr">
        <is>
          <t>VINDELN</t>
        </is>
      </c>
      <c r="F2310" t="inlineStr">
        <is>
          <t>SCA</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39567-2019</t>
        </is>
      </c>
      <c r="B2311" s="1" t="n">
        <v>43691</v>
      </c>
      <c r="C2311" s="1" t="n">
        <v>45357</v>
      </c>
      <c r="D2311" t="inlineStr">
        <is>
          <t>VÄSTERBOTTENS LÄN</t>
        </is>
      </c>
      <c r="E2311" t="inlineStr">
        <is>
          <t>NORDMALING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41150-2019</t>
        </is>
      </c>
      <c r="B2312" s="1" t="n">
        <v>43691</v>
      </c>
      <c r="C2312" s="1" t="n">
        <v>45357</v>
      </c>
      <c r="D2312" t="inlineStr">
        <is>
          <t>VÄSTERBOTTENS LÄN</t>
        </is>
      </c>
      <c r="E2312" t="inlineStr">
        <is>
          <t>LYCKSELE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39927-2019</t>
        </is>
      </c>
      <c r="B2313" s="1" t="n">
        <v>43691</v>
      </c>
      <c r="C2313" s="1" t="n">
        <v>45357</v>
      </c>
      <c r="D2313" t="inlineStr">
        <is>
          <t>VÄSTERBOTTENS LÄN</t>
        </is>
      </c>
      <c r="E2313" t="inlineStr">
        <is>
          <t>ROBERTSFORS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40833-2019</t>
        </is>
      </c>
      <c r="B2314" s="1" t="n">
        <v>43692</v>
      </c>
      <c r="C2314" s="1" t="n">
        <v>45357</v>
      </c>
      <c r="D2314" t="inlineStr">
        <is>
          <t>VÄSTERBOTTENS LÄN</t>
        </is>
      </c>
      <c r="E2314" t="inlineStr">
        <is>
          <t>ROBERTSFORS</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40882-2019</t>
        </is>
      </c>
      <c r="B2315" s="1" t="n">
        <v>43693</v>
      </c>
      <c r="C2315" s="1" t="n">
        <v>45357</v>
      </c>
      <c r="D2315" t="inlineStr">
        <is>
          <t>VÄSTERBOTTENS LÄN</t>
        </is>
      </c>
      <c r="E2315" t="inlineStr">
        <is>
          <t>STORUMAN</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41058-2019</t>
        </is>
      </c>
      <c r="B2316" s="1" t="n">
        <v>43693</v>
      </c>
      <c r="C2316" s="1" t="n">
        <v>45357</v>
      </c>
      <c r="D2316" t="inlineStr">
        <is>
          <t>VÄSTERBOTTENS LÄN</t>
        </is>
      </c>
      <c r="E2316" t="inlineStr">
        <is>
          <t>UMEÅ</t>
        </is>
      </c>
      <c r="G2316" t="n">
        <v>12.5</v>
      </c>
      <c r="H2316" t="n">
        <v>0</v>
      </c>
      <c r="I2316" t="n">
        <v>0</v>
      </c>
      <c r="J2316" t="n">
        <v>0</v>
      </c>
      <c r="K2316" t="n">
        <v>0</v>
      </c>
      <c r="L2316" t="n">
        <v>0</v>
      </c>
      <c r="M2316" t="n">
        <v>0</v>
      </c>
      <c r="N2316" t="n">
        <v>0</v>
      </c>
      <c r="O2316" t="n">
        <v>0</v>
      </c>
      <c r="P2316" t="n">
        <v>0</v>
      </c>
      <c r="Q2316" t="n">
        <v>0</v>
      </c>
      <c r="R2316" s="2" t="inlineStr"/>
    </row>
    <row r="2317" ht="15" customHeight="1">
      <c r="A2317" t="inlineStr">
        <is>
          <t>A 41121-2019</t>
        </is>
      </c>
      <c r="B2317" s="1" t="n">
        <v>43693</v>
      </c>
      <c r="C2317" s="1" t="n">
        <v>45357</v>
      </c>
      <c r="D2317" t="inlineStr">
        <is>
          <t>VÄSTERBOTTENS LÄN</t>
        </is>
      </c>
      <c r="E2317" t="inlineStr">
        <is>
          <t>ROBERTSFORS</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40932-2019</t>
        </is>
      </c>
      <c r="B2318" s="1" t="n">
        <v>43693</v>
      </c>
      <c r="C2318" s="1" t="n">
        <v>45357</v>
      </c>
      <c r="D2318" t="inlineStr">
        <is>
          <t>VÄSTERBOTTENS LÄN</t>
        </is>
      </c>
      <c r="E2318" t="inlineStr">
        <is>
          <t>BJURHOLM</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40120-2019</t>
        </is>
      </c>
      <c r="B2319" s="1" t="n">
        <v>43693</v>
      </c>
      <c r="C2319" s="1" t="n">
        <v>45357</v>
      </c>
      <c r="D2319" t="inlineStr">
        <is>
          <t>VÄSTERBOTTENS LÄN</t>
        </is>
      </c>
      <c r="E2319" t="inlineStr">
        <is>
          <t>UMEÅ</t>
        </is>
      </c>
      <c r="F2319" t="inlineStr">
        <is>
          <t>Holmen skog AB</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40135-2019</t>
        </is>
      </c>
      <c r="B2320" s="1" t="n">
        <v>43693</v>
      </c>
      <c r="C2320" s="1" t="n">
        <v>45357</v>
      </c>
      <c r="D2320" t="inlineStr">
        <is>
          <t>VÄSTERBOTTENS LÄN</t>
        </is>
      </c>
      <c r="E2320" t="inlineStr">
        <is>
          <t>VINDELN</t>
        </is>
      </c>
      <c r="F2320" t="inlineStr">
        <is>
          <t>Sveaskog</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40470-2019</t>
        </is>
      </c>
      <c r="B2321" s="1" t="n">
        <v>43696</v>
      </c>
      <c r="C2321" s="1" t="n">
        <v>45357</v>
      </c>
      <c r="D2321" t="inlineStr">
        <is>
          <t>VÄSTERBOTTENS LÄN</t>
        </is>
      </c>
      <c r="E2321" t="inlineStr">
        <is>
          <t>ROBERTSFORS</t>
        </is>
      </c>
      <c r="F2321" t="inlineStr">
        <is>
          <t>Holmen skog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40310-2019</t>
        </is>
      </c>
      <c r="B2322" s="1" t="n">
        <v>43696</v>
      </c>
      <c r="C2322" s="1" t="n">
        <v>45357</v>
      </c>
      <c r="D2322" t="inlineStr">
        <is>
          <t>VÄSTERBOTTENS LÄN</t>
        </is>
      </c>
      <c r="E2322" t="inlineStr">
        <is>
          <t>LYCKSELE</t>
        </is>
      </c>
      <c r="F2322" t="inlineStr">
        <is>
          <t>Holmen skog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40431-2019</t>
        </is>
      </c>
      <c r="B2323" s="1" t="n">
        <v>43696</v>
      </c>
      <c r="C2323" s="1" t="n">
        <v>45357</v>
      </c>
      <c r="D2323" t="inlineStr">
        <is>
          <t>VÄSTERBOTTENS LÄN</t>
        </is>
      </c>
      <c r="E2323" t="inlineStr">
        <is>
          <t>VINDELN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40612-2019</t>
        </is>
      </c>
      <c r="B2324" s="1" t="n">
        <v>43696</v>
      </c>
      <c r="C2324" s="1" t="n">
        <v>45357</v>
      </c>
      <c r="D2324" t="inlineStr">
        <is>
          <t>VÄSTERBOTTENS LÄN</t>
        </is>
      </c>
      <c r="E2324" t="inlineStr">
        <is>
          <t>NORSJÖ</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40609-2019</t>
        </is>
      </c>
      <c r="B2325" s="1" t="n">
        <v>43696</v>
      </c>
      <c r="C2325" s="1" t="n">
        <v>45357</v>
      </c>
      <c r="D2325" t="inlineStr">
        <is>
          <t>VÄSTERBOTTENS LÄN</t>
        </is>
      </c>
      <c r="E2325" t="inlineStr">
        <is>
          <t>NORSJÖ</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40562-2019</t>
        </is>
      </c>
      <c r="B2326" s="1" t="n">
        <v>43696</v>
      </c>
      <c r="C2326" s="1" t="n">
        <v>45357</v>
      </c>
      <c r="D2326" t="inlineStr">
        <is>
          <t>VÄSTERBOTTENS LÄN</t>
        </is>
      </c>
      <c r="E2326" t="inlineStr">
        <is>
          <t>SKELLEFTEÅ</t>
        </is>
      </c>
      <c r="F2326" t="inlineStr">
        <is>
          <t>Holmen skog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40329-2019</t>
        </is>
      </c>
      <c r="B2327" s="1" t="n">
        <v>43696</v>
      </c>
      <c r="C2327" s="1" t="n">
        <v>45357</v>
      </c>
      <c r="D2327" t="inlineStr">
        <is>
          <t>VÄSTERBOTTENS LÄN</t>
        </is>
      </c>
      <c r="E2327" t="inlineStr">
        <is>
          <t>ROBERTSFORS</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41585-2019</t>
        </is>
      </c>
      <c r="B2328" s="1" t="n">
        <v>43696</v>
      </c>
      <c r="C2328" s="1" t="n">
        <v>45357</v>
      </c>
      <c r="D2328" t="inlineStr">
        <is>
          <t>VÄSTERBOTTENS LÄN</t>
        </is>
      </c>
      <c r="E2328" t="inlineStr">
        <is>
          <t>SKELLEFTEÅ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41648-2019</t>
        </is>
      </c>
      <c r="B2329" s="1" t="n">
        <v>43696</v>
      </c>
      <c r="C2329" s="1" t="n">
        <v>45357</v>
      </c>
      <c r="D2329" t="inlineStr">
        <is>
          <t>VÄSTERBOTTENS LÄN</t>
        </is>
      </c>
      <c r="E2329" t="inlineStr">
        <is>
          <t>SKELLEFTEÅ</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40501-2019</t>
        </is>
      </c>
      <c r="B2330" s="1" t="n">
        <v>43696</v>
      </c>
      <c r="C2330" s="1" t="n">
        <v>45357</v>
      </c>
      <c r="D2330" t="inlineStr">
        <is>
          <t>VÄSTERBOTTENS LÄN</t>
        </is>
      </c>
      <c r="E2330" t="inlineStr">
        <is>
          <t>DOROTEA</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40666-2019</t>
        </is>
      </c>
      <c r="B2331" s="1" t="n">
        <v>43696</v>
      </c>
      <c r="C2331" s="1" t="n">
        <v>45357</v>
      </c>
      <c r="D2331" t="inlineStr">
        <is>
          <t>VÄSTERBOTTENS LÄN</t>
        </is>
      </c>
      <c r="E2331" t="inlineStr">
        <is>
          <t>NORDMALING</t>
        </is>
      </c>
      <c r="F2331" t="inlineStr">
        <is>
          <t>SCA</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41557-2019</t>
        </is>
      </c>
      <c r="B2332" s="1" t="n">
        <v>43696</v>
      </c>
      <c r="C2332" s="1" t="n">
        <v>45357</v>
      </c>
      <c r="D2332" t="inlineStr">
        <is>
          <t>VÄSTERBOTTENS LÄN</t>
        </is>
      </c>
      <c r="E2332" t="inlineStr">
        <is>
          <t>SKELLEFTEÅ</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41375-2019</t>
        </is>
      </c>
      <c r="B2333" s="1" t="n">
        <v>43696</v>
      </c>
      <c r="C2333" s="1" t="n">
        <v>45357</v>
      </c>
      <c r="D2333" t="inlineStr">
        <is>
          <t>VÄSTERBOTTENS LÄN</t>
        </is>
      </c>
      <c r="E2333" t="inlineStr">
        <is>
          <t>LYCKSELE</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41298-2019</t>
        </is>
      </c>
      <c r="B2334" s="1" t="n">
        <v>43696</v>
      </c>
      <c r="C2334" s="1" t="n">
        <v>45357</v>
      </c>
      <c r="D2334" t="inlineStr">
        <is>
          <t>VÄSTERBOTTENS LÄN</t>
        </is>
      </c>
      <c r="E2334" t="inlineStr">
        <is>
          <t>ROBERTSFORS</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40744-2019</t>
        </is>
      </c>
      <c r="B2335" s="1" t="n">
        <v>43697</v>
      </c>
      <c r="C2335" s="1" t="n">
        <v>45357</v>
      </c>
      <c r="D2335" t="inlineStr">
        <is>
          <t>VÄSTERBOTTENS LÄN</t>
        </is>
      </c>
      <c r="E2335" t="inlineStr">
        <is>
          <t>SKELLEFTEÅ</t>
        </is>
      </c>
      <c r="G2335" t="n">
        <v>36.9</v>
      </c>
      <c r="H2335" t="n">
        <v>0</v>
      </c>
      <c r="I2335" t="n">
        <v>0</v>
      </c>
      <c r="J2335" t="n">
        <v>0</v>
      </c>
      <c r="K2335" t="n">
        <v>0</v>
      </c>
      <c r="L2335" t="n">
        <v>0</v>
      </c>
      <c r="M2335" t="n">
        <v>0</v>
      </c>
      <c r="N2335" t="n">
        <v>0</v>
      </c>
      <c r="O2335" t="n">
        <v>0</v>
      </c>
      <c r="P2335" t="n">
        <v>0</v>
      </c>
      <c r="Q2335" t="n">
        <v>0</v>
      </c>
      <c r="R2335" s="2" t="inlineStr"/>
    </row>
    <row r="2336" ht="15" customHeight="1">
      <c r="A2336" t="inlineStr">
        <is>
          <t>A 40819-2019</t>
        </is>
      </c>
      <c r="B2336" s="1" t="n">
        <v>43697</v>
      </c>
      <c r="C2336" s="1" t="n">
        <v>45357</v>
      </c>
      <c r="D2336" t="inlineStr">
        <is>
          <t>VÄSTERBOTTENS LÄN</t>
        </is>
      </c>
      <c r="E2336" t="inlineStr">
        <is>
          <t>NORDMALING</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40727-2019</t>
        </is>
      </c>
      <c r="B2337" s="1" t="n">
        <v>43697</v>
      </c>
      <c r="C2337" s="1" t="n">
        <v>45357</v>
      </c>
      <c r="D2337" t="inlineStr">
        <is>
          <t>VÄSTERBOTTENS LÄN</t>
        </is>
      </c>
      <c r="E2337" t="inlineStr">
        <is>
          <t>SKELLEFTEÅ</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40862-2019</t>
        </is>
      </c>
      <c r="B2338" s="1" t="n">
        <v>43697</v>
      </c>
      <c r="C2338" s="1" t="n">
        <v>45357</v>
      </c>
      <c r="D2338" t="inlineStr">
        <is>
          <t>VÄSTERBOTTENS LÄN</t>
        </is>
      </c>
      <c r="E2338" t="inlineStr">
        <is>
          <t>ÅSELE</t>
        </is>
      </c>
      <c r="G2338" t="n">
        <v>10.6</v>
      </c>
      <c r="H2338" t="n">
        <v>0</v>
      </c>
      <c r="I2338" t="n">
        <v>0</v>
      </c>
      <c r="J2338" t="n">
        <v>0</v>
      </c>
      <c r="K2338" t="n">
        <v>0</v>
      </c>
      <c r="L2338" t="n">
        <v>0</v>
      </c>
      <c r="M2338" t="n">
        <v>0</v>
      </c>
      <c r="N2338" t="n">
        <v>0</v>
      </c>
      <c r="O2338" t="n">
        <v>0</v>
      </c>
      <c r="P2338" t="n">
        <v>0</v>
      </c>
      <c r="Q2338" t="n">
        <v>0</v>
      </c>
      <c r="R2338" s="2" t="inlineStr"/>
    </row>
    <row r="2339" ht="15" customHeight="1">
      <c r="A2339" t="inlineStr">
        <is>
          <t>A 40874-2019</t>
        </is>
      </c>
      <c r="B2339" s="1" t="n">
        <v>43697</v>
      </c>
      <c r="C2339" s="1" t="n">
        <v>45357</v>
      </c>
      <c r="D2339" t="inlineStr">
        <is>
          <t>VÄSTERBOTTENS LÄN</t>
        </is>
      </c>
      <c r="E2339" t="inlineStr">
        <is>
          <t>ROBERTSFORS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41080-2019</t>
        </is>
      </c>
      <c r="B2340" s="1" t="n">
        <v>43698</v>
      </c>
      <c r="C2340" s="1" t="n">
        <v>45357</v>
      </c>
      <c r="D2340" t="inlineStr">
        <is>
          <t>VÄSTERBOTTENS LÄN</t>
        </is>
      </c>
      <c r="E2340" t="inlineStr">
        <is>
          <t>BJURHOLM</t>
        </is>
      </c>
      <c r="F2340" t="inlineStr">
        <is>
          <t>Holmen skog AB</t>
        </is>
      </c>
      <c r="G2340" t="n">
        <v>10.9</v>
      </c>
      <c r="H2340" t="n">
        <v>0</v>
      </c>
      <c r="I2340" t="n">
        <v>0</v>
      </c>
      <c r="J2340" t="n">
        <v>0</v>
      </c>
      <c r="K2340" t="n">
        <v>0</v>
      </c>
      <c r="L2340" t="n">
        <v>0</v>
      </c>
      <c r="M2340" t="n">
        <v>0</v>
      </c>
      <c r="N2340" t="n">
        <v>0</v>
      </c>
      <c r="O2340" t="n">
        <v>0</v>
      </c>
      <c r="P2340" t="n">
        <v>0</v>
      </c>
      <c r="Q2340" t="n">
        <v>0</v>
      </c>
      <c r="R2340" s="2" t="inlineStr"/>
    </row>
    <row r="2341" ht="15" customHeight="1">
      <c r="A2341" t="inlineStr">
        <is>
          <t>A 41287-2019</t>
        </is>
      </c>
      <c r="B2341" s="1" t="n">
        <v>43698</v>
      </c>
      <c r="C2341" s="1" t="n">
        <v>45357</v>
      </c>
      <c r="D2341" t="inlineStr">
        <is>
          <t>VÄSTERBOTTENS LÄN</t>
        </is>
      </c>
      <c r="E2341" t="inlineStr">
        <is>
          <t>BJURHOLM</t>
        </is>
      </c>
      <c r="F2341" t="inlineStr">
        <is>
          <t>Holmen skog AB</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41449-2019</t>
        </is>
      </c>
      <c r="B2342" s="1" t="n">
        <v>43698</v>
      </c>
      <c r="C2342" s="1" t="n">
        <v>45357</v>
      </c>
      <c r="D2342" t="inlineStr">
        <is>
          <t>VÄSTERBOTTENS LÄN</t>
        </is>
      </c>
      <c r="E2342" t="inlineStr">
        <is>
          <t>NORDMALING</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41448-2019</t>
        </is>
      </c>
      <c r="B2343" s="1" t="n">
        <v>43699</v>
      </c>
      <c r="C2343" s="1" t="n">
        <v>45357</v>
      </c>
      <c r="D2343" t="inlineStr">
        <is>
          <t>VÄSTERBOTTENS LÄN</t>
        </is>
      </c>
      <c r="E2343" t="inlineStr">
        <is>
          <t>NORDMALING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41352-2019</t>
        </is>
      </c>
      <c r="B2344" s="1" t="n">
        <v>43698</v>
      </c>
      <c r="C2344" s="1" t="n">
        <v>45357</v>
      </c>
      <c r="D2344" t="inlineStr">
        <is>
          <t>VÄSTERBOTTENS LÄN</t>
        </is>
      </c>
      <c r="E2344" t="inlineStr">
        <is>
          <t>UMEÅ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41782-2019</t>
        </is>
      </c>
      <c r="B2345" s="1" t="n">
        <v>43699</v>
      </c>
      <c r="C2345" s="1" t="n">
        <v>45357</v>
      </c>
      <c r="D2345" t="inlineStr">
        <is>
          <t>VÄSTERBOTTENS LÄN</t>
        </is>
      </c>
      <c r="E2345" t="inlineStr">
        <is>
          <t>VILHELMINA</t>
        </is>
      </c>
      <c r="F2345" t="inlineStr">
        <is>
          <t>SCA</t>
        </is>
      </c>
      <c r="G2345" t="n">
        <v>30.8</v>
      </c>
      <c r="H2345" t="n">
        <v>0</v>
      </c>
      <c r="I2345" t="n">
        <v>0</v>
      </c>
      <c r="J2345" t="n">
        <v>0</v>
      </c>
      <c r="K2345" t="n">
        <v>0</v>
      </c>
      <c r="L2345" t="n">
        <v>0</v>
      </c>
      <c r="M2345" t="n">
        <v>0</v>
      </c>
      <c r="N2345" t="n">
        <v>0</v>
      </c>
      <c r="O2345" t="n">
        <v>0</v>
      </c>
      <c r="P2345" t="n">
        <v>0</v>
      </c>
      <c r="Q2345" t="n">
        <v>0</v>
      </c>
      <c r="R2345" s="2" t="inlineStr"/>
    </row>
    <row r="2346" ht="15" customHeight="1">
      <c r="A2346" t="inlineStr">
        <is>
          <t>A 41754-2019</t>
        </is>
      </c>
      <c r="B2346" s="1" t="n">
        <v>43699</v>
      </c>
      <c r="C2346" s="1" t="n">
        <v>45357</v>
      </c>
      <c r="D2346" t="inlineStr">
        <is>
          <t>VÄSTERBOTTENS LÄN</t>
        </is>
      </c>
      <c r="E2346" t="inlineStr">
        <is>
          <t>UMEÅ</t>
        </is>
      </c>
      <c r="F2346" t="inlineStr">
        <is>
          <t>Holmen skog AB</t>
        </is>
      </c>
      <c r="G2346" t="n">
        <v>9.9</v>
      </c>
      <c r="H2346" t="n">
        <v>0</v>
      </c>
      <c r="I2346" t="n">
        <v>0</v>
      </c>
      <c r="J2346" t="n">
        <v>0</v>
      </c>
      <c r="K2346" t="n">
        <v>0</v>
      </c>
      <c r="L2346" t="n">
        <v>0</v>
      </c>
      <c r="M2346" t="n">
        <v>0</v>
      </c>
      <c r="N2346" t="n">
        <v>0</v>
      </c>
      <c r="O2346" t="n">
        <v>0</v>
      </c>
      <c r="P2346" t="n">
        <v>0</v>
      </c>
      <c r="Q2346" t="n">
        <v>0</v>
      </c>
      <c r="R2346" s="2" t="inlineStr"/>
    </row>
    <row r="2347" ht="15" customHeight="1">
      <c r="A2347" t="inlineStr">
        <is>
          <t>A 41646-2019</t>
        </is>
      </c>
      <c r="B2347" s="1" t="n">
        <v>43699</v>
      </c>
      <c r="C2347" s="1" t="n">
        <v>45357</v>
      </c>
      <c r="D2347" t="inlineStr">
        <is>
          <t>VÄSTERBOTTENS LÄN</t>
        </is>
      </c>
      <c r="E2347" t="inlineStr">
        <is>
          <t>SORSELE</t>
        </is>
      </c>
      <c r="F2347" t="inlineStr">
        <is>
          <t>Sveaskog</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42535-2019</t>
        </is>
      </c>
      <c r="B2348" s="1" t="n">
        <v>43699</v>
      </c>
      <c r="C2348" s="1" t="n">
        <v>45357</v>
      </c>
      <c r="D2348" t="inlineStr">
        <is>
          <t>VÄSTERBOTTENS LÄN</t>
        </is>
      </c>
      <c r="E2348" t="inlineStr">
        <is>
          <t>SORSELE</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42460-2019</t>
        </is>
      </c>
      <c r="B2349" s="1" t="n">
        <v>43699</v>
      </c>
      <c r="C2349" s="1" t="n">
        <v>45357</v>
      </c>
      <c r="D2349" t="inlineStr">
        <is>
          <t>VÄSTERBOTTENS LÄN</t>
        </is>
      </c>
      <c r="E2349" t="inlineStr">
        <is>
          <t>NORDMALING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45017-2019</t>
        </is>
      </c>
      <c r="B2350" s="1" t="n">
        <v>43699</v>
      </c>
      <c r="C2350" s="1" t="n">
        <v>45357</v>
      </c>
      <c r="D2350" t="inlineStr">
        <is>
          <t>VÄSTERBOTTENS LÄN</t>
        </is>
      </c>
      <c r="E2350" t="inlineStr">
        <is>
          <t>SORSELE</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42631-2019</t>
        </is>
      </c>
      <c r="B2351" s="1" t="n">
        <v>43699</v>
      </c>
      <c r="C2351" s="1" t="n">
        <v>45357</v>
      </c>
      <c r="D2351" t="inlineStr">
        <is>
          <t>VÄSTERBOTTENS LÄN</t>
        </is>
      </c>
      <c r="E2351" t="inlineStr">
        <is>
          <t>NORDMALING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42063-2019</t>
        </is>
      </c>
      <c r="B2352" s="1" t="n">
        <v>43700</v>
      </c>
      <c r="C2352" s="1" t="n">
        <v>45357</v>
      </c>
      <c r="D2352" t="inlineStr">
        <is>
          <t>VÄSTERBOTTENS LÄN</t>
        </is>
      </c>
      <c r="E2352" t="inlineStr">
        <is>
          <t>ROBERTSFORS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42068-2019</t>
        </is>
      </c>
      <c r="B2353" s="1" t="n">
        <v>43700</v>
      </c>
      <c r="C2353" s="1" t="n">
        <v>45357</v>
      </c>
      <c r="D2353" t="inlineStr">
        <is>
          <t>VÄSTERBOTTENS LÄN</t>
        </is>
      </c>
      <c r="E2353" t="inlineStr">
        <is>
          <t>VILHELMINA</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41980-2019</t>
        </is>
      </c>
      <c r="B2354" s="1" t="n">
        <v>43700</v>
      </c>
      <c r="C2354" s="1" t="n">
        <v>45357</v>
      </c>
      <c r="D2354" t="inlineStr">
        <is>
          <t>VÄSTERBOTTENS LÄN</t>
        </is>
      </c>
      <c r="E2354" t="inlineStr">
        <is>
          <t>SKELLEFTEÅ</t>
        </is>
      </c>
      <c r="F2354" t="inlineStr">
        <is>
          <t>Holmen skog AB</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43225-2019</t>
        </is>
      </c>
      <c r="B2355" s="1" t="n">
        <v>43700</v>
      </c>
      <c r="C2355" s="1" t="n">
        <v>45357</v>
      </c>
      <c r="D2355" t="inlineStr">
        <is>
          <t>VÄSTERBOTTENS LÄN</t>
        </is>
      </c>
      <c r="E2355" t="inlineStr">
        <is>
          <t>NORDMALING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41912-2019</t>
        </is>
      </c>
      <c r="B2356" s="1" t="n">
        <v>43700</v>
      </c>
      <c r="C2356" s="1" t="n">
        <v>45357</v>
      </c>
      <c r="D2356" t="inlineStr">
        <is>
          <t>VÄSTERBOTTENS LÄN</t>
        </is>
      </c>
      <c r="E2356" t="inlineStr">
        <is>
          <t>ÅSELE</t>
        </is>
      </c>
      <c r="F2356" t="inlineStr">
        <is>
          <t>Naturvårdsverket</t>
        </is>
      </c>
      <c r="G2356" t="n">
        <v>18.9</v>
      </c>
      <c r="H2356" t="n">
        <v>0</v>
      </c>
      <c r="I2356" t="n">
        <v>0</v>
      </c>
      <c r="J2356" t="n">
        <v>0</v>
      </c>
      <c r="K2356" t="n">
        <v>0</v>
      </c>
      <c r="L2356" t="n">
        <v>0</v>
      </c>
      <c r="M2356" t="n">
        <v>0</v>
      </c>
      <c r="N2356" t="n">
        <v>0</v>
      </c>
      <c r="O2356" t="n">
        <v>0</v>
      </c>
      <c r="P2356" t="n">
        <v>0</v>
      </c>
      <c r="Q2356" t="n">
        <v>0</v>
      </c>
      <c r="R2356" s="2" t="inlineStr"/>
    </row>
    <row r="2357" ht="15" customHeight="1">
      <c r="A2357" t="inlineStr">
        <is>
          <t>A 43223-2019</t>
        </is>
      </c>
      <c r="B2357" s="1" t="n">
        <v>43700</v>
      </c>
      <c r="C2357" s="1" t="n">
        <v>45357</v>
      </c>
      <c r="D2357" t="inlineStr">
        <is>
          <t>VÄSTERBOTTENS LÄN</t>
        </is>
      </c>
      <c r="E2357" t="inlineStr">
        <is>
          <t>NORDMALING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43299-2019</t>
        </is>
      </c>
      <c r="B2358" s="1" t="n">
        <v>43700</v>
      </c>
      <c r="C2358" s="1" t="n">
        <v>45357</v>
      </c>
      <c r="D2358" t="inlineStr">
        <is>
          <t>VÄSTERBOTTENS LÄN</t>
        </is>
      </c>
      <c r="E2358" t="inlineStr">
        <is>
          <t>MALÅ</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43289-2019</t>
        </is>
      </c>
      <c r="B2359" s="1" t="n">
        <v>43700</v>
      </c>
      <c r="C2359" s="1" t="n">
        <v>45357</v>
      </c>
      <c r="D2359" t="inlineStr">
        <is>
          <t>VÄSTERBOTTENS LÄN</t>
        </is>
      </c>
      <c r="E2359" t="inlineStr">
        <is>
          <t>MALÅ</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41826-2019</t>
        </is>
      </c>
      <c r="B2360" s="1" t="n">
        <v>43700</v>
      </c>
      <c r="C2360" s="1" t="n">
        <v>45357</v>
      </c>
      <c r="D2360" t="inlineStr">
        <is>
          <t>VÄSTERBOTTENS LÄN</t>
        </is>
      </c>
      <c r="E2360" t="inlineStr">
        <is>
          <t>SKELLEFTEÅ</t>
        </is>
      </c>
      <c r="F2360" t="inlineStr">
        <is>
          <t>Holmen skog AB</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43005-2019</t>
        </is>
      </c>
      <c r="B2361" s="1" t="n">
        <v>43702</v>
      </c>
      <c r="C2361" s="1" t="n">
        <v>45357</v>
      </c>
      <c r="D2361" t="inlineStr">
        <is>
          <t>VÄSTERBOTTENS LÄN</t>
        </is>
      </c>
      <c r="E2361" t="inlineStr">
        <is>
          <t>SORSELE</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42312-2019</t>
        </is>
      </c>
      <c r="B2362" s="1" t="n">
        <v>43703</v>
      </c>
      <c r="C2362" s="1" t="n">
        <v>45357</v>
      </c>
      <c r="D2362" t="inlineStr">
        <is>
          <t>VÄSTERBOTTENS LÄN</t>
        </is>
      </c>
      <c r="E2362" t="inlineStr">
        <is>
          <t>STORUMAN</t>
        </is>
      </c>
      <c r="F2362" t="inlineStr">
        <is>
          <t>Kommuner</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42373-2019</t>
        </is>
      </c>
      <c r="B2363" s="1" t="n">
        <v>43703</v>
      </c>
      <c r="C2363" s="1" t="n">
        <v>45357</v>
      </c>
      <c r="D2363" t="inlineStr">
        <is>
          <t>VÄSTERBOTTENS LÄN</t>
        </is>
      </c>
      <c r="E2363" t="inlineStr">
        <is>
          <t>LYCKSELE</t>
        </is>
      </c>
      <c r="F2363" t="inlineStr">
        <is>
          <t>Holmen skog AB</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42482-2019</t>
        </is>
      </c>
      <c r="B2364" s="1" t="n">
        <v>43703</v>
      </c>
      <c r="C2364" s="1" t="n">
        <v>45357</v>
      </c>
      <c r="D2364" t="inlineStr">
        <is>
          <t>VÄSTERBOTTENS LÄN</t>
        </is>
      </c>
      <c r="E2364" t="inlineStr">
        <is>
          <t>BJURHOLM</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43465-2019</t>
        </is>
      </c>
      <c r="B2365" s="1" t="n">
        <v>43703</v>
      </c>
      <c r="C2365" s="1" t="n">
        <v>45357</v>
      </c>
      <c r="D2365" t="inlineStr">
        <is>
          <t>VÄSTERBOTTENS LÄN</t>
        </is>
      </c>
      <c r="E2365" t="inlineStr">
        <is>
          <t>LYCKSELE</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43469-2019</t>
        </is>
      </c>
      <c r="B2366" s="1" t="n">
        <v>43703</v>
      </c>
      <c r="C2366" s="1" t="n">
        <v>45357</v>
      </c>
      <c r="D2366" t="inlineStr">
        <is>
          <t>VÄSTERBOTTENS LÄN</t>
        </is>
      </c>
      <c r="E2366" t="inlineStr">
        <is>
          <t>NORSJÖ</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42362-2019</t>
        </is>
      </c>
      <c r="B2367" s="1" t="n">
        <v>43703</v>
      </c>
      <c r="C2367" s="1" t="n">
        <v>45357</v>
      </c>
      <c r="D2367" t="inlineStr">
        <is>
          <t>VÄSTERBOTTENS LÄN</t>
        </is>
      </c>
      <c r="E2367" t="inlineStr">
        <is>
          <t>VILHELMINA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42319-2019</t>
        </is>
      </c>
      <c r="B2368" s="1" t="n">
        <v>43703</v>
      </c>
      <c r="C2368" s="1" t="n">
        <v>45357</v>
      </c>
      <c r="D2368" t="inlineStr">
        <is>
          <t>VÄSTERBOTTENS LÄN</t>
        </is>
      </c>
      <c r="E2368" t="inlineStr">
        <is>
          <t>SKELLEFTEÅ</t>
        </is>
      </c>
      <c r="F2368" t="inlineStr">
        <is>
          <t>Holmen skog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43480-2019</t>
        </is>
      </c>
      <c r="B2369" s="1" t="n">
        <v>43703</v>
      </c>
      <c r="C2369" s="1" t="n">
        <v>45357</v>
      </c>
      <c r="D2369" t="inlineStr">
        <is>
          <t>VÄSTERBOTTENS LÄN</t>
        </is>
      </c>
      <c r="E2369" t="inlineStr">
        <is>
          <t>LYCKSELE</t>
        </is>
      </c>
      <c r="G2369" t="n">
        <v>13.6</v>
      </c>
      <c r="H2369" t="n">
        <v>0</v>
      </c>
      <c r="I2369" t="n">
        <v>0</v>
      </c>
      <c r="J2369" t="n">
        <v>0</v>
      </c>
      <c r="K2369" t="n">
        <v>0</v>
      </c>
      <c r="L2369" t="n">
        <v>0</v>
      </c>
      <c r="M2369" t="n">
        <v>0</v>
      </c>
      <c r="N2369" t="n">
        <v>0</v>
      </c>
      <c r="O2369" t="n">
        <v>0</v>
      </c>
      <c r="P2369" t="n">
        <v>0</v>
      </c>
      <c r="Q2369" t="n">
        <v>0</v>
      </c>
      <c r="R2369" s="2" t="inlineStr"/>
    </row>
    <row r="2370" ht="15" customHeight="1">
      <c r="A2370" t="inlineStr">
        <is>
          <t>A 43459-2019</t>
        </is>
      </c>
      <c r="B2370" s="1" t="n">
        <v>43703</v>
      </c>
      <c r="C2370" s="1" t="n">
        <v>45357</v>
      </c>
      <c r="D2370" t="inlineStr">
        <is>
          <t>VÄSTERBOTTENS LÄN</t>
        </is>
      </c>
      <c r="E2370" t="inlineStr">
        <is>
          <t>MALÅ</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42368-2019</t>
        </is>
      </c>
      <c r="B2371" s="1" t="n">
        <v>43703</v>
      </c>
      <c r="C2371" s="1" t="n">
        <v>45357</v>
      </c>
      <c r="D2371" t="inlineStr">
        <is>
          <t>VÄSTERBOTTENS LÄN</t>
        </is>
      </c>
      <c r="E2371" t="inlineStr">
        <is>
          <t>LYCKSELE</t>
        </is>
      </c>
      <c r="F2371" t="inlineStr">
        <is>
          <t>Holmen skog AB</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42435-2019</t>
        </is>
      </c>
      <c r="B2372" s="1" t="n">
        <v>43704</v>
      </c>
      <c r="C2372" s="1" t="n">
        <v>45357</v>
      </c>
      <c r="D2372" t="inlineStr">
        <is>
          <t>VÄSTERBOTTENS LÄN</t>
        </is>
      </c>
      <c r="E2372" t="inlineStr">
        <is>
          <t>SKELLEFTEÅ</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42477-2019</t>
        </is>
      </c>
      <c r="B2373" s="1" t="n">
        <v>43704</v>
      </c>
      <c r="C2373" s="1" t="n">
        <v>45357</v>
      </c>
      <c r="D2373" t="inlineStr">
        <is>
          <t>VÄSTERBOTTENS LÄN</t>
        </is>
      </c>
      <c r="E2373" t="inlineStr">
        <is>
          <t>UMEÅ</t>
        </is>
      </c>
      <c r="F2373" t="inlineStr">
        <is>
          <t>Holmen skog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42588-2019</t>
        </is>
      </c>
      <c r="B2374" s="1" t="n">
        <v>43704</v>
      </c>
      <c r="C2374" s="1" t="n">
        <v>45357</v>
      </c>
      <c r="D2374" t="inlineStr">
        <is>
          <t>VÄSTERBOTTENS LÄN</t>
        </is>
      </c>
      <c r="E2374" t="inlineStr">
        <is>
          <t>LYCKSELE</t>
        </is>
      </c>
      <c r="F2374" t="inlineStr">
        <is>
          <t>Holmen skog AB</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42701-2019</t>
        </is>
      </c>
      <c r="B2375" s="1" t="n">
        <v>43704</v>
      </c>
      <c r="C2375" s="1" t="n">
        <v>45357</v>
      </c>
      <c r="D2375" t="inlineStr">
        <is>
          <t>VÄSTERBOTTENS LÄN</t>
        </is>
      </c>
      <c r="E2375" t="inlineStr">
        <is>
          <t>VINDELN</t>
        </is>
      </c>
      <c r="F2375" t="inlineStr">
        <is>
          <t>Holmen skog AB</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42721-2019</t>
        </is>
      </c>
      <c r="B2376" s="1" t="n">
        <v>43704</v>
      </c>
      <c r="C2376" s="1" t="n">
        <v>45357</v>
      </c>
      <c r="D2376" t="inlineStr">
        <is>
          <t>VÄSTERBOTTENS LÄN</t>
        </is>
      </c>
      <c r="E2376" t="inlineStr">
        <is>
          <t>UMEÅ</t>
        </is>
      </c>
      <c r="F2376" t="inlineStr">
        <is>
          <t>Holmen skog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42599-2019</t>
        </is>
      </c>
      <c r="B2377" s="1" t="n">
        <v>43704</v>
      </c>
      <c r="C2377" s="1" t="n">
        <v>45357</v>
      </c>
      <c r="D2377" t="inlineStr">
        <is>
          <t>VÄSTERBOTTENS LÄN</t>
        </is>
      </c>
      <c r="E2377" t="inlineStr">
        <is>
          <t>UMEÅ</t>
        </is>
      </c>
      <c r="F2377" t="inlineStr">
        <is>
          <t>Övriga Aktiebolag</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42651-2019</t>
        </is>
      </c>
      <c r="B2378" s="1" t="n">
        <v>43704</v>
      </c>
      <c r="C2378" s="1" t="n">
        <v>45357</v>
      </c>
      <c r="D2378" t="inlineStr">
        <is>
          <t>VÄSTERBOTTENS LÄN</t>
        </is>
      </c>
      <c r="E2378" t="inlineStr">
        <is>
          <t>SKELLEFTEÅ</t>
        </is>
      </c>
      <c r="F2378" t="inlineStr">
        <is>
          <t>Holmen skog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43613-2019</t>
        </is>
      </c>
      <c r="B2379" s="1" t="n">
        <v>43704</v>
      </c>
      <c r="C2379" s="1" t="n">
        <v>45357</v>
      </c>
      <c r="D2379" t="inlineStr">
        <is>
          <t>VÄSTERBOTTENS LÄN</t>
        </is>
      </c>
      <c r="E2379" t="inlineStr">
        <is>
          <t>UMEÅ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43666-2019</t>
        </is>
      </c>
      <c r="B2380" s="1" t="n">
        <v>43704</v>
      </c>
      <c r="C2380" s="1" t="n">
        <v>45357</v>
      </c>
      <c r="D2380" t="inlineStr">
        <is>
          <t>VÄSTERBOTTENS LÄN</t>
        </is>
      </c>
      <c r="E2380" t="inlineStr">
        <is>
          <t>ÅSELE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44031-2019</t>
        </is>
      </c>
      <c r="B2381" s="1" t="n">
        <v>43704</v>
      </c>
      <c r="C2381" s="1" t="n">
        <v>45357</v>
      </c>
      <c r="D2381" t="inlineStr">
        <is>
          <t>VÄSTERBOTTENS LÄN</t>
        </is>
      </c>
      <c r="E2381" t="inlineStr">
        <is>
          <t>LYCKSELE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42483-2019</t>
        </is>
      </c>
      <c r="B2382" s="1" t="n">
        <v>43704</v>
      </c>
      <c r="C2382" s="1" t="n">
        <v>45357</v>
      </c>
      <c r="D2382" t="inlineStr">
        <is>
          <t>VÄSTERBOTTENS LÄN</t>
        </is>
      </c>
      <c r="E2382" t="inlineStr">
        <is>
          <t>MALÅ</t>
        </is>
      </c>
      <c r="F2382" t="inlineStr">
        <is>
          <t>Sveaskog</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42677-2019</t>
        </is>
      </c>
      <c r="B2383" s="1" t="n">
        <v>43704</v>
      </c>
      <c r="C2383" s="1" t="n">
        <v>45357</v>
      </c>
      <c r="D2383" t="inlineStr">
        <is>
          <t>VÄSTERBOTTENS LÄN</t>
        </is>
      </c>
      <c r="E2383" t="inlineStr">
        <is>
          <t>MALÅ</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42487-2019</t>
        </is>
      </c>
      <c r="B2384" s="1" t="n">
        <v>43704</v>
      </c>
      <c r="C2384" s="1" t="n">
        <v>45357</v>
      </c>
      <c r="D2384" t="inlineStr">
        <is>
          <t>VÄSTERBOTTENS LÄN</t>
        </is>
      </c>
      <c r="E2384" t="inlineStr">
        <is>
          <t>MALÅ</t>
        </is>
      </c>
      <c r="F2384" t="inlineStr">
        <is>
          <t>Sveaskog</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42857-2019</t>
        </is>
      </c>
      <c r="B2385" s="1" t="n">
        <v>43705</v>
      </c>
      <c r="C2385" s="1" t="n">
        <v>45357</v>
      </c>
      <c r="D2385" t="inlineStr">
        <is>
          <t>VÄSTERBOTTENS LÄN</t>
        </is>
      </c>
      <c r="E2385" t="inlineStr">
        <is>
          <t>ROBERTSFORS</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43176-2019</t>
        </is>
      </c>
      <c r="B2386" s="1" t="n">
        <v>43705</v>
      </c>
      <c r="C2386" s="1" t="n">
        <v>45357</v>
      </c>
      <c r="D2386" t="inlineStr">
        <is>
          <t>VÄSTERBOTTENS LÄN</t>
        </is>
      </c>
      <c r="E2386" t="inlineStr">
        <is>
          <t>DOROTEA</t>
        </is>
      </c>
      <c r="F2386" t="inlineStr">
        <is>
          <t>Allmännings- och besparingsskogar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44388-2019</t>
        </is>
      </c>
      <c r="B2387" s="1" t="n">
        <v>43705</v>
      </c>
      <c r="C2387" s="1" t="n">
        <v>45357</v>
      </c>
      <c r="D2387" t="inlineStr">
        <is>
          <t>VÄSTERBOTTENS LÄN</t>
        </is>
      </c>
      <c r="E2387" t="inlineStr">
        <is>
          <t>VILHELMINA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44443-2019</t>
        </is>
      </c>
      <c r="B2388" s="1" t="n">
        <v>43705</v>
      </c>
      <c r="C2388" s="1" t="n">
        <v>45357</v>
      </c>
      <c r="D2388" t="inlineStr">
        <is>
          <t>VÄSTERBOTTENS LÄN</t>
        </is>
      </c>
      <c r="E2388" t="inlineStr">
        <is>
          <t>SORSELE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43175-2019</t>
        </is>
      </c>
      <c r="B2389" s="1" t="n">
        <v>43705</v>
      </c>
      <c r="C2389" s="1" t="n">
        <v>45357</v>
      </c>
      <c r="D2389" t="inlineStr">
        <is>
          <t>VÄSTERBOTTENS LÄN</t>
        </is>
      </c>
      <c r="E2389" t="inlineStr">
        <is>
          <t>DOROTEA</t>
        </is>
      </c>
      <c r="F2389" t="inlineStr">
        <is>
          <t>Allmännings- och besparingsskogar</t>
        </is>
      </c>
      <c r="G2389" t="n">
        <v>19.3</v>
      </c>
      <c r="H2389" t="n">
        <v>0</v>
      </c>
      <c r="I2389" t="n">
        <v>0</v>
      </c>
      <c r="J2389" t="n">
        <v>0</v>
      </c>
      <c r="K2389" t="n">
        <v>0</v>
      </c>
      <c r="L2389" t="n">
        <v>0</v>
      </c>
      <c r="M2389" t="n">
        <v>0</v>
      </c>
      <c r="N2389" t="n">
        <v>0</v>
      </c>
      <c r="O2389" t="n">
        <v>0</v>
      </c>
      <c r="P2389" t="n">
        <v>0</v>
      </c>
      <c r="Q2389" t="n">
        <v>0</v>
      </c>
      <c r="R2389" s="2" t="inlineStr"/>
    </row>
    <row r="2390" ht="15" customHeight="1">
      <c r="A2390" t="inlineStr">
        <is>
          <t>A 44461-2019</t>
        </is>
      </c>
      <c r="B2390" s="1" t="n">
        <v>43705</v>
      </c>
      <c r="C2390" s="1" t="n">
        <v>45357</v>
      </c>
      <c r="D2390" t="inlineStr">
        <is>
          <t>VÄSTERBOTTENS LÄN</t>
        </is>
      </c>
      <c r="E2390" t="inlineStr">
        <is>
          <t>SKELLEFTEÅ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43177-2019</t>
        </is>
      </c>
      <c r="B2391" s="1" t="n">
        <v>43705</v>
      </c>
      <c r="C2391" s="1" t="n">
        <v>45357</v>
      </c>
      <c r="D2391" t="inlineStr">
        <is>
          <t>VÄSTERBOTTENS LÄN</t>
        </is>
      </c>
      <c r="E2391" t="inlineStr">
        <is>
          <t>DOROTEA</t>
        </is>
      </c>
      <c r="F2391" t="inlineStr">
        <is>
          <t>Allmännings- och besparingsskogar</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43211-2019</t>
        </is>
      </c>
      <c r="B2392" s="1" t="n">
        <v>43705</v>
      </c>
      <c r="C2392" s="1" t="n">
        <v>45357</v>
      </c>
      <c r="D2392" t="inlineStr">
        <is>
          <t>VÄSTERBOTTENS LÄN</t>
        </is>
      </c>
      <c r="E2392" t="inlineStr">
        <is>
          <t>ÅSELE</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43606-2019</t>
        </is>
      </c>
      <c r="B2393" s="1" t="n">
        <v>43706</v>
      </c>
      <c r="C2393" s="1" t="n">
        <v>45357</v>
      </c>
      <c r="D2393" t="inlineStr">
        <is>
          <t>VÄSTERBOTTENS LÄN</t>
        </is>
      </c>
      <c r="E2393" t="inlineStr">
        <is>
          <t>STORUMAN</t>
        </is>
      </c>
      <c r="G2393" t="n">
        <v>20.1</v>
      </c>
      <c r="H2393" t="n">
        <v>0</v>
      </c>
      <c r="I2393" t="n">
        <v>0</v>
      </c>
      <c r="J2393" t="n">
        <v>0</v>
      </c>
      <c r="K2393" t="n">
        <v>0</v>
      </c>
      <c r="L2393" t="n">
        <v>0</v>
      </c>
      <c r="M2393" t="n">
        <v>0</v>
      </c>
      <c r="N2393" t="n">
        <v>0</v>
      </c>
      <c r="O2393" t="n">
        <v>0</v>
      </c>
      <c r="P2393" t="n">
        <v>0</v>
      </c>
      <c r="Q2393" t="n">
        <v>0</v>
      </c>
      <c r="R2393" s="2" t="inlineStr"/>
    </row>
    <row r="2394" ht="15" customHeight="1">
      <c r="A2394" t="inlineStr">
        <is>
          <t>A 44486-2019</t>
        </is>
      </c>
      <c r="B2394" s="1" t="n">
        <v>43706</v>
      </c>
      <c r="C2394" s="1" t="n">
        <v>45357</v>
      </c>
      <c r="D2394" t="inlineStr">
        <is>
          <t>VÄSTERBOTTENS LÄN</t>
        </is>
      </c>
      <c r="E2394" t="inlineStr">
        <is>
          <t>SKELLEFTEÅ</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44555-2019</t>
        </is>
      </c>
      <c r="B2395" s="1" t="n">
        <v>43706</v>
      </c>
      <c r="C2395" s="1" t="n">
        <v>45357</v>
      </c>
      <c r="D2395" t="inlineStr">
        <is>
          <t>VÄSTERBOTTENS LÄN</t>
        </is>
      </c>
      <c r="E2395" t="inlineStr">
        <is>
          <t>DOROTEA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44537-2019</t>
        </is>
      </c>
      <c r="B2396" s="1" t="n">
        <v>43706</v>
      </c>
      <c r="C2396" s="1" t="n">
        <v>45357</v>
      </c>
      <c r="D2396" t="inlineStr">
        <is>
          <t>VÄSTERBOTTENS LÄN</t>
        </is>
      </c>
      <c r="E2396" t="inlineStr">
        <is>
          <t>UMEÅ</t>
        </is>
      </c>
      <c r="G2396" t="n">
        <v>9.9</v>
      </c>
      <c r="H2396" t="n">
        <v>0</v>
      </c>
      <c r="I2396" t="n">
        <v>0</v>
      </c>
      <c r="J2396" t="n">
        <v>0</v>
      </c>
      <c r="K2396" t="n">
        <v>0</v>
      </c>
      <c r="L2396" t="n">
        <v>0</v>
      </c>
      <c r="M2396" t="n">
        <v>0</v>
      </c>
      <c r="N2396" t="n">
        <v>0</v>
      </c>
      <c r="O2396" t="n">
        <v>0</v>
      </c>
      <c r="P2396" t="n">
        <v>0</v>
      </c>
      <c r="Q2396" t="n">
        <v>0</v>
      </c>
      <c r="R2396" s="2" t="inlineStr"/>
    </row>
    <row r="2397" ht="15" customHeight="1">
      <c r="A2397" t="inlineStr">
        <is>
          <t>A 43638-2019</t>
        </is>
      </c>
      <c r="B2397" s="1" t="n">
        <v>43707</v>
      </c>
      <c r="C2397" s="1" t="n">
        <v>45357</v>
      </c>
      <c r="D2397" t="inlineStr">
        <is>
          <t>VÄSTERBOTTENS LÄN</t>
        </is>
      </c>
      <c r="E2397" t="inlineStr">
        <is>
          <t>SKELLEFTEÅ</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43842-2019</t>
        </is>
      </c>
      <c r="B2398" s="1" t="n">
        <v>43707</v>
      </c>
      <c r="C2398" s="1" t="n">
        <v>45357</v>
      </c>
      <c r="D2398" t="inlineStr">
        <is>
          <t>VÄSTERBOTTENS LÄN</t>
        </is>
      </c>
      <c r="E2398" t="inlineStr">
        <is>
          <t>SKELLEFTEÅ</t>
        </is>
      </c>
      <c r="F2398" t="inlineStr">
        <is>
          <t>Sveaskog</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43648-2019</t>
        </is>
      </c>
      <c r="B2399" s="1" t="n">
        <v>43707</v>
      </c>
      <c r="C2399" s="1" t="n">
        <v>45357</v>
      </c>
      <c r="D2399" t="inlineStr">
        <is>
          <t>VÄSTERBOTTENS LÄN</t>
        </is>
      </c>
      <c r="E2399" t="inlineStr">
        <is>
          <t>SKELLEFTEÅ</t>
        </is>
      </c>
      <c r="F2399" t="inlineStr">
        <is>
          <t>Holmen skog AB</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43845-2019</t>
        </is>
      </c>
      <c r="B2400" s="1" t="n">
        <v>43707</v>
      </c>
      <c r="C2400" s="1" t="n">
        <v>45357</v>
      </c>
      <c r="D2400" t="inlineStr">
        <is>
          <t>VÄSTERBOTTENS LÄN</t>
        </is>
      </c>
      <c r="E2400" t="inlineStr">
        <is>
          <t>SKELLEFTEÅ</t>
        </is>
      </c>
      <c r="F2400" t="inlineStr">
        <is>
          <t>Sveaskog</t>
        </is>
      </c>
      <c r="G2400" t="n">
        <v>11.6</v>
      </c>
      <c r="H2400" t="n">
        <v>0</v>
      </c>
      <c r="I2400" t="n">
        <v>0</v>
      </c>
      <c r="J2400" t="n">
        <v>0</v>
      </c>
      <c r="K2400" t="n">
        <v>0</v>
      </c>
      <c r="L2400" t="n">
        <v>0</v>
      </c>
      <c r="M2400" t="n">
        <v>0</v>
      </c>
      <c r="N2400" t="n">
        <v>0</v>
      </c>
      <c r="O2400" t="n">
        <v>0</v>
      </c>
      <c r="P2400" t="n">
        <v>0</v>
      </c>
      <c r="Q2400" t="n">
        <v>0</v>
      </c>
      <c r="R2400" s="2" t="inlineStr"/>
    </row>
    <row r="2401" ht="15" customHeight="1">
      <c r="A2401" t="inlineStr">
        <is>
          <t>A 43952-2019</t>
        </is>
      </c>
      <c r="B2401" s="1" t="n">
        <v>43707</v>
      </c>
      <c r="C2401" s="1" t="n">
        <v>45357</v>
      </c>
      <c r="D2401" t="inlineStr">
        <is>
          <t>VÄSTERBOTTENS LÄN</t>
        </is>
      </c>
      <c r="E2401" t="inlineStr">
        <is>
          <t>DOROTEA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45296-2019</t>
        </is>
      </c>
      <c r="B2402" s="1" t="n">
        <v>43707</v>
      </c>
      <c r="C2402" s="1" t="n">
        <v>45357</v>
      </c>
      <c r="D2402" t="inlineStr">
        <is>
          <t>VÄSTERBOTTENS LÄN</t>
        </is>
      </c>
      <c r="E2402" t="inlineStr">
        <is>
          <t>SKELLEFTEÅ</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44858-2019</t>
        </is>
      </c>
      <c r="B2403" s="1" t="n">
        <v>43707</v>
      </c>
      <c r="C2403" s="1" t="n">
        <v>45357</v>
      </c>
      <c r="D2403" t="inlineStr">
        <is>
          <t>VÄSTERBOTTENS LÄN</t>
        </is>
      </c>
      <c r="E2403" t="inlineStr">
        <is>
          <t>LYCKSELE</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43658-2019</t>
        </is>
      </c>
      <c r="B2404" s="1" t="n">
        <v>43707</v>
      </c>
      <c r="C2404" s="1" t="n">
        <v>45357</v>
      </c>
      <c r="D2404" t="inlineStr">
        <is>
          <t>VÄSTERBOTTENS LÄN</t>
        </is>
      </c>
      <c r="E2404" t="inlineStr">
        <is>
          <t>ÅSELE</t>
        </is>
      </c>
      <c r="F2404" t="inlineStr">
        <is>
          <t>Sveaskog</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45322-2019</t>
        </is>
      </c>
      <c r="B2405" s="1" t="n">
        <v>43707</v>
      </c>
      <c r="C2405" s="1" t="n">
        <v>45357</v>
      </c>
      <c r="D2405" t="inlineStr">
        <is>
          <t>VÄSTERBOTTENS LÄN</t>
        </is>
      </c>
      <c r="E2405" t="inlineStr">
        <is>
          <t>UMEÅ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43818-2019</t>
        </is>
      </c>
      <c r="B2406" s="1" t="n">
        <v>43707</v>
      </c>
      <c r="C2406" s="1" t="n">
        <v>45357</v>
      </c>
      <c r="D2406" t="inlineStr">
        <is>
          <t>VÄSTERBOTTENS LÄN</t>
        </is>
      </c>
      <c r="E2406" t="inlineStr">
        <is>
          <t>STORUMAN</t>
        </is>
      </c>
      <c r="F2406" t="inlineStr">
        <is>
          <t>Holmen skog AB</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44017-2019</t>
        </is>
      </c>
      <c r="B2407" s="1" t="n">
        <v>43709</v>
      </c>
      <c r="C2407" s="1" t="n">
        <v>45357</v>
      </c>
      <c r="D2407" t="inlineStr">
        <is>
          <t>VÄSTERBOTTENS LÄN</t>
        </is>
      </c>
      <c r="E2407" t="inlineStr">
        <is>
          <t>ÅSELE</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43986-2019</t>
        </is>
      </c>
      <c r="B2408" s="1" t="n">
        <v>43709</v>
      </c>
      <c r="C2408" s="1" t="n">
        <v>45357</v>
      </c>
      <c r="D2408" t="inlineStr">
        <is>
          <t>VÄSTERBOTTENS LÄN</t>
        </is>
      </c>
      <c r="E2408" t="inlineStr">
        <is>
          <t>STORUMAN</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44007-2019</t>
        </is>
      </c>
      <c r="B2409" s="1" t="n">
        <v>43709</v>
      </c>
      <c r="C2409" s="1" t="n">
        <v>45357</v>
      </c>
      <c r="D2409" t="inlineStr">
        <is>
          <t>VÄSTERBOTTENS LÄN</t>
        </is>
      </c>
      <c r="E2409" t="inlineStr">
        <is>
          <t>SKELLEFTEÅ</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44149-2019</t>
        </is>
      </c>
      <c r="B2410" s="1" t="n">
        <v>43710</v>
      </c>
      <c r="C2410" s="1" t="n">
        <v>45357</v>
      </c>
      <c r="D2410" t="inlineStr">
        <is>
          <t>VÄSTERBOTTENS LÄN</t>
        </is>
      </c>
      <c r="E2410" t="inlineStr">
        <is>
          <t>MALÅ</t>
        </is>
      </c>
      <c r="F2410" t="inlineStr">
        <is>
          <t>Sveaskog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44204-2019</t>
        </is>
      </c>
      <c r="B2411" s="1" t="n">
        <v>43710</v>
      </c>
      <c r="C2411" s="1" t="n">
        <v>45357</v>
      </c>
      <c r="D2411" t="inlineStr">
        <is>
          <t>VÄSTERBOTTENS LÄN</t>
        </is>
      </c>
      <c r="E2411" t="inlineStr">
        <is>
          <t>SKELLEFTEÅ</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44024-2019</t>
        </is>
      </c>
      <c r="B2412" s="1" t="n">
        <v>43710</v>
      </c>
      <c r="C2412" s="1" t="n">
        <v>45357</v>
      </c>
      <c r="D2412" t="inlineStr">
        <is>
          <t>VÄSTERBOTTENS LÄN</t>
        </is>
      </c>
      <c r="E2412" t="inlineStr">
        <is>
          <t>LYCKSELE</t>
        </is>
      </c>
      <c r="G2412" t="n">
        <v>9.800000000000001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44041-2019</t>
        </is>
      </c>
      <c r="B2413" s="1" t="n">
        <v>43710</v>
      </c>
      <c r="C2413" s="1" t="n">
        <v>45357</v>
      </c>
      <c r="D2413" t="inlineStr">
        <is>
          <t>VÄSTERBOTTENS LÄN</t>
        </is>
      </c>
      <c r="E2413" t="inlineStr">
        <is>
          <t>VINDELN</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44247-2019</t>
        </is>
      </c>
      <c r="B2414" s="1" t="n">
        <v>43710</v>
      </c>
      <c r="C2414" s="1" t="n">
        <v>45357</v>
      </c>
      <c r="D2414" t="inlineStr">
        <is>
          <t>VÄSTERBOTTENS LÄN</t>
        </is>
      </c>
      <c r="E2414" t="inlineStr">
        <is>
          <t>VINDELN</t>
        </is>
      </c>
      <c r="F2414" t="inlineStr">
        <is>
          <t>Sveaskog</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44043-2019</t>
        </is>
      </c>
      <c r="B2415" s="1" t="n">
        <v>43710</v>
      </c>
      <c r="C2415" s="1" t="n">
        <v>45357</v>
      </c>
      <c r="D2415" t="inlineStr">
        <is>
          <t>VÄSTERBOTTENS LÄN</t>
        </is>
      </c>
      <c r="E2415" t="inlineStr">
        <is>
          <t>VINDELN</t>
        </is>
      </c>
      <c r="F2415" t="inlineStr">
        <is>
          <t>Sveaskog</t>
        </is>
      </c>
      <c r="G2415" t="n">
        <v>10.9</v>
      </c>
      <c r="H2415" t="n">
        <v>0</v>
      </c>
      <c r="I2415" t="n">
        <v>0</v>
      </c>
      <c r="J2415" t="n">
        <v>0</v>
      </c>
      <c r="K2415" t="n">
        <v>0</v>
      </c>
      <c r="L2415" t="n">
        <v>0</v>
      </c>
      <c r="M2415" t="n">
        <v>0</v>
      </c>
      <c r="N2415" t="n">
        <v>0</v>
      </c>
      <c r="O2415" t="n">
        <v>0</v>
      </c>
      <c r="P2415" t="n">
        <v>0</v>
      </c>
      <c r="Q2415" t="n">
        <v>0</v>
      </c>
      <c r="R2415" s="2" t="inlineStr"/>
    </row>
    <row r="2416" ht="15" customHeight="1">
      <c r="A2416" t="inlineStr">
        <is>
          <t>A 44040-2019</t>
        </is>
      </c>
      <c r="B2416" s="1" t="n">
        <v>43710</v>
      </c>
      <c r="C2416" s="1" t="n">
        <v>45357</v>
      </c>
      <c r="D2416" t="inlineStr">
        <is>
          <t>VÄSTERBOTTENS LÄN</t>
        </is>
      </c>
      <c r="E2416" t="inlineStr">
        <is>
          <t>VINDELN</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44590-2019</t>
        </is>
      </c>
      <c r="B2417" s="1" t="n">
        <v>43711</v>
      </c>
      <c r="C2417" s="1" t="n">
        <v>45357</v>
      </c>
      <c r="D2417" t="inlineStr">
        <is>
          <t>VÄSTERBOTTENS LÄN</t>
        </is>
      </c>
      <c r="E2417" t="inlineStr">
        <is>
          <t>LYCKSELE</t>
        </is>
      </c>
      <c r="F2417" t="inlineStr">
        <is>
          <t>Holmen skog AB</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44508-2019</t>
        </is>
      </c>
      <c r="B2418" s="1" t="n">
        <v>43711</v>
      </c>
      <c r="C2418" s="1" t="n">
        <v>45357</v>
      </c>
      <c r="D2418" t="inlineStr">
        <is>
          <t>VÄSTERBOTTENS LÄN</t>
        </is>
      </c>
      <c r="E2418" t="inlineStr">
        <is>
          <t>VÄNNÄS</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44348-2019</t>
        </is>
      </c>
      <c r="B2419" s="1" t="n">
        <v>43711</v>
      </c>
      <c r="C2419" s="1" t="n">
        <v>45357</v>
      </c>
      <c r="D2419" t="inlineStr">
        <is>
          <t>VÄSTERBOTTENS LÄN</t>
        </is>
      </c>
      <c r="E2419" t="inlineStr">
        <is>
          <t>SKELLEFTEÅ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44649-2019</t>
        </is>
      </c>
      <c r="B2420" s="1" t="n">
        <v>43712</v>
      </c>
      <c r="C2420" s="1" t="n">
        <v>45357</v>
      </c>
      <c r="D2420" t="inlineStr">
        <is>
          <t>VÄSTERBOTTENS LÄN</t>
        </is>
      </c>
      <c r="E2420" t="inlineStr">
        <is>
          <t>VILHELMINA</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46252-2019</t>
        </is>
      </c>
      <c r="B2421" s="1" t="n">
        <v>43712</v>
      </c>
      <c r="C2421" s="1" t="n">
        <v>45357</v>
      </c>
      <c r="D2421" t="inlineStr">
        <is>
          <t>VÄSTERBOTTENS LÄN</t>
        </is>
      </c>
      <c r="E2421" t="inlineStr">
        <is>
          <t>LYCKSELE</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45105-2019</t>
        </is>
      </c>
      <c r="B2422" s="1" t="n">
        <v>43713</v>
      </c>
      <c r="C2422" s="1" t="n">
        <v>45357</v>
      </c>
      <c r="D2422" t="inlineStr">
        <is>
          <t>VÄSTERBOTTENS LÄN</t>
        </is>
      </c>
      <c r="E2422" t="inlineStr">
        <is>
          <t>VINDELN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45081-2019</t>
        </is>
      </c>
      <c r="B2423" s="1" t="n">
        <v>43713</v>
      </c>
      <c r="C2423" s="1" t="n">
        <v>45357</v>
      </c>
      <c r="D2423" t="inlineStr">
        <is>
          <t>VÄSTERBOTTENS LÄN</t>
        </is>
      </c>
      <c r="E2423" t="inlineStr">
        <is>
          <t>NORDMALING</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45134-2019</t>
        </is>
      </c>
      <c r="B2424" s="1" t="n">
        <v>43713</v>
      </c>
      <c r="C2424" s="1" t="n">
        <v>45357</v>
      </c>
      <c r="D2424" t="inlineStr">
        <is>
          <t>VÄSTERBOTTENS LÄN</t>
        </is>
      </c>
      <c r="E2424" t="inlineStr">
        <is>
          <t>BJURHOLM</t>
        </is>
      </c>
      <c r="F2424" t="inlineStr">
        <is>
          <t>Holmen skog AB</t>
        </is>
      </c>
      <c r="G2424" t="n">
        <v>11.9</v>
      </c>
      <c r="H2424" t="n">
        <v>0</v>
      </c>
      <c r="I2424" t="n">
        <v>0</v>
      </c>
      <c r="J2424" t="n">
        <v>0</v>
      </c>
      <c r="K2424" t="n">
        <v>0</v>
      </c>
      <c r="L2424" t="n">
        <v>0</v>
      </c>
      <c r="M2424" t="n">
        <v>0</v>
      </c>
      <c r="N2424" t="n">
        <v>0</v>
      </c>
      <c r="O2424" t="n">
        <v>0</v>
      </c>
      <c r="P2424" t="n">
        <v>0</v>
      </c>
      <c r="Q2424" t="n">
        <v>0</v>
      </c>
      <c r="R2424" s="2" t="inlineStr"/>
    </row>
    <row r="2425" ht="15" customHeight="1">
      <c r="A2425" t="inlineStr">
        <is>
          <t>A 45200-2019</t>
        </is>
      </c>
      <c r="B2425" s="1" t="n">
        <v>43713</v>
      </c>
      <c r="C2425" s="1" t="n">
        <v>45357</v>
      </c>
      <c r="D2425" t="inlineStr">
        <is>
          <t>VÄSTERBOTTENS LÄN</t>
        </is>
      </c>
      <c r="E2425" t="inlineStr">
        <is>
          <t>NORDMALING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45227-2019</t>
        </is>
      </c>
      <c r="B2426" s="1" t="n">
        <v>43713</v>
      </c>
      <c r="C2426" s="1" t="n">
        <v>45357</v>
      </c>
      <c r="D2426" t="inlineStr">
        <is>
          <t>VÄSTERBOTTENS LÄN</t>
        </is>
      </c>
      <c r="E2426" t="inlineStr">
        <is>
          <t>LYCKSELE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45275-2019</t>
        </is>
      </c>
      <c r="B2427" s="1" t="n">
        <v>43714</v>
      </c>
      <c r="C2427" s="1" t="n">
        <v>45357</v>
      </c>
      <c r="D2427" t="inlineStr">
        <is>
          <t>VÄSTERBOTTENS LÄN</t>
        </is>
      </c>
      <c r="E2427" t="inlineStr">
        <is>
          <t>VILHELMINA</t>
        </is>
      </c>
      <c r="F2427" t="inlineStr">
        <is>
          <t>SCA</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45264-2019</t>
        </is>
      </c>
      <c r="B2428" s="1" t="n">
        <v>43713</v>
      </c>
      <c r="C2428" s="1" t="n">
        <v>45357</v>
      </c>
      <c r="D2428" t="inlineStr">
        <is>
          <t>VÄSTERBOTTENS LÄN</t>
        </is>
      </c>
      <c r="E2428" t="inlineStr">
        <is>
          <t>LYCKSELE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45228-2019</t>
        </is>
      </c>
      <c r="B2429" s="1" t="n">
        <v>43713</v>
      </c>
      <c r="C2429" s="1" t="n">
        <v>45357</v>
      </c>
      <c r="D2429" t="inlineStr">
        <is>
          <t>VÄSTERBOTTENS LÄN</t>
        </is>
      </c>
      <c r="E2429" t="inlineStr">
        <is>
          <t>LYCKSELE</t>
        </is>
      </c>
      <c r="F2429" t="inlineStr">
        <is>
          <t>Holmen skog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46021-2019</t>
        </is>
      </c>
      <c r="B2430" s="1" t="n">
        <v>43713</v>
      </c>
      <c r="C2430" s="1" t="n">
        <v>45357</v>
      </c>
      <c r="D2430" t="inlineStr">
        <is>
          <t>VÄSTERBOTTENS LÄN</t>
        </is>
      </c>
      <c r="E2430" t="inlineStr">
        <is>
          <t>NORDMALING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46038-2019</t>
        </is>
      </c>
      <c r="B2431" s="1" t="n">
        <v>43713</v>
      </c>
      <c r="C2431" s="1" t="n">
        <v>45357</v>
      </c>
      <c r="D2431" t="inlineStr">
        <is>
          <t>VÄSTERBOTTENS LÄN</t>
        </is>
      </c>
      <c r="E2431" t="inlineStr">
        <is>
          <t>ROBERTSFORS</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46271-2019</t>
        </is>
      </c>
      <c r="B2432" s="1" t="n">
        <v>43713</v>
      </c>
      <c r="C2432" s="1" t="n">
        <v>45357</v>
      </c>
      <c r="D2432" t="inlineStr">
        <is>
          <t>VÄSTERBOTTENS LÄN</t>
        </is>
      </c>
      <c r="E2432" t="inlineStr">
        <is>
          <t>LYCKSELE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46077-2019</t>
        </is>
      </c>
      <c r="B2433" s="1" t="n">
        <v>43713</v>
      </c>
      <c r="C2433" s="1" t="n">
        <v>45357</v>
      </c>
      <c r="D2433" t="inlineStr">
        <is>
          <t>VÄSTERBOTTENS LÄN</t>
        </is>
      </c>
      <c r="E2433" t="inlineStr">
        <is>
          <t>NORDMALING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46284-2019</t>
        </is>
      </c>
      <c r="B2434" s="1" t="n">
        <v>43713</v>
      </c>
      <c r="C2434" s="1" t="n">
        <v>45357</v>
      </c>
      <c r="D2434" t="inlineStr">
        <is>
          <t>VÄSTERBOTTENS LÄN</t>
        </is>
      </c>
      <c r="E2434" t="inlineStr">
        <is>
          <t>LYCKSELE</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45242-2019</t>
        </is>
      </c>
      <c r="B2435" s="1" t="n">
        <v>43713</v>
      </c>
      <c r="C2435" s="1" t="n">
        <v>45357</v>
      </c>
      <c r="D2435" t="inlineStr">
        <is>
          <t>VÄSTERBOTTENS LÄN</t>
        </is>
      </c>
      <c r="E2435" t="inlineStr">
        <is>
          <t>STORUMAN</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45536-2019</t>
        </is>
      </c>
      <c r="B2436" s="1" t="n">
        <v>43714</v>
      </c>
      <c r="C2436" s="1" t="n">
        <v>45357</v>
      </c>
      <c r="D2436" t="inlineStr">
        <is>
          <t>VÄSTERBOTTENS LÄN</t>
        </is>
      </c>
      <c r="E2436" t="inlineStr">
        <is>
          <t>UMEÅ</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46412-2019</t>
        </is>
      </c>
      <c r="B2437" s="1" t="n">
        <v>43714</v>
      </c>
      <c r="C2437" s="1" t="n">
        <v>45357</v>
      </c>
      <c r="D2437" t="inlineStr">
        <is>
          <t>VÄSTERBOTTENS LÄN</t>
        </is>
      </c>
      <c r="E2437" t="inlineStr">
        <is>
          <t>SKELLEFTEÅ</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46227-2019</t>
        </is>
      </c>
      <c r="B2438" s="1" t="n">
        <v>43714</v>
      </c>
      <c r="C2438" s="1" t="n">
        <v>45357</v>
      </c>
      <c r="D2438" t="inlineStr">
        <is>
          <t>VÄSTERBOTTENS LÄN</t>
        </is>
      </c>
      <c r="E2438" t="inlineStr">
        <is>
          <t>SKELLEFTEÅ</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45758-2019</t>
        </is>
      </c>
      <c r="B2439" s="1" t="n">
        <v>43717</v>
      </c>
      <c r="C2439" s="1" t="n">
        <v>45357</v>
      </c>
      <c r="D2439" t="inlineStr">
        <is>
          <t>VÄSTERBOTTENS LÄN</t>
        </is>
      </c>
      <c r="E2439" t="inlineStr">
        <is>
          <t>LYCKSELE</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45905-2019</t>
        </is>
      </c>
      <c r="B2440" s="1" t="n">
        <v>43717</v>
      </c>
      <c r="C2440" s="1" t="n">
        <v>45357</v>
      </c>
      <c r="D2440" t="inlineStr">
        <is>
          <t>VÄSTERBOTTENS LÄN</t>
        </is>
      </c>
      <c r="E2440" t="inlineStr">
        <is>
          <t>UMEÅ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45921-2019</t>
        </is>
      </c>
      <c r="B2441" s="1" t="n">
        <v>43717</v>
      </c>
      <c r="C2441" s="1" t="n">
        <v>45357</v>
      </c>
      <c r="D2441" t="inlineStr">
        <is>
          <t>VÄSTERBOTTENS LÄN</t>
        </is>
      </c>
      <c r="E2441" t="inlineStr">
        <is>
          <t>DOROTEA</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45906-2019</t>
        </is>
      </c>
      <c r="B2442" s="1" t="n">
        <v>43717</v>
      </c>
      <c r="C2442" s="1" t="n">
        <v>45357</v>
      </c>
      <c r="D2442" t="inlineStr">
        <is>
          <t>VÄSTERBOTTENS LÄN</t>
        </is>
      </c>
      <c r="E2442" t="inlineStr">
        <is>
          <t>UMEÅ</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46570-2019</t>
        </is>
      </c>
      <c r="B2443" s="1" t="n">
        <v>43717</v>
      </c>
      <c r="C2443" s="1" t="n">
        <v>45357</v>
      </c>
      <c r="D2443" t="inlineStr">
        <is>
          <t>VÄSTERBOTTENS LÄN</t>
        </is>
      </c>
      <c r="E2443" t="inlineStr">
        <is>
          <t>NORDMALING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46308-2019</t>
        </is>
      </c>
      <c r="B2444" s="1" t="n">
        <v>43718</v>
      </c>
      <c r="C2444" s="1" t="n">
        <v>45357</v>
      </c>
      <c r="D2444" t="inlineStr">
        <is>
          <t>VÄSTERBOTTENS LÄN</t>
        </is>
      </c>
      <c r="E2444" t="inlineStr">
        <is>
          <t>VINDELN</t>
        </is>
      </c>
      <c r="F2444" t="inlineStr">
        <is>
          <t>Holmen skog AB</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46367-2019</t>
        </is>
      </c>
      <c r="B2445" s="1" t="n">
        <v>43718</v>
      </c>
      <c r="C2445" s="1" t="n">
        <v>45357</v>
      </c>
      <c r="D2445" t="inlineStr">
        <is>
          <t>VÄSTERBOTTENS LÄN</t>
        </is>
      </c>
      <c r="E2445" t="inlineStr">
        <is>
          <t>SKELLEFTEÅ</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46355-2019</t>
        </is>
      </c>
      <c r="B2446" s="1" t="n">
        <v>43718</v>
      </c>
      <c r="C2446" s="1" t="n">
        <v>45357</v>
      </c>
      <c r="D2446" t="inlineStr">
        <is>
          <t>VÄSTERBOTTENS LÄN</t>
        </is>
      </c>
      <c r="E2446" t="inlineStr">
        <is>
          <t>SKELLEFTEÅ</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46368-2019</t>
        </is>
      </c>
      <c r="B2447" s="1" t="n">
        <v>43718</v>
      </c>
      <c r="C2447" s="1" t="n">
        <v>45357</v>
      </c>
      <c r="D2447" t="inlineStr">
        <is>
          <t>VÄSTERBOTTENS LÄN</t>
        </is>
      </c>
      <c r="E2447" t="inlineStr">
        <is>
          <t>SKELLEFTEÅ</t>
        </is>
      </c>
      <c r="F2447" t="inlineStr">
        <is>
          <t>SCA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46387-2019</t>
        </is>
      </c>
      <c r="B2448" s="1" t="n">
        <v>43719</v>
      </c>
      <c r="C2448" s="1" t="n">
        <v>45357</v>
      </c>
      <c r="D2448" t="inlineStr">
        <is>
          <t>VÄSTERBOTTENS LÄN</t>
        </is>
      </c>
      <c r="E2448" t="inlineStr">
        <is>
          <t>VINDELN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46601-2019</t>
        </is>
      </c>
      <c r="B2449" s="1" t="n">
        <v>43719</v>
      </c>
      <c r="C2449" s="1" t="n">
        <v>45357</v>
      </c>
      <c r="D2449" t="inlineStr">
        <is>
          <t>VÄSTERBOTTENS LÄN</t>
        </is>
      </c>
      <c r="E2449" t="inlineStr">
        <is>
          <t>UMEÅ</t>
        </is>
      </c>
      <c r="F2449" t="inlineStr">
        <is>
          <t>Holmen skog AB</t>
        </is>
      </c>
      <c r="G2449" t="n">
        <v>16.3</v>
      </c>
      <c r="H2449" t="n">
        <v>0</v>
      </c>
      <c r="I2449" t="n">
        <v>0</v>
      </c>
      <c r="J2449" t="n">
        <v>0</v>
      </c>
      <c r="K2449" t="n">
        <v>0</v>
      </c>
      <c r="L2449" t="n">
        <v>0</v>
      </c>
      <c r="M2449" t="n">
        <v>0</v>
      </c>
      <c r="N2449" t="n">
        <v>0</v>
      </c>
      <c r="O2449" t="n">
        <v>0</v>
      </c>
      <c r="P2449" t="n">
        <v>0</v>
      </c>
      <c r="Q2449" t="n">
        <v>0</v>
      </c>
      <c r="R2449" s="2" t="inlineStr"/>
    </row>
    <row r="2450" ht="15" customHeight="1">
      <c r="A2450" t="inlineStr">
        <is>
          <t>A 46471-2019</t>
        </is>
      </c>
      <c r="B2450" s="1" t="n">
        <v>43719</v>
      </c>
      <c r="C2450" s="1" t="n">
        <v>45357</v>
      </c>
      <c r="D2450" t="inlineStr">
        <is>
          <t>VÄSTERBOTTENS LÄN</t>
        </is>
      </c>
      <c r="E2450" t="inlineStr">
        <is>
          <t>STORUMAN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46645-2019</t>
        </is>
      </c>
      <c r="B2451" s="1" t="n">
        <v>43719</v>
      </c>
      <c r="C2451" s="1" t="n">
        <v>45357</v>
      </c>
      <c r="D2451" t="inlineStr">
        <is>
          <t>VÄSTERBOTTENS LÄN</t>
        </is>
      </c>
      <c r="E2451" t="inlineStr">
        <is>
          <t>STORUMAN</t>
        </is>
      </c>
      <c r="F2451" t="inlineStr">
        <is>
          <t>Sveaskog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46612-2019</t>
        </is>
      </c>
      <c r="B2452" s="1" t="n">
        <v>43719</v>
      </c>
      <c r="C2452" s="1" t="n">
        <v>45357</v>
      </c>
      <c r="D2452" t="inlineStr">
        <is>
          <t>VÄSTERBOTTENS LÄN</t>
        </is>
      </c>
      <c r="E2452" t="inlineStr">
        <is>
          <t>STORUMAN</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46655-2019</t>
        </is>
      </c>
      <c r="B2453" s="1" t="n">
        <v>43719</v>
      </c>
      <c r="C2453" s="1" t="n">
        <v>45357</v>
      </c>
      <c r="D2453" t="inlineStr">
        <is>
          <t>VÄSTERBOTTENS LÄN</t>
        </is>
      </c>
      <c r="E2453" t="inlineStr">
        <is>
          <t>STORUMAN</t>
        </is>
      </c>
      <c r="F2453" t="inlineStr">
        <is>
          <t>Sveaskog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46808-2019</t>
        </is>
      </c>
      <c r="B2454" s="1" t="n">
        <v>43719</v>
      </c>
      <c r="C2454" s="1" t="n">
        <v>45357</v>
      </c>
      <c r="D2454" t="inlineStr">
        <is>
          <t>VÄSTERBOTTENS LÄN</t>
        </is>
      </c>
      <c r="E2454" t="inlineStr">
        <is>
          <t>VINDELN</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46748-2019</t>
        </is>
      </c>
      <c r="B2455" s="1" t="n">
        <v>43719</v>
      </c>
      <c r="C2455" s="1" t="n">
        <v>45357</v>
      </c>
      <c r="D2455" t="inlineStr">
        <is>
          <t>VÄSTERBOTTENS LÄN</t>
        </is>
      </c>
      <c r="E2455" t="inlineStr">
        <is>
          <t>DOROTEA</t>
        </is>
      </c>
      <c r="F2455" t="inlineStr">
        <is>
          <t>SCA</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46746-2019</t>
        </is>
      </c>
      <c r="B2456" s="1" t="n">
        <v>43719</v>
      </c>
      <c r="C2456" s="1" t="n">
        <v>45357</v>
      </c>
      <c r="D2456" t="inlineStr">
        <is>
          <t>VÄSTERBOTTENS LÄN</t>
        </is>
      </c>
      <c r="E2456" t="inlineStr">
        <is>
          <t>DOROTEA</t>
        </is>
      </c>
      <c r="F2456" t="inlineStr">
        <is>
          <t>SCA</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47000-2019</t>
        </is>
      </c>
      <c r="B2457" s="1" t="n">
        <v>43719</v>
      </c>
      <c r="C2457" s="1" t="n">
        <v>45357</v>
      </c>
      <c r="D2457" t="inlineStr">
        <is>
          <t>VÄSTERBOTTENS LÄN</t>
        </is>
      </c>
      <c r="E2457" t="inlineStr">
        <is>
          <t>SORSELE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46848-2019</t>
        </is>
      </c>
      <c r="B2458" s="1" t="n">
        <v>43719</v>
      </c>
      <c r="C2458" s="1" t="n">
        <v>45357</v>
      </c>
      <c r="D2458" t="inlineStr">
        <is>
          <t>VÄSTERBOTTENS LÄN</t>
        </is>
      </c>
      <c r="E2458" t="inlineStr">
        <is>
          <t>VINDELN</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46651-2019</t>
        </is>
      </c>
      <c r="B2459" s="1" t="n">
        <v>43719</v>
      </c>
      <c r="C2459" s="1" t="n">
        <v>45357</v>
      </c>
      <c r="D2459" t="inlineStr">
        <is>
          <t>VÄSTERBOTTENS LÄN</t>
        </is>
      </c>
      <c r="E2459" t="inlineStr">
        <is>
          <t>STORUMAN</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47015-2019</t>
        </is>
      </c>
      <c r="B2460" s="1" t="n">
        <v>43719</v>
      </c>
      <c r="C2460" s="1" t="n">
        <v>45357</v>
      </c>
      <c r="D2460" t="inlineStr">
        <is>
          <t>VÄSTERBOTTENS LÄN</t>
        </is>
      </c>
      <c r="E2460" t="inlineStr">
        <is>
          <t>SORSELE</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46952-2019</t>
        </is>
      </c>
      <c r="B2461" s="1" t="n">
        <v>43720</v>
      </c>
      <c r="C2461" s="1" t="n">
        <v>45357</v>
      </c>
      <c r="D2461" t="inlineStr">
        <is>
          <t>VÄSTERBOTTENS LÄN</t>
        </is>
      </c>
      <c r="E2461" t="inlineStr">
        <is>
          <t>SKELLEFTEÅ</t>
        </is>
      </c>
      <c r="F2461" t="inlineStr">
        <is>
          <t>Holmen skog AB</t>
        </is>
      </c>
      <c r="G2461" t="n">
        <v>10.8</v>
      </c>
      <c r="H2461" t="n">
        <v>0</v>
      </c>
      <c r="I2461" t="n">
        <v>0</v>
      </c>
      <c r="J2461" t="n">
        <v>0</v>
      </c>
      <c r="K2461" t="n">
        <v>0</v>
      </c>
      <c r="L2461" t="n">
        <v>0</v>
      </c>
      <c r="M2461" t="n">
        <v>0</v>
      </c>
      <c r="N2461" t="n">
        <v>0</v>
      </c>
      <c r="O2461" t="n">
        <v>0</v>
      </c>
      <c r="P2461" t="n">
        <v>0</v>
      </c>
      <c r="Q2461" t="n">
        <v>0</v>
      </c>
      <c r="R2461" s="2" t="inlineStr"/>
    </row>
    <row r="2462" ht="15" customHeight="1">
      <c r="A2462" t="inlineStr">
        <is>
          <t>A 46758-2019</t>
        </is>
      </c>
      <c r="B2462" s="1" t="n">
        <v>43720</v>
      </c>
      <c r="C2462" s="1" t="n">
        <v>45357</v>
      </c>
      <c r="D2462" t="inlineStr">
        <is>
          <t>VÄSTERBOTTENS LÄN</t>
        </is>
      </c>
      <c r="E2462" t="inlineStr">
        <is>
          <t>STORUMAN</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46914-2019</t>
        </is>
      </c>
      <c r="B2463" s="1" t="n">
        <v>43720</v>
      </c>
      <c r="C2463" s="1" t="n">
        <v>45357</v>
      </c>
      <c r="D2463" t="inlineStr">
        <is>
          <t>VÄSTERBOTTENS LÄN</t>
        </is>
      </c>
      <c r="E2463" t="inlineStr">
        <is>
          <t>MALÅ</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46968-2019</t>
        </is>
      </c>
      <c r="B2464" s="1" t="n">
        <v>43720</v>
      </c>
      <c r="C2464" s="1" t="n">
        <v>45357</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46946-2019</t>
        </is>
      </c>
      <c r="B2465" s="1" t="n">
        <v>43720</v>
      </c>
      <c r="C2465" s="1" t="n">
        <v>45357</v>
      </c>
      <c r="D2465" t="inlineStr">
        <is>
          <t>VÄSTERBOTTENS LÄN</t>
        </is>
      </c>
      <c r="E2465" t="inlineStr">
        <is>
          <t>SKELLEFTEÅ</t>
        </is>
      </c>
      <c r="F2465" t="inlineStr">
        <is>
          <t>Holmen skog AB</t>
        </is>
      </c>
      <c r="G2465" t="n">
        <v>13.2</v>
      </c>
      <c r="H2465" t="n">
        <v>0</v>
      </c>
      <c r="I2465" t="n">
        <v>0</v>
      </c>
      <c r="J2465" t="n">
        <v>0</v>
      </c>
      <c r="K2465" t="n">
        <v>0</v>
      </c>
      <c r="L2465" t="n">
        <v>0</v>
      </c>
      <c r="M2465" t="n">
        <v>0</v>
      </c>
      <c r="N2465" t="n">
        <v>0</v>
      </c>
      <c r="O2465" t="n">
        <v>0</v>
      </c>
      <c r="P2465" t="n">
        <v>0</v>
      </c>
      <c r="Q2465" t="n">
        <v>0</v>
      </c>
      <c r="R2465" s="2" t="inlineStr"/>
    </row>
    <row r="2466" ht="15" customHeight="1">
      <c r="A2466" t="inlineStr">
        <is>
          <t>A 47062-2019</t>
        </is>
      </c>
      <c r="B2466" s="1" t="n">
        <v>43720</v>
      </c>
      <c r="C2466" s="1" t="n">
        <v>45357</v>
      </c>
      <c r="D2466" t="inlineStr">
        <is>
          <t>VÄSTERBOTTENS LÄN</t>
        </is>
      </c>
      <c r="E2466" t="inlineStr">
        <is>
          <t>LYCKSELE</t>
        </is>
      </c>
      <c r="F2466" t="inlineStr">
        <is>
          <t>Holmen skog AB</t>
        </is>
      </c>
      <c r="G2466" t="n">
        <v>10.9</v>
      </c>
      <c r="H2466" t="n">
        <v>0</v>
      </c>
      <c r="I2466" t="n">
        <v>0</v>
      </c>
      <c r="J2466" t="n">
        <v>0</v>
      </c>
      <c r="K2466" t="n">
        <v>0</v>
      </c>
      <c r="L2466" t="n">
        <v>0</v>
      </c>
      <c r="M2466" t="n">
        <v>0</v>
      </c>
      <c r="N2466" t="n">
        <v>0</v>
      </c>
      <c r="O2466" t="n">
        <v>0</v>
      </c>
      <c r="P2466" t="n">
        <v>0</v>
      </c>
      <c r="Q2466" t="n">
        <v>0</v>
      </c>
      <c r="R2466" s="2" t="inlineStr"/>
    </row>
    <row r="2467" ht="15" customHeight="1">
      <c r="A2467" t="inlineStr">
        <is>
          <t>A 47110-2019</t>
        </is>
      </c>
      <c r="B2467" s="1" t="n">
        <v>43720</v>
      </c>
      <c r="C2467" s="1" t="n">
        <v>45357</v>
      </c>
      <c r="D2467" t="inlineStr">
        <is>
          <t>VÄSTERBOTTENS LÄN</t>
        </is>
      </c>
      <c r="E2467" t="inlineStr">
        <is>
          <t>UMEÅ</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47224-2019</t>
        </is>
      </c>
      <c r="B2468" s="1" t="n">
        <v>43720</v>
      </c>
      <c r="C2468" s="1" t="n">
        <v>45357</v>
      </c>
      <c r="D2468" t="inlineStr">
        <is>
          <t>VÄSTERBOTTENS LÄN</t>
        </is>
      </c>
      <c r="E2468" t="inlineStr">
        <is>
          <t>SKELLEFTEÅ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47111-2019</t>
        </is>
      </c>
      <c r="B2469" s="1" t="n">
        <v>43720</v>
      </c>
      <c r="C2469" s="1" t="n">
        <v>45357</v>
      </c>
      <c r="D2469" t="inlineStr">
        <is>
          <t>VÄSTERBOTTENS LÄN</t>
        </is>
      </c>
      <c r="E2469" t="inlineStr">
        <is>
          <t>UMEÅ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47091-2019</t>
        </is>
      </c>
      <c r="B2470" s="1" t="n">
        <v>43720</v>
      </c>
      <c r="C2470" s="1" t="n">
        <v>45357</v>
      </c>
      <c r="D2470" t="inlineStr">
        <is>
          <t>VÄSTERBOTTENS LÄN</t>
        </is>
      </c>
      <c r="E2470" t="inlineStr">
        <is>
          <t>SKELLEFTEÅ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47452-2019</t>
        </is>
      </c>
      <c r="B2471" s="1" t="n">
        <v>43721</v>
      </c>
      <c r="C2471" s="1" t="n">
        <v>45357</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47460-2019</t>
        </is>
      </c>
      <c r="B2472" s="1" t="n">
        <v>43721</v>
      </c>
      <c r="C2472" s="1" t="n">
        <v>45357</v>
      </c>
      <c r="D2472" t="inlineStr">
        <is>
          <t>VÄSTERBOTTENS LÄN</t>
        </is>
      </c>
      <c r="E2472" t="inlineStr">
        <is>
          <t>SKELLEFTEÅ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47388-2019</t>
        </is>
      </c>
      <c r="B2473" s="1" t="n">
        <v>43721</v>
      </c>
      <c r="C2473" s="1" t="n">
        <v>45357</v>
      </c>
      <c r="D2473" t="inlineStr">
        <is>
          <t>VÄSTERBOTTENS LÄN</t>
        </is>
      </c>
      <c r="E2473" t="inlineStr">
        <is>
          <t>VILHELMINA</t>
        </is>
      </c>
      <c r="F2473" t="inlineStr">
        <is>
          <t>SCA</t>
        </is>
      </c>
      <c r="G2473" t="n">
        <v>15.4</v>
      </c>
      <c r="H2473" t="n">
        <v>0</v>
      </c>
      <c r="I2473" t="n">
        <v>0</v>
      </c>
      <c r="J2473" t="n">
        <v>0</v>
      </c>
      <c r="K2473" t="n">
        <v>0</v>
      </c>
      <c r="L2473" t="n">
        <v>0</v>
      </c>
      <c r="M2473" t="n">
        <v>0</v>
      </c>
      <c r="N2473" t="n">
        <v>0</v>
      </c>
      <c r="O2473" t="n">
        <v>0</v>
      </c>
      <c r="P2473" t="n">
        <v>0</v>
      </c>
      <c r="Q2473" t="n">
        <v>0</v>
      </c>
      <c r="R2473" s="2" t="inlineStr"/>
    </row>
    <row r="2474" ht="15" customHeight="1">
      <c r="A2474" t="inlineStr">
        <is>
          <t>A 47535-2019</t>
        </is>
      </c>
      <c r="B2474" s="1" t="n">
        <v>43721</v>
      </c>
      <c r="C2474" s="1" t="n">
        <v>45357</v>
      </c>
      <c r="D2474" t="inlineStr">
        <is>
          <t>VÄSTERBOTTENS LÄN</t>
        </is>
      </c>
      <c r="E2474" t="inlineStr">
        <is>
          <t>SKELLEFTEÅ</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47419-2019</t>
        </is>
      </c>
      <c r="B2475" s="1" t="n">
        <v>43723</v>
      </c>
      <c r="C2475" s="1" t="n">
        <v>45357</v>
      </c>
      <c r="D2475" t="inlineStr">
        <is>
          <t>VÄSTERBOTTENS LÄN</t>
        </is>
      </c>
      <c r="E2475" t="inlineStr">
        <is>
          <t>VINDELN</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47572-2019</t>
        </is>
      </c>
      <c r="B2476" s="1" t="n">
        <v>43724</v>
      </c>
      <c r="C2476" s="1" t="n">
        <v>45357</v>
      </c>
      <c r="D2476" t="inlineStr">
        <is>
          <t>VÄSTERBOTTENS LÄN</t>
        </is>
      </c>
      <c r="E2476" t="inlineStr">
        <is>
          <t>SKELLEFTEÅ</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47453-2019</t>
        </is>
      </c>
      <c r="B2477" s="1" t="n">
        <v>43724</v>
      </c>
      <c r="C2477" s="1" t="n">
        <v>45357</v>
      </c>
      <c r="D2477" t="inlineStr">
        <is>
          <t>VÄSTERBOTTENS LÄN</t>
        </is>
      </c>
      <c r="E2477" t="inlineStr">
        <is>
          <t>NORDMALING</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47601-2019</t>
        </is>
      </c>
      <c r="B2478" s="1" t="n">
        <v>43724</v>
      </c>
      <c r="C2478" s="1" t="n">
        <v>45357</v>
      </c>
      <c r="D2478" t="inlineStr">
        <is>
          <t>VÄSTERBOTTENS LÄN</t>
        </is>
      </c>
      <c r="E2478" t="inlineStr">
        <is>
          <t>UMEÅ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47573-2019</t>
        </is>
      </c>
      <c r="B2479" s="1" t="n">
        <v>43724</v>
      </c>
      <c r="C2479" s="1" t="n">
        <v>45357</v>
      </c>
      <c r="D2479" t="inlineStr">
        <is>
          <t>VÄSTERBOTTENS LÄN</t>
        </is>
      </c>
      <c r="E2479" t="inlineStr">
        <is>
          <t>UMEÅ</t>
        </is>
      </c>
      <c r="F2479" t="inlineStr">
        <is>
          <t>Holmen skog AB</t>
        </is>
      </c>
      <c r="G2479" t="n">
        <v>17.1</v>
      </c>
      <c r="H2479" t="n">
        <v>0</v>
      </c>
      <c r="I2479" t="n">
        <v>0</v>
      </c>
      <c r="J2479" t="n">
        <v>0</v>
      </c>
      <c r="K2479" t="n">
        <v>0</v>
      </c>
      <c r="L2479" t="n">
        <v>0</v>
      </c>
      <c r="M2479" t="n">
        <v>0</v>
      </c>
      <c r="N2479" t="n">
        <v>0</v>
      </c>
      <c r="O2479" t="n">
        <v>0</v>
      </c>
      <c r="P2479" t="n">
        <v>0</v>
      </c>
      <c r="Q2479" t="n">
        <v>0</v>
      </c>
      <c r="R2479" s="2" t="inlineStr"/>
    </row>
    <row r="2480" ht="15" customHeight="1">
      <c r="A2480" t="inlineStr">
        <is>
          <t>A 47643-2019</t>
        </is>
      </c>
      <c r="B2480" s="1" t="n">
        <v>43724</v>
      </c>
      <c r="C2480" s="1" t="n">
        <v>45357</v>
      </c>
      <c r="D2480" t="inlineStr">
        <is>
          <t>VÄSTERBOTTENS LÄN</t>
        </is>
      </c>
      <c r="E2480" t="inlineStr">
        <is>
          <t>SKELLEFTEÅ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47708-2019</t>
        </is>
      </c>
      <c r="B2481" s="1" t="n">
        <v>43724</v>
      </c>
      <c r="C2481" s="1" t="n">
        <v>45357</v>
      </c>
      <c r="D2481" t="inlineStr">
        <is>
          <t>VÄSTERBOTTENS LÄN</t>
        </is>
      </c>
      <c r="E2481" t="inlineStr">
        <is>
          <t>UMEÅ</t>
        </is>
      </c>
      <c r="F2481" t="inlineStr">
        <is>
          <t>Holmen skog AB</t>
        </is>
      </c>
      <c r="G2481" t="n">
        <v>8.4</v>
      </c>
      <c r="H2481" t="n">
        <v>0</v>
      </c>
      <c r="I2481" t="n">
        <v>0</v>
      </c>
      <c r="J2481" t="n">
        <v>0</v>
      </c>
      <c r="K2481" t="n">
        <v>0</v>
      </c>
      <c r="L2481" t="n">
        <v>0</v>
      </c>
      <c r="M2481" t="n">
        <v>0</v>
      </c>
      <c r="N2481" t="n">
        <v>0</v>
      </c>
      <c r="O2481" t="n">
        <v>0</v>
      </c>
      <c r="P2481" t="n">
        <v>0</v>
      </c>
      <c r="Q2481" t="n">
        <v>0</v>
      </c>
      <c r="R2481" s="2" t="inlineStr"/>
    </row>
    <row r="2482" ht="15" customHeight="1">
      <c r="A2482" t="inlineStr">
        <is>
          <t>A 47784-2019</t>
        </is>
      </c>
      <c r="B2482" s="1" t="n">
        <v>43724</v>
      </c>
      <c r="C2482" s="1" t="n">
        <v>45357</v>
      </c>
      <c r="D2482" t="inlineStr">
        <is>
          <t>VÄSTERBOTTENS LÄN</t>
        </is>
      </c>
      <c r="E2482" t="inlineStr">
        <is>
          <t>DOROTEA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47932-2019</t>
        </is>
      </c>
      <c r="B2483" s="1" t="n">
        <v>43725</v>
      </c>
      <c r="C2483" s="1" t="n">
        <v>45357</v>
      </c>
      <c r="D2483" t="inlineStr">
        <is>
          <t>VÄSTERBOTTENS LÄN</t>
        </is>
      </c>
      <c r="E2483" t="inlineStr">
        <is>
          <t>STORUMAN</t>
        </is>
      </c>
      <c r="F2483" t="inlineStr">
        <is>
          <t>Sveaskog</t>
        </is>
      </c>
      <c r="G2483" t="n">
        <v>14.4</v>
      </c>
      <c r="H2483" t="n">
        <v>0</v>
      </c>
      <c r="I2483" t="n">
        <v>0</v>
      </c>
      <c r="J2483" t="n">
        <v>0</v>
      </c>
      <c r="K2483" t="n">
        <v>0</v>
      </c>
      <c r="L2483" t="n">
        <v>0</v>
      </c>
      <c r="M2483" t="n">
        <v>0</v>
      </c>
      <c r="N2483" t="n">
        <v>0</v>
      </c>
      <c r="O2483" t="n">
        <v>0</v>
      </c>
      <c r="P2483" t="n">
        <v>0</v>
      </c>
      <c r="Q2483" t="n">
        <v>0</v>
      </c>
      <c r="R2483" s="2" t="inlineStr"/>
    </row>
    <row r="2484" ht="15" customHeight="1">
      <c r="A2484" t="inlineStr">
        <is>
          <t>A 48213-2019</t>
        </is>
      </c>
      <c r="B2484" s="1" t="n">
        <v>43725</v>
      </c>
      <c r="C2484" s="1" t="n">
        <v>45357</v>
      </c>
      <c r="D2484" t="inlineStr">
        <is>
          <t>VÄSTERBOTTENS LÄN</t>
        </is>
      </c>
      <c r="E2484" t="inlineStr">
        <is>
          <t>VINDELN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48183-2019</t>
        </is>
      </c>
      <c r="B2485" s="1" t="n">
        <v>43725</v>
      </c>
      <c r="C2485" s="1" t="n">
        <v>45357</v>
      </c>
      <c r="D2485" t="inlineStr">
        <is>
          <t>VÄSTERBOTTENS LÄN</t>
        </is>
      </c>
      <c r="E2485" t="inlineStr">
        <is>
          <t>ROBERTSFORS</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48259-2019</t>
        </is>
      </c>
      <c r="B2486" s="1" t="n">
        <v>43726</v>
      </c>
      <c r="C2486" s="1" t="n">
        <v>45357</v>
      </c>
      <c r="D2486" t="inlineStr">
        <is>
          <t>VÄSTERBOTTENS LÄN</t>
        </is>
      </c>
      <c r="E2486" t="inlineStr">
        <is>
          <t>VILHELMINA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48427-2019</t>
        </is>
      </c>
      <c r="B2487" s="1" t="n">
        <v>43727</v>
      </c>
      <c r="C2487" s="1" t="n">
        <v>45357</v>
      </c>
      <c r="D2487" t="inlineStr">
        <is>
          <t>VÄSTERBOTTENS LÄN</t>
        </is>
      </c>
      <c r="E2487" t="inlineStr">
        <is>
          <t>BJURHOLM</t>
        </is>
      </c>
      <c r="F2487" t="inlineStr">
        <is>
          <t>Sveaskog</t>
        </is>
      </c>
      <c r="G2487" t="n">
        <v>8.300000000000001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48457-2019</t>
        </is>
      </c>
      <c r="B2488" s="1" t="n">
        <v>43727</v>
      </c>
      <c r="C2488" s="1" t="n">
        <v>45357</v>
      </c>
      <c r="D2488" t="inlineStr">
        <is>
          <t>VÄSTERBOTTENS LÄN</t>
        </is>
      </c>
      <c r="E2488" t="inlineStr">
        <is>
          <t>MALÅ</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48506-2019</t>
        </is>
      </c>
      <c r="B2489" s="1" t="n">
        <v>43727</v>
      </c>
      <c r="C2489" s="1" t="n">
        <v>45357</v>
      </c>
      <c r="D2489" t="inlineStr">
        <is>
          <t>VÄSTERBOTTENS LÄN</t>
        </is>
      </c>
      <c r="E2489" t="inlineStr">
        <is>
          <t>DOROTEA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48558-2019</t>
        </is>
      </c>
      <c r="B2490" s="1" t="n">
        <v>43727</v>
      </c>
      <c r="C2490" s="1" t="n">
        <v>45357</v>
      </c>
      <c r="D2490" t="inlineStr">
        <is>
          <t>VÄSTERBOTTENS LÄN</t>
        </is>
      </c>
      <c r="E2490" t="inlineStr">
        <is>
          <t>UMEÅ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48784-2019</t>
        </is>
      </c>
      <c r="B2491" s="1" t="n">
        <v>43727</v>
      </c>
      <c r="C2491" s="1" t="n">
        <v>45357</v>
      </c>
      <c r="D2491" t="inlineStr">
        <is>
          <t>VÄSTERBOTTENS LÄN</t>
        </is>
      </c>
      <c r="E2491" t="inlineStr">
        <is>
          <t>LYCKSELE</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48592-2019</t>
        </is>
      </c>
      <c r="B2492" s="1" t="n">
        <v>43727</v>
      </c>
      <c r="C2492" s="1" t="n">
        <v>45357</v>
      </c>
      <c r="D2492" t="inlineStr">
        <is>
          <t>VÄSTERBOTTENS LÄN</t>
        </is>
      </c>
      <c r="E2492" t="inlineStr">
        <is>
          <t>SKELLEFTEÅ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48585-2019</t>
        </is>
      </c>
      <c r="B2493" s="1" t="n">
        <v>43727</v>
      </c>
      <c r="C2493" s="1" t="n">
        <v>45357</v>
      </c>
      <c r="D2493" t="inlineStr">
        <is>
          <t>VÄSTERBOTTENS LÄN</t>
        </is>
      </c>
      <c r="E2493" t="inlineStr">
        <is>
          <t>MALÅ</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48513-2019</t>
        </is>
      </c>
      <c r="B2494" s="1" t="n">
        <v>43727</v>
      </c>
      <c r="C2494" s="1" t="n">
        <v>45357</v>
      </c>
      <c r="D2494" t="inlineStr">
        <is>
          <t>VÄSTERBOTTENS LÄN</t>
        </is>
      </c>
      <c r="E2494" t="inlineStr">
        <is>
          <t>BJURHOLM</t>
        </is>
      </c>
      <c r="F2494" t="inlineStr">
        <is>
          <t>Holmen skog AB</t>
        </is>
      </c>
      <c r="G2494" t="n">
        <v>17.3</v>
      </c>
      <c r="H2494" t="n">
        <v>0</v>
      </c>
      <c r="I2494" t="n">
        <v>0</v>
      </c>
      <c r="J2494" t="n">
        <v>0</v>
      </c>
      <c r="K2494" t="n">
        <v>0</v>
      </c>
      <c r="L2494" t="n">
        <v>0</v>
      </c>
      <c r="M2494" t="n">
        <v>0</v>
      </c>
      <c r="N2494" t="n">
        <v>0</v>
      </c>
      <c r="O2494" t="n">
        <v>0</v>
      </c>
      <c r="P2494" t="n">
        <v>0</v>
      </c>
      <c r="Q2494" t="n">
        <v>0</v>
      </c>
      <c r="R2494" s="2" t="inlineStr"/>
    </row>
    <row r="2495" ht="15" customHeight="1">
      <c r="A2495" t="inlineStr">
        <is>
          <t>A 48786-2019</t>
        </is>
      </c>
      <c r="B2495" s="1" t="n">
        <v>43727</v>
      </c>
      <c r="C2495" s="1" t="n">
        <v>45357</v>
      </c>
      <c r="D2495" t="inlineStr">
        <is>
          <t>VÄSTERBOTTENS LÄN</t>
        </is>
      </c>
      <c r="E2495" t="inlineStr">
        <is>
          <t>SKELLEFTEÅ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48957-2019</t>
        </is>
      </c>
      <c r="B2496" s="1" t="n">
        <v>43728</v>
      </c>
      <c r="C2496" s="1" t="n">
        <v>45357</v>
      </c>
      <c r="D2496" t="inlineStr">
        <is>
          <t>VÄSTERBOTTENS LÄN</t>
        </is>
      </c>
      <c r="E2496" t="inlineStr">
        <is>
          <t>SKELLEFTEÅ</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48853-2019</t>
        </is>
      </c>
      <c r="B2497" s="1" t="n">
        <v>43728</v>
      </c>
      <c r="C2497" s="1" t="n">
        <v>45357</v>
      </c>
      <c r="D2497" t="inlineStr">
        <is>
          <t>VÄSTERBOTTENS LÄN</t>
        </is>
      </c>
      <c r="E2497" t="inlineStr">
        <is>
          <t>BJURHOLM</t>
        </is>
      </c>
      <c r="F2497" t="inlineStr">
        <is>
          <t>Sveaskog</t>
        </is>
      </c>
      <c r="G2497" t="n">
        <v>32.9</v>
      </c>
      <c r="H2497" t="n">
        <v>0</v>
      </c>
      <c r="I2497" t="n">
        <v>0</v>
      </c>
      <c r="J2497" t="n">
        <v>0</v>
      </c>
      <c r="K2497" t="n">
        <v>0</v>
      </c>
      <c r="L2497" t="n">
        <v>0</v>
      </c>
      <c r="M2497" t="n">
        <v>0</v>
      </c>
      <c r="N2497" t="n">
        <v>0</v>
      </c>
      <c r="O2497" t="n">
        <v>0</v>
      </c>
      <c r="P2497" t="n">
        <v>0</v>
      </c>
      <c r="Q2497" t="n">
        <v>0</v>
      </c>
      <c r="R2497" s="2" t="inlineStr"/>
    </row>
    <row r="2498" ht="15" customHeight="1">
      <c r="A2498" t="inlineStr">
        <is>
          <t>A 49617-2019</t>
        </is>
      </c>
      <c r="B2498" s="1" t="n">
        <v>43728</v>
      </c>
      <c r="C2498" s="1" t="n">
        <v>45357</v>
      </c>
      <c r="D2498" t="inlineStr">
        <is>
          <t>VÄSTERBOTTENS LÄN</t>
        </is>
      </c>
      <c r="E2498" t="inlineStr">
        <is>
          <t>SKELLEFTEÅ</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49464-2019</t>
        </is>
      </c>
      <c r="B2499" s="1" t="n">
        <v>43728</v>
      </c>
      <c r="C2499" s="1" t="n">
        <v>45357</v>
      </c>
      <c r="D2499" t="inlineStr">
        <is>
          <t>VÄSTERBOTTENS LÄN</t>
        </is>
      </c>
      <c r="E2499" t="inlineStr">
        <is>
          <t>SKELLEFTEÅ</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49712-2019</t>
        </is>
      </c>
      <c r="B2500" s="1" t="n">
        <v>43728</v>
      </c>
      <c r="C2500" s="1" t="n">
        <v>45357</v>
      </c>
      <c r="D2500" t="inlineStr">
        <is>
          <t>VÄSTERBOTTENS LÄN</t>
        </is>
      </c>
      <c r="E2500" t="inlineStr">
        <is>
          <t>SKELLEFTEÅ</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49615-2019</t>
        </is>
      </c>
      <c r="B2501" s="1" t="n">
        <v>43728</v>
      </c>
      <c r="C2501" s="1" t="n">
        <v>45357</v>
      </c>
      <c r="D2501" t="inlineStr">
        <is>
          <t>VÄSTERBOTTENS LÄN</t>
        </is>
      </c>
      <c r="E2501" t="inlineStr">
        <is>
          <t>VILHELMINA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49005-2019</t>
        </is>
      </c>
      <c r="B2502" s="1" t="n">
        <v>43730</v>
      </c>
      <c r="C2502" s="1" t="n">
        <v>45357</v>
      </c>
      <c r="D2502" t="inlineStr">
        <is>
          <t>VÄSTERBOTTENS LÄN</t>
        </is>
      </c>
      <c r="E2502" t="inlineStr">
        <is>
          <t>SKELLEFTEÅ</t>
        </is>
      </c>
      <c r="F2502" t="inlineStr">
        <is>
          <t>Holmen skog AB</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49035-2019</t>
        </is>
      </c>
      <c r="B2503" s="1" t="n">
        <v>43731</v>
      </c>
      <c r="C2503" s="1" t="n">
        <v>45357</v>
      </c>
      <c r="D2503" t="inlineStr">
        <is>
          <t>VÄSTERBOTTENS LÄN</t>
        </is>
      </c>
      <c r="E2503" t="inlineStr">
        <is>
          <t>SKELLEFTEÅ</t>
        </is>
      </c>
      <c r="F2503" t="inlineStr">
        <is>
          <t>Kommuner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49034-2019</t>
        </is>
      </c>
      <c r="B2504" s="1" t="n">
        <v>43731</v>
      </c>
      <c r="C2504" s="1" t="n">
        <v>45357</v>
      </c>
      <c r="D2504" t="inlineStr">
        <is>
          <t>VÄSTERBOTTENS LÄN</t>
        </is>
      </c>
      <c r="E2504" t="inlineStr">
        <is>
          <t>STORUMAN</t>
        </is>
      </c>
      <c r="F2504" t="inlineStr">
        <is>
          <t>Sveaskog</t>
        </is>
      </c>
      <c r="G2504" t="n">
        <v>29.4</v>
      </c>
      <c r="H2504" t="n">
        <v>0</v>
      </c>
      <c r="I2504" t="n">
        <v>0</v>
      </c>
      <c r="J2504" t="n">
        <v>0</v>
      </c>
      <c r="K2504" t="n">
        <v>0</v>
      </c>
      <c r="L2504" t="n">
        <v>0</v>
      </c>
      <c r="M2504" t="n">
        <v>0</v>
      </c>
      <c r="N2504" t="n">
        <v>0</v>
      </c>
      <c r="O2504" t="n">
        <v>0</v>
      </c>
      <c r="P2504" t="n">
        <v>0</v>
      </c>
      <c r="Q2504" t="n">
        <v>0</v>
      </c>
      <c r="R2504" s="2" t="inlineStr"/>
    </row>
    <row r="2505" ht="15" customHeight="1">
      <c r="A2505" t="inlineStr">
        <is>
          <t>A 49112-2019</t>
        </is>
      </c>
      <c r="B2505" s="1" t="n">
        <v>43731</v>
      </c>
      <c r="C2505" s="1" t="n">
        <v>45357</v>
      </c>
      <c r="D2505" t="inlineStr">
        <is>
          <t>VÄSTERBOTTENS LÄN</t>
        </is>
      </c>
      <c r="E2505" t="inlineStr">
        <is>
          <t>LYCKSELE</t>
        </is>
      </c>
      <c r="F2505" t="inlineStr">
        <is>
          <t>Sveaskog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49254-2019</t>
        </is>
      </c>
      <c r="B2506" s="1" t="n">
        <v>43731</v>
      </c>
      <c r="C2506" s="1" t="n">
        <v>45357</v>
      </c>
      <c r="D2506" t="inlineStr">
        <is>
          <t>VÄSTERBOTTENS LÄN</t>
        </is>
      </c>
      <c r="E2506" t="inlineStr">
        <is>
          <t>VILHELMINA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49360-2019</t>
        </is>
      </c>
      <c r="B2507" s="1" t="n">
        <v>43731</v>
      </c>
      <c r="C2507" s="1" t="n">
        <v>45357</v>
      </c>
      <c r="D2507" t="inlineStr">
        <is>
          <t>VÄSTERBOTTENS LÄN</t>
        </is>
      </c>
      <c r="E2507" t="inlineStr">
        <is>
          <t>DOROTEA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49327-2019</t>
        </is>
      </c>
      <c r="B2508" s="1" t="n">
        <v>43731</v>
      </c>
      <c r="C2508" s="1" t="n">
        <v>45357</v>
      </c>
      <c r="D2508" t="inlineStr">
        <is>
          <t>VÄSTERBOTTENS LÄN</t>
        </is>
      </c>
      <c r="E2508" t="inlineStr">
        <is>
          <t>SKELLEFTEÅ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49282-2019</t>
        </is>
      </c>
      <c r="B2509" s="1" t="n">
        <v>43731</v>
      </c>
      <c r="C2509" s="1" t="n">
        <v>45357</v>
      </c>
      <c r="D2509" t="inlineStr">
        <is>
          <t>VÄSTERBOTTENS LÄN</t>
        </is>
      </c>
      <c r="E2509" t="inlineStr">
        <is>
          <t>SKELLEFTEÅ</t>
        </is>
      </c>
      <c r="F2509" t="inlineStr">
        <is>
          <t>Kommuner</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49293-2019</t>
        </is>
      </c>
      <c r="B2510" s="1" t="n">
        <v>43731</v>
      </c>
      <c r="C2510" s="1" t="n">
        <v>45357</v>
      </c>
      <c r="D2510" t="inlineStr">
        <is>
          <t>VÄSTERBOTTENS LÄN</t>
        </is>
      </c>
      <c r="E2510" t="inlineStr">
        <is>
          <t>VÄNNÄS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49312-2019</t>
        </is>
      </c>
      <c r="B2511" s="1" t="n">
        <v>43731</v>
      </c>
      <c r="C2511" s="1" t="n">
        <v>45357</v>
      </c>
      <c r="D2511" t="inlineStr">
        <is>
          <t>VÄSTERBOTTENS LÄN</t>
        </is>
      </c>
      <c r="E2511" t="inlineStr">
        <is>
          <t>SKELLEFTEÅ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49598-2019</t>
        </is>
      </c>
      <c r="B2512" s="1" t="n">
        <v>43732</v>
      </c>
      <c r="C2512" s="1" t="n">
        <v>45357</v>
      </c>
      <c r="D2512" t="inlineStr">
        <is>
          <t>VÄSTERBOTTENS LÄN</t>
        </is>
      </c>
      <c r="E2512" t="inlineStr">
        <is>
          <t>STORUMAN</t>
        </is>
      </c>
      <c r="F2512" t="inlineStr">
        <is>
          <t>Sveaskog</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49602-2019</t>
        </is>
      </c>
      <c r="B2513" s="1" t="n">
        <v>43732</v>
      </c>
      <c r="C2513" s="1" t="n">
        <v>45357</v>
      </c>
      <c r="D2513" t="inlineStr">
        <is>
          <t>VÄSTERBOTTENS LÄN</t>
        </is>
      </c>
      <c r="E2513" t="inlineStr">
        <is>
          <t>STORUMAN</t>
        </is>
      </c>
      <c r="F2513" t="inlineStr">
        <is>
          <t>Sveaskog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49684-2019</t>
        </is>
      </c>
      <c r="B2514" s="1" t="n">
        <v>43732</v>
      </c>
      <c r="C2514" s="1" t="n">
        <v>45357</v>
      </c>
      <c r="D2514" t="inlineStr">
        <is>
          <t>VÄSTERBOTTENS LÄN</t>
        </is>
      </c>
      <c r="E2514" t="inlineStr">
        <is>
          <t>ROBERTSFORS</t>
        </is>
      </c>
      <c r="F2514" t="inlineStr">
        <is>
          <t>SCA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49406-2019</t>
        </is>
      </c>
      <c r="B2515" s="1" t="n">
        <v>43732</v>
      </c>
      <c r="C2515" s="1" t="n">
        <v>45357</v>
      </c>
      <c r="D2515" t="inlineStr">
        <is>
          <t>VÄSTERBOTTENS LÄN</t>
        </is>
      </c>
      <c r="E2515" t="inlineStr">
        <is>
          <t>MALÅ</t>
        </is>
      </c>
      <c r="F2515" t="inlineStr">
        <is>
          <t>Sveaskog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49399-2019</t>
        </is>
      </c>
      <c r="B2516" s="1" t="n">
        <v>43732</v>
      </c>
      <c r="C2516" s="1" t="n">
        <v>45357</v>
      </c>
      <c r="D2516" t="inlineStr">
        <is>
          <t>VÄSTERBOTTENS LÄN</t>
        </is>
      </c>
      <c r="E2516" t="inlineStr">
        <is>
          <t>MALÅ</t>
        </is>
      </c>
      <c r="F2516" t="inlineStr">
        <is>
          <t>Sveaskog</t>
        </is>
      </c>
      <c r="G2516" t="n">
        <v>11.6</v>
      </c>
      <c r="H2516" t="n">
        <v>0</v>
      </c>
      <c r="I2516" t="n">
        <v>0</v>
      </c>
      <c r="J2516" t="n">
        <v>0</v>
      </c>
      <c r="K2516" t="n">
        <v>0</v>
      </c>
      <c r="L2516" t="n">
        <v>0</v>
      </c>
      <c r="M2516" t="n">
        <v>0</v>
      </c>
      <c r="N2516" t="n">
        <v>0</v>
      </c>
      <c r="O2516" t="n">
        <v>0</v>
      </c>
      <c r="P2516" t="n">
        <v>0</v>
      </c>
      <c r="Q2516" t="n">
        <v>0</v>
      </c>
      <c r="R2516" s="2" t="inlineStr"/>
    </row>
    <row r="2517" ht="15" customHeight="1">
      <c r="A2517" t="inlineStr">
        <is>
          <t>A 49792-2019</t>
        </is>
      </c>
      <c r="B2517" s="1" t="n">
        <v>43733</v>
      </c>
      <c r="C2517" s="1" t="n">
        <v>45357</v>
      </c>
      <c r="D2517" t="inlineStr">
        <is>
          <t>VÄSTERBOTTENS LÄN</t>
        </is>
      </c>
      <c r="E2517" t="inlineStr">
        <is>
          <t>SKELLEFTEÅ</t>
        </is>
      </c>
      <c r="F2517" t="inlineStr">
        <is>
          <t>Sveaskog</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49782-2019</t>
        </is>
      </c>
      <c r="B2518" s="1" t="n">
        <v>43733</v>
      </c>
      <c r="C2518" s="1" t="n">
        <v>45357</v>
      </c>
      <c r="D2518" t="inlineStr">
        <is>
          <t>VÄSTERBOTTENS LÄN</t>
        </is>
      </c>
      <c r="E2518" t="inlineStr">
        <is>
          <t>ROBERTSFORS</t>
        </is>
      </c>
      <c r="F2518" t="inlineStr">
        <is>
          <t>Holmen skog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49793-2019</t>
        </is>
      </c>
      <c r="B2519" s="1" t="n">
        <v>43733</v>
      </c>
      <c r="C2519" s="1" t="n">
        <v>45357</v>
      </c>
      <c r="D2519" t="inlineStr">
        <is>
          <t>VÄSTERBOTTENS LÄN</t>
        </is>
      </c>
      <c r="E2519" t="inlineStr">
        <is>
          <t>SKELLEFTEÅ</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50006-2019</t>
        </is>
      </c>
      <c r="B2520" s="1" t="n">
        <v>43733</v>
      </c>
      <c r="C2520" s="1" t="n">
        <v>45357</v>
      </c>
      <c r="D2520" t="inlineStr">
        <is>
          <t>VÄSTERBOTTENS LÄN</t>
        </is>
      </c>
      <c r="E2520" t="inlineStr">
        <is>
          <t>VILHELMINA</t>
        </is>
      </c>
      <c r="F2520" t="inlineStr">
        <is>
          <t>SCA</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49974-2019</t>
        </is>
      </c>
      <c r="B2521" s="1" t="n">
        <v>43733</v>
      </c>
      <c r="C2521" s="1" t="n">
        <v>45357</v>
      </c>
      <c r="D2521" t="inlineStr">
        <is>
          <t>VÄSTERBOTTENS LÄN</t>
        </is>
      </c>
      <c r="E2521" t="inlineStr">
        <is>
          <t>STORUMAN</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50009-2019</t>
        </is>
      </c>
      <c r="B2522" s="1" t="n">
        <v>43733</v>
      </c>
      <c r="C2522" s="1" t="n">
        <v>45357</v>
      </c>
      <c r="D2522" t="inlineStr">
        <is>
          <t>VÄSTERBOTTENS LÄN</t>
        </is>
      </c>
      <c r="E2522" t="inlineStr">
        <is>
          <t>VILHELMINA</t>
        </is>
      </c>
      <c r="F2522" t="inlineStr">
        <is>
          <t>SCA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50008-2019</t>
        </is>
      </c>
      <c r="B2523" s="1" t="n">
        <v>43733</v>
      </c>
      <c r="C2523" s="1" t="n">
        <v>45357</v>
      </c>
      <c r="D2523" t="inlineStr">
        <is>
          <t>VÄSTERBOTTENS LÄN</t>
        </is>
      </c>
      <c r="E2523" t="inlineStr">
        <is>
          <t>VILHELMINA</t>
        </is>
      </c>
      <c r="F2523" t="inlineStr">
        <is>
          <t>SCA</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50518-2019</t>
        </is>
      </c>
      <c r="B2524" s="1" t="n">
        <v>43733</v>
      </c>
      <c r="C2524" s="1" t="n">
        <v>45357</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50515-2019</t>
        </is>
      </c>
      <c r="B2525" s="1" t="n">
        <v>43733</v>
      </c>
      <c r="C2525" s="1" t="n">
        <v>45357</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50055-2019</t>
        </is>
      </c>
      <c r="B2526" s="1" t="n">
        <v>43734</v>
      </c>
      <c r="C2526" s="1" t="n">
        <v>45357</v>
      </c>
      <c r="D2526" t="inlineStr">
        <is>
          <t>VÄSTERBOTTENS LÄN</t>
        </is>
      </c>
      <c r="E2526" t="inlineStr">
        <is>
          <t>MALÅ</t>
        </is>
      </c>
      <c r="F2526" t="inlineStr">
        <is>
          <t>Sveaskog</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50237-2019</t>
        </is>
      </c>
      <c r="B2527" s="1" t="n">
        <v>43734</v>
      </c>
      <c r="C2527" s="1" t="n">
        <v>45357</v>
      </c>
      <c r="D2527" t="inlineStr">
        <is>
          <t>VÄSTERBOTTENS LÄN</t>
        </is>
      </c>
      <c r="E2527" t="inlineStr">
        <is>
          <t>STORUMAN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50124-2019</t>
        </is>
      </c>
      <c r="B2528" s="1" t="n">
        <v>43734</v>
      </c>
      <c r="C2528" s="1" t="n">
        <v>45357</v>
      </c>
      <c r="D2528" t="inlineStr">
        <is>
          <t>VÄSTERBOTTENS LÄN</t>
        </is>
      </c>
      <c r="E2528" t="inlineStr">
        <is>
          <t>BJURHOLM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50228-2019</t>
        </is>
      </c>
      <c r="B2529" s="1" t="n">
        <v>43734</v>
      </c>
      <c r="C2529" s="1" t="n">
        <v>45357</v>
      </c>
      <c r="D2529" t="inlineStr">
        <is>
          <t>VÄSTERBOTTENS LÄN</t>
        </is>
      </c>
      <c r="E2529" t="inlineStr">
        <is>
          <t>STORUMAN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50239-2019</t>
        </is>
      </c>
      <c r="B2530" s="1" t="n">
        <v>43734</v>
      </c>
      <c r="C2530" s="1" t="n">
        <v>45357</v>
      </c>
      <c r="D2530" t="inlineStr">
        <is>
          <t>VÄSTERBOTTENS LÄN</t>
        </is>
      </c>
      <c r="E2530" t="inlineStr">
        <is>
          <t>STORUMAN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50217-2019</t>
        </is>
      </c>
      <c r="B2531" s="1" t="n">
        <v>43734</v>
      </c>
      <c r="C2531" s="1" t="n">
        <v>45357</v>
      </c>
      <c r="D2531" t="inlineStr">
        <is>
          <t>VÄSTERBOTTENS LÄN</t>
        </is>
      </c>
      <c r="E2531" t="inlineStr">
        <is>
          <t>STORUMAN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50235-2019</t>
        </is>
      </c>
      <c r="B2532" s="1" t="n">
        <v>43734</v>
      </c>
      <c r="C2532" s="1" t="n">
        <v>45357</v>
      </c>
      <c r="D2532" t="inlineStr">
        <is>
          <t>VÄSTERBOTTENS LÄN</t>
        </is>
      </c>
      <c r="E2532" t="inlineStr">
        <is>
          <t>STORUMAN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51751-2019</t>
        </is>
      </c>
      <c r="B2533" s="1" t="n">
        <v>43734</v>
      </c>
      <c r="C2533" s="1" t="n">
        <v>45357</v>
      </c>
      <c r="D2533" t="inlineStr">
        <is>
          <t>VÄSTERBOTTENS LÄN</t>
        </is>
      </c>
      <c r="E2533" t="inlineStr">
        <is>
          <t>UMEÅ</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50221-2019</t>
        </is>
      </c>
      <c r="B2534" s="1" t="n">
        <v>43734</v>
      </c>
      <c r="C2534" s="1" t="n">
        <v>45357</v>
      </c>
      <c r="D2534" t="inlineStr">
        <is>
          <t>VÄSTERBOTTENS LÄN</t>
        </is>
      </c>
      <c r="E2534" t="inlineStr">
        <is>
          <t>STORUMAN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51743-2019</t>
        </is>
      </c>
      <c r="B2535" s="1" t="n">
        <v>43734</v>
      </c>
      <c r="C2535" s="1" t="n">
        <v>45357</v>
      </c>
      <c r="D2535" t="inlineStr">
        <is>
          <t>VÄSTERBOTTENS LÄN</t>
        </is>
      </c>
      <c r="E2535" t="inlineStr">
        <is>
          <t>UMEÅ</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51555-2019</t>
        </is>
      </c>
      <c r="B2536" s="1" t="n">
        <v>43734</v>
      </c>
      <c r="C2536" s="1" t="n">
        <v>45357</v>
      </c>
      <c r="D2536" t="inlineStr">
        <is>
          <t>VÄSTERBOTTENS LÄN</t>
        </is>
      </c>
      <c r="E2536" t="inlineStr">
        <is>
          <t>UMEÅ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50572-2019</t>
        </is>
      </c>
      <c r="B2537" s="1" t="n">
        <v>43735</v>
      </c>
      <c r="C2537" s="1" t="n">
        <v>45357</v>
      </c>
      <c r="D2537" t="inlineStr">
        <is>
          <t>VÄSTERBOTTENS LÄN</t>
        </is>
      </c>
      <c r="E2537" t="inlineStr">
        <is>
          <t>SKELLEFTEÅ</t>
        </is>
      </c>
      <c r="F2537" t="inlineStr">
        <is>
          <t>Sveaskog</t>
        </is>
      </c>
      <c r="G2537" t="n">
        <v>12.1</v>
      </c>
      <c r="H2537" t="n">
        <v>0</v>
      </c>
      <c r="I2537" t="n">
        <v>0</v>
      </c>
      <c r="J2537" t="n">
        <v>0</v>
      </c>
      <c r="K2537" t="n">
        <v>0</v>
      </c>
      <c r="L2537" t="n">
        <v>0</v>
      </c>
      <c r="M2537" t="n">
        <v>0</v>
      </c>
      <c r="N2537" t="n">
        <v>0</v>
      </c>
      <c r="O2537" t="n">
        <v>0</v>
      </c>
      <c r="P2537" t="n">
        <v>0</v>
      </c>
      <c r="Q2537" t="n">
        <v>0</v>
      </c>
      <c r="R2537" s="2" t="inlineStr"/>
    </row>
    <row r="2538" ht="15" customHeight="1">
      <c r="A2538" t="inlineStr">
        <is>
          <t>A 50568-2019</t>
        </is>
      </c>
      <c r="B2538" s="1" t="n">
        <v>43735</v>
      </c>
      <c r="C2538" s="1" t="n">
        <v>45357</v>
      </c>
      <c r="D2538" t="inlineStr">
        <is>
          <t>VÄSTERBOTTENS LÄN</t>
        </is>
      </c>
      <c r="E2538" t="inlineStr">
        <is>
          <t>SKELLEFTEÅ</t>
        </is>
      </c>
      <c r="F2538" t="inlineStr">
        <is>
          <t>Sveaskog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50574-2019</t>
        </is>
      </c>
      <c r="B2539" s="1" t="n">
        <v>43735</v>
      </c>
      <c r="C2539" s="1" t="n">
        <v>45357</v>
      </c>
      <c r="D2539" t="inlineStr">
        <is>
          <t>VÄSTERBOTTENS LÄN</t>
        </is>
      </c>
      <c r="E2539" t="inlineStr">
        <is>
          <t>SKELLEFTEÅ</t>
        </is>
      </c>
      <c r="F2539" t="inlineStr">
        <is>
          <t>Sveaskog</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50576-2019</t>
        </is>
      </c>
      <c r="B2540" s="1" t="n">
        <v>43735</v>
      </c>
      <c r="C2540" s="1" t="n">
        <v>45357</v>
      </c>
      <c r="D2540" t="inlineStr">
        <is>
          <t>VÄSTERBOTTENS LÄN</t>
        </is>
      </c>
      <c r="E2540" t="inlineStr">
        <is>
          <t>SKELLEFTEÅ</t>
        </is>
      </c>
      <c r="F2540" t="inlineStr">
        <is>
          <t>Sveaskog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53194-2019</t>
        </is>
      </c>
      <c r="B2541" s="1" t="n">
        <v>43735</v>
      </c>
      <c r="C2541" s="1" t="n">
        <v>45357</v>
      </c>
      <c r="D2541" t="inlineStr">
        <is>
          <t>VÄSTERBOTTENS LÄN</t>
        </is>
      </c>
      <c r="E2541" t="inlineStr">
        <is>
          <t>SKELLEFTEÅ</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53202-2019</t>
        </is>
      </c>
      <c r="B2542" s="1" t="n">
        <v>43735</v>
      </c>
      <c r="C2542" s="1" t="n">
        <v>45357</v>
      </c>
      <c r="D2542" t="inlineStr">
        <is>
          <t>VÄSTERBOTTENS LÄN</t>
        </is>
      </c>
      <c r="E2542" t="inlineStr">
        <is>
          <t>ROBERTSFORS</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50603-2019</t>
        </is>
      </c>
      <c r="B2543" s="1" t="n">
        <v>43735</v>
      </c>
      <c r="C2543" s="1" t="n">
        <v>45357</v>
      </c>
      <c r="D2543" t="inlineStr">
        <is>
          <t>VÄSTERBOTTENS LÄN</t>
        </is>
      </c>
      <c r="E2543" t="inlineStr">
        <is>
          <t>LYCKSELE</t>
        </is>
      </c>
      <c r="F2543" t="inlineStr">
        <is>
          <t>SCA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53203-2019</t>
        </is>
      </c>
      <c r="B2544" s="1" t="n">
        <v>43735</v>
      </c>
      <c r="C2544" s="1" t="n">
        <v>45357</v>
      </c>
      <c r="D2544" t="inlineStr">
        <is>
          <t>VÄSTERBOTTENS LÄN</t>
        </is>
      </c>
      <c r="E2544" t="inlineStr">
        <is>
          <t>UMEÅ</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50782-2019</t>
        </is>
      </c>
      <c r="B2545" s="1" t="n">
        <v>43738</v>
      </c>
      <c r="C2545" s="1" t="n">
        <v>45357</v>
      </c>
      <c r="D2545" t="inlineStr">
        <is>
          <t>VÄSTERBOTTENS LÄN</t>
        </is>
      </c>
      <c r="E2545" t="inlineStr">
        <is>
          <t>NORSJÖ</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50793-2019</t>
        </is>
      </c>
      <c r="B2546" s="1" t="n">
        <v>43738</v>
      </c>
      <c r="C2546" s="1" t="n">
        <v>45357</v>
      </c>
      <c r="D2546" t="inlineStr">
        <is>
          <t>VÄSTERBOTTENS LÄN</t>
        </is>
      </c>
      <c r="E2546" t="inlineStr">
        <is>
          <t>UMEÅ</t>
        </is>
      </c>
      <c r="F2546" t="inlineStr">
        <is>
          <t>Holmen skog AB</t>
        </is>
      </c>
      <c r="G2546" t="n">
        <v>11.5</v>
      </c>
      <c r="H2546" t="n">
        <v>0</v>
      </c>
      <c r="I2546" t="n">
        <v>0</v>
      </c>
      <c r="J2546" t="n">
        <v>0</v>
      </c>
      <c r="K2546" t="n">
        <v>0</v>
      </c>
      <c r="L2546" t="n">
        <v>0</v>
      </c>
      <c r="M2546" t="n">
        <v>0</v>
      </c>
      <c r="N2546" t="n">
        <v>0</v>
      </c>
      <c r="O2546" t="n">
        <v>0</v>
      </c>
      <c r="P2546" t="n">
        <v>0</v>
      </c>
      <c r="Q2546" t="n">
        <v>0</v>
      </c>
      <c r="R2546" s="2" t="inlineStr"/>
    </row>
    <row r="2547" ht="15" customHeight="1">
      <c r="A2547" t="inlineStr">
        <is>
          <t>A 50872-2019</t>
        </is>
      </c>
      <c r="B2547" s="1" t="n">
        <v>43738</v>
      </c>
      <c r="C2547" s="1" t="n">
        <v>45357</v>
      </c>
      <c r="D2547" t="inlineStr">
        <is>
          <t>VÄSTERBOTTENS LÄN</t>
        </is>
      </c>
      <c r="E2547" t="inlineStr">
        <is>
          <t>SKELLEFTEÅ</t>
        </is>
      </c>
      <c r="F2547" t="inlineStr">
        <is>
          <t>Holmen skog AB</t>
        </is>
      </c>
      <c r="G2547" t="n">
        <v>11.5</v>
      </c>
      <c r="H2547" t="n">
        <v>0</v>
      </c>
      <c r="I2547" t="n">
        <v>0</v>
      </c>
      <c r="J2547" t="n">
        <v>0</v>
      </c>
      <c r="K2547" t="n">
        <v>0</v>
      </c>
      <c r="L2547" t="n">
        <v>0</v>
      </c>
      <c r="M2547" t="n">
        <v>0</v>
      </c>
      <c r="N2547" t="n">
        <v>0</v>
      </c>
      <c r="O2547" t="n">
        <v>0</v>
      </c>
      <c r="P2547" t="n">
        <v>0</v>
      </c>
      <c r="Q2547" t="n">
        <v>0</v>
      </c>
      <c r="R2547" s="2" t="inlineStr"/>
    </row>
    <row r="2548" ht="15" customHeight="1">
      <c r="A2548" t="inlineStr">
        <is>
          <t>A 50913-2019</t>
        </is>
      </c>
      <c r="B2548" s="1" t="n">
        <v>43738</v>
      </c>
      <c r="C2548" s="1" t="n">
        <v>45357</v>
      </c>
      <c r="D2548" t="inlineStr">
        <is>
          <t>VÄSTERBOTTENS LÄN</t>
        </is>
      </c>
      <c r="E2548" t="inlineStr">
        <is>
          <t>ÅSELE</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50867-2019</t>
        </is>
      </c>
      <c r="B2549" s="1" t="n">
        <v>43738</v>
      </c>
      <c r="C2549" s="1" t="n">
        <v>45357</v>
      </c>
      <c r="D2549" t="inlineStr">
        <is>
          <t>VÄSTERBOTTENS LÄN</t>
        </is>
      </c>
      <c r="E2549" t="inlineStr">
        <is>
          <t>ROBERTSFORS</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52667-2019</t>
        </is>
      </c>
      <c r="B2550" s="1" t="n">
        <v>43738</v>
      </c>
      <c r="C2550" s="1" t="n">
        <v>45357</v>
      </c>
      <c r="D2550" t="inlineStr">
        <is>
          <t>VÄSTERBOTTENS LÄN</t>
        </is>
      </c>
      <c r="E2550" t="inlineStr">
        <is>
          <t>VINDELN</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50920-2019</t>
        </is>
      </c>
      <c r="B2551" s="1" t="n">
        <v>43738</v>
      </c>
      <c r="C2551" s="1" t="n">
        <v>45357</v>
      </c>
      <c r="D2551" t="inlineStr">
        <is>
          <t>VÄSTERBOTTENS LÄN</t>
        </is>
      </c>
      <c r="E2551" t="inlineStr">
        <is>
          <t>ÅSELE</t>
        </is>
      </c>
      <c r="F2551" t="inlineStr">
        <is>
          <t>Sveaskog</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52699-2019</t>
        </is>
      </c>
      <c r="B2552" s="1" t="n">
        <v>43738</v>
      </c>
      <c r="C2552" s="1" t="n">
        <v>45357</v>
      </c>
      <c r="D2552" t="inlineStr">
        <is>
          <t>VÄSTERBOTTENS LÄN</t>
        </is>
      </c>
      <c r="E2552" t="inlineStr">
        <is>
          <t>SORSELE</t>
        </is>
      </c>
      <c r="F2552" t="inlineStr">
        <is>
          <t>Övriga statliga verk och myndigheter</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50928-2019</t>
        </is>
      </c>
      <c r="B2553" s="1" t="n">
        <v>43738</v>
      </c>
      <c r="C2553" s="1" t="n">
        <v>45357</v>
      </c>
      <c r="D2553" t="inlineStr">
        <is>
          <t>VÄSTERBOTTENS LÄN</t>
        </is>
      </c>
      <c r="E2553" t="inlineStr">
        <is>
          <t>ÅSELE</t>
        </is>
      </c>
      <c r="F2553" t="inlineStr">
        <is>
          <t>Sveaskog</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52690-2019</t>
        </is>
      </c>
      <c r="B2554" s="1" t="n">
        <v>43738</v>
      </c>
      <c r="C2554" s="1" t="n">
        <v>45357</v>
      </c>
      <c r="D2554" t="inlineStr">
        <is>
          <t>VÄSTERBOTTENS LÄN</t>
        </is>
      </c>
      <c r="E2554" t="inlineStr">
        <is>
          <t>SORSELE</t>
        </is>
      </c>
      <c r="F2554" t="inlineStr">
        <is>
          <t>Övriga statliga verk och myndigheter</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52679-2019</t>
        </is>
      </c>
      <c r="B2555" s="1" t="n">
        <v>43738</v>
      </c>
      <c r="C2555" s="1" t="n">
        <v>45357</v>
      </c>
      <c r="D2555" t="inlineStr">
        <is>
          <t>VÄSTERBOTTENS LÄN</t>
        </is>
      </c>
      <c r="E2555" t="inlineStr">
        <is>
          <t>SORSELE</t>
        </is>
      </c>
      <c r="F2555" t="inlineStr">
        <is>
          <t>Övriga statliga verk och myndigheter</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51144-2019</t>
        </is>
      </c>
      <c r="B2556" s="1" t="n">
        <v>43739</v>
      </c>
      <c r="C2556" s="1" t="n">
        <v>45357</v>
      </c>
      <c r="D2556" t="inlineStr">
        <is>
          <t>VÄSTERBOTTENS LÄN</t>
        </is>
      </c>
      <c r="E2556" t="inlineStr">
        <is>
          <t>LYCKSELE</t>
        </is>
      </c>
      <c r="F2556" t="inlineStr">
        <is>
          <t>Kyrkan</t>
        </is>
      </c>
      <c r="G2556" t="n">
        <v>8.800000000000001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51152-2019</t>
        </is>
      </c>
      <c r="B2557" s="1" t="n">
        <v>43739</v>
      </c>
      <c r="C2557" s="1" t="n">
        <v>45357</v>
      </c>
      <c r="D2557" t="inlineStr">
        <is>
          <t>VÄSTERBOTTENS LÄN</t>
        </is>
      </c>
      <c r="E2557" t="inlineStr">
        <is>
          <t>LYCKSELE</t>
        </is>
      </c>
      <c r="F2557" t="inlineStr">
        <is>
          <t>Kyrkan</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51135-2019</t>
        </is>
      </c>
      <c r="B2558" s="1" t="n">
        <v>43739</v>
      </c>
      <c r="C2558" s="1" t="n">
        <v>45357</v>
      </c>
      <c r="D2558" t="inlineStr">
        <is>
          <t>VÄSTERBOTTENS LÄN</t>
        </is>
      </c>
      <c r="E2558" t="inlineStr">
        <is>
          <t>LYCKSELE</t>
        </is>
      </c>
      <c r="F2558" t="inlineStr">
        <is>
          <t>Kyrkan</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51155-2019</t>
        </is>
      </c>
      <c r="B2559" s="1" t="n">
        <v>43739</v>
      </c>
      <c r="C2559" s="1" t="n">
        <v>45357</v>
      </c>
      <c r="D2559" t="inlineStr">
        <is>
          <t>VÄSTERBOTTENS LÄN</t>
        </is>
      </c>
      <c r="E2559" t="inlineStr">
        <is>
          <t>LYCKSELE</t>
        </is>
      </c>
      <c r="F2559" t="inlineStr">
        <is>
          <t>Kyrkan</t>
        </is>
      </c>
      <c r="G2559" t="n">
        <v>11.3</v>
      </c>
      <c r="H2559" t="n">
        <v>0</v>
      </c>
      <c r="I2559" t="n">
        <v>0</v>
      </c>
      <c r="J2559" t="n">
        <v>0</v>
      </c>
      <c r="K2559" t="n">
        <v>0</v>
      </c>
      <c r="L2559" t="n">
        <v>0</v>
      </c>
      <c r="M2559" t="n">
        <v>0</v>
      </c>
      <c r="N2559" t="n">
        <v>0</v>
      </c>
      <c r="O2559" t="n">
        <v>0</v>
      </c>
      <c r="P2559" t="n">
        <v>0</v>
      </c>
      <c r="Q2559" t="n">
        <v>0</v>
      </c>
      <c r="R2559" s="2" t="inlineStr"/>
    </row>
    <row r="2560" ht="15" customHeight="1">
      <c r="A2560" t="inlineStr">
        <is>
          <t>A 51266-2019</t>
        </is>
      </c>
      <c r="B2560" s="1" t="n">
        <v>43739</v>
      </c>
      <c r="C2560" s="1" t="n">
        <v>45357</v>
      </c>
      <c r="D2560" t="inlineStr">
        <is>
          <t>VÄSTERBOTTENS LÄN</t>
        </is>
      </c>
      <c r="E2560" t="inlineStr">
        <is>
          <t>NORDMALING</t>
        </is>
      </c>
      <c r="F2560" t="inlineStr">
        <is>
          <t>Holmen skog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52767-2019</t>
        </is>
      </c>
      <c r="B2561" s="1" t="n">
        <v>43739</v>
      </c>
      <c r="C2561" s="1" t="n">
        <v>45357</v>
      </c>
      <c r="D2561" t="inlineStr">
        <is>
          <t>VÄSTERBOTTENS LÄN</t>
        </is>
      </c>
      <c r="E2561" t="inlineStr">
        <is>
          <t>NORSJÖ</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51077-2019</t>
        </is>
      </c>
      <c r="B2562" s="1" t="n">
        <v>43739</v>
      </c>
      <c r="C2562" s="1" t="n">
        <v>45357</v>
      </c>
      <c r="D2562" t="inlineStr">
        <is>
          <t>VÄSTERBOTTENS LÄN</t>
        </is>
      </c>
      <c r="E2562" t="inlineStr">
        <is>
          <t>UMEÅ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51094-2019</t>
        </is>
      </c>
      <c r="B2563" s="1" t="n">
        <v>43739</v>
      </c>
      <c r="C2563" s="1" t="n">
        <v>45357</v>
      </c>
      <c r="D2563" t="inlineStr">
        <is>
          <t>VÄSTERBOTTENS LÄN</t>
        </is>
      </c>
      <c r="E2563" t="inlineStr">
        <is>
          <t>VILHELMINA</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51087-2019</t>
        </is>
      </c>
      <c r="B2564" s="1" t="n">
        <v>43739</v>
      </c>
      <c r="C2564" s="1" t="n">
        <v>45357</v>
      </c>
      <c r="D2564" t="inlineStr">
        <is>
          <t>VÄSTERBOTTENS LÄN</t>
        </is>
      </c>
      <c r="E2564" t="inlineStr">
        <is>
          <t>UMEÅ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53061-2019</t>
        </is>
      </c>
      <c r="B2565" s="1" t="n">
        <v>43739</v>
      </c>
      <c r="C2565" s="1" t="n">
        <v>45357</v>
      </c>
      <c r="D2565" t="inlineStr">
        <is>
          <t>VÄSTERBOTTENS LÄN</t>
        </is>
      </c>
      <c r="E2565" t="inlineStr">
        <is>
          <t>NORSJÖ</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51242-2019</t>
        </is>
      </c>
      <c r="B2566" s="1" t="n">
        <v>43739</v>
      </c>
      <c r="C2566" s="1" t="n">
        <v>45357</v>
      </c>
      <c r="D2566" t="inlineStr">
        <is>
          <t>VÄSTERBOTTENS LÄN</t>
        </is>
      </c>
      <c r="E2566" t="inlineStr">
        <is>
          <t>ÅSELE</t>
        </is>
      </c>
      <c r="F2566" t="inlineStr">
        <is>
          <t>Holmen skog AB</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51124-2019</t>
        </is>
      </c>
      <c r="B2567" s="1" t="n">
        <v>43739</v>
      </c>
      <c r="C2567" s="1" t="n">
        <v>45357</v>
      </c>
      <c r="D2567" t="inlineStr">
        <is>
          <t>VÄSTERBOTTENS LÄN</t>
        </is>
      </c>
      <c r="E2567" t="inlineStr">
        <is>
          <t>UMEÅ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51702-2019</t>
        </is>
      </c>
      <c r="B2568" s="1" t="n">
        <v>43740</v>
      </c>
      <c r="C2568" s="1" t="n">
        <v>45357</v>
      </c>
      <c r="D2568" t="inlineStr">
        <is>
          <t>VÄSTERBOTTENS LÄN</t>
        </is>
      </c>
      <c r="E2568" t="inlineStr">
        <is>
          <t>ÅSELE</t>
        </is>
      </c>
      <c r="G2568" t="n">
        <v>16.6</v>
      </c>
      <c r="H2568" t="n">
        <v>0</v>
      </c>
      <c r="I2568" t="n">
        <v>0</v>
      </c>
      <c r="J2568" t="n">
        <v>0</v>
      </c>
      <c r="K2568" t="n">
        <v>0</v>
      </c>
      <c r="L2568" t="n">
        <v>0</v>
      </c>
      <c r="M2568" t="n">
        <v>0</v>
      </c>
      <c r="N2568" t="n">
        <v>0</v>
      </c>
      <c r="O2568" t="n">
        <v>0</v>
      </c>
      <c r="P2568" t="n">
        <v>0</v>
      </c>
      <c r="Q2568" t="n">
        <v>0</v>
      </c>
      <c r="R2568" s="2" t="inlineStr"/>
    </row>
    <row r="2569" ht="15" customHeight="1">
      <c r="A2569" t="inlineStr">
        <is>
          <t>A 53311-2019</t>
        </is>
      </c>
      <c r="B2569" s="1" t="n">
        <v>43740</v>
      </c>
      <c r="C2569" s="1" t="n">
        <v>45357</v>
      </c>
      <c r="D2569" t="inlineStr">
        <is>
          <t>VÄSTERBOTTENS LÄN</t>
        </is>
      </c>
      <c r="E2569" t="inlineStr">
        <is>
          <t>SKELLEFTEÅ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53557-2019</t>
        </is>
      </c>
      <c r="B2570" s="1" t="n">
        <v>43740</v>
      </c>
      <c r="C2570" s="1" t="n">
        <v>45357</v>
      </c>
      <c r="D2570" t="inlineStr">
        <is>
          <t>VÄSTERBOTTENS LÄN</t>
        </is>
      </c>
      <c r="E2570" t="inlineStr">
        <is>
          <t>SKELLEFTEÅ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51717-2019</t>
        </is>
      </c>
      <c r="B2571" s="1" t="n">
        <v>43741</v>
      </c>
      <c r="C2571" s="1" t="n">
        <v>45357</v>
      </c>
      <c r="D2571" t="inlineStr">
        <is>
          <t>VÄSTERBOTTENS LÄN</t>
        </is>
      </c>
      <c r="E2571" t="inlineStr">
        <is>
          <t>ROBERTSFORS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51767-2019</t>
        </is>
      </c>
      <c r="B2572" s="1" t="n">
        <v>43741</v>
      </c>
      <c r="C2572" s="1" t="n">
        <v>45357</v>
      </c>
      <c r="D2572" t="inlineStr">
        <is>
          <t>VÄSTERBOTTENS LÄN</t>
        </is>
      </c>
      <c r="E2572" t="inlineStr">
        <is>
          <t>UMEÅ</t>
        </is>
      </c>
      <c r="F2572" t="inlineStr">
        <is>
          <t>Holmen skog AB</t>
        </is>
      </c>
      <c r="G2572" t="n">
        <v>12.4</v>
      </c>
      <c r="H2572" t="n">
        <v>0</v>
      </c>
      <c r="I2572" t="n">
        <v>0</v>
      </c>
      <c r="J2572" t="n">
        <v>0</v>
      </c>
      <c r="K2572" t="n">
        <v>0</v>
      </c>
      <c r="L2572" t="n">
        <v>0</v>
      </c>
      <c r="M2572" t="n">
        <v>0</v>
      </c>
      <c r="N2572" t="n">
        <v>0</v>
      </c>
      <c r="O2572" t="n">
        <v>0</v>
      </c>
      <c r="P2572" t="n">
        <v>0</v>
      </c>
      <c r="Q2572" t="n">
        <v>0</v>
      </c>
      <c r="R2572" s="2" t="inlineStr"/>
    </row>
    <row r="2573" ht="15" customHeight="1">
      <c r="A2573" t="inlineStr">
        <is>
          <t>A 51895-2019</t>
        </is>
      </c>
      <c r="B2573" s="1" t="n">
        <v>43741</v>
      </c>
      <c r="C2573" s="1" t="n">
        <v>45357</v>
      </c>
      <c r="D2573" t="inlineStr">
        <is>
          <t>VÄSTERBOTTENS LÄN</t>
        </is>
      </c>
      <c r="E2573" t="inlineStr">
        <is>
          <t>VILHELMINA</t>
        </is>
      </c>
      <c r="F2573" t="inlineStr">
        <is>
          <t>Allmännings- och besparingsskogar</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53860-2019</t>
        </is>
      </c>
      <c r="B2574" s="1" t="n">
        <v>43741</v>
      </c>
      <c r="C2574" s="1" t="n">
        <v>45357</v>
      </c>
      <c r="D2574" t="inlineStr">
        <is>
          <t>VÄSTERBOTTENS LÄN</t>
        </is>
      </c>
      <c r="E2574" t="inlineStr">
        <is>
          <t>ROBERTSFORS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54004-2019</t>
        </is>
      </c>
      <c r="B2575" s="1" t="n">
        <v>43742</v>
      </c>
      <c r="C2575" s="1" t="n">
        <v>45357</v>
      </c>
      <c r="D2575" t="inlineStr">
        <is>
          <t>VÄSTERBOTTENS LÄN</t>
        </is>
      </c>
      <c r="E2575" t="inlineStr">
        <is>
          <t>SKELLEFTEÅ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52024-2019</t>
        </is>
      </c>
      <c r="B2576" s="1" t="n">
        <v>43742</v>
      </c>
      <c r="C2576" s="1" t="n">
        <v>45357</v>
      </c>
      <c r="D2576" t="inlineStr">
        <is>
          <t>VÄSTERBOTTENS LÄN</t>
        </is>
      </c>
      <c r="E2576" t="inlineStr">
        <is>
          <t>UMEÅ</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52019-2019</t>
        </is>
      </c>
      <c r="B2577" s="1" t="n">
        <v>43742</v>
      </c>
      <c r="C2577" s="1" t="n">
        <v>45357</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53980-2019</t>
        </is>
      </c>
      <c r="B2578" s="1" t="n">
        <v>43742</v>
      </c>
      <c r="C2578" s="1" t="n">
        <v>45357</v>
      </c>
      <c r="D2578" t="inlineStr">
        <is>
          <t>VÄSTERBOTTENS LÄN</t>
        </is>
      </c>
      <c r="E2578" t="inlineStr">
        <is>
          <t>SKELLEFTEÅ</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52437-2019</t>
        </is>
      </c>
      <c r="B2579" s="1" t="n">
        <v>43745</v>
      </c>
      <c r="C2579" s="1" t="n">
        <v>45357</v>
      </c>
      <c r="D2579" t="inlineStr">
        <is>
          <t>VÄSTERBOTTENS LÄN</t>
        </is>
      </c>
      <c r="E2579" t="inlineStr">
        <is>
          <t>LYCKSELE</t>
        </is>
      </c>
      <c r="F2579" t="inlineStr">
        <is>
          <t>Kyrkan</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52469-2019</t>
        </is>
      </c>
      <c r="B2580" s="1" t="n">
        <v>43745</v>
      </c>
      <c r="C2580" s="1" t="n">
        <v>45357</v>
      </c>
      <c r="D2580" t="inlineStr">
        <is>
          <t>VÄSTERBOTTENS LÄN</t>
        </is>
      </c>
      <c r="E2580" t="inlineStr">
        <is>
          <t>SKELLEFTEÅ</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52475-2019</t>
        </is>
      </c>
      <c r="B2581" s="1" t="n">
        <v>43745</v>
      </c>
      <c r="C2581" s="1" t="n">
        <v>45357</v>
      </c>
      <c r="D2581" t="inlineStr">
        <is>
          <t>VÄSTERBOTTENS LÄN</t>
        </is>
      </c>
      <c r="E2581" t="inlineStr">
        <is>
          <t>UMEÅ</t>
        </is>
      </c>
      <c r="F2581" t="inlineStr">
        <is>
          <t>Sveaskog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52506-2019</t>
        </is>
      </c>
      <c r="B2582" s="1" t="n">
        <v>43745</v>
      </c>
      <c r="C2582" s="1" t="n">
        <v>45357</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52472-2019</t>
        </is>
      </c>
      <c r="B2583" s="1" t="n">
        <v>43745</v>
      </c>
      <c r="C2583" s="1" t="n">
        <v>45357</v>
      </c>
      <c r="D2583" t="inlineStr">
        <is>
          <t>VÄSTERBOTTENS LÄN</t>
        </is>
      </c>
      <c r="E2583" t="inlineStr">
        <is>
          <t>ROBERTSFORS</t>
        </is>
      </c>
      <c r="F2583" t="inlineStr">
        <is>
          <t>Sveaskog</t>
        </is>
      </c>
      <c r="G2583" t="n">
        <v>12.7</v>
      </c>
      <c r="H2583" t="n">
        <v>0</v>
      </c>
      <c r="I2583" t="n">
        <v>0</v>
      </c>
      <c r="J2583" t="n">
        <v>0</v>
      </c>
      <c r="K2583" t="n">
        <v>0</v>
      </c>
      <c r="L2583" t="n">
        <v>0</v>
      </c>
      <c r="M2583" t="n">
        <v>0</v>
      </c>
      <c r="N2583" t="n">
        <v>0</v>
      </c>
      <c r="O2583" t="n">
        <v>0</v>
      </c>
      <c r="P2583" t="n">
        <v>0</v>
      </c>
      <c r="Q2583" t="n">
        <v>0</v>
      </c>
      <c r="R2583" s="2" t="inlineStr"/>
    </row>
    <row r="2584" ht="15" customHeight="1">
      <c r="A2584" t="inlineStr">
        <is>
          <t>A 52471-2019</t>
        </is>
      </c>
      <c r="B2584" s="1" t="n">
        <v>43745</v>
      </c>
      <c r="C2584" s="1" t="n">
        <v>45357</v>
      </c>
      <c r="D2584" t="inlineStr">
        <is>
          <t>VÄSTERBOTTENS LÄN</t>
        </is>
      </c>
      <c r="E2584" t="inlineStr">
        <is>
          <t>SKELLEFTEÅ</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52484-2019</t>
        </is>
      </c>
      <c r="B2585" s="1" t="n">
        <v>43745</v>
      </c>
      <c r="C2585" s="1" t="n">
        <v>45357</v>
      </c>
      <c r="D2585" t="inlineStr">
        <is>
          <t>VÄSTERBOTTENS LÄN</t>
        </is>
      </c>
      <c r="E2585" t="inlineStr">
        <is>
          <t>SKELLEFTEÅ</t>
        </is>
      </c>
      <c r="G2585" t="n">
        <v>9</v>
      </c>
      <c r="H2585" t="n">
        <v>0</v>
      </c>
      <c r="I2585" t="n">
        <v>0</v>
      </c>
      <c r="J2585" t="n">
        <v>0</v>
      </c>
      <c r="K2585" t="n">
        <v>0</v>
      </c>
      <c r="L2585" t="n">
        <v>0</v>
      </c>
      <c r="M2585" t="n">
        <v>0</v>
      </c>
      <c r="N2585" t="n">
        <v>0</v>
      </c>
      <c r="O2585" t="n">
        <v>0</v>
      </c>
      <c r="P2585" t="n">
        <v>0</v>
      </c>
      <c r="Q2585" t="n">
        <v>0</v>
      </c>
      <c r="R2585" s="2" t="inlineStr"/>
    </row>
    <row r="2586" ht="15" customHeight="1">
      <c r="A2586" t="inlineStr">
        <is>
          <t>A 52546-2019</t>
        </is>
      </c>
      <c r="B2586" s="1" t="n">
        <v>43745</v>
      </c>
      <c r="C2586" s="1" t="n">
        <v>45357</v>
      </c>
      <c r="D2586" t="inlineStr">
        <is>
          <t>VÄSTERBOTTENS LÄN</t>
        </is>
      </c>
      <c r="E2586" t="inlineStr">
        <is>
          <t>SKELLEFTEÅ</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52630-2019</t>
        </is>
      </c>
      <c r="B2587" s="1" t="n">
        <v>43746</v>
      </c>
      <c r="C2587" s="1" t="n">
        <v>45357</v>
      </c>
      <c r="D2587" t="inlineStr">
        <is>
          <t>VÄSTERBOTTENS LÄN</t>
        </is>
      </c>
      <c r="E2587" t="inlineStr">
        <is>
          <t>LYCKSELE</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54688-2019</t>
        </is>
      </c>
      <c r="B2588" s="1" t="n">
        <v>43746</v>
      </c>
      <c r="C2588" s="1" t="n">
        <v>45357</v>
      </c>
      <c r="D2588" t="inlineStr">
        <is>
          <t>VÄSTERBOTTENS LÄN</t>
        </is>
      </c>
      <c r="E2588" t="inlineStr">
        <is>
          <t>NORDMALING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54694-2019</t>
        </is>
      </c>
      <c r="B2589" s="1" t="n">
        <v>43746</v>
      </c>
      <c r="C2589" s="1" t="n">
        <v>45357</v>
      </c>
      <c r="D2589" t="inlineStr">
        <is>
          <t>VÄSTERBOTTENS LÄN</t>
        </is>
      </c>
      <c r="E2589" t="inlineStr">
        <is>
          <t>NORDMALING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54689-2019</t>
        </is>
      </c>
      <c r="B2590" s="1" t="n">
        <v>43746</v>
      </c>
      <c r="C2590" s="1" t="n">
        <v>45357</v>
      </c>
      <c r="D2590" t="inlineStr">
        <is>
          <t>VÄSTERBOTTENS LÄN</t>
        </is>
      </c>
      <c r="E2590" t="inlineStr">
        <is>
          <t>NORDMALING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52683-2019</t>
        </is>
      </c>
      <c r="B2591" s="1" t="n">
        <v>43746</v>
      </c>
      <c r="C2591" s="1" t="n">
        <v>45357</v>
      </c>
      <c r="D2591" t="inlineStr">
        <is>
          <t>VÄSTERBOTTENS LÄN</t>
        </is>
      </c>
      <c r="E2591" t="inlineStr">
        <is>
          <t>ROBERTSFORS</t>
        </is>
      </c>
      <c r="F2591" t="inlineStr">
        <is>
          <t>Holmen skog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52621-2019</t>
        </is>
      </c>
      <c r="B2592" s="1" t="n">
        <v>43746</v>
      </c>
      <c r="C2592" s="1" t="n">
        <v>45357</v>
      </c>
      <c r="D2592" t="inlineStr">
        <is>
          <t>VÄSTERBOTTENS LÄN</t>
        </is>
      </c>
      <c r="E2592" t="inlineStr">
        <is>
          <t>LYCKSELE</t>
        </is>
      </c>
      <c r="F2592" t="inlineStr">
        <is>
          <t>Sveaskog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54070-2019</t>
        </is>
      </c>
      <c r="B2593" s="1" t="n">
        <v>43746</v>
      </c>
      <c r="C2593" s="1" t="n">
        <v>45357</v>
      </c>
      <c r="D2593" t="inlineStr">
        <is>
          <t>VÄSTERBOTTENS LÄN</t>
        </is>
      </c>
      <c r="E2593" t="inlineStr">
        <is>
          <t>VILHELMINA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54355-2019</t>
        </is>
      </c>
      <c r="B2594" s="1" t="n">
        <v>43746</v>
      </c>
      <c r="C2594" s="1" t="n">
        <v>45357</v>
      </c>
      <c r="D2594" t="inlineStr">
        <is>
          <t>VÄSTERBOTTENS LÄN</t>
        </is>
      </c>
      <c r="E2594" t="inlineStr">
        <is>
          <t>VÄNNÄS</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53154-2019</t>
        </is>
      </c>
      <c r="B2595" s="1" t="n">
        <v>43747</v>
      </c>
      <c r="C2595" s="1" t="n">
        <v>45357</v>
      </c>
      <c r="D2595" t="inlineStr">
        <is>
          <t>VÄSTERBOTTENS LÄN</t>
        </is>
      </c>
      <c r="E2595" t="inlineStr">
        <is>
          <t>BJURHOLM</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52939-2019</t>
        </is>
      </c>
      <c r="B2596" s="1" t="n">
        <v>43747</v>
      </c>
      <c r="C2596" s="1" t="n">
        <v>45357</v>
      </c>
      <c r="D2596" t="inlineStr">
        <is>
          <t>VÄSTERBOTTENS LÄN</t>
        </is>
      </c>
      <c r="E2596" t="inlineStr">
        <is>
          <t>NORDMALING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54435-2019</t>
        </is>
      </c>
      <c r="B2597" s="1" t="n">
        <v>43747</v>
      </c>
      <c r="C2597" s="1" t="n">
        <v>45357</v>
      </c>
      <c r="D2597" t="inlineStr">
        <is>
          <t>VÄSTERBOTTENS LÄN</t>
        </is>
      </c>
      <c r="E2597" t="inlineStr">
        <is>
          <t>LYCKSELE</t>
        </is>
      </c>
      <c r="G2597" t="n">
        <v>10.5</v>
      </c>
      <c r="H2597" t="n">
        <v>0</v>
      </c>
      <c r="I2597" t="n">
        <v>0</v>
      </c>
      <c r="J2597" t="n">
        <v>0</v>
      </c>
      <c r="K2597" t="n">
        <v>0</v>
      </c>
      <c r="L2597" t="n">
        <v>0</v>
      </c>
      <c r="M2597" t="n">
        <v>0</v>
      </c>
      <c r="N2597" t="n">
        <v>0</v>
      </c>
      <c r="O2597" t="n">
        <v>0</v>
      </c>
      <c r="P2597" t="n">
        <v>0</v>
      </c>
      <c r="Q2597" t="n">
        <v>0</v>
      </c>
      <c r="R2597" s="2" t="inlineStr"/>
    </row>
    <row r="2598" ht="15" customHeight="1">
      <c r="A2598" t="inlineStr">
        <is>
          <t>A 52953-2019</t>
        </is>
      </c>
      <c r="B2598" s="1" t="n">
        <v>43747</v>
      </c>
      <c r="C2598" s="1" t="n">
        <v>45357</v>
      </c>
      <c r="D2598" t="inlineStr">
        <is>
          <t>VÄSTERBOTTENS LÄN</t>
        </is>
      </c>
      <c r="E2598" t="inlineStr">
        <is>
          <t>SKELLEFTEÅ</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52933-2019</t>
        </is>
      </c>
      <c r="B2599" s="1" t="n">
        <v>43747</v>
      </c>
      <c r="C2599" s="1" t="n">
        <v>45357</v>
      </c>
      <c r="D2599" t="inlineStr">
        <is>
          <t>VÄSTERBOTTENS LÄN</t>
        </is>
      </c>
      <c r="E2599" t="inlineStr">
        <is>
          <t>MALÅ</t>
        </is>
      </c>
      <c r="F2599" t="inlineStr">
        <is>
          <t>Sveaskog</t>
        </is>
      </c>
      <c r="G2599" t="n">
        <v>27.5</v>
      </c>
      <c r="H2599" t="n">
        <v>0</v>
      </c>
      <c r="I2599" t="n">
        <v>0</v>
      </c>
      <c r="J2599" t="n">
        <v>0</v>
      </c>
      <c r="K2599" t="n">
        <v>0</v>
      </c>
      <c r="L2599" t="n">
        <v>0</v>
      </c>
      <c r="M2599" t="n">
        <v>0</v>
      </c>
      <c r="N2599" t="n">
        <v>0</v>
      </c>
      <c r="O2599" t="n">
        <v>0</v>
      </c>
      <c r="P2599" t="n">
        <v>0</v>
      </c>
      <c r="Q2599" t="n">
        <v>0</v>
      </c>
      <c r="R2599" s="2" t="inlineStr"/>
    </row>
    <row r="2600" ht="15" customHeight="1">
      <c r="A2600" t="inlineStr">
        <is>
          <t>A 53268-2019</t>
        </is>
      </c>
      <c r="B2600" s="1" t="n">
        <v>43748</v>
      </c>
      <c r="C2600" s="1" t="n">
        <v>45357</v>
      </c>
      <c r="D2600" t="inlineStr">
        <is>
          <t>VÄSTERBOTTENS LÄN</t>
        </is>
      </c>
      <c r="E2600" t="inlineStr">
        <is>
          <t>UMEÅ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53302-2019</t>
        </is>
      </c>
      <c r="B2601" s="1" t="n">
        <v>43748</v>
      </c>
      <c r="C2601" s="1" t="n">
        <v>45357</v>
      </c>
      <c r="D2601" t="inlineStr">
        <is>
          <t>VÄSTERBOTTENS LÄN</t>
        </is>
      </c>
      <c r="E2601" t="inlineStr">
        <is>
          <t>MALÅ</t>
        </is>
      </c>
      <c r="F2601" t="inlineStr">
        <is>
          <t>Sveaskog</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53410-2019</t>
        </is>
      </c>
      <c r="B2602" s="1" t="n">
        <v>43748</v>
      </c>
      <c r="C2602" s="1" t="n">
        <v>45357</v>
      </c>
      <c r="D2602" t="inlineStr">
        <is>
          <t>VÄSTERBOTTENS LÄN</t>
        </is>
      </c>
      <c r="E2602" t="inlineStr">
        <is>
          <t>UMEÅ</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53279-2019</t>
        </is>
      </c>
      <c r="B2603" s="1" t="n">
        <v>43748</v>
      </c>
      <c r="C2603" s="1" t="n">
        <v>45357</v>
      </c>
      <c r="D2603" t="inlineStr">
        <is>
          <t>VÄSTERBOTTENS LÄN</t>
        </is>
      </c>
      <c r="E2603" t="inlineStr">
        <is>
          <t>NORDMALING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53478-2019</t>
        </is>
      </c>
      <c r="B2604" s="1" t="n">
        <v>43748</v>
      </c>
      <c r="C2604" s="1" t="n">
        <v>45357</v>
      </c>
      <c r="D2604" t="inlineStr">
        <is>
          <t>VÄSTERBOTTENS LÄN</t>
        </is>
      </c>
      <c r="E2604" t="inlineStr">
        <is>
          <t>ÅSELE</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54742-2019</t>
        </is>
      </c>
      <c r="B2605" s="1" t="n">
        <v>43748</v>
      </c>
      <c r="C2605" s="1" t="n">
        <v>45357</v>
      </c>
      <c r="D2605" t="inlineStr">
        <is>
          <t>VÄSTERBOTTENS LÄN</t>
        </is>
      </c>
      <c r="E2605" t="inlineStr">
        <is>
          <t>SKELLEFTEÅ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53378-2019</t>
        </is>
      </c>
      <c r="B2606" s="1" t="n">
        <v>43748</v>
      </c>
      <c r="C2606" s="1" t="n">
        <v>45357</v>
      </c>
      <c r="D2606" t="inlineStr">
        <is>
          <t>VÄSTERBOTTENS LÄN</t>
        </is>
      </c>
      <c r="E2606" t="inlineStr">
        <is>
          <t>BJURHOLM</t>
        </is>
      </c>
      <c r="G2606" t="n">
        <v>10.9</v>
      </c>
      <c r="H2606" t="n">
        <v>0</v>
      </c>
      <c r="I2606" t="n">
        <v>0</v>
      </c>
      <c r="J2606" t="n">
        <v>0</v>
      </c>
      <c r="K2606" t="n">
        <v>0</v>
      </c>
      <c r="L2606" t="n">
        <v>0</v>
      </c>
      <c r="M2606" t="n">
        <v>0</v>
      </c>
      <c r="N2606" t="n">
        <v>0</v>
      </c>
      <c r="O2606" t="n">
        <v>0</v>
      </c>
      <c r="P2606" t="n">
        <v>0</v>
      </c>
      <c r="Q2606" t="n">
        <v>0</v>
      </c>
      <c r="R2606" s="2" t="inlineStr"/>
    </row>
    <row r="2607" ht="15" customHeight="1">
      <c r="A2607" t="inlineStr">
        <is>
          <t>A 53584-2019</t>
        </is>
      </c>
      <c r="B2607" s="1" t="n">
        <v>43749</v>
      </c>
      <c r="C2607" s="1" t="n">
        <v>45357</v>
      </c>
      <c r="D2607" t="inlineStr">
        <is>
          <t>VÄSTERBOTTENS LÄN</t>
        </is>
      </c>
      <c r="E2607" t="inlineStr">
        <is>
          <t>SKELLEFTEÅ</t>
        </is>
      </c>
      <c r="G2607" t="n">
        <v>11.4</v>
      </c>
      <c r="H2607" t="n">
        <v>0</v>
      </c>
      <c r="I2607" t="n">
        <v>0</v>
      </c>
      <c r="J2607" t="n">
        <v>0</v>
      </c>
      <c r="K2607" t="n">
        <v>0</v>
      </c>
      <c r="L2607" t="n">
        <v>0</v>
      </c>
      <c r="M2607" t="n">
        <v>0</v>
      </c>
      <c r="N2607" t="n">
        <v>0</v>
      </c>
      <c r="O2607" t="n">
        <v>0</v>
      </c>
      <c r="P2607" t="n">
        <v>0</v>
      </c>
      <c r="Q2607" t="n">
        <v>0</v>
      </c>
      <c r="R2607" s="2" t="inlineStr"/>
    </row>
    <row r="2608" ht="15" customHeight="1">
      <c r="A2608" t="inlineStr">
        <is>
          <t>A 53750-2019</t>
        </is>
      </c>
      <c r="B2608" s="1" t="n">
        <v>43749</v>
      </c>
      <c r="C2608" s="1" t="n">
        <v>45357</v>
      </c>
      <c r="D2608" t="inlineStr">
        <is>
          <t>VÄSTERBOTTENS LÄN</t>
        </is>
      </c>
      <c r="E2608" t="inlineStr">
        <is>
          <t>VILHELMINA</t>
        </is>
      </c>
      <c r="F2608" t="inlineStr">
        <is>
          <t>SCA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54935-2019</t>
        </is>
      </c>
      <c r="B2609" s="1" t="n">
        <v>43749</v>
      </c>
      <c r="C2609" s="1" t="n">
        <v>45357</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53725-2019</t>
        </is>
      </c>
      <c r="B2610" s="1" t="n">
        <v>43749</v>
      </c>
      <c r="C2610" s="1" t="n">
        <v>45357</v>
      </c>
      <c r="D2610" t="inlineStr">
        <is>
          <t>VÄSTERBOTTENS LÄN</t>
        </is>
      </c>
      <c r="E2610" t="inlineStr">
        <is>
          <t>VINDELN</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53757-2019</t>
        </is>
      </c>
      <c r="B2611" s="1" t="n">
        <v>43749</v>
      </c>
      <c r="C2611" s="1" t="n">
        <v>45357</v>
      </c>
      <c r="D2611" t="inlineStr">
        <is>
          <t>VÄSTERBOTTENS LÄN</t>
        </is>
      </c>
      <c r="E2611" t="inlineStr">
        <is>
          <t>VILHELMINA</t>
        </is>
      </c>
      <c r="F2611" t="inlineStr">
        <is>
          <t>SCA</t>
        </is>
      </c>
      <c r="G2611" t="n">
        <v>12.4</v>
      </c>
      <c r="H2611" t="n">
        <v>0</v>
      </c>
      <c r="I2611" t="n">
        <v>0</v>
      </c>
      <c r="J2611" t="n">
        <v>0</v>
      </c>
      <c r="K2611" t="n">
        <v>0</v>
      </c>
      <c r="L2611" t="n">
        <v>0</v>
      </c>
      <c r="M2611" t="n">
        <v>0</v>
      </c>
      <c r="N2611" t="n">
        <v>0</v>
      </c>
      <c r="O2611" t="n">
        <v>0</v>
      </c>
      <c r="P2611" t="n">
        <v>0</v>
      </c>
      <c r="Q2611" t="n">
        <v>0</v>
      </c>
      <c r="R2611" s="2" t="inlineStr"/>
    </row>
    <row r="2612" ht="15" customHeight="1">
      <c r="A2612" t="inlineStr">
        <is>
          <t>A 53659-2019</t>
        </is>
      </c>
      <c r="B2612" s="1" t="n">
        <v>43749</v>
      </c>
      <c r="C2612" s="1" t="n">
        <v>45357</v>
      </c>
      <c r="D2612" t="inlineStr">
        <is>
          <t>VÄSTERBOTTENS LÄN</t>
        </is>
      </c>
      <c r="E2612" t="inlineStr">
        <is>
          <t>VINDELN</t>
        </is>
      </c>
      <c r="F2612" t="inlineStr">
        <is>
          <t>Holmen skog AB</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54920-2019</t>
        </is>
      </c>
      <c r="B2613" s="1" t="n">
        <v>43749</v>
      </c>
      <c r="C2613" s="1" t="n">
        <v>45357</v>
      </c>
      <c r="D2613" t="inlineStr">
        <is>
          <t>VÄSTERBOTTENS LÄN</t>
        </is>
      </c>
      <c r="E2613" t="inlineStr">
        <is>
          <t>SKELLEFTEÅ</t>
        </is>
      </c>
      <c r="G2613" t="n">
        <v>24.3</v>
      </c>
      <c r="H2613" t="n">
        <v>0</v>
      </c>
      <c r="I2613" t="n">
        <v>0</v>
      </c>
      <c r="J2613" t="n">
        <v>0</v>
      </c>
      <c r="K2613" t="n">
        <v>0</v>
      </c>
      <c r="L2613" t="n">
        <v>0</v>
      </c>
      <c r="M2613" t="n">
        <v>0</v>
      </c>
      <c r="N2613" t="n">
        <v>0</v>
      </c>
      <c r="O2613" t="n">
        <v>0</v>
      </c>
      <c r="P2613" t="n">
        <v>0</v>
      </c>
      <c r="Q2613" t="n">
        <v>0</v>
      </c>
      <c r="R2613" s="2" t="inlineStr"/>
    </row>
    <row r="2614" ht="15" customHeight="1">
      <c r="A2614" t="inlineStr">
        <is>
          <t>A 54894-2019</t>
        </is>
      </c>
      <c r="B2614" s="1" t="n">
        <v>43749</v>
      </c>
      <c r="C2614" s="1" t="n">
        <v>45357</v>
      </c>
      <c r="D2614" t="inlineStr">
        <is>
          <t>VÄSTERBOTTENS LÄN</t>
        </is>
      </c>
      <c r="E2614" t="inlineStr">
        <is>
          <t>ROBERTSFORS</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53754-2019</t>
        </is>
      </c>
      <c r="B2615" s="1" t="n">
        <v>43749</v>
      </c>
      <c r="C2615" s="1" t="n">
        <v>45357</v>
      </c>
      <c r="D2615" t="inlineStr">
        <is>
          <t>VÄSTERBOTTENS LÄN</t>
        </is>
      </c>
      <c r="E2615" t="inlineStr">
        <is>
          <t>DOROTEA</t>
        </is>
      </c>
      <c r="F2615" t="inlineStr">
        <is>
          <t>SCA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54939-2019</t>
        </is>
      </c>
      <c r="B2616" s="1" t="n">
        <v>43749</v>
      </c>
      <c r="C2616" s="1" t="n">
        <v>45357</v>
      </c>
      <c r="D2616" t="inlineStr">
        <is>
          <t>VÄSTERBOTTENS LÄN</t>
        </is>
      </c>
      <c r="E2616" t="inlineStr">
        <is>
          <t>SKELLEFTEÅ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53813-2019</t>
        </is>
      </c>
      <c r="B2617" s="1" t="n">
        <v>43751</v>
      </c>
      <c r="C2617" s="1" t="n">
        <v>45357</v>
      </c>
      <c r="D2617" t="inlineStr">
        <is>
          <t>VÄSTERBOTTENS LÄN</t>
        </is>
      </c>
      <c r="E2617" t="inlineStr">
        <is>
          <t>UMEÅ</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53925-2019</t>
        </is>
      </c>
      <c r="B2618" s="1" t="n">
        <v>43752</v>
      </c>
      <c r="C2618" s="1" t="n">
        <v>45357</v>
      </c>
      <c r="D2618" t="inlineStr">
        <is>
          <t>VÄSTERBOTTENS LÄN</t>
        </is>
      </c>
      <c r="E2618" t="inlineStr">
        <is>
          <t>SKELLEFTEÅ</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53828-2019</t>
        </is>
      </c>
      <c r="B2619" s="1" t="n">
        <v>43752</v>
      </c>
      <c r="C2619" s="1" t="n">
        <v>45357</v>
      </c>
      <c r="D2619" t="inlineStr">
        <is>
          <t>VÄSTERBOTTENS LÄN</t>
        </is>
      </c>
      <c r="E2619" t="inlineStr">
        <is>
          <t>BJURHOLM</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55156-2019</t>
        </is>
      </c>
      <c r="B2620" s="1" t="n">
        <v>43752</v>
      </c>
      <c r="C2620" s="1" t="n">
        <v>45357</v>
      </c>
      <c r="D2620" t="inlineStr">
        <is>
          <t>VÄSTERBOTTENS LÄN</t>
        </is>
      </c>
      <c r="E2620" t="inlineStr">
        <is>
          <t>ÅSELE</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54135-2019</t>
        </is>
      </c>
      <c r="B2621" s="1" t="n">
        <v>43752</v>
      </c>
      <c r="C2621" s="1" t="n">
        <v>45357</v>
      </c>
      <c r="D2621" t="inlineStr">
        <is>
          <t>VÄSTERBOTTENS LÄN</t>
        </is>
      </c>
      <c r="E2621" t="inlineStr">
        <is>
          <t>MALÅ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55102-2019</t>
        </is>
      </c>
      <c r="B2622" s="1" t="n">
        <v>43752</v>
      </c>
      <c r="C2622" s="1" t="n">
        <v>45357</v>
      </c>
      <c r="D2622" t="inlineStr">
        <is>
          <t>VÄSTERBOTTENS LÄN</t>
        </is>
      </c>
      <c r="E2622" t="inlineStr">
        <is>
          <t>SORSELE</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54184-2019</t>
        </is>
      </c>
      <c r="B2623" s="1" t="n">
        <v>43753</v>
      </c>
      <c r="C2623" s="1" t="n">
        <v>45357</v>
      </c>
      <c r="D2623" t="inlineStr">
        <is>
          <t>VÄSTERBOTTENS LÄN</t>
        </is>
      </c>
      <c r="E2623" t="inlineStr">
        <is>
          <t>VILHELMINA</t>
        </is>
      </c>
      <c r="F2623" t="inlineStr">
        <is>
          <t>Kommuner</t>
        </is>
      </c>
      <c r="G2623" t="n">
        <v>10.6</v>
      </c>
      <c r="H2623" t="n">
        <v>0</v>
      </c>
      <c r="I2623" t="n">
        <v>0</v>
      </c>
      <c r="J2623" t="n">
        <v>0</v>
      </c>
      <c r="K2623" t="n">
        <v>0</v>
      </c>
      <c r="L2623" t="n">
        <v>0</v>
      </c>
      <c r="M2623" t="n">
        <v>0</v>
      </c>
      <c r="N2623" t="n">
        <v>0</v>
      </c>
      <c r="O2623" t="n">
        <v>0</v>
      </c>
      <c r="P2623" t="n">
        <v>0</v>
      </c>
      <c r="Q2623" t="n">
        <v>0</v>
      </c>
      <c r="R2623" s="2" t="inlineStr"/>
    </row>
    <row r="2624" ht="15" customHeight="1">
      <c r="A2624" t="inlineStr">
        <is>
          <t>A 54146-2019</t>
        </is>
      </c>
      <c r="B2624" s="1" t="n">
        <v>43753</v>
      </c>
      <c r="C2624" s="1" t="n">
        <v>45357</v>
      </c>
      <c r="D2624" t="inlineStr">
        <is>
          <t>VÄSTERBOTTENS LÄN</t>
        </is>
      </c>
      <c r="E2624" t="inlineStr">
        <is>
          <t>SKELLEFTEÅ</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54368-2019</t>
        </is>
      </c>
      <c r="B2625" s="1" t="n">
        <v>43753</v>
      </c>
      <c r="C2625" s="1" t="n">
        <v>45357</v>
      </c>
      <c r="D2625" t="inlineStr">
        <is>
          <t>VÄSTERBOTTENS LÄN</t>
        </is>
      </c>
      <c r="E2625" t="inlineStr">
        <is>
          <t>ÅSELE</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55275-2019</t>
        </is>
      </c>
      <c r="B2626" s="1" t="n">
        <v>43753</v>
      </c>
      <c r="C2626" s="1" t="n">
        <v>45357</v>
      </c>
      <c r="D2626" t="inlineStr">
        <is>
          <t>VÄSTERBOTTENS LÄN</t>
        </is>
      </c>
      <c r="E2626" t="inlineStr">
        <is>
          <t>UMEÅ</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54408-2019</t>
        </is>
      </c>
      <c r="B2627" s="1" t="n">
        <v>43754</v>
      </c>
      <c r="C2627" s="1" t="n">
        <v>45357</v>
      </c>
      <c r="D2627" t="inlineStr">
        <is>
          <t>VÄSTERBOTTENS LÄN</t>
        </is>
      </c>
      <c r="E2627" t="inlineStr">
        <is>
          <t>ÅSELE</t>
        </is>
      </c>
      <c r="F2627" t="inlineStr">
        <is>
          <t>Holmen skog AB</t>
        </is>
      </c>
      <c r="G2627" t="n">
        <v>15.2</v>
      </c>
      <c r="H2627" t="n">
        <v>0</v>
      </c>
      <c r="I2627" t="n">
        <v>0</v>
      </c>
      <c r="J2627" t="n">
        <v>0</v>
      </c>
      <c r="K2627" t="n">
        <v>0</v>
      </c>
      <c r="L2627" t="n">
        <v>0</v>
      </c>
      <c r="M2627" t="n">
        <v>0</v>
      </c>
      <c r="N2627" t="n">
        <v>0</v>
      </c>
      <c r="O2627" t="n">
        <v>0</v>
      </c>
      <c r="P2627" t="n">
        <v>0</v>
      </c>
      <c r="Q2627" t="n">
        <v>0</v>
      </c>
      <c r="R2627" s="2" t="inlineStr"/>
    </row>
    <row r="2628" ht="15" customHeight="1">
      <c r="A2628" t="inlineStr">
        <is>
          <t>A 54426-2019</t>
        </is>
      </c>
      <c r="B2628" s="1" t="n">
        <v>43754</v>
      </c>
      <c r="C2628" s="1" t="n">
        <v>45357</v>
      </c>
      <c r="D2628" t="inlineStr">
        <is>
          <t>VÄSTERBOTTENS LÄN</t>
        </is>
      </c>
      <c r="E2628" t="inlineStr">
        <is>
          <t>DOROTEA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54390-2019</t>
        </is>
      </c>
      <c r="B2629" s="1" t="n">
        <v>43754</v>
      </c>
      <c r="C2629" s="1" t="n">
        <v>45357</v>
      </c>
      <c r="D2629" t="inlineStr">
        <is>
          <t>VÄSTERBOTTENS LÄN</t>
        </is>
      </c>
      <c r="E2629" t="inlineStr">
        <is>
          <t>VINDELN</t>
        </is>
      </c>
      <c r="F2629" t="inlineStr">
        <is>
          <t>Holmen skog AB</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55240-2019</t>
        </is>
      </c>
      <c r="B2630" s="1" t="n">
        <v>43754</v>
      </c>
      <c r="C2630" s="1" t="n">
        <v>45357</v>
      </c>
      <c r="D2630" t="inlineStr">
        <is>
          <t>VÄSTERBOTTENS LÄN</t>
        </is>
      </c>
      <c r="E2630" t="inlineStr">
        <is>
          <t>SORSELE</t>
        </is>
      </c>
      <c r="G2630" t="n">
        <v>13.5</v>
      </c>
      <c r="H2630" t="n">
        <v>0</v>
      </c>
      <c r="I2630" t="n">
        <v>0</v>
      </c>
      <c r="J2630" t="n">
        <v>0</v>
      </c>
      <c r="K2630" t="n">
        <v>0</v>
      </c>
      <c r="L2630" t="n">
        <v>0</v>
      </c>
      <c r="M2630" t="n">
        <v>0</v>
      </c>
      <c r="N2630" t="n">
        <v>0</v>
      </c>
      <c r="O2630" t="n">
        <v>0</v>
      </c>
      <c r="P2630" t="n">
        <v>0</v>
      </c>
      <c r="Q2630" t="n">
        <v>0</v>
      </c>
      <c r="R2630" s="2" t="inlineStr"/>
    </row>
    <row r="2631" ht="15" customHeight="1">
      <c r="A2631" t="inlineStr">
        <is>
          <t>A 54666-2019</t>
        </is>
      </c>
      <c r="B2631" s="1" t="n">
        <v>43754</v>
      </c>
      <c r="C2631" s="1" t="n">
        <v>45357</v>
      </c>
      <c r="D2631" t="inlineStr">
        <is>
          <t>VÄSTERBOTTENS LÄN</t>
        </is>
      </c>
      <c r="E2631" t="inlineStr">
        <is>
          <t>SKELLEFTEÅ</t>
        </is>
      </c>
      <c r="F2631" t="inlineStr">
        <is>
          <t>Sveaskog</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54667-2019</t>
        </is>
      </c>
      <c r="B2632" s="1" t="n">
        <v>43754</v>
      </c>
      <c r="C2632" s="1" t="n">
        <v>45357</v>
      </c>
      <c r="D2632" t="inlineStr">
        <is>
          <t>VÄSTERBOTTENS LÄN</t>
        </is>
      </c>
      <c r="E2632" t="inlineStr">
        <is>
          <t>SKELLEFTEÅ</t>
        </is>
      </c>
      <c r="F2632" t="inlineStr">
        <is>
          <t>Sveaskog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54916-2019</t>
        </is>
      </c>
      <c r="B2633" s="1" t="n">
        <v>43755</v>
      </c>
      <c r="C2633" s="1" t="n">
        <v>45357</v>
      </c>
      <c r="D2633" t="inlineStr">
        <is>
          <t>VÄSTERBOTTENS LÄN</t>
        </is>
      </c>
      <c r="E2633" t="inlineStr">
        <is>
          <t>MALÅ</t>
        </is>
      </c>
      <c r="F2633" t="inlineStr">
        <is>
          <t>Sveaskog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54985-2019</t>
        </is>
      </c>
      <c r="B2634" s="1" t="n">
        <v>43755</v>
      </c>
      <c r="C2634" s="1" t="n">
        <v>45357</v>
      </c>
      <c r="D2634" t="inlineStr">
        <is>
          <t>VÄSTERBOTTENS LÄN</t>
        </is>
      </c>
      <c r="E2634" t="inlineStr">
        <is>
          <t>VILHELMINA</t>
        </is>
      </c>
      <c r="G2634" t="n">
        <v>12.2</v>
      </c>
      <c r="H2634" t="n">
        <v>0</v>
      </c>
      <c r="I2634" t="n">
        <v>0</v>
      </c>
      <c r="J2634" t="n">
        <v>0</v>
      </c>
      <c r="K2634" t="n">
        <v>0</v>
      </c>
      <c r="L2634" t="n">
        <v>0</v>
      </c>
      <c r="M2634" t="n">
        <v>0</v>
      </c>
      <c r="N2634" t="n">
        <v>0</v>
      </c>
      <c r="O2634" t="n">
        <v>0</v>
      </c>
      <c r="P2634" t="n">
        <v>0</v>
      </c>
      <c r="Q2634" t="n">
        <v>0</v>
      </c>
      <c r="R2634" s="2" t="inlineStr"/>
    </row>
    <row r="2635" ht="15" customHeight="1">
      <c r="A2635" t="inlineStr">
        <is>
          <t>A 54682-2019</t>
        </is>
      </c>
      <c r="B2635" s="1" t="n">
        <v>43755</v>
      </c>
      <c r="C2635" s="1" t="n">
        <v>45357</v>
      </c>
      <c r="D2635" t="inlineStr">
        <is>
          <t>VÄSTERBOTTENS LÄN</t>
        </is>
      </c>
      <c r="E2635" t="inlineStr">
        <is>
          <t>MALÅ</t>
        </is>
      </c>
      <c r="F2635" t="inlineStr">
        <is>
          <t>Sveaskog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54901-2019</t>
        </is>
      </c>
      <c r="B2636" s="1" t="n">
        <v>43755</v>
      </c>
      <c r="C2636" s="1" t="n">
        <v>45357</v>
      </c>
      <c r="D2636" t="inlineStr">
        <is>
          <t>VÄSTERBOTTENS LÄN</t>
        </is>
      </c>
      <c r="E2636" t="inlineStr">
        <is>
          <t>ROBERTSFORS</t>
        </is>
      </c>
      <c r="F2636" t="inlineStr">
        <is>
          <t>Holmen skog AB</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54880-2019</t>
        </is>
      </c>
      <c r="B2637" s="1" t="n">
        <v>43755</v>
      </c>
      <c r="C2637" s="1" t="n">
        <v>45357</v>
      </c>
      <c r="D2637" t="inlineStr">
        <is>
          <t>VÄSTERBOTTENS LÄN</t>
        </is>
      </c>
      <c r="E2637" t="inlineStr">
        <is>
          <t>UMEÅ</t>
        </is>
      </c>
      <c r="F2637" t="inlineStr">
        <is>
          <t>Holmen skog AB</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54931-2019</t>
        </is>
      </c>
      <c r="B2638" s="1" t="n">
        <v>43755</v>
      </c>
      <c r="C2638" s="1" t="n">
        <v>45357</v>
      </c>
      <c r="D2638" t="inlineStr">
        <is>
          <t>VÄSTERBOTTENS LÄN</t>
        </is>
      </c>
      <c r="E2638" t="inlineStr">
        <is>
          <t>ÅSELE</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54919-2019</t>
        </is>
      </c>
      <c r="B2639" s="1" t="n">
        <v>43755</v>
      </c>
      <c r="C2639" s="1" t="n">
        <v>45357</v>
      </c>
      <c r="D2639" t="inlineStr">
        <is>
          <t>VÄSTERBOTTENS LÄN</t>
        </is>
      </c>
      <c r="E2639" t="inlineStr">
        <is>
          <t>MALÅ</t>
        </is>
      </c>
      <c r="F2639" t="inlineStr">
        <is>
          <t>Sveaskog</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55906-2019</t>
        </is>
      </c>
      <c r="B2640" s="1" t="n">
        <v>43755</v>
      </c>
      <c r="C2640" s="1" t="n">
        <v>45357</v>
      </c>
      <c r="D2640" t="inlineStr">
        <is>
          <t>VÄSTERBOTTENS LÄN</t>
        </is>
      </c>
      <c r="E2640" t="inlineStr">
        <is>
          <t>UMEÅ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54752-2019</t>
        </is>
      </c>
      <c r="B2641" s="1" t="n">
        <v>43755</v>
      </c>
      <c r="C2641" s="1" t="n">
        <v>45357</v>
      </c>
      <c r="D2641" t="inlineStr">
        <is>
          <t>VÄSTERBOTTENS LÄN</t>
        </is>
      </c>
      <c r="E2641" t="inlineStr">
        <is>
          <t>VINDELN</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55251-2019</t>
        </is>
      </c>
      <c r="B2642" s="1" t="n">
        <v>43755</v>
      </c>
      <c r="C2642" s="1" t="n">
        <v>45357</v>
      </c>
      <c r="D2642" t="inlineStr">
        <is>
          <t>VÄSTERBOTTENS LÄN</t>
        </is>
      </c>
      <c r="E2642" t="inlineStr">
        <is>
          <t>DOROTEA</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55507-2019</t>
        </is>
      </c>
      <c r="B2643" s="1" t="n">
        <v>43755</v>
      </c>
      <c r="C2643" s="1" t="n">
        <v>45357</v>
      </c>
      <c r="D2643" t="inlineStr">
        <is>
          <t>VÄSTERBOTTENS LÄN</t>
        </is>
      </c>
      <c r="E2643" t="inlineStr">
        <is>
          <t>NORSJÖ</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55946-2019</t>
        </is>
      </c>
      <c r="B2644" s="1" t="n">
        <v>43755</v>
      </c>
      <c r="C2644" s="1" t="n">
        <v>45357</v>
      </c>
      <c r="D2644" t="inlineStr">
        <is>
          <t>VÄSTERBOTTENS LÄN</t>
        </is>
      </c>
      <c r="E2644" t="inlineStr">
        <is>
          <t>ROBERTSFORS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56088-2019</t>
        </is>
      </c>
      <c r="B2645" s="1" t="n">
        <v>43755</v>
      </c>
      <c r="C2645" s="1" t="n">
        <v>45357</v>
      </c>
      <c r="D2645" t="inlineStr">
        <is>
          <t>VÄSTERBOTTENS LÄN</t>
        </is>
      </c>
      <c r="E2645" t="inlineStr">
        <is>
          <t>UMEÅ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55363-2019</t>
        </is>
      </c>
      <c r="B2646" s="1" t="n">
        <v>43756</v>
      </c>
      <c r="C2646" s="1" t="n">
        <v>45357</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56258-2019</t>
        </is>
      </c>
      <c r="B2647" s="1" t="n">
        <v>43756</v>
      </c>
      <c r="C2647" s="1" t="n">
        <v>45357</v>
      </c>
      <c r="D2647" t="inlineStr">
        <is>
          <t>VÄSTERBOTTENS LÄN</t>
        </is>
      </c>
      <c r="E2647" t="inlineStr">
        <is>
          <t>ROBERTSFORS</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56278-2019</t>
        </is>
      </c>
      <c r="B2648" s="1" t="n">
        <v>43756</v>
      </c>
      <c r="C2648" s="1" t="n">
        <v>45357</v>
      </c>
      <c r="D2648" t="inlineStr">
        <is>
          <t>VÄSTERBOTTENS LÄN</t>
        </is>
      </c>
      <c r="E2648" t="inlineStr">
        <is>
          <t>STORUMAN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55396-2019</t>
        </is>
      </c>
      <c r="B2649" s="1" t="n">
        <v>43758</v>
      </c>
      <c r="C2649" s="1" t="n">
        <v>45357</v>
      </c>
      <c r="D2649" t="inlineStr">
        <is>
          <t>VÄSTERBOTTENS LÄN</t>
        </is>
      </c>
      <c r="E2649" t="inlineStr">
        <is>
          <t>LYCKSELE</t>
        </is>
      </c>
      <c r="F2649" t="inlineStr">
        <is>
          <t>Sveaskog</t>
        </is>
      </c>
      <c r="G2649" t="n">
        <v>17.5</v>
      </c>
      <c r="H2649" t="n">
        <v>0</v>
      </c>
      <c r="I2649" t="n">
        <v>0</v>
      </c>
      <c r="J2649" t="n">
        <v>0</v>
      </c>
      <c r="K2649" t="n">
        <v>0</v>
      </c>
      <c r="L2649" t="n">
        <v>0</v>
      </c>
      <c r="M2649" t="n">
        <v>0</v>
      </c>
      <c r="N2649" t="n">
        <v>0</v>
      </c>
      <c r="O2649" t="n">
        <v>0</v>
      </c>
      <c r="P2649" t="n">
        <v>0</v>
      </c>
      <c r="Q2649" t="n">
        <v>0</v>
      </c>
      <c r="R2649" s="2" t="inlineStr"/>
    </row>
    <row r="2650" ht="15" customHeight="1">
      <c r="A2650" t="inlineStr">
        <is>
          <t>A 55424-2019</t>
        </is>
      </c>
      <c r="B2650" s="1" t="n">
        <v>43758</v>
      </c>
      <c r="C2650" s="1" t="n">
        <v>45357</v>
      </c>
      <c r="D2650" t="inlineStr">
        <is>
          <t>VÄSTERBOTTENS LÄN</t>
        </is>
      </c>
      <c r="E2650" t="inlineStr">
        <is>
          <t>SORSELE</t>
        </is>
      </c>
      <c r="G2650" t="n">
        <v>15.5</v>
      </c>
      <c r="H2650" t="n">
        <v>0</v>
      </c>
      <c r="I2650" t="n">
        <v>0</v>
      </c>
      <c r="J2650" t="n">
        <v>0</v>
      </c>
      <c r="K2650" t="n">
        <v>0</v>
      </c>
      <c r="L2650" t="n">
        <v>0</v>
      </c>
      <c r="M2650" t="n">
        <v>0</v>
      </c>
      <c r="N2650" t="n">
        <v>0</v>
      </c>
      <c r="O2650" t="n">
        <v>0</v>
      </c>
      <c r="P2650" t="n">
        <v>0</v>
      </c>
      <c r="Q2650" t="n">
        <v>0</v>
      </c>
      <c r="R2650" s="2" t="inlineStr"/>
    </row>
    <row r="2651" ht="15" customHeight="1">
      <c r="A2651" t="inlineStr">
        <is>
          <t>A 55459-2019</t>
        </is>
      </c>
      <c r="B2651" s="1" t="n">
        <v>43759</v>
      </c>
      <c r="C2651" s="1" t="n">
        <v>45357</v>
      </c>
      <c r="D2651" t="inlineStr">
        <is>
          <t>VÄSTERBOTTENS LÄN</t>
        </is>
      </c>
      <c r="E2651" t="inlineStr">
        <is>
          <t>SKELLEFTEÅ</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55480-2019</t>
        </is>
      </c>
      <c r="B2652" s="1" t="n">
        <v>43759</v>
      </c>
      <c r="C2652" s="1" t="n">
        <v>45357</v>
      </c>
      <c r="D2652" t="inlineStr">
        <is>
          <t>VÄSTERBOTTENS LÄN</t>
        </is>
      </c>
      <c r="E2652" t="inlineStr">
        <is>
          <t>ROBERTSFORS</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55489-2019</t>
        </is>
      </c>
      <c r="B2653" s="1" t="n">
        <v>43759</v>
      </c>
      <c r="C2653" s="1" t="n">
        <v>45357</v>
      </c>
      <c r="D2653" t="inlineStr">
        <is>
          <t>VÄSTERBOTTENS LÄN</t>
        </is>
      </c>
      <c r="E2653" t="inlineStr">
        <is>
          <t>SKELLEFTEÅ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56685-2019</t>
        </is>
      </c>
      <c r="B2654" s="1" t="n">
        <v>43759</v>
      </c>
      <c r="C2654" s="1" t="n">
        <v>45357</v>
      </c>
      <c r="D2654" t="inlineStr">
        <is>
          <t>VÄSTERBOTTENS LÄN</t>
        </is>
      </c>
      <c r="E2654" t="inlineStr">
        <is>
          <t>LYCKSELE</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57264-2019</t>
        </is>
      </c>
      <c r="B2655" s="1" t="n">
        <v>43759</v>
      </c>
      <c r="C2655" s="1" t="n">
        <v>45357</v>
      </c>
      <c r="D2655" t="inlineStr">
        <is>
          <t>VÄSTERBOTTENS LÄN</t>
        </is>
      </c>
      <c r="E2655" t="inlineStr">
        <is>
          <t>DOROTEA</t>
        </is>
      </c>
      <c r="F2655" t="inlineStr">
        <is>
          <t>SCA</t>
        </is>
      </c>
      <c r="G2655" t="n">
        <v>41.4</v>
      </c>
      <c r="H2655" t="n">
        <v>0</v>
      </c>
      <c r="I2655" t="n">
        <v>0</v>
      </c>
      <c r="J2655" t="n">
        <v>0</v>
      </c>
      <c r="K2655" t="n">
        <v>0</v>
      </c>
      <c r="L2655" t="n">
        <v>0</v>
      </c>
      <c r="M2655" t="n">
        <v>0</v>
      </c>
      <c r="N2655" t="n">
        <v>0</v>
      </c>
      <c r="O2655" t="n">
        <v>0</v>
      </c>
      <c r="P2655" t="n">
        <v>0</v>
      </c>
      <c r="Q2655" t="n">
        <v>0</v>
      </c>
      <c r="R2655" s="2" t="inlineStr"/>
    </row>
    <row r="2656" ht="15" customHeight="1">
      <c r="A2656" t="inlineStr">
        <is>
          <t>A 56679-2019</t>
        </is>
      </c>
      <c r="B2656" s="1" t="n">
        <v>43759</v>
      </c>
      <c r="C2656" s="1" t="n">
        <v>45357</v>
      </c>
      <c r="D2656" t="inlineStr">
        <is>
          <t>VÄSTERBOTTENS LÄN</t>
        </is>
      </c>
      <c r="E2656" t="inlineStr">
        <is>
          <t>LYCKSELE</t>
        </is>
      </c>
      <c r="G2656" t="n">
        <v>10.3</v>
      </c>
      <c r="H2656" t="n">
        <v>0</v>
      </c>
      <c r="I2656" t="n">
        <v>0</v>
      </c>
      <c r="J2656" t="n">
        <v>0</v>
      </c>
      <c r="K2656" t="n">
        <v>0</v>
      </c>
      <c r="L2656" t="n">
        <v>0</v>
      </c>
      <c r="M2656" t="n">
        <v>0</v>
      </c>
      <c r="N2656" t="n">
        <v>0</v>
      </c>
      <c r="O2656" t="n">
        <v>0</v>
      </c>
      <c r="P2656" t="n">
        <v>0</v>
      </c>
      <c r="Q2656" t="n">
        <v>0</v>
      </c>
      <c r="R2656" s="2" t="inlineStr"/>
    </row>
    <row r="2657" ht="15" customHeight="1">
      <c r="A2657" t="inlineStr">
        <is>
          <t>A 56972-2019</t>
        </is>
      </c>
      <c r="B2657" s="1" t="n">
        <v>43759</v>
      </c>
      <c r="C2657" s="1" t="n">
        <v>45357</v>
      </c>
      <c r="D2657" t="inlineStr">
        <is>
          <t>VÄSTERBOTTENS LÄN</t>
        </is>
      </c>
      <c r="E2657" t="inlineStr">
        <is>
          <t>VINDELN</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57129-2019</t>
        </is>
      </c>
      <c r="B2658" s="1" t="n">
        <v>43759</v>
      </c>
      <c r="C2658" s="1" t="n">
        <v>45357</v>
      </c>
      <c r="D2658" t="inlineStr">
        <is>
          <t>VÄSTERBOTTENS LÄN</t>
        </is>
      </c>
      <c r="E2658" t="inlineStr">
        <is>
          <t>DOROTEA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55475-2019</t>
        </is>
      </c>
      <c r="B2659" s="1" t="n">
        <v>43759</v>
      </c>
      <c r="C2659" s="1" t="n">
        <v>45357</v>
      </c>
      <c r="D2659" t="inlineStr">
        <is>
          <t>VÄSTERBOTTENS LÄN</t>
        </is>
      </c>
      <c r="E2659" t="inlineStr">
        <is>
          <t>ROBERTSFORS</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55684-2019</t>
        </is>
      </c>
      <c r="B2660" s="1" t="n">
        <v>43760</v>
      </c>
      <c r="C2660" s="1" t="n">
        <v>45357</v>
      </c>
      <c r="D2660" t="inlineStr">
        <is>
          <t>VÄSTERBOTTENS LÄN</t>
        </is>
      </c>
      <c r="E2660" t="inlineStr">
        <is>
          <t>NORDMALING</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55432-2019</t>
        </is>
      </c>
      <c r="B2661" s="1" t="n">
        <v>43760</v>
      </c>
      <c r="C2661" s="1" t="n">
        <v>45357</v>
      </c>
      <c r="D2661" t="inlineStr">
        <is>
          <t>VÄSTERBOTTENS LÄN</t>
        </is>
      </c>
      <c r="E2661" t="inlineStr">
        <is>
          <t>ÅSELE</t>
        </is>
      </c>
      <c r="G2661" t="n">
        <v>8.800000000000001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55899-2019</t>
        </is>
      </c>
      <c r="B2662" s="1" t="n">
        <v>43761</v>
      </c>
      <c r="C2662" s="1" t="n">
        <v>45357</v>
      </c>
      <c r="D2662" t="inlineStr">
        <is>
          <t>VÄSTERBOTTENS LÄN</t>
        </is>
      </c>
      <c r="E2662" t="inlineStr">
        <is>
          <t>DOROTEA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55895-2019</t>
        </is>
      </c>
      <c r="B2663" s="1" t="n">
        <v>43761</v>
      </c>
      <c r="C2663" s="1" t="n">
        <v>45357</v>
      </c>
      <c r="D2663" t="inlineStr">
        <is>
          <t>VÄSTERBOTTENS LÄN</t>
        </is>
      </c>
      <c r="E2663" t="inlineStr">
        <is>
          <t>DOROTEA</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55885-2019</t>
        </is>
      </c>
      <c r="B2664" s="1" t="n">
        <v>43761</v>
      </c>
      <c r="C2664" s="1" t="n">
        <v>45357</v>
      </c>
      <c r="D2664" t="inlineStr">
        <is>
          <t>VÄSTERBOTTENS LÄN</t>
        </is>
      </c>
      <c r="E2664" t="inlineStr">
        <is>
          <t>ÅSELE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55897-2019</t>
        </is>
      </c>
      <c r="B2665" s="1" t="n">
        <v>43761</v>
      </c>
      <c r="C2665" s="1" t="n">
        <v>45357</v>
      </c>
      <c r="D2665" t="inlineStr">
        <is>
          <t>VÄSTERBOTTENS LÄN</t>
        </is>
      </c>
      <c r="E2665" t="inlineStr">
        <is>
          <t>MALÅ</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55948-2019</t>
        </is>
      </c>
      <c r="B2666" s="1" t="n">
        <v>43761</v>
      </c>
      <c r="C2666" s="1" t="n">
        <v>45357</v>
      </c>
      <c r="D2666" t="inlineStr">
        <is>
          <t>VÄSTERBOTTENS LÄN</t>
        </is>
      </c>
      <c r="E2666" t="inlineStr">
        <is>
          <t>VINDELN</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56120-2019</t>
        </is>
      </c>
      <c r="B2667" s="1" t="n">
        <v>43761</v>
      </c>
      <c r="C2667" s="1" t="n">
        <v>45357</v>
      </c>
      <c r="D2667" t="inlineStr">
        <is>
          <t>VÄSTERBOTTENS LÄN</t>
        </is>
      </c>
      <c r="E2667" t="inlineStr">
        <is>
          <t>DOROTEA</t>
        </is>
      </c>
      <c r="G2667" t="n">
        <v>8.9</v>
      </c>
      <c r="H2667" t="n">
        <v>0</v>
      </c>
      <c r="I2667" t="n">
        <v>0</v>
      </c>
      <c r="J2667" t="n">
        <v>0</v>
      </c>
      <c r="K2667" t="n">
        <v>0</v>
      </c>
      <c r="L2667" t="n">
        <v>0</v>
      </c>
      <c r="M2667" t="n">
        <v>0</v>
      </c>
      <c r="N2667" t="n">
        <v>0</v>
      </c>
      <c r="O2667" t="n">
        <v>0</v>
      </c>
      <c r="P2667" t="n">
        <v>0</v>
      </c>
      <c r="Q2667" t="n">
        <v>0</v>
      </c>
      <c r="R2667" s="2" t="inlineStr"/>
    </row>
    <row r="2668" ht="15" customHeight="1">
      <c r="A2668" t="inlineStr">
        <is>
          <t>A 56191-2019</t>
        </is>
      </c>
      <c r="B2668" s="1" t="n">
        <v>43761</v>
      </c>
      <c r="C2668" s="1" t="n">
        <v>45357</v>
      </c>
      <c r="D2668" t="inlineStr">
        <is>
          <t>VÄSTERBOTTENS LÄN</t>
        </is>
      </c>
      <c r="E2668" t="inlineStr">
        <is>
          <t>LYCKSELE</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57652-2019</t>
        </is>
      </c>
      <c r="B2669" s="1" t="n">
        <v>43761</v>
      </c>
      <c r="C2669" s="1" t="n">
        <v>45357</v>
      </c>
      <c r="D2669" t="inlineStr">
        <is>
          <t>VÄSTERBOTTENS LÄN</t>
        </is>
      </c>
      <c r="E2669" t="inlineStr">
        <is>
          <t>NORSJÖ</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56269-2019</t>
        </is>
      </c>
      <c r="B2670" s="1" t="n">
        <v>43762</v>
      </c>
      <c r="C2670" s="1" t="n">
        <v>45357</v>
      </c>
      <c r="D2670" t="inlineStr">
        <is>
          <t>VÄSTERBOTTENS LÄN</t>
        </is>
      </c>
      <c r="E2670" t="inlineStr">
        <is>
          <t>MALÅ</t>
        </is>
      </c>
      <c r="F2670" t="inlineStr">
        <is>
          <t>Sveaskog</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56284-2019</t>
        </is>
      </c>
      <c r="B2671" s="1" t="n">
        <v>43762</v>
      </c>
      <c r="C2671" s="1" t="n">
        <v>45357</v>
      </c>
      <c r="D2671" t="inlineStr">
        <is>
          <t>VÄSTERBOTTENS LÄN</t>
        </is>
      </c>
      <c r="E2671" t="inlineStr">
        <is>
          <t>SKELLEFTEÅ</t>
        </is>
      </c>
      <c r="F2671" t="inlineStr">
        <is>
          <t>Holmen skog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57906-2019</t>
        </is>
      </c>
      <c r="B2672" s="1" t="n">
        <v>43762</v>
      </c>
      <c r="C2672" s="1" t="n">
        <v>45357</v>
      </c>
      <c r="D2672" t="inlineStr">
        <is>
          <t>VÄSTERBOTTENS LÄN</t>
        </is>
      </c>
      <c r="E2672" t="inlineStr">
        <is>
          <t>VILHELMINA</t>
        </is>
      </c>
      <c r="F2672" t="inlineStr">
        <is>
          <t>Allmännings- och besparingsskogar</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57974-2019</t>
        </is>
      </c>
      <c r="B2673" s="1" t="n">
        <v>43762</v>
      </c>
      <c r="C2673" s="1" t="n">
        <v>45357</v>
      </c>
      <c r="D2673" t="inlineStr">
        <is>
          <t>VÄSTERBOTTENS LÄN</t>
        </is>
      </c>
      <c r="E2673" t="inlineStr">
        <is>
          <t>SORSELE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56504-2019</t>
        </is>
      </c>
      <c r="B2674" s="1" t="n">
        <v>43762</v>
      </c>
      <c r="C2674" s="1" t="n">
        <v>45357</v>
      </c>
      <c r="D2674" t="inlineStr">
        <is>
          <t>VÄSTERBOTTENS LÄN</t>
        </is>
      </c>
      <c r="E2674" t="inlineStr">
        <is>
          <t>VINDELN</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57940-2019</t>
        </is>
      </c>
      <c r="B2675" s="1" t="n">
        <v>43762</v>
      </c>
      <c r="C2675" s="1" t="n">
        <v>45357</v>
      </c>
      <c r="D2675" t="inlineStr">
        <is>
          <t>VÄSTERBOTTENS LÄN</t>
        </is>
      </c>
      <c r="E2675" t="inlineStr">
        <is>
          <t>VILHELMINA</t>
        </is>
      </c>
      <c r="F2675" t="inlineStr">
        <is>
          <t>Allmännings- och besparingsskogar</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57972-2019</t>
        </is>
      </c>
      <c r="B2676" s="1" t="n">
        <v>43762</v>
      </c>
      <c r="C2676" s="1" t="n">
        <v>45357</v>
      </c>
      <c r="D2676" t="inlineStr">
        <is>
          <t>VÄSTERBOTTENS LÄN</t>
        </is>
      </c>
      <c r="E2676" t="inlineStr">
        <is>
          <t>LYCKSELE</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56786-2019</t>
        </is>
      </c>
      <c r="B2677" s="1" t="n">
        <v>43763</v>
      </c>
      <c r="C2677" s="1" t="n">
        <v>45357</v>
      </c>
      <c r="D2677" t="inlineStr">
        <is>
          <t>VÄSTERBOTTENS LÄN</t>
        </is>
      </c>
      <c r="E2677" t="inlineStr">
        <is>
          <t>SKELLEFTEÅ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56581-2019</t>
        </is>
      </c>
      <c r="B2678" s="1" t="n">
        <v>43763</v>
      </c>
      <c r="C2678" s="1" t="n">
        <v>45357</v>
      </c>
      <c r="D2678" t="inlineStr">
        <is>
          <t>VÄSTERBOTTENS LÄN</t>
        </is>
      </c>
      <c r="E2678" t="inlineStr">
        <is>
          <t>SKELLEFTEÅ</t>
        </is>
      </c>
      <c r="F2678" t="inlineStr">
        <is>
          <t>Sveaskog</t>
        </is>
      </c>
      <c r="G2678" t="n">
        <v>21.4</v>
      </c>
      <c r="H2678" t="n">
        <v>0</v>
      </c>
      <c r="I2678" t="n">
        <v>0</v>
      </c>
      <c r="J2678" t="n">
        <v>0</v>
      </c>
      <c r="K2678" t="n">
        <v>0</v>
      </c>
      <c r="L2678" t="n">
        <v>0</v>
      </c>
      <c r="M2678" t="n">
        <v>0</v>
      </c>
      <c r="N2678" t="n">
        <v>0</v>
      </c>
      <c r="O2678" t="n">
        <v>0</v>
      </c>
      <c r="P2678" t="n">
        <v>0</v>
      </c>
      <c r="Q2678" t="n">
        <v>0</v>
      </c>
      <c r="R2678" s="2" t="inlineStr"/>
    </row>
    <row r="2679" ht="15" customHeight="1">
      <c r="A2679" t="inlineStr">
        <is>
          <t>A 56648-2019</t>
        </is>
      </c>
      <c r="B2679" s="1" t="n">
        <v>43763</v>
      </c>
      <c r="C2679" s="1" t="n">
        <v>45357</v>
      </c>
      <c r="D2679" t="inlineStr">
        <is>
          <t>VÄSTERBOTTENS LÄN</t>
        </is>
      </c>
      <c r="E2679" t="inlineStr">
        <is>
          <t>ROBERTSFORS</t>
        </is>
      </c>
      <c r="F2679" t="inlineStr">
        <is>
          <t>Holmen skog AB</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56794-2019</t>
        </is>
      </c>
      <c r="B2680" s="1" t="n">
        <v>43763</v>
      </c>
      <c r="C2680" s="1" t="n">
        <v>45357</v>
      </c>
      <c r="D2680" t="inlineStr">
        <is>
          <t>VÄSTERBOTTENS LÄN</t>
        </is>
      </c>
      <c r="E2680" t="inlineStr">
        <is>
          <t>VINDELN</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56792-2019</t>
        </is>
      </c>
      <c r="B2681" s="1" t="n">
        <v>43764</v>
      </c>
      <c r="C2681" s="1" t="n">
        <v>45357</v>
      </c>
      <c r="D2681" t="inlineStr">
        <is>
          <t>VÄSTERBOTTENS LÄN</t>
        </is>
      </c>
      <c r="E2681" t="inlineStr">
        <is>
          <t>NORDMALING</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56817-2019</t>
        </is>
      </c>
      <c r="B2682" s="1" t="n">
        <v>43763</v>
      </c>
      <c r="C2682" s="1" t="n">
        <v>45357</v>
      </c>
      <c r="D2682" t="inlineStr">
        <is>
          <t>VÄSTERBOTTENS LÄN</t>
        </is>
      </c>
      <c r="E2682" t="inlineStr">
        <is>
          <t>NORDMALING</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56833-2019</t>
        </is>
      </c>
      <c r="B2683" s="1" t="n">
        <v>43765</v>
      </c>
      <c r="C2683" s="1" t="n">
        <v>45357</v>
      </c>
      <c r="D2683" t="inlineStr">
        <is>
          <t>VÄSTERBOTTENS LÄN</t>
        </is>
      </c>
      <c r="E2683" t="inlineStr">
        <is>
          <t>VILHELMINA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56860-2019</t>
        </is>
      </c>
      <c r="B2684" s="1" t="n">
        <v>43766</v>
      </c>
      <c r="C2684" s="1" t="n">
        <v>45357</v>
      </c>
      <c r="D2684" t="inlineStr">
        <is>
          <t>VÄSTERBOTTENS LÄN</t>
        </is>
      </c>
      <c r="E2684" t="inlineStr">
        <is>
          <t>STORUMAN</t>
        </is>
      </c>
      <c r="F2684" t="inlineStr">
        <is>
          <t>Sveaskog</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57046-2019</t>
        </is>
      </c>
      <c r="B2685" s="1" t="n">
        <v>43766</v>
      </c>
      <c r="C2685" s="1" t="n">
        <v>45357</v>
      </c>
      <c r="D2685" t="inlineStr">
        <is>
          <t>VÄSTERBOTTENS LÄN</t>
        </is>
      </c>
      <c r="E2685" t="inlineStr">
        <is>
          <t>NORSJÖ</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58561-2019</t>
        </is>
      </c>
      <c r="B2686" s="1" t="n">
        <v>43766</v>
      </c>
      <c r="C2686" s="1" t="n">
        <v>45357</v>
      </c>
      <c r="D2686" t="inlineStr">
        <is>
          <t>VÄSTERBOTTENS LÄN</t>
        </is>
      </c>
      <c r="E2686" t="inlineStr">
        <is>
          <t>SORSELE</t>
        </is>
      </c>
      <c r="G2686" t="n">
        <v>12.3</v>
      </c>
      <c r="H2686" t="n">
        <v>0</v>
      </c>
      <c r="I2686" t="n">
        <v>0</v>
      </c>
      <c r="J2686" t="n">
        <v>0</v>
      </c>
      <c r="K2686" t="n">
        <v>0</v>
      </c>
      <c r="L2686" t="n">
        <v>0</v>
      </c>
      <c r="M2686" t="n">
        <v>0</v>
      </c>
      <c r="N2686" t="n">
        <v>0</v>
      </c>
      <c r="O2686" t="n">
        <v>0</v>
      </c>
      <c r="P2686" t="n">
        <v>0</v>
      </c>
      <c r="Q2686" t="n">
        <v>0</v>
      </c>
      <c r="R2686" s="2" t="inlineStr"/>
    </row>
    <row r="2687" ht="15" customHeight="1">
      <c r="A2687" t="inlineStr">
        <is>
          <t>A 58568-2019</t>
        </is>
      </c>
      <c r="B2687" s="1" t="n">
        <v>43766</v>
      </c>
      <c r="C2687" s="1" t="n">
        <v>45357</v>
      </c>
      <c r="D2687" t="inlineStr">
        <is>
          <t>VÄSTERBOTTENS LÄN</t>
        </is>
      </c>
      <c r="E2687" t="inlineStr">
        <is>
          <t>SORSELE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58541-2019</t>
        </is>
      </c>
      <c r="B2688" s="1" t="n">
        <v>43766</v>
      </c>
      <c r="C2688" s="1" t="n">
        <v>45357</v>
      </c>
      <c r="D2688" t="inlineStr">
        <is>
          <t>VÄSTERBOTTENS LÄN</t>
        </is>
      </c>
      <c r="E2688" t="inlineStr">
        <is>
          <t>NORSJÖ</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56911-2019</t>
        </is>
      </c>
      <c r="B2689" s="1" t="n">
        <v>43766</v>
      </c>
      <c r="C2689" s="1" t="n">
        <v>45357</v>
      </c>
      <c r="D2689" t="inlineStr">
        <is>
          <t>VÄSTERBOTTENS LÄN</t>
        </is>
      </c>
      <c r="E2689" t="inlineStr">
        <is>
          <t>STORUMAN</t>
        </is>
      </c>
      <c r="F2689" t="inlineStr">
        <is>
          <t>Sveaskog</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56912-2019</t>
        </is>
      </c>
      <c r="B2690" s="1" t="n">
        <v>43766</v>
      </c>
      <c r="C2690" s="1" t="n">
        <v>45357</v>
      </c>
      <c r="D2690" t="inlineStr">
        <is>
          <t>VÄSTERBOTTENS LÄN</t>
        </is>
      </c>
      <c r="E2690" t="inlineStr">
        <is>
          <t>STORUMAN</t>
        </is>
      </c>
      <c r="F2690" t="inlineStr">
        <is>
          <t>Sveaskog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57374-2019</t>
        </is>
      </c>
      <c r="B2691" s="1" t="n">
        <v>43767</v>
      </c>
      <c r="C2691" s="1" t="n">
        <v>45357</v>
      </c>
      <c r="D2691" t="inlineStr">
        <is>
          <t>VÄSTERBOTTENS LÄN</t>
        </is>
      </c>
      <c r="E2691" t="inlineStr">
        <is>
          <t>ROBERTSFORS</t>
        </is>
      </c>
      <c r="F2691" t="inlineStr">
        <is>
          <t>Holmen skog AB</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57206-2019</t>
        </is>
      </c>
      <c r="B2692" s="1" t="n">
        <v>43767</v>
      </c>
      <c r="C2692" s="1" t="n">
        <v>45357</v>
      </c>
      <c r="D2692" t="inlineStr">
        <is>
          <t>VÄSTERBOTTENS LÄN</t>
        </is>
      </c>
      <c r="E2692" t="inlineStr">
        <is>
          <t>ROBERTSFORS</t>
        </is>
      </c>
      <c r="F2692" t="inlineStr">
        <is>
          <t>Holmen skog AB</t>
        </is>
      </c>
      <c r="G2692" t="n">
        <v>10.1</v>
      </c>
      <c r="H2692" t="n">
        <v>0</v>
      </c>
      <c r="I2692" t="n">
        <v>0</v>
      </c>
      <c r="J2692" t="n">
        <v>0</v>
      </c>
      <c r="K2692" t="n">
        <v>0</v>
      </c>
      <c r="L2692" t="n">
        <v>0</v>
      </c>
      <c r="M2692" t="n">
        <v>0</v>
      </c>
      <c r="N2692" t="n">
        <v>0</v>
      </c>
      <c r="O2692" t="n">
        <v>0</v>
      </c>
      <c r="P2692" t="n">
        <v>0</v>
      </c>
      <c r="Q2692" t="n">
        <v>0</v>
      </c>
      <c r="R2692" s="2" t="inlineStr"/>
    </row>
    <row r="2693" ht="15" customHeight="1">
      <c r="A2693" t="inlineStr">
        <is>
          <t>A 58655-2019</t>
        </is>
      </c>
      <c r="B2693" s="1" t="n">
        <v>43767</v>
      </c>
      <c r="C2693" s="1" t="n">
        <v>45357</v>
      </c>
      <c r="D2693" t="inlineStr">
        <is>
          <t>VÄSTERBOTTENS LÄN</t>
        </is>
      </c>
      <c r="E2693" t="inlineStr">
        <is>
          <t>LYCKSELE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57312-2019</t>
        </is>
      </c>
      <c r="B2694" s="1" t="n">
        <v>43767</v>
      </c>
      <c r="C2694" s="1" t="n">
        <v>45357</v>
      </c>
      <c r="D2694" t="inlineStr">
        <is>
          <t>VÄSTERBOTTENS LÄN</t>
        </is>
      </c>
      <c r="E2694" t="inlineStr">
        <is>
          <t>ROBERTSFORS</t>
        </is>
      </c>
      <c r="F2694" t="inlineStr">
        <is>
          <t>Holmen skog AB</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57205-2019</t>
        </is>
      </c>
      <c r="B2695" s="1" t="n">
        <v>43767</v>
      </c>
      <c r="C2695" s="1" t="n">
        <v>45357</v>
      </c>
      <c r="D2695" t="inlineStr">
        <is>
          <t>VÄSTERBOTTENS LÄN</t>
        </is>
      </c>
      <c r="E2695" t="inlineStr">
        <is>
          <t>MALÅ</t>
        </is>
      </c>
      <c r="F2695" t="inlineStr">
        <is>
          <t>Sveaskog</t>
        </is>
      </c>
      <c r="G2695" t="n">
        <v>18.7</v>
      </c>
      <c r="H2695" t="n">
        <v>0</v>
      </c>
      <c r="I2695" t="n">
        <v>0</v>
      </c>
      <c r="J2695" t="n">
        <v>0</v>
      </c>
      <c r="K2695" t="n">
        <v>0</v>
      </c>
      <c r="L2695" t="n">
        <v>0</v>
      </c>
      <c r="M2695" t="n">
        <v>0</v>
      </c>
      <c r="N2695" t="n">
        <v>0</v>
      </c>
      <c r="O2695" t="n">
        <v>0</v>
      </c>
      <c r="P2695" t="n">
        <v>0</v>
      </c>
      <c r="Q2695" t="n">
        <v>0</v>
      </c>
      <c r="R2695" s="2" t="inlineStr"/>
    </row>
    <row r="2696" ht="15" customHeight="1">
      <c r="A2696" t="inlineStr">
        <is>
          <t>A 57569-2019</t>
        </is>
      </c>
      <c r="B2696" s="1" t="n">
        <v>43768</v>
      </c>
      <c r="C2696" s="1" t="n">
        <v>45357</v>
      </c>
      <c r="D2696" t="inlineStr">
        <is>
          <t>VÄSTERBOTTENS LÄN</t>
        </is>
      </c>
      <c r="E2696" t="inlineStr">
        <is>
          <t>SKELLEFTEÅ</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57697-2019</t>
        </is>
      </c>
      <c r="B2697" s="1" t="n">
        <v>43768</v>
      </c>
      <c r="C2697" s="1" t="n">
        <v>45357</v>
      </c>
      <c r="D2697" t="inlineStr">
        <is>
          <t>VÄSTERBOTTENS LÄN</t>
        </is>
      </c>
      <c r="E2697" t="inlineStr">
        <is>
          <t>ÅSELE</t>
        </is>
      </c>
      <c r="F2697" t="inlineStr">
        <is>
          <t>Sveaskog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57803-2019</t>
        </is>
      </c>
      <c r="B2698" s="1" t="n">
        <v>43768</v>
      </c>
      <c r="C2698" s="1" t="n">
        <v>45357</v>
      </c>
      <c r="D2698" t="inlineStr">
        <is>
          <t>VÄSTERBOTTENS LÄN</t>
        </is>
      </c>
      <c r="E2698" t="inlineStr">
        <is>
          <t>SKELLEFTEÅ</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57878-2019</t>
        </is>
      </c>
      <c r="B2699" s="1" t="n">
        <v>43768</v>
      </c>
      <c r="C2699" s="1" t="n">
        <v>45357</v>
      </c>
      <c r="D2699" t="inlineStr">
        <is>
          <t>VÄSTERBOTTENS LÄN</t>
        </is>
      </c>
      <c r="E2699" t="inlineStr">
        <is>
          <t>ÅSELE</t>
        </is>
      </c>
      <c r="F2699" t="inlineStr">
        <is>
          <t>SCA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58648-2019</t>
        </is>
      </c>
      <c r="B2700" s="1" t="n">
        <v>43768</v>
      </c>
      <c r="C2700" s="1" t="n">
        <v>45357</v>
      </c>
      <c r="D2700" t="inlineStr">
        <is>
          <t>VÄSTERBOTTENS LÄN</t>
        </is>
      </c>
      <c r="E2700" t="inlineStr">
        <is>
          <t>LYCKSELE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58819-2019</t>
        </is>
      </c>
      <c r="B2701" s="1" t="n">
        <v>43768</v>
      </c>
      <c r="C2701" s="1" t="n">
        <v>45357</v>
      </c>
      <c r="D2701" t="inlineStr">
        <is>
          <t>VÄSTERBOTTENS LÄN</t>
        </is>
      </c>
      <c r="E2701" t="inlineStr">
        <is>
          <t>NORDMALING</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58736-2019</t>
        </is>
      </c>
      <c r="B2702" s="1" t="n">
        <v>43768</v>
      </c>
      <c r="C2702" s="1" t="n">
        <v>45357</v>
      </c>
      <c r="D2702" t="inlineStr">
        <is>
          <t>VÄSTERBOTTENS LÄN</t>
        </is>
      </c>
      <c r="E2702" t="inlineStr">
        <is>
          <t>VINDELN</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58959-2019</t>
        </is>
      </c>
      <c r="B2703" s="1" t="n">
        <v>43768</v>
      </c>
      <c r="C2703" s="1" t="n">
        <v>45357</v>
      </c>
      <c r="D2703" t="inlineStr">
        <is>
          <t>VÄSTERBOTTENS LÄN</t>
        </is>
      </c>
      <c r="E2703" t="inlineStr">
        <is>
          <t>STORUMAN</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58741-2019</t>
        </is>
      </c>
      <c r="B2704" s="1" t="n">
        <v>43768</v>
      </c>
      <c r="C2704" s="1" t="n">
        <v>45357</v>
      </c>
      <c r="D2704" t="inlineStr">
        <is>
          <t>VÄSTERBOTTENS LÄN</t>
        </is>
      </c>
      <c r="E2704" t="inlineStr">
        <is>
          <t>VINDELN</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57838-2019</t>
        </is>
      </c>
      <c r="B2705" s="1" t="n">
        <v>43768</v>
      </c>
      <c r="C2705" s="1" t="n">
        <v>45357</v>
      </c>
      <c r="D2705" t="inlineStr">
        <is>
          <t>VÄSTERBOTTENS LÄN</t>
        </is>
      </c>
      <c r="E2705" t="inlineStr">
        <is>
          <t>LYCKSELE</t>
        </is>
      </c>
      <c r="F2705" t="inlineStr">
        <is>
          <t>Holmen skog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59008-2019</t>
        </is>
      </c>
      <c r="B2706" s="1" t="n">
        <v>43768</v>
      </c>
      <c r="C2706" s="1" t="n">
        <v>45357</v>
      </c>
      <c r="D2706" t="inlineStr">
        <is>
          <t>VÄSTERBOTTENS LÄN</t>
        </is>
      </c>
      <c r="E2706" t="inlineStr">
        <is>
          <t>DOROTEA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58075-2019</t>
        </is>
      </c>
      <c r="B2707" s="1" t="n">
        <v>43769</v>
      </c>
      <c r="C2707" s="1" t="n">
        <v>45357</v>
      </c>
      <c r="D2707" t="inlineStr">
        <is>
          <t>VÄSTERBOTTENS LÄN</t>
        </is>
      </c>
      <c r="E2707" t="inlineStr">
        <is>
          <t>ÅSELE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59130-2019</t>
        </is>
      </c>
      <c r="B2708" s="1" t="n">
        <v>43769</v>
      </c>
      <c r="C2708" s="1" t="n">
        <v>45357</v>
      </c>
      <c r="D2708" t="inlineStr">
        <is>
          <t>VÄSTERBOTTENS LÄN</t>
        </is>
      </c>
      <c r="E2708" t="inlineStr">
        <is>
          <t>ÅSELE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58063-2019</t>
        </is>
      </c>
      <c r="B2709" s="1" t="n">
        <v>43769</v>
      </c>
      <c r="C2709" s="1" t="n">
        <v>45357</v>
      </c>
      <c r="D2709" t="inlineStr">
        <is>
          <t>VÄSTERBOTTENS LÄN</t>
        </is>
      </c>
      <c r="E2709" t="inlineStr">
        <is>
          <t>ROBERTSFORS</t>
        </is>
      </c>
      <c r="F2709" t="inlineStr">
        <is>
          <t>Holmen skog AB</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58338-2019</t>
        </is>
      </c>
      <c r="B2710" s="1" t="n">
        <v>43770</v>
      </c>
      <c r="C2710" s="1" t="n">
        <v>45357</v>
      </c>
      <c r="D2710" t="inlineStr">
        <is>
          <t>VÄSTERBOTTENS LÄN</t>
        </is>
      </c>
      <c r="E2710" t="inlineStr">
        <is>
          <t>UMEÅ</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58340-2019</t>
        </is>
      </c>
      <c r="B2711" s="1" t="n">
        <v>43770</v>
      </c>
      <c r="C2711" s="1" t="n">
        <v>45357</v>
      </c>
      <c r="D2711" t="inlineStr">
        <is>
          <t>VÄSTERBOTTENS LÄN</t>
        </is>
      </c>
      <c r="E2711" t="inlineStr">
        <is>
          <t>VINDELN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58333-2019</t>
        </is>
      </c>
      <c r="B2712" s="1" t="n">
        <v>43770</v>
      </c>
      <c r="C2712" s="1" t="n">
        <v>45357</v>
      </c>
      <c r="D2712" t="inlineStr">
        <is>
          <t>VÄSTERBOTTENS LÄN</t>
        </is>
      </c>
      <c r="E2712" t="inlineStr">
        <is>
          <t>MALÅ</t>
        </is>
      </c>
      <c r="F2712" t="inlineStr">
        <is>
          <t>Sveaskog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58341-2019</t>
        </is>
      </c>
      <c r="B2713" s="1" t="n">
        <v>43770</v>
      </c>
      <c r="C2713" s="1" t="n">
        <v>45357</v>
      </c>
      <c r="D2713" t="inlineStr">
        <is>
          <t>VÄSTERBOTTENS LÄN</t>
        </is>
      </c>
      <c r="E2713" t="inlineStr">
        <is>
          <t>MALÅ</t>
        </is>
      </c>
      <c r="F2713" t="inlineStr">
        <is>
          <t>Sveaskog</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58511-2019</t>
        </is>
      </c>
      <c r="B2714" s="1" t="n">
        <v>43773</v>
      </c>
      <c r="C2714" s="1" t="n">
        <v>45357</v>
      </c>
      <c r="D2714" t="inlineStr">
        <is>
          <t>VÄSTERBOTTENS LÄN</t>
        </is>
      </c>
      <c r="E2714" t="inlineStr">
        <is>
          <t>SORSELE</t>
        </is>
      </c>
      <c r="F2714" t="inlineStr">
        <is>
          <t>Sveaskog</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58546-2019</t>
        </is>
      </c>
      <c r="B2715" s="1" t="n">
        <v>43773</v>
      </c>
      <c r="C2715" s="1" t="n">
        <v>45357</v>
      </c>
      <c r="D2715" t="inlineStr">
        <is>
          <t>VÄSTERBOTTENS LÄN</t>
        </is>
      </c>
      <c r="E2715" t="inlineStr">
        <is>
          <t>SKELLEFTEÅ</t>
        </is>
      </c>
      <c r="F2715" t="inlineStr">
        <is>
          <t>Sveaskog</t>
        </is>
      </c>
      <c r="G2715" t="n">
        <v>27.6</v>
      </c>
      <c r="H2715" t="n">
        <v>0</v>
      </c>
      <c r="I2715" t="n">
        <v>0</v>
      </c>
      <c r="J2715" t="n">
        <v>0</v>
      </c>
      <c r="K2715" t="n">
        <v>0</v>
      </c>
      <c r="L2715" t="n">
        <v>0</v>
      </c>
      <c r="M2715" t="n">
        <v>0</v>
      </c>
      <c r="N2715" t="n">
        <v>0</v>
      </c>
      <c r="O2715" t="n">
        <v>0</v>
      </c>
      <c r="P2715" t="n">
        <v>0</v>
      </c>
      <c r="Q2715" t="n">
        <v>0</v>
      </c>
      <c r="R2715" s="2" t="inlineStr"/>
    </row>
    <row r="2716" ht="15" customHeight="1">
      <c r="A2716" t="inlineStr">
        <is>
          <t>A 58580-2019</t>
        </is>
      </c>
      <c r="B2716" s="1" t="n">
        <v>43773</v>
      </c>
      <c r="C2716" s="1" t="n">
        <v>45357</v>
      </c>
      <c r="D2716" t="inlineStr">
        <is>
          <t>VÄSTERBOTTENS LÄN</t>
        </is>
      </c>
      <c r="E2716" t="inlineStr">
        <is>
          <t>SORSELE</t>
        </is>
      </c>
      <c r="F2716" t="inlineStr">
        <is>
          <t>Sveaskog</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59250-2019</t>
        </is>
      </c>
      <c r="B2717" s="1" t="n">
        <v>43773</v>
      </c>
      <c r="C2717" s="1" t="n">
        <v>45357</v>
      </c>
      <c r="D2717" t="inlineStr">
        <is>
          <t>VÄSTERBOTTENS LÄN</t>
        </is>
      </c>
      <c r="E2717" t="inlineStr">
        <is>
          <t>MALÅ</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59546-2019</t>
        </is>
      </c>
      <c r="B2718" s="1" t="n">
        <v>43773</v>
      </c>
      <c r="C2718" s="1" t="n">
        <v>45357</v>
      </c>
      <c r="D2718" t="inlineStr">
        <is>
          <t>VÄSTERBOTTENS LÄN</t>
        </is>
      </c>
      <c r="E2718" t="inlineStr">
        <is>
          <t>NORSJÖ</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59255-2019</t>
        </is>
      </c>
      <c r="B2719" s="1" t="n">
        <v>43773</v>
      </c>
      <c r="C2719" s="1" t="n">
        <v>45357</v>
      </c>
      <c r="D2719" t="inlineStr">
        <is>
          <t>VÄSTERBOTTENS LÄN</t>
        </is>
      </c>
      <c r="E2719" t="inlineStr">
        <is>
          <t>SKELLEFTEÅ</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58891-2019</t>
        </is>
      </c>
      <c r="B2720" s="1" t="n">
        <v>43774</v>
      </c>
      <c r="C2720" s="1" t="n">
        <v>45357</v>
      </c>
      <c r="D2720" t="inlineStr">
        <is>
          <t>VÄSTERBOTTENS LÄN</t>
        </is>
      </c>
      <c r="E2720" t="inlineStr">
        <is>
          <t>NORSJÖ</t>
        </is>
      </c>
      <c r="F2720" t="inlineStr">
        <is>
          <t>Sveaskog</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59021-2019</t>
        </is>
      </c>
      <c r="B2721" s="1" t="n">
        <v>43774</v>
      </c>
      <c r="C2721" s="1" t="n">
        <v>45357</v>
      </c>
      <c r="D2721" t="inlineStr">
        <is>
          <t>VÄSTERBOTTENS LÄN</t>
        </is>
      </c>
      <c r="E2721" t="inlineStr">
        <is>
          <t>VILHELMINA</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58890-2019</t>
        </is>
      </c>
      <c r="B2722" s="1" t="n">
        <v>43774</v>
      </c>
      <c r="C2722" s="1" t="n">
        <v>45357</v>
      </c>
      <c r="D2722" t="inlineStr">
        <is>
          <t>VÄSTERBOTTENS LÄN</t>
        </is>
      </c>
      <c r="E2722" t="inlineStr">
        <is>
          <t>NORSJÖ</t>
        </is>
      </c>
      <c r="F2722" t="inlineStr">
        <is>
          <t>Sveaskog</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58905-2019</t>
        </is>
      </c>
      <c r="B2723" s="1" t="n">
        <v>43774</v>
      </c>
      <c r="C2723" s="1" t="n">
        <v>45357</v>
      </c>
      <c r="D2723" t="inlineStr">
        <is>
          <t>VÄSTERBOTTENS LÄN</t>
        </is>
      </c>
      <c r="E2723" t="inlineStr">
        <is>
          <t>SKELLEFTEÅ</t>
        </is>
      </c>
      <c r="F2723" t="inlineStr">
        <is>
          <t>Sveaskog</t>
        </is>
      </c>
      <c r="G2723" t="n">
        <v>26.4</v>
      </c>
      <c r="H2723" t="n">
        <v>0</v>
      </c>
      <c r="I2723" t="n">
        <v>0</v>
      </c>
      <c r="J2723" t="n">
        <v>0</v>
      </c>
      <c r="K2723" t="n">
        <v>0</v>
      </c>
      <c r="L2723" t="n">
        <v>0</v>
      </c>
      <c r="M2723" t="n">
        <v>0</v>
      </c>
      <c r="N2723" t="n">
        <v>0</v>
      </c>
      <c r="O2723" t="n">
        <v>0</v>
      </c>
      <c r="P2723" t="n">
        <v>0</v>
      </c>
      <c r="Q2723" t="n">
        <v>0</v>
      </c>
      <c r="R2723" s="2" t="inlineStr"/>
    </row>
    <row r="2724" ht="15" customHeight="1">
      <c r="A2724" t="inlineStr">
        <is>
          <t>A 59071-2019</t>
        </is>
      </c>
      <c r="B2724" s="1" t="n">
        <v>43774</v>
      </c>
      <c r="C2724" s="1" t="n">
        <v>45357</v>
      </c>
      <c r="D2724" t="inlineStr">
        <is>
          <t>VÄSTERBOTTENS LÄN</t>
        </is>
      </c>
      <c r="E2724" t="inlineStr">
        <is>
          <t>DOROTEA</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58962-2019</t>
        </is>
      </c>
      <c r="B2725" s="1" t="n">
        <v>43774</v>
      </c>
      <c r="C2725" s="1" t="n">
        <v>45357</v>
      </c>
      <c r="D2725" t="inlineStr">
        <is>
          <t>VÄSTERBOTTENS LÄN</t>
        </is>
      </c>
      <c r="E2725" t="inlineStr">
        <is>
          <t>VILHELMINA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58817-2019</t>
        </is>
      </c>
      <c r="B2726" s="1" t="n">
        <v>43774</v>
      </c>
      <c r="C2726" s="1" t="n">
        <v>45357</v>
      </c>
      <c r="D2726" t="inlineStr">
        <is>
          <t>VÄSTERBOTTENS LÄN</t>
        </is>
      </c>
      <c r="E2726" t="inlineStr">
        <is>
          <t>SKELLEFTEÅ</t>
        </is>
      </c>
      <c r="F2726" t="inlineStr">
        <is>
          <t>Holmen skog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58893-2019</t>
        </is>
      </c>
      <c r="B2727" s="1" t="n">
        <v>43774</v>
      </c>
      <c r="C2727" s="1" t="n">
        <v>45357</v>
      </c>
      <c r="D2727" t="inlineStr">
        <is>
          <t>VÄSTERBOTTENS LÄN</t>
        </is>
      </c>
      <c r="E2727" t="inlineStr">
        <is>
          <t>NORSJÖ</t>
        </is>
      </c>
      <c r="F2727" t="inlineStr">
        <is>
          <t>Sveaskog</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59631-2019</t>
        </is>
      </c>
      <c r="B2728" s="1" t="n">
        <v>43774</v>
      </c>
      <c r="C2728" s="1" t="n">
        <v>45357</v>
      </c>
      <c r="D2728" t="inlineStr">
        <is>
          <t>VÄSTERBOTTENS LÄN</t>
        </is>
      </c>
      <c r="E2728" t="inlineStr">
        <is>
          <t>STORUMAN</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59637-2019</t>
        </is>
      </c>
      <c r="B2729" s="1" t="n">
        <v>43774</v>
      </c>
      <c r="C2729" s="1" t="n">
        <v>45357</v>
      </c>
      <c r="D2729" t="inlineStr">
        <is>
          <t>VÄSTERBOTTENS LÄN</t>
        </is>
      </c>
      <c r="E2729" t="inlineStr">
        <is>
          <t>STORUMAN</t>
        </is>
      </c>
      <c r="G2729" t="n">
        <v>17.3</v>
      </c>
      <c r="H2729" t="n">
        <v>0</v>
      </c>
      <c r="I2729" t="n">
        <v>0</v>
      </c>
      <c r="J2729" t="n">
        <v>0</v>
      </c>
      <c r="K2729" t="n">
        <v>0</v>
      </c>
      <c r="L2729" t="n">
        <v>0</v>
      </c>
      <c r="M2729" t="n">
        <v>0</v>
      </c>
      <c r="N2729" t="n">
        <v>0</v>
      </c>
      <c r="O2729" t="n">
        <v>0</v>
      </c>
      <c r="P2729" t="n">
        <v>0</v>
      </c>
      <c r="Q2729" t="n">
        <v>0</v>
      </c>
      <c r="R2729" s="2" t="inlineStr"/>
    </row>
    <row r="2730" ht="15" customHeight="1">
      <c r="A2730" t="inlineStr">
        <is>
          <t>A 59611-2019</t>
        </is>
      </c>
      <c r="B2730" s="1" t="n">
        <v>43774</v>
      </c>
      <c r="C2730" s="1" t="n">
        <v>45357</v>
      </c>
      <c r="D2730" t="inlineStr">
        <is>
          <t>VÄSTERBOTTENS LÄN</t>
        </is>
      </c>
      <c r="E2730" t="inlineStr">
        <is>
          <t>SKELLEFTEÅ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59052-2019</t>
        </is>
      </c>
      <c r="B2731" s="1" t="n">
        <v>43774</v>
      </c>
      <c r="C2731" s="1" t="n">
        <v>45357</v>
      </c>
      <c r="D2731" t="inlineStr">
        <is>
          <t>VÄSTERBOTTENS LÄN</t>
        </is>
      </c>
      <c r="E2731" t="inlineStr">
        <is>
          <t>VILHELMINA</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59165-2019</t>
        </is>
      </c>
      <c r="B2732" s="1" t="n">
        <v>43775</v>
      </c>
      <c r="C2732" s="1" t="n">
        <v>45357</v>
      </c>
      <c r="D2732" t="inlineStr">
        <is>
          <t>VÄSTERBOTTENS LÄN</t>
        </is>
      </c>
      <c r="E2732" t="inlineStr">
        <is>
          <t>VILHELMINA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59248-2019</t>
        </is>
      </c>
      <c r="B2733" s="1" t="n">
        <v>43775</v>
      </c>
      <c r="C2733" s="1" t="n">
        <v>45357</v>
      </c>
      <c r="D2733" t="inlineStr">
        <is>
          <t>VÄSTERBOTTENS LÄN</t>
        </is>
      </c>
      <c r="E2733" t="inlineStr">
        <is>
          <t>STORUMAN</t>
        </is>
      </c>
      <c r="F2733" t="inlineStr">
        <is>
          <t>Sveaskog</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59249-2019</t>
        </is>
      </c>
      <c r="B2734" s="1" t="n">
        <v>43775</v>
      </c>
      <c r="C2734" s="1" t="n">
        <v>45357</v>
      </c>
      <c r="D2734" t="inlineStr">
        <is>
          <t>VÄSTERBOTTENS LÄN</t>
        </is>
      </c>
      <c r="E2734" t="inlineStr">
        <is>
          <t>STORUMAN</t>
        </is>
      </c>
      <c r="F2734" t="inlineStr">
        <is>
          <t>Sveaskog</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59344-2019</t>
        </is>
      </c>
      <c r="B2735" s="1" t="n">
        <v>43775</v>
      </c>
      <c r="C2735" s="1" t="n">
        <v>45357</v>
      </c>
      <c r="D2735" t="inlineStr">
        <is>
          <t>VÄSTERBOTTENS LÄN</t>
        </is>
      </c>
      <c r="E2735" t="inlineStr">
        <is>
          <t>SKELLEFTEÅ</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59459-2019</t>
        </is>
      </c>
      <c r="B2736" s="1" t="n">
        <v>43776</v>
      </c>
      <c r="C2736" s="1" t="n">
        <v>45357</v>
      </c>
      <c r="D2736" t="inlineStr">
        <is>
          <t>VÄSTERBOTTENS LÄN</t>
        </is>
      </c>
      <c r="E2736" t="inlineStr">
        <is>
          <t>UMEÅ</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59632-2019</t>
        </is>
      </c>
      <c r="B2737" s="1" t="n">
        <v>43776</v>
      </c>
      <c r="C2737" s="1" t="n">
        <v>45357</v>
      </c>
      <c r="D2737" t="inlineStr">
        <is>
          <t>VÄSTERBOTTENS LÄN</t>
        </is>
      </c>
      <c r="E2737" t="inlineStr">
        <is>
          <t>LYCKSELE</t>
        </is>
      </c>
      <c r="F2737" t="inlineStr">
        <is>
          <t>Sveaskog</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60378-2019</t>
        </is>
      </c>
      <c r="B2738" s="1" t="n">
        <v>43776</v>
      </c>
      <c r="C2738" s="1" t="n">
        <v>45357</v>
      </c>
      <c r="D2738" t="inlineStr">
        <is>
          <t>VÄSTERBOTTENS LÄN</t>
        </is>
      </c>
      <c r="E2738" t="inlineStr">
        <is>
          <t>SKELLEFTEÅ</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59757-2019</t>
        </is>
      </c>
      <c r="B2739" s="1" t="n">
        <v>43776</v>
      </c>
      <c r="C2739" s="1" t="n">
        <v>45357</v>
      </c>
      <c r="D2739" t="inlineStr">
        <is>
          <t>VÄSTERBOTTENS LÄN</t>
        </is>
      </c>
      <c r="E2739" t="inlineStr">
        <is>
          <t>UMEÅ</t>
        </is>
      </c>
      <c r="F2739" t="inlineStr">
        <is>
          <t>Holmen skog AB</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60289-2019</t>
        </is>
      </c>
      <c r="B2740" s="1" t="n">
        <v>43776</v>
      </c>
      <c r="C2740" s="1" t="n">
        <v>45357</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60023-2019</t>
        </is>
      </c>
      <c r="B2741" s="1" t="n">
        <v>43777</v>
      </c>
      <c r="C2741" s="1" t="n">
        <v>45357</v>
      </c>
      <c r="D2741" t="inlineStr">
        <is>
          <t>VÄSTERBOTTENS LÄN</t>
        </is>
      </c>
      <c r="E2741" t="inlineStr">
        <is>
          <t>BJURHOLM</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60189-2019</t>
        </is>
      </c>
      <c r="B2742" s="1" t="n">
        <v>43780</v>
      </c>
      <c r="C2742" s="1" t="n">
        <v>45357</v>
      </c>
      <c r="D2742" t="inlineStr">
        <is>
          <t>VÄSTERBOTTENS LÄN</t>
        </is>
      </c>
      <c r="E2742" t="inlineStr">
        <is>
          <t>SKELLEFTEÅ</t>
        </is>
      </c>
      <c r="F2742" t="inlineStr">
        <is>
          <t>Holmen skog AB</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60265-2019</t>
        </is>
      </c>
      <c r="B2743" s="1" t="n">
        <v>43780</v>
      </c>
      <c r="C2743" s="1" t="n">
        <v>45357</v>
      </c>
      <c r="D2743" t="inlineStr">
        <is>
          <t>VÄSTERBOTTENS LÄN</t>
        </is>
      </c>
      <c r="E2743" t="inlineStr">
        <is>
          <t>NORSJÖ</t>
        </is>
      </c>
      <c r="F2743" t="inlineStr">
        <is>
          <t>Sveaskog</t>
        </is>
      </c>
      <c r="G2743" t="n">
        <v>16.3</v>
      </c>
      <c r="H2743" t="n">
        <v>0</v>
      </c>
      <c r="I2743" t="n">
        <v>0</v>
      </c>
      <c r="J2743" t="n">
        <v>0</v>
      </c>
      <c r="K2743" t="n">
        <v>0</v>
      </c>
      <c r="L2743" t="n">
        <v>0</v>
      </c>
      <c r="M2743" t="n">
        <v>0</v>
      </c>
      <c r="N2743" t="n">
        <v>0</v>
      </c>
      <c r="O2743" t="n">
        <v>0</v>
      </c>
      <c r="P2743" t="n">
        <v>0</v>
      </c>
      <c r="Q2743" t="n">
        <v>0</v>
      </c>
      <c r="R2743" s="2" t="inlineStr"/>
    </row>
    <row r="2744" ht="15" customHeight="1">
      <c r="A2744" t="inlineStr">
        <is>
          <t>A 60290-2019</t>
        </is>
      </c>
      <c r="B2744" s="1" t="n">
        <v>43780</v>
      </c>
      <c r="C2744" s="1" t="n">
        <v>45357</v>
      </c>
      <c r="D2744" t="inlineStr">
        <is>
          <t>VÄSTERBOTTENS LÄN</t>
        </is>
      </c>
      <c r="E2744" t="inlineStr">
        <is>
          <t>MALÅ</t>
        </is>
      </c>
      <c r="F2744" t="inlineStr">
        <is>
          <t>Sveaskog</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60179-2019</t>
        </is>
      </c>
      <c r="B2745" s="1" t="n">
        <v>43780</v>
      </c>
      <c r="C2745" s="1" t="n">
        <v>45357</v>
      </c>
      <c r="D2745" t="inlineStr">
        <is>
          <t>VÄSTERBOTTENS LÄN</t>
        </is>
      </c>
      <c r="E2745" t="inlineStr">
        <is>
          <t>ROBERTSFORS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60326-2019</t>
        </is>
      </c>
      <c r="B2746" s="1" t="n">
        <v>43780</v>
      </c>
      <c r="C2746" s="1" t="n">
        <v>45357</v>
      </c>
      <c r="D2746" t="inlineStr">
        <is>
          <t>VÄSTERBOTTENS LÄN</t>
        </is>
      </c>
      <c r="E2746" t="inlineStr">
        <is>
          <t>ROBERTSFORS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61413-2019</t>
        </is>
      </c>
      <c r="B2747" s="1" t="n">
        <v>43780</v>
      </c>
      <c r="C2747" s="1" t="n">
        <v>45357</v>
      </c>
      <c r="D2747" t="inlineStr">
        <is>
          <t>VÄSTERBOTTENS LÄN</t>
        </is>
      </c>
      <c r="E2747" t="inlineStr">
        <is>
          <t>BJURHOLM</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60438-2019</t>
        </is>
      </c>
      <c r="B2748" s="1" t="n">
        <v>43780</v>
      </c>
      <c r="C2748" s="1" t="n">
        <v>45357</v>
      </c>
      <c r="D2748" t="inlineStr">
        <is>
          <t>VÄSTERBOTTENS LÄN</t>
        </is>
      </c>
      <c r="E2748" t="inlineStr">
        <is>
          <t>LYCKSELE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61459-2019</t>
        </is>
      </c>
      <c r="B2749" s="1" t="n">
        <v>43780</v>
      </c>
      <c r="C2749" s="1" t="n">
        <v>45357</v>
      </c>
      <c r="D2749" t="inlineStr">
        <is>
          <t>VÄSTERBOTTENS LÄN</t>
        </is>
      </c>
      <c r="E2749" t="inlineStr">
        <is>
          <t>VINDELN</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61860-2019</t>
        </is>
      </c>
      <c r="B2750" s="1" t="n">
        <v>43780</v>
      </c>
      <c r="C2750" s="1" t="n">
        <v>45357</v>
      </c>
      <c r="D2750" t="inlineStr">
        <is>
          <t>VÄSTERBOTTENS LÄN</t>
        </is>
      </c>
      <c r="E2750" t="inlineStr">
        <is>
          <t>STORUMAN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60416-2019</t>
        </is>
      </c>
      <c r="B2751" s="1" t="n">
        <v>43780</v>
      </c>
      <c r="C2751" s="1" t="n">
        <v>45357</v>
      </c>
      <c r="D2751" t="inlineStr">
        <is>
          <t>VÄSTERBOTTENS LÄN</t>
        </is>
      </c>
      <c r="E2751" t="inlineStr">
        <is>
          <t>SKELLEFTEÅ</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60567-2019</t>
        </is>
      </c>
      <c r="B2752" s="1" t="n">
        <v>43781</v>
      </c>
      <c r="C2752" s="1" t="n">
        <v>45357</v>
      </c>
      <c r="D2752" t="inlineStr">
        <is>
          <t>VÄSTERBOTTENS LÄN</t>
        </is>
      </c>
      <c r="E2752" t="inlineStr">
        <is>
          <t>LYCKSELE</t>
        </is>
      </c>
      <c r="F2752" t="inlineStr">
        <is>
          <t>Sveaskog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60602-2019</t>
        </is>
      </c>
      <c r="B2753" s="1" t="n">
        <v>43781</v>
      </c>
      <c r="C2753" s="1" t="n">
        <v>45357</v>
      </c>
      <c r="D2753" t="inlineStr">
        <is>
          <t>VÄSTERBOTTENS LÄN</t>
        </is>
      </c>
      <c r="E2753" t="inlineStr">
        <is>
          <t>VÄNNÄS</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60898-2019</t>
        </is>
      </c>
      <c r="B2754" s="1" t="n">
        <v>43781</v>
      </c>
      <c r="C2754" s="1" t="n">
        <v>45357</v>
      </c>
      <c r="D2754" t="inlineStr">
        <is>
          <t>VÄSTERBOTTENS LÄN</t>
        </is>
      </c>
      <c r="E2754" t="inlineStr">
        <is>
          <t>VINDELN</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60878-2019</t>
        </is>
      </c>
      <c r="B2755" s="1" t="n">
        <v>43781</v>
      </c>
      <c r="C2755" s="1" t="n">
        <v>45357</v>
      </c>
      <c r="D2755" t="inlineStr">
        <is>
          <t>VÄSTERBOTTENS LÄN</t>
        </is>
      </c>
      <c r="E2755" t="inlineStr">
        <is>
          <t>ROBERTSFORS</t>
        </is>
      </c>
      <c r="F2755" t="inlineStr">
        <is>
          <t>SCA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61984-2019</t>
        </is>
      </c>
      <c r="B2756" s="1" t="n">
        <v>43781</v>
      </c>
      <c r="C2756" s="1" t="n">
        <v>45357</v>
      </c>
      <c r="D2756" t="inlineStr">
        <is>
          <t>VÄSTERBOTTENS LÄN</t>
        </is>
      </c>
      <c r="E2756" t="inlineStr">
        <is>
          <t>NORDMALING</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61929-2019</t>
        </is>
      </c>
      <c r="B2757" s="1" t="n">
        <v>43781</v>
      </c>
      <c r="C2757" s="1" t="n">
        <v>45357</v>
      </c>
      <c r="D2757" t="inlineStr">
        <is>
          <t>VÄSTERBOTTENS LÄN</t>
        </is>
      </c>
      <c r="E2757" t="inlineStr">
        <is>
          <t>SKELLEFTEÅ</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60965-2019</t>
        </is>
      </c>
      <c r="B2758" s="1" t="n">
        <v>43782</v>
      </c>
      <c r="C2758" s="1" t="n">
        <v>45357</v>
      </c>
      <c r="D2758" t="inlineStr">
        <is>
          <t>VÄSTERBOTTENS LÄN</t>
        </is>
      </c>
      <c r="E2758" t="inlineStr">
        <is>
          <t>NORDMALING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61013-2019</t>
        </is>
      </c>
      <c r="B2759" s="1" t="n">
        <v>43782</v>
      </c>
      <c r="C2759" s="1" t="n">
        <v>45357</v>
      </c>
      <c r="D2759" t="inlineStr">
        <is>
          <t>VÄSTERBOTTENS LÄN</t>
        </is>
      </c>
      <c r="E2759" t="inlineStr">
        <is>
          <t>ROBERTSFORS</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61019-2019</t>
        </is>
      </c>
      <c r="B2760" s="1" t="n">
        <v>43782</v>
      </c>
      <c r="C2760" s="1" t="n">
        <v>45357</v>
      </c>
      <c r="D2760" t="inlineStr">
        <is>
          <t>VÄSTERBOTTENS LÄN</t>
        </is>
      </c>
      <c r="E2760" t="inlineStr">
        <is>
          <t>STORUMAN</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61178-2019</t>
        </is>
      </c>
      <c r="B2761" s="1" t="n">
        <v>43782</v>
      </c>
      <c r="C2761" s="1" t="n">
        <v>45357</v>
      </c>
      <c r="D2761" t="inlineStr">
        <is>
          <t>VÄSTERBOTTENS LÄN</t>
        </is>
      </c>
      <c r="E2761" t="inlineStr">
        <is>
          <t>VINDELN</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60939-2019</t>
        </is>
      </c>
      <c r="B2762" s="1" t="n">
        <v>43782</v>
      </c>
      <c r="C2762" s="1" t="n">
        <v>45357</v>
      </c>
      <c r="D2762" t="inlineStr">
        <is>
          <t>VÄSTERBOTTENS LÄN</t>
        </is>
      </c>
      <c r="E2762" t="inlineStr">
        <is>
          <t>VÄNNÄS</t>
        </is>
      </c>
      <c r="F2762" t="inlineStr">
        <is>
          <t>Holmen skog AB</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61048-2019</t>
        </is>
      </c>
      <c r="B2763" s="1" t="n">
        <v>43782</v>
      </c>
      <c r="C2763" s="1" t="n">
        <v>45357</v>
      </c>
      <c r="D2763" t="inlineStr">
        <is>
          <t>VÄSTERBOTTENS LÄN</t>
        </is>
      </c>
      <c r="E2763" t="inlineStr">
        <is>
          <t>ROBERTSFORS</t>
        </is>
      </c>
      <c r="F2763" t="inlineStr">
        <is>
          <t>Holmen skog AB</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62298-2019</t>
        </is>
      </c>
      <c r="B2764" s="1" t="n">
        <v>43782</v>
      </c>
      <c r="C2764" s="1" t="n">
        <v>45357</v>
      </c>
      <c r="D2764" t="inlineStr">
        <is>
          <t>VÄSTERBOTTENS LÄN</t>
        </is>
      </c>
      <c r="E2764" t="inlineStr">
        <is>
          <t>UMEÅ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61179-2019</t>
        </is>
      </c>
      <c r="B2765" s="1" t="n">
        <v>43782</v>
      </c>
      <c r="C2765" s="1" t="n">
        <v>45357</v>
      </c>
      <c r="D2765" t="inlineStr">
        <is>
          <t>VÄSTERBOTTENS LÄN</t>
        </is>
      </c>
      <c r="E2765" t="inlineStr">
        <is>
          <t>VINDELN</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62216-2019</t>
        </is>
      </c>
      <c r="B2766" s="1" t="n">
        <v>43782</v>
      </c>
      <c r="C2766" s="1" t="n">
        <v>45357</v>
      </c>
      <c r="D2766" t="inlineStr">
        <is>
          <t>VÄSTERBOTTENS LÄN</t>
        </is>
      </c>
      <c r="E2766" t="inlineStr">
        <is>
          <t>VÄNNÄS</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62219-2019</t>
        </is>
      </c>
      <c r="B2767" s="1" t="n">
        <v>43782</v>
      </c>
      <c r="C2767" s="1" t="n">
        <v>45357</v>
      </c>
      <c r="D2767" t="inlineStr">
        <is>
          <t>VÄSTERBOTTENS LÄN</t>
        </is>
      </c>
      <c r="E2767" t="inlineStr">
        <is>
          <t>UMEÅ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61231-2019</t>
        </is>
      </c>
      <c r="B2768" s="1" t="n">
        <v>43782</v>
      </c>
      <c r="C2768" s="1" t="n">
        <v>45357</v>
      </c>
      <c r="D2768" t="inlineStr">
        <is>
          <t>VÄSTERBOTTENS LÄN</t>
        </is>
      </c>
      <c r="E2768" t="inlineStr">
        <is>
          <t>UMEÅ</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60985-2019</t>
        </is>
      </c>
      <c r="B2769" s="1" t="n">
        <v>43782</v>
      </c>
      <c r="C2769" s="1" t="n">
        <v>45357</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61295-2019</t>
        </is>
      </c>
      <c r="B2770" s="1" t="n">
        <v>43783</v>
      </c>
      <c r="C2770" s="1" t="n">
        <v>45357</v>
      </c>
      <c r="D2770" t="inlineStr">
        <is>
          <t>VÄSTERBOTTENS LÄN</t>
        </is>
      </c>
      <c r="E2770" t="inlineStr">
        <is>
          <t>SKELLEFTEÅ</t>
        </is>
      </c>
      <c r="F2770" t="inlineStr">
        <is>
          <t>Holmen skog AB</t>
        </is>
      </c>
      <c r="G2770" t="n">
        <v>11.2</v>
      </c>
      <c r="H2770" t="n">
        <v>0</v>
      </c>
      <c r="I2770" t="n">
        <v>0</v>
      </c>
      <c r="J2770" t="n">
        <v>0</v>
      </c>
      <c r="K2770" t="n">
        <v>0</v>
      </c>
      <c r="L2770" t="n">
        <v>0</v>
      </c>
      <c r="M2770" t="n">
        <v>0</v>
      </c>
      <c r="N2770" t="n">
        <v>0</v>
      </c>
      <c r="O2770" t="n">
        <v>0</v>
      </c>
      <c r="P2770" t="n">
        <v>0</v>
      </c>
      <c r="Q2770" t="n">
        <v>0</v>
      </c>
      <c r="R2770" s="2" t="inlineStr"/>
    </row>
    <row r="2771" ht="15" customHeight="1">
      <c r="A2771" t="inlineStr">
        <is>
          <t>A 61362-2019</t>
        </is>
      </c>
      <c r="B2771" s="1" t="n">
        <v>43783</v>
      </c>
      <c r="C2771" s="1" t="n">
        <v>45357</v>
      </c>
      <c r="D2771" t="inlineStr">
        <is>
          <t>VÄSTERBOTTENS LÄN</t>
        </is>
      </c>
      <c r="E2771" t="inlineStr">
        <is>
          <t>VINDELN</t>
        </is>
      </c>
      <c r="F2771" t="inlineStr">
        <is>
          <t>Sveaskog</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61491-2019</t>
        </is>
      </c>
      <c r="B2772" s="1" t="n">
        <v>43783</v>
      </c>
      <c r="C2772" s="1" t="n">
        <v>45357</v>
      </c>
      <c r="D2772" t="inlineStr">
        <is>
          <t>VÄSTERBOTTENS LÄN</t>
        </is>
      </c>
      <c r="E2772" t="inlineStr">
        <is>
          <t>UMEÅ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61468-2019</t>
        </is>
      </c>
      <c r="B2773" s="1" t="n">
        <v>43783</v>
      </c>
      <c r="C2773" s="1" t="n">
        <v>45357</v>
      </c>
      <c r="D2773" t="inlineStr">
        <is>
          <t>VÄSTERBOTTENS LÄN</t>
        </is>
      </c>
      <c r="E2773" t="inlineStr">
        <is>
          <t>SKELLEFTEÅ</t>
        </is>
      </c>
      <c r="F2773" t="inlineStr">
        <is>
          <t>Sveaskog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61485-2019</t>
        </is>
      </c>
      <c r="B2774" s="1" t="n">
        <v>43783</v>
      </c>
      <c r="C2774" s="1" t="n">
        <v>45357</v>
      </c>
      <c r="D2774" t="inlineStr">
        <is>
          <t>VÄSTERBOTTENS LÄN</t>
        </is>
      </c>
      <c r="E2774" t="inlineStr">
        <is>
          <t>UMEÅ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62526-2019</t>
        </is>
      </c>
      <c r="B2775" s="1" t="n">
        <v>43783</v>
      </c>
      <c r="C2775" s="1" t="n">
        <v>45357</v>
      </c>
      <c r="D2775" t="inlineStr">
        <is>
          <t>VÄSTERBOTTENS LÄN</t>
        </is>
      </c>
      <c r="E2775" t="inlineStr">
        <is>
          <t>DOROTEA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62404-2019</t>
        </is>
      </c>
      <c r="B2776" s="1" t="n">
        <v>43783</v>
      </c>
      <c r="C2776" s="1" t="n">
        <v>45357</v>
      </c>
      <c r="D2776" t="inlineStr">
        <is>
          <t>VÄSTERBOTTENS LÄN</t>
        </is>
      </c>
      <c r="E2776" t="inlineStr">
        <is>
          <t>STORUMAN</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62542-2019</t>
        </is>
      </c>
      <c r="B2777" s="1" t="n">
        <v>43783</v>
      </c>
      <c r="C2777" s="1" t="n">
        <v>45357</v>
      </c>
      <c r="D2777" t="inlineStr">
        <is>
          <t>VÄSTERBOTTENS LÄN</t>
        </is>
      </c>
      <c r="E2777" t="inlineStr">
        <is>
          <t>VINDELN</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61251-2019</t>
        </is>
      </c>
      <c r="B2778" s="1" t="n">
        <v>43783</v>
      </c>
      <c r="C2778" s="1" t="n">
        <v>45357</v>
      </c>
      <c r="D2778" t="inlineStr">
        <is>
          <t>VÄSTERBOTTENS LÄN</t>
        </is>
      </c>
      <c r="E2778" t="inlineStr">
        <is>
          <t>UMEÅ</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61615-2019</t>
        </is>
      </c>
      <c r="B2779" s="1" t="n">
        <v>43784</v>
      </c>
      <c r="C2779" s="1" t="n">
        <v>45357</v>
      </c>
      <c r="D2779" t="inlineStr">
        <is>
          <t>VÄSTERBOTTENS LÄN</t>
        </is>
      </c>
      <c r="E2779" t="inlineStr">
        <is>
          <t>ROBERTSFORS</t>
        </is>
      </c>
      <c r="F2779" t="inlineStr">
        <is>
          <t>Holmen skog AB</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62580-2019</t>
        </is>
      </c>
      <c r="B2780" s="1" t="n">
        <v>43784</v>
      </c>
      <c r="C2780" s="1" t="n">
        <v>45357</v>
      </c>
      <c r="D2780" t="inlineStr">
        <is>
          <t>VÄSTERBOTTENS LÄN</t>
        </is>
      </c>
      <c r="E2780" t="inlineStr">
        <is>
          <t>STORUMAN</t>
        </is>
      </c>
      <c r="G2780" t="n">
        <v>7.3</v>
      </c>
      <c r="H2780" t="n">
        <v>0</v>
      </c>
      <c r="I2780" t="n">
        <v>0</v>
      </c>
      <c r="J2780" t="n">
        <v>0</v>
      </c>
      <c r="K2780" t="n">
        <v>0</v>
      </c>
      <c r="L2780" t="n">
        <v>0</v>
      </c>
      <c r="M2780" t="n">
        <v>0</v>
      </c>
      <c r="N2780" t="n">
        <v>0</v>
      </c>
      <c r="O2780" t="n">
        <v>0</v>
      </c>
      <c r="P2780" t="n">
        <v>0</v>
      </c>
      <c r="Q2780" t="n">
        <v>0</v>
      </c>
      <c r="R2780" s="2" t="inlineStr"/>
    </row>
    <row r="2781" ht="15" customHeight="1">
      <c r="A2781" t="inlineStr">
        <is>
          <t>A 62900-2019</t>
        </is>
      </c>
      <c r="B2781" s="1" t="n">
        <v>43784</v>
      </c>
      <c r="C2781" s="1" t="n">
        <v>45357</v>
      </c>
      <c r="D2781" t="inlineStr">
        <is>
          <t>VÄSTERBOTTENS LÄN</t>
        </is>
      </c>
      <c r="E2781" t="inlineStr">
        <is>
          <t>ROBERTSFORS</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62584-2019</t>
        </is>
      </c>
      <c r="B2782" s="1" t="n">
        <v>43784</v>
      </c>
      <c r="C2782" s="1" t="n">
        <v>45357</v>
      </c>
      <c r="D2782" t="inlineStr">
        <is>
          <t>VÄSTERBOTTENS LÄN</t>
        </is>
      </c>
      <c r="E2782" t="inlineStr">
        <is>
          <t>SKELLEFTEÅ</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61823-2019</t>
        </is>
      </c>
      <c r="B2783" s="1" t="n">
        <v>43786</v>
      </c>
      <c r="C2783" s="1" t="n">
        <v>45357</v>
      </c>
      <c r="D2783" t="inlineStr">
        <is>
          <t>VÄSTERBOTTENS LÄN</t>
        </is>
      </c>
      <c r="E2783" t="inlineStr">
        <is>
          <t>VINDELN</t>
        </is>
      </c>
      <c r="F2783" t="inlineStr">
        <is>
          <t>Holmen skog AB</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62097-2019</t>
        </is>
      </c>
      <c r="B2784" s="1" t="n">
        <v>43787</v>
      </c>
      <c r="C2784" s="1" t="n">
        <v>45357</v>
      </c>
      <c r="D2784" t="inlineStr">
        <is>
          <t>VÄSTERBOTTENS LÄN</t>
        </is>
      </c>
      <c r="E2784" t="inlineStr">
        <is>
          <t>BJURHOLM</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62147-2019</t>
        </is>
      </c>
      <c r="B2785" s="1" t="n">
        <v>43787</v>
      </c>
      <c r="C2785" s="1" t="n">
        <v>45357</v>
      </c>
      <c r="D2785" t="inlineStr">
        <is>
          <t>VÄSTERBOTTENS LÄN</t>
        </is>
      </c>
      <c r="E2785" t="inlineStr">
        <is>
          <t>LYCKSELE</t>
        </is>
      </c>
      <c r="F2785" t="inlineStr">
        <is>
          <t>Holmen skog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62124-2019</t>
        </is>
      </c>
      <c r="B2786" s="1" t="n">
        <v>43787</v>
      </c>
      <c r="C2786" s="1" t="n">
        <v>45357</v>
      </c>
      <c r="D2786" t="inlineStr">
        <is>
          <t>VÄSTERBOTTENS LÄN</t>
        </is>
      </c>
      <c r="E2786" t="inlineStr">
        <is>
          <t>NORSJÖ</t>
        </is>
      </c>
      <c r="F2786" t="inlineStr">
        <is>
          <t>Sveaskog</t>
        </is>
      </c>
      <c r="G2786" t="n">
        <v>12.2</v>
      </c>
      <c r="H2786" t="n">
        <v>0</v>
      </c>
      <c r="I2786" t="n">
        <v>0</v>
      </c>
      <c r="J2786" t="n">
        <v>0</v>
      </c>
      <c r="K2786" t="n">
        <v>0</v>
      </c>
      <c r="L2786" t="n">
        <v>0</v>
      </c>
      <c r="M2786" t="n">
        <v>0</v>
      </c>
      <c r="N2786" t="n">
        <v>0</v>
      </c>
      <c r="O2786" t="n">
        <v>0</v>
      </c>
      <c r="P2786" t="n">
        <v>0</v>
      </c>
      <c r="Q2786" t="n">
        <v>0</v>
      </c>
      <c r="R2786" s="2" t="inlineStr"/>
    </row>
    <row r="2787" ht="15" customHeight="1">
      <c r="A2787" t="inlineStr">
        <is>
          <t>A 63352-2019</t>
        </is>
      </c>
      <c r="B2787" s="1" t="n">
        <v>43787</v>
      </c>
      <c r="C2787" s="1" t="n">
        <v>45357</v>
      </c>
      <c r="D2787" t="inlineStr">
        <is>
          <t>VÄSTERBOTTENS LÄN</t>
        </is>
      </c>
      <c r="E2787" t="inlineStr">
        <is>
          <t>MALÅ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63313-2019</t>
        </is>
      </c>
      <c r="B2788" s="1" t="n">
        <v>43787</v>
      </c>
      <c r="C2788" s="1" t="n">
        <v>45357</v>
      </c>
      <c r="D2788" t="inlineStr">
        <is>
          <t>VÄSTERBOTTENS LÄN</t>
        </is>
      </c>
      <c r="E2788" t="inlineStr">
        <is>
          <t>LYCKSELE</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63424-2019</t>
        </is>
      </c>
      <c r="B2789" s="1" t="n">
        <v>43787</v>
      </c>
      <c r="C2789" s="1" t="n">
        <v>45357</v>
      </c>
      <c r="D2789" t="inlineStr">
        <is>
          <t>VÄSTERBOTTENS LÄN</t>
        </is>
      </c>
      <c r="E2789" t="inlineStr">
        <is>
          <t>UMEÅ</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63346-2019</t>
        </is>
      </c>
      <c r="B2790" s="1" t="n">
        <v>43787</v>
      </c>
      <c r="C2790" s="1" t="n">
        <v>45357</v>
      </c>
      <c r="D2790" t="inlineStr">
        <is>
          <t>VÄSTERBOTTENS LÄN</t>
        </is>
      </c>
      <c r="E2790" t="inlineStr">
        <is>
          <t>MALÅ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63305-2019</t>
        </is>
      </c>
      <c r="B2791" s="1" t="n">
        <v>43787</v>
      </c>
      <c r="C2791" s="1" t="n">
        <v>45357</v>
      </c>
      <c r="D2791" t="inlineStr">
        <is>
          <t>VÄSTERBOTTENS LÄN</t>
        </is>
      </c>
      <c r="E2791" t="inlineStr">
        <is>
          <t>LYCKSELE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63340-2019</t>
        </is>
      </c>
      <c r="B2792" s="1" t="n">
        <v>43787</v>
      </c>
      <c r="C2792" s="1" t="n">
        <v>45357</v>
      </c>
      <c r="D2792" t="inlineStr">
        <is>
          <t>VÄSTERBOTTENS LÄN</t>
        </is>
      </c>
      <c r="E2792" t="inlineStr">
        <is>
          <t>NORDMALING</t>
        </is>
      </c>
      <c r="F2792" t="inlineStr">
        <is>
          <t>SCA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63419-2019</t>
        </is>
      </c>
      <c r="B2793" s="1" t="n">
        <v>43787</v>
      </c>
      <c r="C2793" s="1" t="n">
        <v>45357</v>
      </c>
      <c r="D2793" t="inlineStr">
        <is>
          <t>VÄSTERBOTTENS LÄN</t>
        </is>
      </c>
      <c r="E2793" t="inlineStr">
        <is>
          <t>NORDMALING</t>
        </is>
      </c>
      <c r="F2793" t="inlineStr">
        <is>
          <t>SCA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63040-2019</t>
        </is>
      </c>
      <c r="B2794" s="1" t="n">
        <v>43787</v>
      </c>
      <c r="C2794" s="1" t="n">
        <v>45357</v>
      </c>
      <c r="D2794" t="inlineStr">
        <is>
          <t>VÄSTERBOTTENS LÄN</t>
        </is>
      </c>
      <c r="E2794" t="inlineStr">
        <is>
          <t>VÄNNÄS</t>
        </is>
      </c>
      <c r="G2794" t="n">
        <v>11.3</v>
      </c>
      <c r="H2794" t="n">
        <v>0</v>
      </c>
      <c r="I2794" t="n">
        <v>0</v>
      </c>
      <c r="J2794" t="n">
        <v>0</v>
      </c>
      <c r="K2794" t="n">
        <v>0</v>
      </c>
      <c r="L2794" t="n">
        <v>0</v>
      </c>
      <c r="M2794" t="n">
        <v>0</v>
      </c>
      <c r="N2794" t="n">
        <v>0</v>
      </c>
      <c r="O2794" t="n">
        <v>0</v>
      </c>
      <c r="P2794" t="n">
        <v>0</v>
      </c>
      <c r="Q2794" t="n">
        <v>0</v>
      </c>
      <c r="R2794" s="2" t="inlineStr"/>
    </row>
    <row r="2795" ht="15" customHeight="1">
      <c r="A2795" t="inlineStr">
        <is>
          <t>A 63402-2019</t>
        </is>
      </c>
      <c r="B2795" s="1" t="n">
        <v>43787</v>
      </c>
      <c r="C2795" s="1" t="n">
        <v>45357</v>
      </c>
      <c r="D2795" t="inlineStr">
        <is>
          <t>VÄSTERBOTTENS LÄN</t>
        </is>
      </c>
      <c r="E2795" t="inlineStr">
        <is>
          <t>ÅSELE</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63434-2019</t>
        </is>
      </c>
      <c r="B2796" s="1" t="n">
        <v>43787</v>
      </c>
      <c r="C2796" s="1" t="n">
        <v>45357</v>
      </c>
      <c r="D2796" t="inlineStr">
        <is>
          <t>VÄSTERBOTTENS LÄN</t>
        </is>
      </c>
      <c r="E2796" t="inlineStr">
        <is>
          <t>ÅSELE</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62201-2019</t>
        </is>
      </c>
      <c r="B2797" s="1" t="n">
        <v>43788</v>
      </c>
      <c r="C2797" s="1" t="n">
        <v>45357</v>
      </c>
      <c r="D2797" t="inlineStr">
        <is>
          <t>VÄSTERBOTTENS LÄN</t>
        </is>
      </c>
      <c r="E2797" t="inlineStr">
        <is>
          <t>SKELLEFTEÅ</t>
        </is>
      </c>
      <c r="G2797" t="n">
        <v>8.699999999999999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62268-2019</t>
        </is>
      </c>
      <c r="B2798" s="1" t="n">
        <v>43788</v>
      </c>
      <c r="C2798" s="1" t="n">
        <v>45357</v>
      </c>
      <c r="D2798" t="inlineStr">
        <is>
          <t>VÄSTERBOTTENS LÄN</t>
        </is>
      </c>
      <c r="E2798" t="inlineStr">
        <is>
          <t>UMEÅ</t>
        </is>
      </c>
      <c r="F2798" t="inlineStr">
        <is>
          <t>Holmen skog AB</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62202-2019</t>
        </is>
      </c>
      <c r="B2799" s="1" t="n">
        <v>43788</v>
      </c>
      <c r="C2799" s="1" t="n">
        <v>45357</v>
      </c>
      <c r="D2799" t="inlineStr">
        <is>
          <t>VÄSTERBOTTENS LÄN</t>
        </is>
      </c>
      <c r="E2799" t="inlineStr">
        <is>
          <t>UMEÅ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62229-2019</t>
        </is>
      </c>
      <c r="B2800" s="1" t="n">
        <v>43788</v>
      </c>
      <c r="C2800" s="1" t="n">
        <v>45357</v>
      </c>
      <c r="D2800" t="inlineStr">
        <is>
          <t>VÄSTERBOTTENS LÄN</t>
        </is>
      </c>
      <c r="E2800" t="inlineStr">
        <is>
          <t>UMEÅ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62358-2019</t>
        </is>
      </c>
      <c r="B2801" s="1" t="n">
        <v>43788</v>
      </c>
      <c r="C2801" s="1" t="n">
        <v>45357</v>
      </c>
      <c r="D2801" t="inlineStr">
        <is>
          <t>VÄSTERBOTTENS LÄN</t>
        </is>
      </c>
      <c r="E2801" t="inlineStr">
        <is>
          <t>ROBERTSFORS</t>
        </is>
      </c>
      <c r="F2801" t="inlineStr">
        <is>
          <t>Holmen skog AB</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62363-2019</t>
        </is>
      </c>
      <c r="B2802" s="1" t="n">
        <v>43788</v>
      </c>
      <c r="C2802" s="1" t="n">
        <v>45357</v>
      </c>
      <c r="D2802" t="inlineStr">
        <is>
          <t>VÄSTERBOTTENS LÄN</t>
        </is>
      </c>
      <c r="E2802" t="inlineStr">
        <is>
          <t>NORDMALING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62507-2019</t>
        </is>
      </c>
      <c r="B2803" s="1" t="n">
        <v>43788</v>
      </c>
      <c r="C2803" s="1" t="n">
        <v>45357</v>
      </c>
      <c r="D2803" t="inlineStr">
        <is>
          <t>VÄSTERBOTTENS LÄN</t>
        </is>
      </c>
      <c r="E2803" t="inlineStr">
        <is>
          <t>LYCKSELE</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63617-2019</t>
        </is>
      </c>
      <c r="B2804" s="1" t="n">
        <v>43788</v>
      </c>
      <c r="C2804" s="1" t="n">
        <v>45357</v>
      </c>
      <c r="D2804" t="inlineStr">
        <is>
          <t>VÄSTERBOTTENS LÄN</t>
        </is>
      </c>
      <c r="E2804" t="inlineStr">
        <is>
          <t>UMEÅ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63506-2019</t>
        </is>
      </c>
      <c r="B2805" s="1" t="n">
        <v>43788</v>
      </c>
      <c r="C2805" s="1" t="n">
        <v>45357</v>
      </c>
      <c r="D2805" t="inlineStr">
        <is>
          <t>VÄSTERBOTTENS LÄN</t>
        </is>
      </c>
      <c r="E2805" t="inlineStr">
        <is>
          <t>LYCKSELE</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63615-2019</t>
        </is>
      </c>
      <c r="B2806" s="1" t="n">
        <v>43789</v>
      </c>
      <c r="C2806" s="1" t="n">
        <v>45357</v>
      </c>
      <c r="D2806" t="inlineStr">
        <is>
          <t>VÄSTERBOTTENS LÄN</t>
        </is>
      </c>
      <c r="E2806" t="inlineStr">
        <is>
          <t>STORUMAN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63663-2019</t>
        </is>
      </c>
      <c r="B2807" s="1" t="n">
        <v>43789</v>
      </c>
      <c r="C2807" s="1" t="n">
        <v>45357</v>
      </c>
      <c r="D2807" t="inlineStr">
        <is>
          <t>VÄSTERBOTTENS LÄN</t>
        </is>
      </c>
      <c r="E2807" t="inlineStr">
        <is>
          <t>STORUMAN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63656-2019</t>
        </is>
      </c>
      <c r="B2808" s="1" t="n">
        <v>43789</v>
      </c>
      <c r="C2808" s="1" t="n">
        <v>45357</v>
      </c>
      <c r="D2808" t="inlineStr">
        <is>
          <t>VÄSTERBOTTENS LÄN</t>
        </is>
      </c>
      <c r="E2808" t="inlineStr">
        <is>
          <t>STORUMAN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62678-2019</t>
        </is>
      </c>
      <c r="B2809" s="1" t="n">
        <v>43789</v>
      </c>
      <c r="C2809" s="1" t="n">
        <v>45357</v>
      </c>
      <c r="D2809" t="inlineStr">
        <is>
          <t>VÄSTERBOTTENS LÄN</t>
        </is>
      </c>
      <c r="E2809" t="inlineStr">
        <is>
          <t>SKELLEFTEÅ</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62873-2019</t>
        </is>
      </c>
      <c r="B2810" s="1" t="n">
        <v>43790</v>
      </c>
      <c r="C2810" s="1" t="n">
        <v>45357</v>
      </c>
      <c r="D2810" t="inlineStr">
        <is>
          <t>VÄSTERBOTTENS LÄN</t>
        </is>
      </c>
      <c r="E2810" t="inlineStr">
        <is>
          <t>SKELLEFTEÅ</t>
        </is>
      </c>
      <c r="F2810" t="inlineStr">
        <is>
          <t>Holmen skog AB</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62883-2019</t>
        </is>
      </c>
      <c r="B2811" s="1" t="n">
        <v>43790</v>
      </c>
      <c r="C2811" s="1" t="n">
        <v>45357</v>
      </c>
      <c r="D2811" t="inlineStr">
        <is>
          <t>VÄSTERBOTTENS LÄN</t>
        </is>
      </c>
      <c r="E2811" t="inlineStr">
        <is>
          <t>ROBERTSFORS</t>
        </is>
      </c>
      <c r="F2811" t="inlineStr">
        <is>
          <t>Holmen skog AB</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62823-2019</t>
        </is>
      </c>
      <c r="B2812" s="1" t="n">
        <v>43790</v>
      </c>
      <c r="C2812" s="1" t="n">
        <v>45357</v>
      </c>
      <c r="D2812" t="inlineStr">
        <is>
          <t>VÄSTERBOTTENS LÄN</t>
        </is>
      </c>
      <c r="E2812" t="inlineStr">
        <is>
          <t>SKELLEFTEÅ</t>
        </is>
      </c>
      <c r="F2812" t="inlineStr">
        <is>
          <t>Holmen skog AB</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63236-2019</t>
        </is>
      </c>
      <c r="B2813" s="1" t="n">
        <v>43791</v>
      </c>
      <c r="C2813" s="1" t="n">
        <v>45357</v>
      </c>
      <c r="D2813" t="inlineStr">
        <is>
          <t>VÄSTERBOTTENS LÄN</t>
        </is>
      </c>
      <c r="E2813" t="inlineStr">
        <is>
          <t>LYCKSELE</t>
        </is>
      </c>
      <c r="F2813" t="inlineStr">
        <is>
          <t>SCA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63235-2019</t>
        </is>
      </c>
      <c r="B2814" s="1" t="n">
        <v>43791</v>
      </c>
      <c r="C2814" s="1" t="n">
        <v>45357</v>
      </c>
      <c r="D2814" t="inlineStr">
        <is>
          <t>VÄSTERBOTTENS LÄN</t>
        </is>
      </c>
      <c r="E2814" t="inlineStr">
        <is>
          <t>NORDMALING</t>
        </is>
      </c>
      <c r="F2814" t="inlineStr">
        <is>
          <t>SCA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63027-2019</t>
        </is>
      </c>
      <c r="B2815" s="1" t="n">
        <v>43791</v>
      </c>
      <c r="C2815" s="1" t="n">
        <v>45357</v>
      </c>
      <c r="D2815" t="inlineStr">
        <is>
          <t>VÄSTERBOTTENS LÄN</t>
        </is>
      </c>
      <c r="E2815" t="inlineStr">
        <is>
          <t>VILHELMINA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64348-2019</t>
        </is>
      </c>
      <c r="B2816" s="1" t="n">
        <v>43793</v>
      </c>
      <c r="C2816" s="1" t="n">
        <v>45357</v>
      </c>
      <c r="D2816" t="inlineStr">
        <is>
          <t>VÄSTERBOTTENS LÄN</t>
        </is>
      </c>
      <c r="E2816" t="inlineStr">
        <is>
          <t>ROBERTSFORS</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63361-2019</t>
        </is>
      </c>
      <c r="B2817" s="1" t="n">
        <v>43794</v>
      </c>
      <c r="C2817" s="1" t="n">
        <v>45357</v>
      </c>
      <c r="D2817" t="inlineStr">
        <is>
          <t>VÄSTERBOTTENS LÄN</t>
        </is>
      </c>
      <c r="E2817" t="inlineStr">
        <is>
          <t>NORDMALING</t>
        </is>
      </c>
      <c r="F2817" t="inlineStr">
        <is>
          <t>Holmen skog AB</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64670-2019</t>
        </is>
      </c>
      <c r="B2818" s="1" t="n">
        <v>43794</v>
      </c>
      <c r="C2818" s="1" t="n">
        <v>45357</v>
      </c>
      <c r="D2818" t="inlineStr">
        <is>
          <t>VÄSTERBOTTENS LÄN</t>
        </is>
      </c>
      <c r="E2818" t="inlineStr">
        <is>
          <t>ÅSELE</t>
        </is>
      </c>
      <c r="F2818" t="inlineStr">
        <is>
          <t>Övriga Aktiebolag</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63554-2019</t>
        </is>
      </c>
      <c r="B2819" s="1" t="n">
        <v>43794</v>
      </c>
      <c r="C2819" s="1" t="n">
        <v>45357</v>
      </c>
      <c r="D2819" t="inlineStr">
        <is>
          <t>VÄSTERBOTTENS LÄN</t>
        </is>
      </c>
      <c r="E2819" t="inlineStr">
        <is>
          <t>SKELLEFTEÅ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64397-2019</t>
        </is>
      </c>
      <c r="B2820" s="1" t="n">
        <v>43794</v>
      </c>
      <c r="C2820" s="1" t="n">
        <v>45357</v>
      </c>
      <c r="D2820" t="inlineStr">
        <is>
          <t>VÄSTERBOTTENS LÄN</t>
        </is>
      </c>
      <c r="E2820" t="inlineStr">
        <is>
          <t>STORUMAN</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64676-2019</t>
        </is>
      </c>
      <c r="B2821" s="1" t="n">
        <v>43794</v>
      </c>
      <c r="C2821" s="1" t="n">
        <v>45357</v>
      </c>
      <c r="D2821" t="inlineStr">
        <is>
          <t>VÄSTERBOTTENS LÄN</t>
        </is>
      </c>
      <c r="E2821" t="inlineStr">
        <is>
          <t>ÅSELE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64692-2019</t>
        </is>
      </c>
      <c r="B2822" s="1" t="n">
        <v>43794</v>
      </c>
      <c r="C2822" s="1" t="n">
        <v>45357</v>
      </c>
      <c r="D2822" t="inlineStr">
        <is>
          <t>VÄSTERBOTTENS LÄN</t>
        </is>
      </c>
      <c r="E2822" t="inlineStr">
        <is>
          <t>SORSELE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63559-2019</t>
        </is>
      </c>
      <c r="B2823" s="1" t="n">
        <v>43795</v>
      </c>
      <c r="C2823" s="1" t="n">
        <v>45357</v>
      </c>
      <c r="D2823" t="inlineStr">
        <is>
          <t>VÄSTERBOTTENS LÄN</t>
        </is>
      </c>
      <c r="E2823" t="inlineStr">
        <is>
          <t>UMEÅ</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63835-2019</t>
        </is>
      </c>
      <c r="B2824" s="1" t="n">
        <v>43795</v>
      </c>
      <c r="C2824" s="1" t="n">
        <v>45357</v>
      </c>
      <c r="D2824" t="inlineStr">
        <is>
          <t>VÄSTERBOTTENS LÄN</t>
        </is>
      </c>
      <c r="E2824" t="inlineStr">
        <is>
          <t>ÅSELE</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63896-2019</t>
        </is>
      </c>
      <c r="B2825" s="1" t="n">
        <v>43795</v>
      </c>
      <c r="C2825" s="1" t="n">
        <v>45357</v>
      </c>
      <c r="D2825" t="inlineStr">
        <is>
          <t>VÄSTERBOTTENS LÄN</t>
        </is>
      </c>
      <c r="E2825" t="inlineStr">
        <is>
          <t>DOROTEA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64847-2019</t>
        </is>
      </c>
      <c r="B2826" s="1" t="n">
        <v>43795</v>
      </c>
      <c r="C2826" s="1" t="n">
        <v>45357</v>
      </c>
      <c r="D2826" t="inlineStr">
        <is>
          <t>VÄSTERBOTTENS LÄN</t>
        </is>
      </c>
      <c r="E2826" t="inlineStr">
        <is>
          <t>ROBERTSFORS</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64967-2019</t>
        </is>
      </c>
      <c r="B2827" s="1" t="n">
        <v>43795</v>
      </c>
      <c r="C2827" s="1" t="n">
        <v>45357</v>
      </c>
      <c r="D2827" t="inlineStr">
        <is>
          <t>VÄSTERBOTTENS LÄN</t>
        </is>
      </c>
      <c r="E2827" t="inlineStr">
        <is>
          <t>ROBERTSFORS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64928-2019</t>
        </is>
      </c>
      <c r="B2828" s="1" t="n">
        <v>43795</v>
      </c>
      <c r="C2828" s="1" t="n">
        <v>45357</v>
      </c>
      <c r="D2828" t="inlineStr">
        <is>
          <t>VÄSTERBOTTENS LÄN</t>
        </is>
      </c>
      <c r="E2828" t="inlineStr">
        <is>
          <t>ROBERTSFORS</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63846-2019</t>
        </is>
      </c>
      <c r="B2829" s="1" t="n">
        <v>43796</v>
      </c>
      <c r="C2829" s="1" t="n">
        <v>45357</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63845-2019</t>
        </is>
      </c>
      <c r="B2830" s="1" t="n">
        <v>43796</v>
      </c>
      <c r="C2830" s="1" t="n">
        <v>45357</v>
      </c>
      <c r="D2830" t="inlineStr">
        <is>
          <t>VÄSTERBOTTENS LÄN</t>
        </is>
      </c>
      <c r="E2830" t="inlineStr">
        <is>
          <t>SKELLEFTEÅ</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63924-2019</t>
        </is>
      </c>
      <c r="B2831" s="1" t="n">
        <v>43796</v>
      </c>
      <c r="C2831" s="1" t="n">
        <v>45357</v>
      </c>
      <c r="D2831" t="inlineStr">
        <is>
          <t>VÄSTERBOTTENS LÄN</t>
        </is>
      </c>
      <c r="E2831" t="inlineStr">
        <is>
          <t>ROBERTSFORS</t>
        </is>
      </c>
      <c r="F2831" t="inlineStr">
        <is>
          <t>Holmen skog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64039-2019</t>
        </is>
      </c>
      <c r="B2832" s="1" t="n">
        <v>43796</v>
      </c>
      <c r="C2832" s="1" t="n">
        <v>45357</v>
      </c>
      <c r="D2832" t="inlineStr">
        <is>
          <t>VÄSTERBOTTENS LÄN</t>
        </is>
      </c>
      <c r="E2832" t="inlineStr">
        <is>
          <t>SKELLEFTEÅ</t>
        </is>
      </c>
      <c r="F2832" t="inlineStr">
        <is>
          <t>Sveaskog</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64117-2019</t>
        </is>
      </c>
      <c r="B2833" s="1" t="n">
        <v>43796</v>
      </c>
      <c r="C2833" s="1" t="n">
        <v>45357</v>
      </c>
      <c r="D2833" t="inlineStr">
        <is>
          <t>VÄSTERBOTTENS LÄN</t>
        </is>
      </c>
      <c r="E2833" t="inlineStr">
        <is>
          <t>SKELLEFTEÅ</t>
        </is>
      </c>
      <c r="F2833" t="inlineStr">
        <is>
          <t>Sveaskog</t>
        </is>
      </c>
      <c r="G2833" t="n">
        <v>16.2</v>
      </c>
      <c r="H2833" t="n">
        <v>0</v>
      </c>
      <c r="I2833" t="n">
        <v>0</v>
      </c>
      <c r="J2833" t="n">
        <v>0</v>
      </c>
      <c r="K2833" t="n">
        <v>0</v>
      </c>
      <c r="L2833" t="n">
        <v>0</v>
      </c>
      <c r="M2833" t="n">
        <v>0</v>
      </c>
      <c r="N2833" t="n">
        <v>0</v>
      </c>
      <c r="O2833" t="n">
        <v>0</v>
      </c>
      <c r="P2833" t="n">
        <v>0</v>
      </c>
      <c r="Q2833" t="n">
        <v>0</v>
      </c>
      <c r="R2833" s="2" t="inlineStr"/>
    </row>
    <row r="2834" ht="15" customHeight="1">
      <c r="A2834" t="inlineStr">
        <is>
          <t>A 64146-2019</t>
        </is>
      </c>
      <c r="B2834" s="1" t="n">
        <v>43796</v>
      </c>
      <c r="C2834" s="1" t="n">
        <v>45357</v>
      </c>
      <c r="D2834" t="inlineStr">
        <is>
          <t>VÄSTERBOTTENS LÄN</t>
        </is>
      </c>
      <c r="E2834" t="inlineStr">
        <is>
          <t>BJURHOLM</t>
        </is>
      </c>
      <c r="F2834" t="inlineStr">
        <is>
          <t>SCA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65164-2019</t>
        </is>
      </c>
      <c r="B2835" s="1" t="n">
        <v>43796</v>
      </c>
      <c r="C2835" s="1" t="n">
        <v>45357</v>
      </c>
      <c r="D2835" t="inlineStr">
        <is>
          <t>VÄSTERBOTTENS LÄN</t>
        </is>
      </c>
      <c r="E2835" t="inlineStr">
        <is>
          <t>NORDMALING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64139-2019</t>
        </is>
      </c>
      <c r="B2836" s="1" t="n">
        <v>43796</v>
      </c>
      <c r="C2836" s="1" t="n">
        <v>45357</v>
      </c>
      <c r="D2836" t="inlineStr">
        <is>
          <t>VÄSTERBOTTENS LÄN</t>
        </is>
      </c>
      <c r="E2836" t="inlineStr">
        <is>
          <t>SKELLEFTEÅ</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64150-2019</t>
        </is>
      </c>
      <c r="B2837" s="1" t="n">
        <v>43796</v>
      </c>
      <c r="C2837" s="1" t="n">
        <v>45357</v>
      </c>
      <c r="D2837" t="inlineStr">
        <is>
          <t>VÄSTERBOTTENS LÄN</t>
        </is>
      </c>
      <c r="E2837" t="inlineStr">
        <is>
          <t>VINDELN</t>
        </is>
      </c>
      <c r="F2837" t="inlineStr">
        <is>
          <t>SCA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64144-2019</t>
        </is>
      </c>
      <c r="B2838" s="1" t="n">
        <v>43796</v>
      </c>
      <c r="C2838" s="1" t="n">
        <v>45357</v>
      </c>
      <c r="D2838" t="inlineStr">
        <is>
          <t>VÄSTERBOTTENS LÄN</t>
        </is>
      </c>
      <c r="E2838" t="inlineStr">
        <is>
          <t>NORDMALING</t>
        </is>
      </c>
      <c r="F2838" t="inlineStr">
        <is>
          <t>SCA</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64148-2019</t>
        </is>
      </c>
      <c r="B2839" s="1" t="n">
        <v>43796</v>
      </c>
      <c r="C2839" s="1" t="n">
        <v>45357</v>
      </c>
      <c r="D2839" t="inlineStr">
        <is>
          <t>VÄSTERBOTTENS LÄN</t>
        </is>
      </c>
      <c r="E2839" t="inlineStr">
        <is>
          <t>VINDELN</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64156-2019</t>
        </is>
      </c>
      <c r="B2840" s="1" t="n">
        <v>43796</v>
      </c>
      <c r="C2840" s="1" t="n">
        <v>45357</v>
      </c>
      <c r="D2840" t="inlineStr">
        <is>
          <t>VÄSTERBOTTENS LÄN</t>
        </is>
      </c>
      <c r="E2840" t="inlineStr">
        <is>
          <t>BJURHOLM</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64371-2019</t>
        </is>
      </c>
      <c r="B2841" s="1" t="n">
        <v>43797</v>
      </c>
      <c r="C2841" s="1" t="n">
        <v>45357</v>
      </c>
      <c r="D2841" t="inlineStr">
        <is>
          <t>VÄSTERBOTTENS LÄN</t>
        </is>
      </c>
      <c r="E2841" t="inlineStr">
        <is>
          <t>LYCKSELE</t>
        </is>
      </c>
      <c r="F2841" t="inlineStr">
        <is>
          <t>Holmen skog AB</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64464-2019</t>
        </is>
      </c>
      <c r="B2842" s="1" t="n">
        <v>43797</v>
      </c>
      <c r="C2842" s="1" t="n">
        <v>45357</v>
      </c>
      <c r="D2842" t="inlineStr">
        <is>
          <t>VÄSTERBOTTENS LÄN</t>
        </is>
      </c>
      <c r="E2842" t="inlineStr">
        <is>
          <t>DOROTEA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64461-2019</t>
        </is>
      </c>
      <c r="B2843" s="1" t="n">
        <v>43797</v>
      </c>
      <c r="C2843" s="1" t="n">
        <v>45357</v>
      </c>
      <c r="D2843" t="inlineStr">
        <is>
          <t>VÄSTERBOTTENS LÄN</t>
        </is>
      </c>
      <c r="E2843" t="inlineStr">
        <is>
          <t>VINDELN</t>
        </is>
      </c>
      <c r="F2843" t="inlineStr">
        <is>
          <t>SCA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64478-2019</t>
        </is>
      </c>
      <c r="B2844" s="1" t="n">
        <v>43797</v>
      </c>
      <c r="C2844" s="1" t="n">
        <v>45357</v>
      </c>
      <c r="D2844" t="inlineStr">
        <is>
          <t>VÄSTERBOTTENS LÄN</t>
        </is>
      </c>
      <c r="E2844" t="inlineStr">
        <is>
          <t>LYCKSELE</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65386-2019</t>
        </is>
      </c>
      <c r="B2845" s="1" t="n">
        <v>43797</v>
      </c>
      <c r="C2845" s="1" t="n">
        <v>45357</v>
      </c>
      <c r="D2845" t="inlineStr">
        <is>
          <t>VÄSTERBOTTENS LÄN</t>
        </is>
      </c>
      <c r="E2845" t="inlineStr">
        <is>
          <t>ROBERTSFORS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64569-2019</t>
        </is>
      </c>
      <c r="B2846" s="1" t="n">
        <v>43798</v>
      </c>
      <c r="C2846" s="1" t="n">
        <v>45357</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64708-2019</t>
        </is>
      </c>
      <c r="B2847" s="1" t="n">
        <v>43798</v>
      </c>
      <c r="C2847" s="1" t="n">
        <v>45357</v>
      </c>
      <c r="D2847" t="inlineStr">
        <is>
          <t>VÄSTERBOTTENS LÄN</t>
        </is>
      </c>
      <c r="E2847" t="inlineStr">
        <is>
          <t>VÄNNÄS</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64706-2019</t>
        </is>
      </c>
      <c r="B2848" s="1" t="n">
        <v>43798</v>
      </c>
      <c r="C2848" s="1" t="n">
        <v>45357</v>
      </c>
      <c r="D2848" t="inlineStr">
        <is>
          <t>VÄSTERBOTTENS LÄN</t>
        </is>
      </c>
      <c r="E2848" t="inlineStr">
        <is>
          <t>VÄNNÄS</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65429-2019</t>
        </is>
      </c>
      <c r="B2849" s="1" t="n">
        <v>43798</v>
      </c>
      <c r="C2849" s="1" t="n">
        <v>45357</v>
      </c>
      <c r="D2849" t="inlineStr">
        <is>
          <t>VÄSTERBOTTENS LÄN</t>
        </is>
      </c>
      <c r="E2849" t="inlineStr">
        <is>
          <t>NORDMALING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64785-2019</t>
        </is>
      </c>
      <c r="B2850" s="1" t="n">
        <v>43801</v>
      </c>
      <c r="C2850" s="1" t="n">
        <v>45357</v>
      </c>
      <c r="D2850" t="inlineStr">
        <is>
          <t>VÄSTERBOTTENS LÄN</t>
        </is>
      </c>
      <c r="E2850" t="inlineStr">
        <is>
          <t>UMEÅ</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64754-2019</t>
        </is>
      </c>
      <c r="B2851" s="1" t="n">
        <v>43801</v>
      </c>
      <c r="C2851" s="1" t="n">
        <v>45357</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64930-2019</t>
        </is>
      </c>
      <c r="B2852" s="1" t="n">
        <v>43801</v>
      </c>
      <c r="C2852" s="1" t="n">
        <v>45357</v>
      </c>
      <c r="D2852" t="inlineStr">
        <is>
          <t>VÄSTERBOTTENS LÄN</t>
        </is>
      </c>
      <c r="E2852" t="inlineStr">
        <is>
          <t>BJURHOLM</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64920-2019</t>
        </is>
      </c>
      <c r="B2853" s="1" t="n">
        <v>43801</v>
      </c>
      <c r="C2853" s="1" t="n">
        <v>45357</v>
      </c>
      <c r="D2853" t="inlineStr">
        <is>
          <t>VÄSTERBOTTENS LÄN</t>
        </is>
      </c>
      <c r="E2853" t="inlineStr">
        <is>
          <t>ROBERTSFORS</t>
        </is>
      </c>
      <c r="F2853" t="inlineStr">
        <is>
          <t>Holmen skog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65020-2019</t>
        </is>
      </c>
      <c r="B2854" s="1" t="n">
        <v>43801</v>
      </c>
      <c r="C2854" s="1" t="n">
        <v>45357</v>
      </c>
      <c r="D2854" t="inlineStr">
        <is>
          <t>VÄSTERBOTTENS LÄN</t>
        </is>
      </c>
      <c r="E2854" t="inlineStr">
        <is>
          <t>UMEÅ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65034-2019</t>
        </is>
      </c>
      <c r="B2855" s="1" t="n">
        <v>43801</v>
      </c>
      <c r="C2855" s="1" t="n">
        <v>45357</v>
      </c>
      <c r="D2855" t="inlineStr">
        <is>
          <t>VÄSTERBOTTENS LÄN</t>
        </is>
      </c>
      <c r="E2855" t="inlineStr">
        <is>
          <t>VINDELN</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66124-2019</t>
        </is>
      </c>
      <c r="B2856" s="1" t="n">
        <v>43801</v>
      </c>
      <c r="C2856" s="1" t="n">
        <v>45357</v>
      </c>
      <c r="D2856" t="inlineStr">
        <is>
          <t>VÄSTERBOTTENS LÄN</t>
        </is>
      </c>
      <c r="E2856" t="inlineStr">
        <is>
          <t>UMEÅ</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66120-2019</t>
        </is>
      </c>
      <c r="B2857" s="1" t="n">
        <v>43801</v>
      </c>
      <c r="C2857" s="1" t="n">
        <v>45357</v>
      </c>
      <c r="D2857" t="inlineStr">
        <is>
          <t>VÄSTERBOTTENS LÄN</t>
        </is>
      </c>
      <c r="E2857" t="inlineStr">
        <is>
          <t>UMEÅ</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66182-2019</t>
        </is>
      </c>
      <c r="B2858" s="1" t="n">
        <v>43801</v>
      </c>
      <c r="C2858" s="1" t="n">
        <v>45357</v>
      </c>
      <c r="D2858" t="inlineStr">
        <is>
          <t>VÄSTERBOTTENS LÄN</t>
        </is>
      </c>
      <c r="E2858" t="inlineStr">
        <is>
          <t>VÄNNÄS</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66150-2019</t>
        </is>
      </c>
      <c r="B2859" s="1" t="n">
        <v>43801</v>
      </c>
      <c r="C2859" s="1" t="n">
        <v>45357</v>
      </c>
      <c r="D2859" t="inlineStr">
        <is>
          <t>VÄSTERBOTTENS LÄN</t>
        </is>
      </c>
      <c r="E2859" t="inlineStr">
        <is>
          <t>DOROTEA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65070-2019</t>
        </is>
      </c>
      <c r="B2860" s="1" t="n">
        <v>43802</v>
      </c>
      <c r="C2860" s="1" t="n">
        <v>45357</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65227-2019</t>
        </is>
      </c>
      <c r="B2861" s="1" t="n">
        <v>43802</v>
      </c>
      <c r="C2861" s="1" t="n">
        <v>45357</v>
      </c>
      <c r="D2861" t="inlineStr">
        <is>
          <t>VÄSTERBOTTENS LÄN</t>
        </is>
      </c>
      <c r="E2861" t="inlineStr">
        <is>
          <t>UMEÅ</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66455-2019</t>
        </is>
      </c>
      <c r="B2862" s="1" t="n">
        <v>43802</v>
      </c>
      <c r="C2862" s="1" t="n">
        <v>45357</v>
      </c>
      <c r="D2862" t="inlineStr">
        <is>
          <t>VÄSTERBOTTENS LÄN</t>
        </is>
      </c>
      <c r="E2862" t="inlineStr">
        <is>
          <t>UMEÅ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65119-2019</t>
        </is>
      </c>
      <c r="B2863" s="1" t="n">
        <v>43802</v>
      </c>
      <c r="C2863" s="1" t="n">
        <v>45357</v>
      </c>
      <c r="D2863" t="inlineStr">
        <is>
          <t>VÄSTERBOTTENS LÄN</t>
        </is>
      </c>
      <c r="E2863" t="inlineStr">
        <is>
          <t>NORDMALING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66471-2019</t>
        </is>
      </c>
      <c r="B2864" s="1" t="n">
        <v>43802</v>
      </c>
      <c r="C2864" s="1" t="n">
        <v>45357</v>
      </c>
      <c r="D2864" t="inlineStr">
        <is>
          <t>VÄSTERBOTTENS LÄN</t>
        </is>
      </c>
      <c r="E2864" t="inlineStr">
        <is>
          <t>UMEÅ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2924-2020</t>
        </is>
      </c>
      <c r="B2865" s="1" t="n">
        <v>43803</v>
      </c>
      <c r="C2865" s="1" t="n">
        <v>45357</v>
      </c>
      <c r="D2865" t="inlineStr">
        <is>
          <t>VÄSTERBOTTENS LÄN</t>
        </is>
      </c>
      <c r="E2865" t="inlineStr">
        <is>
          <t>ÅSELE</t>
        </is>
      </c>
      <c r="F2865" t="inlineStr">
        <is>
          <t>Övriga Aktiebolag</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65576-2019</t>
        </is>
      </c>
      <c r="B2866" s="1" t="n">
        <v>43804</v>
      </c>
      <c r="C2866" s="1" t="n">
        <v>45357</v>
      </c>
      <c r="D2866" t="inlineStr">
        <is>
          <t>VÄSTERBOTTENS LÄN</t>
        </is>
      </c>
      <c r="E2866" t="inlineStr">
        <is>
          <t>UMEÅ</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65557-2019</t>
        </is>
      </c>
      <c r="B2867" s="1" t="n">
        <v>43803</v>
      </c>
      <c r="C2867" s="1" t="n">
        <v>45357</v>
      </c>
      <c r="D2867" t="inlineStr">
        <is>
          <t>VÄSTERBOTTENS LÄN</t>
        </is>
      </c>
      <c r="E2867" t="inlineStr">
        <is>
          <t>DOROTEA</t>
        </is>
      </c>
      <c r="F2867" t="inlineStr">
        <is>
          <t>SCA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65568-2019</t>
        </is>
      </c>
      <c r="B2868" s="1" t="n">
        <v>43803</v>
      </c>
      <c r="C2868" s="1" t="n">
        <v>45357</v>
      </c>
      <c r="D2868" t="inlineStr">
        <is>
          <t>VÄSTERBOTTENS LÄN</t>
        </is>
      </c>
      <c r="E2868" t="inlineStr">
        <is>
          <t>ÅSELE</t>
        </is>
      </c>
      <c r="F2868" t="inlineStr">
        <is>
          <t>SCA</t>
        </is>
      </c>
      <c r="G2868" t="n">
        <v>8.5</v>
      </c>
      <c r="H2868" t="n">
        <v>0</v>
      </c>
      <c r="I2868" t="n">
        <v>0</v>
      </c>
      <c r="J2868" t="n">
        <v>0</v>
      </c>
      <c r="K2868" t="n">
        <v>0</v>
      </c>
      <c r="L2868" t="n">
        <v>0</v>
      </c>
      <c r="M2868" t="n">
        <v>0</v>
      </c>
      <c r="N2868" t="n">
        <v>0</v>
      </c>
      <c r="O2868" t="n">
        <v>0</v>
      </c>
      <c r="P2868" t="n">
        <v>0</v>
      </c>
      <c r="Q2868" t="n">
        <v>0</v>
      </c>
      <c r="R2868" s="2" t="inlineStr"/>
    </row>
    <row r="2869" ht="15" customHeight="1">
      <c r="A2869" t="inlineStr">
        <is>
          <t>A 65565-2019</t>
        </is>
      </c>
      <c r="B2869" s="1" t="n">
        <v>43803</v>
      </c>
      <c r="C2869" s="1" t="n">
        <v>45357</v>
      </c>
      <c r="D2869" t="inlineStr">
        <is>
          <t>VÄSTERBOTTENS LÄN</t>
        </is>
      </c>
      <c r="E2869" t="inlineStr">
        <is>
          <t>SKELLEFTEÅ</t>
        </is>
      </c>
      <c r="G2869" t="n">
        <v>8.199999999999999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66570-2019</t>
        </is>
      </c>
      <c r="B2870" s="1" t="n">
        <v>43803</v>
      </c>
      <c r="C2870" s="1" t="n">
        <v>45357</v>
      </c>
      <c r="D2870" t="inlineStr">
        <is>
          <t>VÄSTERBOTTENS LÄN</t>
        </is>
      </c>
      <c r="E2870" t="inlineStr">
        <is>
          <t>VILHELMINA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65463-2019</t>
        </is>
      </c>
      <c r="B2871" s="1" t="n">
        <v>43803</v>
      </c>
      <c r="C2871" s="1" t="n">
        <v>45357</v>
      </c>
      <c r="D2871" t="inlineStr">
        <is>
          <t>VÄSTERBOTTENS LÄN</t>
        </is>
      </c>
      <c r="E2871" t="inlineStr">
        <is>
          <t>VÄNNÄS</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65556-2019</t>
        </is>
      </c>
      <c r="B2872" s="1" t="n">
        <v>43803</v>
      </c>
      <c r="C2872" s="1" t="n">
        <v>45357</v>
      </c>
      <c r="D2872" t="inlineStr">
        <is>
          <t>VÄSTERBOTTENS LÄN</t>
        </is>
      </c>
      <c r="E2872" t="inlineStr">
        <is>
          <t>DOROTEA</t>
        </is>
      </c>
      <c r="F2872" t="inlineStr">
        <is>
          <t>SCA</t>
        </is>
      </c>
      <c r="G2872" t="n">
        <v>10.2</v>
      </c>
      <c r="H2872" t="n">
        <v>0</v>
      </c>
      <c r="I2872" t="n">
        <v>0</v>
      </c>
      <c r="J2872" t="n">
        <v>0</v>
      </c>
      <c r="K2872" t="n">
        <v>0</v>
      </c>
      <c r="L2872" t="n">
        <v>0</v>
      </c>
      <c r="M2872" t="n">
        <v>0</v>
      </c>
      <c r="N2872" t="n">
        <v>0</v>
      </c>
      <c r="O2872" t="n">
        <v>0</v>
      </c>
      <c r="P2872" t="n">
        <v>0</v>
      </c>
      <c r="Q2872" t="n">
        <v>0</v>
      </c>
      <c r="R2872" s="2" t="inlineStr"/>
    </row>
    <row r="2873" ht="15" customHeight="1">
      <c r="A2873" t="inlineStr">
        <is>
          <t>A 65572-2019</t>
        </is>
      </c>
      <c r="B2873" s="1" t="n">
        <v>43803</v>
      </c>
      <c r="C2873" s="1" t="n">
        <v>45357</v>
      </c>
      <c r="D2873" t="inlineStr">
        <is>
          <t>VÄSTERBOTTENS LÄN</t>
        </is>
      </c>
      <c r="E2873" t="inlineStr">
        <is>
          <t>ÅSELE</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65721-2019</t>
        </is>
      </c>
      <c r="B2874" s="1" t="n">
        <v>43804</v>
      </c>
      <c r="C2874" s="1" t="n">
        <v>45357</v>
      </c>
      <c r="D2874" t="inlineStr">
        <is>
          <t>VÄSTERBOTTENS LÄN</t>
        </is>
      </c>
      <c r="E2874" t="inlineStr">
        <is>
          <t>SKELLEFTEÅ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65726-2019</t>
        </is>
      </c>
      <c r="B2875" s="1" t="n">
        <v>43804</v>
      </c>
      <c r="C2875" s="1" t="n">
        <v>45357</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66922-2019</t>
        </is>
      </c>
      <c r="B2876" s="1" t="n">
        <v>43804</v>
      </c>
      <c r="C2876" s="1" t="n">
        <v>45357</v>
      </c>
      <c r="D2876" t="inlineStr">
        <is>
          <t>VÄSTERBOTTENS LÄN</t>
        </is>
      </c>
      <c r="E2876" t="inlineStr">
        <is>
          <t>DOROTEA</t>
        </is>
      </c>
      <c r="G2876" t="n">
        <v>11.2</v>
      </c>
      <c r="H2876" t="n">
        <v>0</v>
      </c>
      <c r="I2876" t="n">
        <v>0</v>
      </c>
      <c r="J2876" t="n">
        <v>0</v>
      </c>
      <c r="K2876" t="n">
        <v>0</v>
      </c>
      <c r="L2876" t="n">
        <v>0</v>
      </c>
      <c r="M2876" t="n">
        <v>0</v>
      </c>
      <c r="N2876" t="n">
        <v>0</v>
      </c>
      <c r="O2876" t="n">
        <v>0</v>
      </c>
      <c r="P2876" t="n">
        <v>0</v>
      </c>
      <c r="Q2876" t="n">
        <v>0</v>
      </c>
      <c r="R2876" s="2" t="inlineStr"/>
    </row>
    <row r="2877" ht="15" customHeight="1">
      <c r="A2877" t="inlineStr">
        <is>
          <t>A 65840-2019</t>
        </is>
      </c>
      <c r="B2877" s="1" t="n">
        <v>43805</v>
      </c>
      <c r="C2877" s="1" t="n">
        <v>45357</v>
      </c>
      <c r="D2877" t="inlineStr">
        <is>
          <t>VÄSTERBOTTENS LÄN</t>
        </is>
      </c>
      <c r="E2877" t="inlineStr">
        <is>
          <t>UMEÅ</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65851-2019</t>
        </is>
      </c>
      <c r="B2878" s="1" t="n">
        <v>43805</v>
      </c>
      <c r="C2878" s="1" t="n">
        <v>45357</v>
      </c>
      <c r="D2878" t="inlineStr">
        <is>
          <t>VÄSTERBOTTENS LÄN</t>
        </is>
      </c>
      <c r="E2878" t="inlineStr">
        <is>
          <t>UMEÅ</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65885-2019</t>
        </is>
      </c>
      <c r="B2879" s="1" t="n">
        <v>43805</v>
      </c>
      <c r="C2879" s="1" t="n">
        <v>45357</v>
      </c>
      <c r="D2879" t="inlineStr">
        <is>
          <t>VÄSTERBOTTENS LÄN</t>
        </is>
      </c>
      <c r="E2879" t="inlineStr">
        <is>
          <t>VILHELMINA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66033-2019</t>
        </is>
      </c>
      <c r="B2880" s="1" t="n">
        <v>43805</v>
      </c>
      <c r="C2880" s="1" t="n">
        <v>45357</v>
      </c>
      <c r="D2880" t="inlineStr">
        <is>
          <t>VÄSTERBOTTENS LÄN</t>
        </is>
      </c>
      <c r="E2880" t="inlineStr">
        <is>
          <t>ÅSELE</t>
        </is>
      </c>
      <c r="G2880" t="n">
        <v>14.3</v>
      </c>
      <c r="H2880" t="n">
        <v>0</v>
      </c>
      <c r="I2880" t="n">
        <v>0</v>
      </c>
      <c r="J2880" t="n">
        <v>0</v>
      </c>
      <c r="K2880" t="n">
        <v>0</v>
      </c>
      <c r="L2880" t="n">
        <v>0</v>
      </c>
      <c r="M2880" t="n">
        <v>0</v>
      </c>
      <c r="N2880" t="n">
        <v>0</v>
      </c>
      <c r="O2880" t="n">
        <v>0</v>
      </c>
      <c r="P2880" t="n">
        <v>0</v>
      </c>
      <c r="Q2880" t="n">
        <v>0</v>
      </c>
      <c r="R2880" s="2" t="inlineStr"/>
    </row>
    <row r="2881" ht="15" customHeight="1">
      <c r="A2881" t="inlineStr">
        <is>
          <t>A 66990-2019</t>
        </is>
      </c>
      <c r="B2881" s="1" t="n">
        <v>43805</v>
      </c>
      <c r="C2881" s="1" t="n">
        <v>45357</v>
      </c>
      <c r="D2881" t="inlineStr">
        <is>
          <t>VÄSTERBOTTENS LÄN</t>
        </is>
      </c>
      <c r="E2881" t="inlineStr">
        <is>
          <t>UMEÅ</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65992-2019</t>
        </is>
      </c>
      <c r="B2882" s="1" t="n">
        <v>43805</v>
      </c>
      <c r="C2882" s="1" t="n">
        <v>45357</v>
      </c>
      <c r="D2882" t="inlineStr">
        <is>
          <t>VÄSTERBOTTENS LÄN</t>
        </is>
      </c>
      <c r="E2882" t="inlineStr">
        <is>
          <t>SKELLEFTEÅ</t>
        </is>
      </c>
      <c r="F2882" t="inlineStr">
        <is>
          <t>Holmen skog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66311-2019</t>
        </is>
      </c>
      <c r="B2883" s="1" t="n">
        <v>43808</v>
      </c>
      <c r="C2883" s="1" t="n">
        <v>45357</v>
      </c>
      <c r="D2883" t="inlineStr">
        <is>
          <t>VÄSTERBOTTENS LÄN</t>
        </is>
      </c>
      <c r="E2883" t="inlineStr">
        <is>
          <t>VILHELMINA</t>
        </is>
      </c>
      <c r="G2883" t="n">
        <v>72.90000000000001</v>
      </c>
      <c r="H2883" t="n">
        <v>0</v>
      </c>
      <c r="I2883" t="n">
        <v>0</v>
      </c>
      <c r="J2883" t="n">
        <v>0</v>
      </c>
      <c r="K2883" t="n">
        <v>0</v>
      </c>
      <c r="L2883" t="n">
        <v>0</v>
      </c>
      <c r="M2883" t="n">
        <v>0</v>
      </c>
      <c r="N2883" t="n">
        <v>0</v>
      </c>
      <c r="O2883" t="n">
        <v>0</v>
      </c>
      <c r="P2883" t="n">
        <v>0</v>
      </c>
      <c r="Q2883" t="n">
        <v>0</v>
      </c>
      <c r="R2883" s="2" t="inlineStr"/>
    </row>
    <row r="2884" ht="15" customHeight="1">
      <c r="A2884" t="inlineStr">
        <is>
          <t>A 66382-2019</t>
        </is>
      </c>
      <c r="B2884" s="1" t="n">
        <v>43808</v>
      </c>
      <c r="C2884" s="1" t="n">
        <v>45357</v>
      </c>
      <c r="D2884" t="inlineStr">
        <is>
          <t>VÄSTERBOTTENS LÄN</t>
        </is>
      </c>
      <c r="E2884" t="inlineStr">
        <is>
          <t>DOROTEA</t>
        </is>
      </c>
      <c r="F2884" t="inlineStr">
        <is>
          <t>SCA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67581-2019</t>
        </is>
      </c>
      <c r="B2885" s="1" t="n">
        <v>43808</v>
      </c>
      <c r="C2885" s="1" t="n">
        <v>45357</v>
      </c>
      <c r="D2885" t="inlineStr">
        <is>
          <t>VÄSTERBOTTENS LÄN</t>
        </is>
      </c>
      <c r="E2885" t="inlineStr">
        <is>
          <t>SKELLEFTEÅ</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66505-2019</t>
        </is>
      </c>
      <c r="B2886" s="1" t="n">
        <v>43809</v>
      </c>
      <c r="C2886" s="1" t="n">
        <v>45357</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67650-2019</t>
        </is>
      </c>
      <c r="B2887" s="1" t="n">
        <v>43809</v>
      </c>
      <c r="C2887" s="1" t="n">
        <v>45357</v>
      </c>
      <c r="D2887" t="inlineStr">
        <is>
          <t>VÄSTERBOTTENS LÄN</t>
        </is>
      </c>
      <c r="E2887" t="inlineStr">
        <is>
          <t>LYCKSELE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67759-2019</t>
        </is>
      </c>
      <c r="B2888" s="1" t="n">
        <v>43809</v>
      </c>
      <c r="C2888" s="1" t="n">
        <v>45357</v>
      </c>
      <c r="D2888" t="inlineStr">
        <is>
          <t>VÄSTERBOTTENS LÄN</t>
        </is>
      </c>
      <c r="E2888" t="inlineStr">
        <is>
          <t>NORDMALING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66694-2019</t>
        </is>
      </c>
      <c r="B2889" s="1" t="n">
        <v>43809</v>
      </c>
      <c r="C2889" s="1" t="n">
        <v>45357</v>
      </c>
      <c r="D2889" t="inlineStr">
        <is>
          <t>VÄSTERBOTTENS LÄN</t>
        </is>
      </c>
      <c r="E2889" t="inlineStr">
        <is>
          <t>VINDELN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67652-2019</t>
        </is>
      </c>
      <c r="B2890" s="1" t="n">
        <v>43809</v>
      </c>
      <c r="C2890" s="1" t="n">
        <v>45357</v>
      </c>
      <c r="D2890" t="inlineStr">
        <is>
          <t>VÄSTERBOTTENS LÄN</t>
        </is>
      </c>
      <c r="E2890" t="inlineStr">
        <is>
          <t>LYCKSELE</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67636-2019</t>
        </is>
      </c>
      <c r="B2891" s="1" t="n">
        <v>43809</v>
      </c>
      <c r="C2891" s="1" t="n">
        <v>45357</v>
      </c>
      <c r="D2891" t="inlineStr">
        <is>
          <t>VÄSTERBOTTENS LÄN</t>
        </is>
      </c>
      <c r="E2891" t="inlineStr">
        <is>
          <t>LYCKSELE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66478-2019</t>
        </is>
      </c>
      <c r="B2892" s="1" t="n">
        <v>43809</v>
      </c>
      <c r="C2892" s="1" t="n">
        <v>45357</v>
      </c>
      <c r="D2892" t="inlineStr">
        <is>
          <t>VÄSTERBOTTENS LÄN</t>
        </is>
      </c>
      <c r="E2892" t="inlineStr">
        <is>
          <t>SKELLEFTEÅ</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66974-2019</t>
        </is>
      </c>
      <c r="B2893" s="1" t="n">
        <v>43810</v>
      </c>
      <c r="C2893" s="1" t="n">
        <v>45357</v>
      </c>
      <c r="D2893" t="inlineStr">
        <is>
          <t>VÄSTERBOTTENS LÄN</t>
        </is>
      </c>
      <c r="E2893" t="inlineStr">
        <is>
          <t>ÅSELE</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66720-2019</t>
        </is>
      </c>
      <c r="B2894" s="1" t="n">
        <v>43810</v>
      </c>
      <c r="C2894" s="1" t="n">
        <v>45357</v>
      </c>
      <c r="D2894" t="inlineStr">
        <is>
          <t>VÄSTERBOTTENS LÄN</t>
        </is>
      </c>
      <c r="E2894" t="inlineStr">
        <is>
          <t>VILHELMINA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67964-2019</t>
        </is>
      </c>
      <c r="B2895" s="1" t="n">
        <v>43811</v>
      </c>
      <c r="C2895" s="1" t="n">
        <v>45357</v>
      </c>
      <c r="D2895" t="inlineStr">
        <is>
          <t>VÄSTERBOTTENS LÄN</t>
        </is>
      </c>
      <c r="E2895" t="inlineStr">
        <is>
          <t>BJURHOLM</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67223-2019</t>
        </is>
      </c>
      <c r="B2896" s="1" t="n">
        <v>43811</v>
      </c>
      <c r="C2896" s="1" t="n">
        <v>45357</v>
      </c>
      <c r="D2896" t="inlineStr">
        <is>
          <t>VÄSTERBOTTENS LÄN</t>
        </is>
      </c>
      <c r="E2896" t="inlineStr">
        <is>
          <t>DOROTEA</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67298-2019</t>
        </is>
      </c>
      <c r="B2897" s="1" t="n">
        <v>43811</v>
      </c>
      <c r="C2897" s="1" t="n">
        <v>45357</v>
      </c>
      <c r="D2897" t="inlineStr">
        <is>
          <t>VÄSTERBOTTENS LÄN</t>
        </is>
      </c>
      <c r="E2897" t="inlineStr">
        <is>
          <t>SORSELE</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67913-2019</t>
        </is>
      </c>
      <c r="B2898" s="1" t="n">
        <v>43811</v>
      </c>
      <c r="C2898" s="1" t="n">
        <v>45357</v>
      </c>
      <c r="D2898" t="inlineStr">
        <is>
          <t>VÄSTERBOTTENS LÄN</t>
        </is>
      </c>
      <c r="E2898" t="inlineStr">
        <is>
          <t>VÄNNÄS</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68320-2019</t>
        </is>
      </c>
      <c r="B2899" s="1" t="n">
        <v>43811</v>
      </c>
      <c r="C2899" s="1" t="n">
        <v>45357</v>
      </c>
      <c r="D2899" t="inlineStr">
        <is>
          <t>VÄSTERBOTTENS LÄN</t>
        </is>
      </c>
      <c r="E2899" t="inlineStr">
        <is>
          <t>VÄNNÄS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67961-2019</t>
        </is>
      </c>
      <c r="B2900" s="1" t="n">
        <v>43811</v>
      </c>
      <c r="C2900" s="1" t="n">
        <v>45357</v>
      </c>
      <c r="D2900" t="inlineStr">
        <is>
          <t>VÄSTERBOTTENS LÄN</t>
        </is>
      </c>
      <c r="E2900" t="inlineStr">
        <is>
          <t>VÄNNÄS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68008-2019</t>
        </is>
      </c>
      <c r="B2901" s="1" t="n">
        <v>43811</v>
      </c>
      <c r="C2901" s="1" t="n">
        <v>45357</v>
      </c>
      <c r="D2901" t="inlineStr">
        <is>
          <t>VÄSTERBOTTENS LÄN</t>
        </is>
      </c>
      <c r="E2901" t="inlineStr">
        <is>
          <t>SKELLEFTEÅ</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67303-2019</t>
        </is>
      </c>
      <c r="B2902" s="1" t="n">
        <v>43812</v>
      </c>
      <c r="C2902" s="1" t="n">
        <v>45357</v>
      </c>
      <c r="D2902" t="inlineStr">
        <is>
          <t>VÄSTERBOTTENS LÄN</t>
        </is>
      </c>
      <c r="E2902" t="inlineStr">
        <is>
          <t>VINDELN</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67232-2019</t>
        </is>
      </c>
      <c r="B2903" s="1" t="n">
        <v>43812</v>
      </c>
      <c r="C2903" s="1" t="n">
        <v>45357</v>
      </c>
      <c r="D2903" t="inlineStr">
        <is>
          <t>VÄSTERBOTTENS LÄN</t>
        </is>
      </c>
      <c r="E2903" t="inlineStr">
        <is>
          <t>ROBERTSFORS</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67659-2019</t>
        </is>
      </c>
      <c r="B2904" s="1" t="n">
        <v>43815</v>
      </c>
      <c r="C2904" s="1" t="n">
        <v>45357</v>
      </c>
      <c r="D2904" t="inlineStr">
        <is>
          <t>VÄSTERBOTTENS LÄN</t>
        </is>
      </c>
      <c r="E2904" t="inlineStr">
        <is>
          <t>UMEÅ</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67814-2019</t>
        </is>
      </c>
      <c r="B2905" s="1" t="n">
        <v>43815</v>
      </c>
      <c r="C2905" s="1" t="n">
        <v>45357</v>
      </c>
      <c r="D2905" t="inlineStr">
        <is>
          <t>VÄSTERBOTTENS LÄN</t>
        </is>
      </c>
      <c r="E2905" t="inlineStr">
        <is>
          <t>VILHELMINA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69005-2019</t>
        </is>
      </c>
      <c r="B2906" s="1" t="n">
        <v>43815</v>
      </c>
      <c r="C2906" s="1" t="n">
        <v>45357</v>
      </c>
      <c r="D2906" t="inlineStr">
        <is>
          <t>VÄSTERBOTTENS LÄN</t>
        </is>
      </c>
      <c r="E2906" t="inlineStr">
        <is>
          <t>STORUMAN</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69136-2019</t>
        </is>
      </c>
      <c r="B2907" s="1" t="n">
        <v>43815</v>
      </c>
      <c r="C2907" s="1" t="n">
        <v>45357</v>
      </c>
      <c r="D2907" t="inlineStr">
        <is>
          <t>VÄSTERBOTTENS LÄN</t>
        </is>
      </c>
      <c r="E2907" t="inlineStr">
        <is>
          <t>SKELLEFTEÅ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69135-2019</t>
        </is>
      </c>
      <c r="B2908" s="1" t="n">
        <v>43815</v>
      </c>
      <c r="C2908" s="1" t="n">
        <v>45357</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69140-2019</t>
        </is>
      </c>
      <c r="B2909" s="1" t="n">
        <v>43815</v>
      </c>
      <c r="C2909" s="1" t="n">
        <v>45357</v>
      </c>
      <c r="D2909" t="inlineStr">
        <is>
          <t>VÄSTERBOTTENS LÄN</t>
        </is>
      </c>
      <c r="E2909" t="inlineStr">
        <is>
          <t>SKELLEFTEÅ</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69024-2019</t>
        </is>
      </c>
      <c r="B2910" s="1" t="n">
        <v>43815</v>
      </c>
      <c r="C2910" s="1" t="n">
        <v>45357</v>
      </c>
      <c r="D2910" t="inlineStr">
        <is>
          <t>VÄSTERBOTTENS LÄN</t>
        </is>
      </c>
      <c r="E2910" t="inlineStr">
        <is>
          <t>LYCKSELE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69131-2019</t>
        </is>
      </c>
      <c r="B2911" s="1" t="n">
        <v>43815</v>
      </c>
      <c r="C2911" s="1" t="n">
        <v>45357</v>
      </c>
      <c r="D2911" t="inlineStr">
        <is>
          <t>VÄSTERBOTTENS LÄN</t>
        </is>
      </c>
      <c r="E2911" t="inlineStr">
        <is>
          <t>SKELLEFTEÅ</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277-2020</t>
        </is>
      </c>
      <c r="B2912" s="1" t="n">
        <v>43816</v>
      </c>
      <c r="C2912" s="1" t="n">
        <v>45357</v>
      </c>
      <c r="D2912" t="inlineStr">
        <is>
          <t>VÄSTERBOTTENS LÄN</t>
        </is>
      </c>
      <c r="E2912" t="inlineStr">
        <is>
          <t>SKELLEFTEÅ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67949-2019</t>
        </is>
      </c>
      <c r="B2913" s="1" t="n">
        <v>43816</v>
      </c>
      <c r="C2913" s="1" t="n">
        <v>45357</v>
      </c>
      <c r="D2913" t="inlineStr">
        <is>
          <t>VÄSTERBOTTENS LÄN</t>
        </is>
      </c>
      <c r="E2913" t="inlineStr">
        <is>
          <t>LYCKSELE</t>
        </is>
      </c>
      <c r="F2913" t="inlineStr">
        <is>
          <t>Sveaskog</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67837-2019</t>
        </is>
      </c>
      <c r="B2914" s="1" t="n">
        <v>43816</v>
      </c>
      <c r="C2914" s="1" t="n">
        <v>45357</v>
      </c>
      <c r="D2914" t="inlineStr">
        <is>
          <t>VÄSTERBOTTENS LÄN</t>
        </is>
      </c>
      <c r="E2914" t="inlineStr">
        <is>
          <t>SKELLEFTEÅ</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67935-2019</t>
        </is>
      </c>
      <c r="B2915" s="1" t="n">
        <v>43816</v>
      </c>
      <c r="C2915" s="1" t="n">
        <v>45357</v>
      </c>
      <c r="D2915" t="inlineStr">
        <is>
          <t>VÄSTERBOTTENS LÄN</t>
        </is>
      </c>
      <c r="E2915" t="inlineStr">
        <is>
          <t>LYCKSELE</t>
        </is>
      </c>
      <c r="F2915" t="inlineStr">
        <is>
          <t>Sveaskog</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433-2020</t>
        </is>
      </c>
      <c r="B2916" s="1" t="n">
        <v>43816</v>
      </c>
      <c r="C2916" s="1" t="n">
        <v>45357</v>
      </c>
      <c r="D2916" t="inlineStr">
        <is>
          <t>VÄSTERBOTTENS LÄN</t>
        </is>
      </c>
      <c r="E2916" t="inlineStr">
        <is>
          <t>VÄNNÄS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67902-2019</t>
        </is>
      </c>
      <c r="B2917" s="1" t="n">
        <v>43816</v>
      </c>
      <c r="C2917" s="1" t="n">
        <v>45357</v>
      </c>
      <c r="D2917" t="inlineStr">
        <is>
          <t>VÄSTERBOTTENS LÄN</t>
        </is>
      </c>
      <c r="E2917" t="inlineStr">
        <is>
          <t>ROBERTSFORS</t>
        </is>
      </c>
      <c r="F2917" t="inlineStr">
        <is>
          <t>Holmen skog AB</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398-2020</t>
        </is>
      </c>
      <c r="B2918" s="1" t="n">
        <v>43816</v>
      </c>
      <c r="C2918" s="1" t="n">
        <v>45357</v>
      </c>
      <c r="D2918" t="inlineStr">
        <is>
          <t>VÄSTERBOTTENS LÄN</t>
        </is>
      </c>
      <c r="E2918" t="inlineStr">
        <is>
          <t>SKELLEFTEÅ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434-2020</t>
        </is>
      </c>
      <c r="B2919" s="1" t="n">
        <v>43816</v>
      </c>
      <c r="C2919" s="1" t="n">
        <v>45357</v>
      </c>
      <c r="D2919" t="inlineStr">
        <is>
          <t>VÄSTERBOTTENS LÄN</t>
        </is>
      </c>
      <c r="E2919" t="inlineStr">
        <is>
          <t>SKELLEFTEÅ</t>
        </is>
      </c>
      <c r="G2919" t="n">
        <v>12.9</v>
      </c>
      <c r="H2919" t="n">
        <v>0</v>
      </c>
      <c r="I2919" t="n">
        <v>0</v>
      </c>
      <c r="J2919" t="n">
        <v>0</v>
      </c>
      <c r="K2919" t="n">
        <v>0</v>
      </c>
      <c r="L2919" t="n">
        <v>0</v>
      </c>
      <c r="M2919" t="n">
        <v>0</v>
      </c>
      <c r="N2919" t="n">
        <v>0</v>
      </c>
      <c r="O2919" t="n">
        <v>0</v>
      </c>
      <c r="P2919" t="n">
        <v>0</v>
      </c>
      <c r="Q2919" t="n">
        <v>0</v>
      </c>
      <c r="R2919" s="2" t="inlineStr"/>
    </row>
    <row r="2920" ht="15" customHeight="1">
      <c r="A2920" t="inlineStr">
        <is>
          <t>A 68185-2019</t>
        </is>
      </c>
      <c r="B2920" s="1" t="n">
        <v>43817</v>
      </c>
      <c r="C2920" s="1" t="n">
        <v>45357</v>
      </c>
      <c r="D2920" t="inlineStr">
        <is>
          <t>VÄSTERBOTTENS LÄN</t>
        </is>
      </c>
      <c r="E2920" t="inlineStr">
        <is>
          <t>LYCKSELE</t>
        </is>
      </c>
      <c r="F2920" t="inlineStr">
        <is>
          <t>Sveaskog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68179-2019</t>
        </is>
      </c>
      <c r="B2921" s="1" t="n">
        <v>43817</v>
      </c>
      <c r="C2921" s="1" t="n">
        <v>45357</v>
      </c>
      <c r="D2921" t="inlineStr">
        <is>
          <t>VÄSTERBOTTENS LÄN</t>
        </is>
      </c>
      <c r="E2921" t="inlineStr">
        <is>
          <t>LYCKSELE</t>
        </is>
      </c>
      <c r="F2921" t="inlineStr">
        <is>
          <t>Sveaskog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68172-2019</t>
        </is>
      </c>
      <c r="B2922" s="1" t="n">
        <v>43817</v>
      </c>
      <c r="C2922" s="1" t="n">
        <v>45357</v>
      </c>
      <c r="D2922" t="inlineStr">
        <is>
          <t>VÄSTERBOTTENS LÄN</t>
        </is>
      </c>
      <c r="E2922" t="inlineStr">
        <is>
          <t>LYCKSELE</t>
        </is>
      </c>
      <c r="F2922" t="inlineStr">
        <is>
          <t>Sveaskog</t>
        </is>
      </c>
      <c r="G2922" t="n">
        <v>23.7</v>
      </c>
      <c r="H2922" t="n">
        <v>0</v>
      </c>
      <c r="I2922" t="n">
        <v>0</v>
      </c>
      <c r="J2922" t="n">
        <v>0</v>
      </c>
      <c r="K2922" t="n">
        <v>0</v>
      </c>
      <c r="L2922" t="n">
        <v>0</v>
      </c>
      <c r="M2922" t="n">
        <v>0</v>
      </c>
      <c r="N2922" t="n">
        <v>0</v>
      </c>
      <c r="O2922" t="n">
        <v>0</v>
      </c>
      <c r="P2922" t="n">
        <v>0</v>
      </c>
      <c r="Q2922" t="n">
        <v>0</v>
      </c>
      <c r="R2922" s="2" t="inlineStr"/>
    </row>
    <row r="2923" ht="15" customHeight="1">
      <c r="A2923" t="inlineStr">
        <is>
          <t>A 68194-2019</t>
        </is>
      </c>
      <c r="B2923" s="1" t="n">
        <v>43817</v>
      </c>
      <c r="C2923" s="1" t="n">
        <v>45357</v>
      </c>
      <c r="D2923" t="inlineStr">
        <is>
          <t>VÄSTERBOTTENS LÄN</t>
        </is>
      </c>
      <c r="E2923" t="inlineStr">
        <is>
          <t>LYCKSELE</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692-2020</t>
        </is>
      </c>
      <c r="B2924" s="1" t="n">
        <v>43817</v>
      </c>
      <c r="C2924" s="1" t="n">
        <v>45357</v>
      </c>
      <c r="D2924" t="inlineStr">
        <is>
          <t>VÄSTERBOTTENS LÄN</t>
        </is>
      </c>
      <c r="E2924" t="inlineStr">
        <is>
          <t>NORSJÖ</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906-2020</t>
        </is>
      </c>
      <c r="B2925" s="1" t="n">
        <v>43818</v>
      </c>
      <c r="C2925" s="1" t="n">
        <v>45357</v>
      </c>
      <c r="D2925" t="inlineStr">
        <is>
          <t>VÄSTERBOTTENS LÄN</t>
        </is>
      </c>
      <c r="E2925" t="inlineStr">
        <is>
          <t>ÅSELE</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68623-2019</t>
        </is>
      </c>
      <c r="B2926" s="1" t="n">
        <v>43818</v>
      </c>
      <c r="C2926" s="1" t="n">
        <v>45357</v>
      </c>
      <c r="D2926" t="inlineStr">
        <is>
          <t>VÄSTERBOTTENS LÄN</t>
        </is>
      </c>
      <c r="E2926" t="inlineStr">
        <is>
          <t>UMEÅ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68595-2019</t>
        </is>
      </c>
      <c r="B2927" s="1" t="n">
        <v>43818</v>
      </c>
      <c r="C2927" s="1" t="n">
        <v>45357</v>
      </c>
      <c r="D2927" t="inlineStr">
        <is>
          <t>VÄSTERBOTTENS LÄN</t>
        </is>
      </c>
      <c r="E2927" t="inlineStr">
        <is>
          <t>VINDELN</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820-2020</t>
        </is>
      </c>
      <c r="B2928" s="1" t="n">
        <v>43818</v>
      </c>
      <c r="C2928" s="1" t="n">
        <v>45357</v>
      </c>
      <c r="D2928" t="inlineStr">
        <is>
          <t>VÄSTERBOTTENS LÄN</t>
        </is>
      </c>
      <c r="E2928" t="inlineStr">
        <is>
          <t>SKELLEFTEÅ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68614-2019</t>
        </is>
      </c>
      <c r="B2929" s="1" t="n">
        <v>43818</v>
      </c>
      <c r="C2929" s="1" t="n">
        <v>45357</v>
      </c>
      <c r="D2929" t="inlineStr">
        <is>
          <t>VÄSTERBOTTENS LÄN</t>
        </is>
      </c>
      <c r="E2929" t="inlineStr">
        <is>
          <t>LYCKSELE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1102-2020</t>
        </is>
      </c>
      <c r="B2930" s="1" t="n">
        <v>43819</v>
      </c>
      <c r="C2930" s="1" t="n">
        <v>45357</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68858-2019</t>
        </is>
      </c>
      <c r="B2931" s="1" t="n">
        <v>43820</v>
      </c>
      <c r="C2931" s="1" t="n">
        <v>45357</v>
      </c>
      <c r="D2931" t="inlineStr">
        <is>
          <t>VÄSTERBOTTENS LÄN</t>
        </is>
      </c>
      <c r="E2931" t="inlineStr">
        <is>
          <t>UMEÅ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1221-2020</t>
        </is>
      </c>
      <c r="B2932" s="1" t="n">
        <v>43822</v>
      </c>
      <c r="C2932" s="1" t="n">
        <v>45357</v>
      </c>
      <c r="D2932" t="inlineStr">
        <is>
          <t>VÄSTERBOTTENS LÄN</t>
        </is>
      </c>
      <c r="E2932" t="inlineStr">
        <is>
          <t>STORUMAN</t>
        </is>
      </c>
      <c r="G2932" t="n">
        <v>12.2</v>
      </c>
      <c r="H2932" t="n">
        <v>0</v>
      </c>
      <c r="I2932" t="n">
        <v>0</v>
      </c>
      <c r="J2932" t="n">
        <v>0</v>
      </c>
      <c r="K2932" t="n">
        <v>0</v>
      </c>
      <c r="L2932" t="n">
        <v>0</v>
      </c>
      <c r="M2932" t="n">
        <v>0</v>
      </c>
      <c r="N2932" t="n">
        <v>0</v>
      </c>
      <c r="O2932" t="n">
        <v>0</v>
      </c>
      <c r="P2932" t="n">
        <v>0</v>
      </c>
      <c r="Q2932" t="n">
        <v>0</v>
      </c>
      <c r="R2932" s="2" t="inlineStr"/>
    </row>
    <row r="2933" ht="15" customHeight="1">
      <c r="A2933" t="inlineStr">
        <is>
          <t>A 1452-2020</t>
        </is>
      </c>
      <c r="B2933" s="1" t="n">
        <v>43822</v>
      </c>
      <c r="C2933" s="1" t="n">
        <v>45357</v>
      </c>
      <c r="D2933" t="inlineStr">
        <is>
          <t>VÄSTERBOTTENS LÄN</t>
        </is>
      </c>
      <c r="E2933" t="inlineStr">
        <is>
          <t>SKELLEFTEÅ</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68995-2019</t>
        </is>
      </c>
      <c r="B2934" s="1" t="n">
        <v>43826</v>
      </c>
      <c r="C2934" s="1" t="n">
        <v>45357</v>
      </c>
      <c r="D2934" t="inlineStr">
        <is>
          <t>VÄSTERBOTTENS LÄN</t>
        </is>
      </c>
      <c r="E2934" t="inlineStr">
        <is>
          <t>VINDELN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69162-2019</t>
        </is>
      </c>
      <c r="B2935" s="1" t="n">
        <v>43829</v>
      </c>
      <c r="C2935" s="1" t="n">
        <v>45357</v>
      </c>
      <c r="D2935" t="inlineStr">
        <is>
          <t>VÄSTERBOTTENS LÄN</t>
        </is>
      </c>
      <c r="E2935" t="inlineStr">
        <is>
          <t>VINDELN</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69159-2019</t>
        </is>
      </c>
      <c r="B2936" s="1" t="n">
        <v>43829</v>
      </c>
      <c r="C2936" s="1" t="n">
        <v>45357</v>
      </c>
      <c r="D2936" t="inlineStr">
        <is>
          <t>VÄSTERBOTTENS LÄN</t>
        </is>
      </c>
      <c r="E2936" t="inlineStr">
        <is>
          <t>VINDELN</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69174-2019</t>
        </is>
      </c>
      <c r="B2937" s="1" t="n">
        <v>43830</v>
      </c>
      <c r="C2937" s="1" t="n">
        <v>45357</v>
      </c>
      <c r="D2937" t="inlineStr">
        <is>
          <t>VÄSTERBOTTENS LÄN</t>
        </is>
      </c>
      <c r="E2937" t="inlineStr">
        <is>
          <t>NORDMALING</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10-2020</t>
        </is>
      </c>
      <c r="B2938" s="1" t="n">
        <v>43831</v>
      </c>
      <c r="C2938" s="1" t="n">
        <v>45357</v>
      </c>
      <c r="D2938" t="inlineStr">
        <is>
          <t>VÄSTERBOTTENS LÄN</t>
        </is>
      </c>
      <c r="E2938" t="inlineStr">
        <is>
          <t>SORSELE</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7-2020</t>
        </is>
      </c>
      <c r="B2939" s="1" t="n">
        <v>43831</v>
      </c>
      <c r="C2939" s="1" t="n">
        <v>45357</v>
      </c>
      <c r="D2939" t="inlineStr">
        <is>
          <t>VÄSTERBOTTENS LÄN</t>
        </is>
      </c>
      <c r="E2939" t="inlineStr">
        <is>
          <t>SORSELE</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11-2020</t>
        </is>
      </c>
      <c r="B2940" s="1" t="n">
        <v>43831</v>
      </c>
      <c r="C2940" s="1" t="n">
        <v>45357</v>
      </c>
      <c r="D2940" t="inlineStr">
        <is>
          <t>VÄSTERBOTTENS LÄN</t>
        </is>
      </c>
      <c r="E2940" t="inlineStr">
        <is>
          <t>SORSELE</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219-2020</t>
        </is>
      </c>
      <c r="B2941" s="1" t="n">
        <v>43833</v>
      </c>
      <c r="C2941" s="1" t="n">
        <v>45357</v>
      </c>
      <c r="D2941" t="inlineStr">
        <is>
          <t>VÄSTERBOTTENS LÄN</t>
        </is>
      </c>
      <c r="E2941" t="inlineStr">
        <is>
          <t>VILHELMINA</t>
        </is>
      </c>
      <c r="F2941" t="inlineStr">
        <is>
          <t>SCA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217-2020</t>
        </is>
      </c>
      <c r="B2942" s="1" t="n">
        <v>43833</v>
      </c>
      <c r="C2942" s="1" t="n">
        <v>45357</v>
      </c>
      <c r="D2942" t="inlineStr">
        <is>
          <t>VÄSTERBOTTENS LÄN</t>
        </is>
      </c>
      <c r="E2942" t="inlineStr">
        <is>
          <t>VILHELMINA</t>
        </is>
      </c>
      <c r="F2942" t="inlineStr">
        <is>
          <t>SCA</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226-2020</t>
        </is>
      </c>
      <c r="B2943" s="1" t="n">
        <v>43833</v>
      </c>
      <c r="C2943" s="1" t="n">
        <v>45357</v>
      </c>
      <c r="D2943" t="inlineStr">
        <is>
          <t>VÄSTERBOTTENS LÄN</t>
        </is>
      </c>
      <c r="E2943" t="inlineStr">
        <is>
          <t>VILHELMINA</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1716-2020</t>
        </is>
      </c>
      <c r="B2944" s="1" t="n">
        <v>43833</v>
      </c>
      <c r="C2944" s="1" t="n">
        <v>45357</v>
      </c>
      <c r="D2944" t="inlineStr">
        <is>
          <t>VÄSTERBOTTENS LÄN</t>
        </is>
      </c>
      <c r="E2944" t="inlineStr">
        <is>
          <t>LYCKSELE</t>
        </is>
      </c>
      <c r="G2944" t="n">
        <v>17.4</v>
      </c>
      <c r="H2944" t="n">
        <v>0</v>
      </c>
      <c r="I2944" t="n">
        <v>0</v>
      </c>
      <c r="J2944" t="n">
        <v>0</v>
      </c>
      <c r="K2944" t="n">
        <v>0</v>
      </c>
      <c r="L2944" t="n">
        <v>0</v>
      </c>
      <c r="M2944" t="n">
        <v>0</v>
      </c>
      <c r="N2944" t="n">
        <v>0</v>
      </c>
      <c r="O2944" t="n">
        <v>0</v>
      </c>
      <c r="P2944" t="n">
        <v>0</v>
      </c>
      <c r="Q2944" t="n">
        <v>0</v>
      </c>
      <c r="R2944" s="2" t="inlineStr"/>
    </row>
    <row r="2945" ht="15" customHeight="1">
      <c r="A2945" t="inlineStr">
        <is>
          <t>A 230-2020</t>
        </is>
      </c>
      <c r="B2945" s="1" t="n">
        <v>43833</v>
      </c>
      <c r="C2945" s="1" t="n">
        <v>45357</v>
      </c>
      <c r="D2945" t="inlineStr">
        <is>
          <t>VÄSTERBOTTENS LÄN</t>
        </is>
      </c>
      <c r="E2945" t="inlineStr">
        <is>
          <t>ÅSELE</t>
        </is>
      </c>
      <c r="F2945" t="inlineStr">
        <is>
          <t>SCA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1691-2020</t>
        </is>
      </c>
      <c r="B2946" s="1" t="n">
        <v>43833</v>
      </c>
      <c r="C2946" s="1" t="n">
        <v>45357</v>
      </c>
      <c r="D2946" t="inlineStr">
        <is>
          <t>VÄSTERBOTTENS LÄN</t>
        </is>
      </c>
      <c r="E2946" t="inlineStr">
        <is>
          <t>LYCKSELE</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293-2020</t>
        </is>
      </c>
      <c r="B2947" s="1" t="n">
        <v>43837</v>
      </c>
      <c r="C2947" s="1" t="n">
        <v>45357</v>
      </c>
      <c r="D2947" t="inlineStr">
        <is>
          <t>VÄSTERBOTTENS LÄN</t>
        </is>
      </c>
      <c r="E2947" t="inlineStr">
        <is>
          <t>DOROTEA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300-2020</t>
        </is>
      </c>
      <c r="B2948" s="1" t="n">
        <v>43837</v>
      </c>
      <c r="C2948" s="1" t="n">
        <v>45357</v>
      </c>
      <c r="D2948" t="inlineStr">
        <is>
          <t>VÄSTERBOTTENS LÄN</t>
        </is>
      </c>
      <c r="E2948" t="inlineStr">
        <is>
          <t>VILHELMINA</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1235-2020</t>
        </is>
      </c>
      <c r="B2949" s="1" t="n">
        <v>43837</v>
      </c>
      <c r="C2949" s="1" t="n">
        <v>45357</v>
      </c>
      <c r="D2949" t="inlineStr">
        <is>
          <t>VÄSTERBOTTENS LÄN</t>
        </is>
      </c>
      <c r="E2949" t="inlineStr">
        <is>
          <t>VILHELMINA</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802-2020</t>
        </is>
      </c>
      <c r="B2950" s="1" t="n">
        <v>43838</v>
      </c>
      <c r="C2950" s="1" t="n">
        <v>45357</v>
      </c>
      <c r="D2950" t="inlineStr">
        <is>
          <t>VÄSTERBOTTENS LÄN</t>
        </is>
      </c>
      <c r="E2950" t="inlineStr">
        <is>
          <t>VILHELMINA</t>
        </is>
      </c>
      <c r="F2950" t="inlineStr">
        <is>
          <t>SCA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670-2020</t>
        </is>
      </c>
      <c r="B2951" s="1" t="n">
        <v>43838</v>
      </c>
      <c r="C2951" s="1" t="n">
        <v>45357</v>
      </c>
      <c r="D2951" t="inlineStr">
        <is>
          <t>VÄSTERBOTTENS LÄN</t>
        </is>
      </c>
      <c r="E2951" t="inlineStr">
        <is>
          <t>VINDELN</t>
        </is>
      </c>
      <c r="F2951" t="inlineStr">
        <is>
          <t>Holmen skog AB</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1992-2020</t>
        </is>
      </c>
      <c r="B2952" s="1" t="n">
        <v>43838</v>
      </c>
      <c r="C2952" s="1" t="n">
        <v>45357</v>
      </c>
      <c r="D2952" t="inlineStr">
        <is>
          <t>VÄSTERBOTTENS LÄN</t>
        </is>
      </c>
      <c r="E2952" t="inlineStr">
        <is>
          <t>VILHELMINA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789-2020</t>
        </is>
      </c>
      <c r="B2953" s="1" t="n">
        <v>43838</v>
      </c>
      <c r="C2953" s="1" t="n">
        <v>45357</v>
      </c>
      <c r="D2953" t="inlineStr">
        <is>
          <t>VÄSTERBOTTENS LÄN</t>
        </is>
      </c>
      <c r="E2953" t="inlineStr">
        <is>
          <t>SKELLEFTEÅ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830-2020</t>
        </is>
      </c>
      <c r="B2954" s="1" t="n">
        <v>43839</v>
      </c>
      <c r="C2954" s="1" t="n">
        <v>45357</v>
      </c>
      <c r="D2954" t="inlineStr">
        <is>
          <t>VÄSTERBOTTENS LÄN</t>
        </is>
      </c>
      <c r="E2954" t="inlineStr">
        <is>
          <t>BJURHOLM</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896-2020</t>
        </is>
      </c>
      <c r="B2955" s="1" t="n">
        <v>43839</v>
      </c>
      <c r="C2955" s="1" t="n">
        <v>45357</v>
      </c>
      <c r="D2955" t="inlineStr">
        <is>
          <t>VÄSTERBOTTENS LÄN</t>
        </is>
      </c>
      <c r="E2955" t="inlineStr">
        <is>
          <t>SKELLEFTEÅ</t>
        </is>
      </c>
      <c r="F2955" t="inlineStr">
        <is>
          <t>Kyrkan</t>
        </is>
      </c>
      <c r="G2955" t="n">
        <v>14.9</v>
      </c>
      <c r="H2955" t="n">
        <v>0</v>
      </c>
      <c r="I2955" t="n">
        <v>0</v>
      </c>
      <c r="J2955" t="n">
        <v>0</v>
      </c>
      <c r="K2955" t="n">
        <v>0</v>
      </c>
      <c r="L2955" t="n">
        <v>0</v>
      </c>
      <c r="M2955" t="n">
        <v>0</v>
      </c>
      <c r="N2955" t="n">
        <v>0</v>
      </c>
      <c r="O2955" t="n">
        <v>0</v>
      </c>
      <c r="P2955" t="n">
        <v>0</v>
      </c>
      <c r="Q2955" t="n">
        <v>0</v>
      </c>
      <c r="R2955" s="2" t="inlineStr"/>
    </row>
    <row r="2956" ht="15" customHeight="1">
      <c r="A2956" t="inlineStr">
        <is>
          <t>A 954-2020</t>
        </is>
      </c>
      <c r="B2956" s="1" t="n">
        <v>43839</v>
      </c>
      <c r="C2956" s="1" t="n">
        <v>45357</v>
      </c>
      <c r="D2956" t="inlineStr">
        <is>
          <t>VÄSTERBOTTENS LÄN</t>
        </is>
      </c>
      <c r="E2956" t="inlineStr">
        <is>
          <t>LYCKSELE</t>
        </is>
      </c>
      <c r="F2956" t="inlineStr">
        <is>
          <t>Holmen skog AB</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2127-2020</t>
        </is>
      </c>
      <c r="B2957" s="1" t="n">
        <v>43839</v>
      </c>
      <c r="C2957" s="1" t="n">
        <v>45357</v>
      </c>
      <c r="D2957" t="inlineStr">
        <is>
          <t>VÄSTERBOTTENS LÄN</t>
        </is>
      </c>
      <c r="E2957" t="inlineStr">
        <is>
          <t>SKELLEFTEÅ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1058-2020</t>
        </is>
      </c>
      <c r="B2958" s="1" t="n">
        <v>43839</v>
      </c>
      <c r="C2958" s="1" t="n">
        <v>45357</v>
      </c>
      <c r="D2958" t="inlineStr">
        <is>
          <t>VÄSTERBOTTENS LÄN</t>
        </is>
      </c>
      <c r="E2958" t="inlineStr">
        <is>
          <t>VINDELN</t>
        </is>
      </c>
      <c r="F2958" t="inlineStr">
        <is>
          <t>SCA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1108-2020</t>
        </is>
      </c>
      <c r="B2959" s="1" t="n">
        <v>43840</v>
      </c>
      <c r="C2959" s="1" t="n">
        <v>45357</v>
      </c>
      <c r="D2959" t="inlineStr">
        <is>
          <t>VÄSTERBOTTENS LÄN</t>
        </is>
      </c>
      <c r="E2959" t="inlineStr">
        <is>
          <t>LYCKSELE</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1142-2020</t>
        </is>
      </c>
      <c r="B2960" s="1" t="n">
        <v>43840</v>
      </c>
      <c r="C2960" s="1" t="n">
        <v>45357</v>
      </c>
      <c r="D2960" t="inlineStr">
        <is>
          <t>VÄSTERBOTTENS LÄN</t>
        </is>
      </c>
      <c r="E2960" t="inlineStr">
        <is>
          <t>LYCKSELE</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1129-2020</t>
        </is>
      </c>
      <c r="B2961" s="1" t="n">
        <v>43840</v>
      </c>
      <c r="C2961" s="1" t="n">
        <v>45357</v>
      </c>
      <c r="D2961" t="inlineStr">
        <is>
          <t>VÄSTERBOTTENS LÄN</t>
        </is>
      </c>
      <c r="E2961" t="inlineStr">
        <is>
          <t>NORDMALING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1133-2020</t>
        </is>
      </c>
      <c r="B2962" s="1" t="n">
        <v>43840</v>
      </c>
      <c r="C2962" s="1" t="n">
        <v>45357</v>
      </c>
      <c r="D2962" t="inlineStr">
        <is>
          <t>VÄSTERBOTTENS LÄN</t>
        </is>
      </c>
      <c r="E2962" t="inlineStr">
        <is>
          <t>LYCKSELE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1260-2020</t>
        </is>
      </c>
      <c r="B2963" s="1" t="n">
        <v>43840</v>
      </c>
      <c r="C2963" s="1" t="n">
        <v>45357</v>
      </c>
      <c r="D2963" t="inlineStr">
        <is>
          <t>VÄSTERBOTTENS LÄN</t>
        </is>
      </c>
      <c r="E2963" t="inlineStr">
        <is>
          <t>VINDELN</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1261-2020</t>
        </is>
      </c>
      <c r="B2964" s="1" t="n">
        <v>43840</v>
      </c>
      <c r="C2964" s="1" t="n">
        <v>45357</v>
      </c>
      <c r="D2964" t="inlineStr">
        <is>
          <t>VÄSTERBOTTENS LÄN</t>
        </is>
      </c>
      <c r="E2964" t="inlineStr">
        <is>
          <t>VINDELN</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2457-2020</t>
        </is>
      </c>
      <c r="B2965" s="1" t="n">
        <v>43841</v>
      </c>
      <c r="C2965" s="1" t="n">
        <v>45357</v>
      </c>
      <c r="D2965" t="inlineStr">
        <is>
          <t>VÄSTERBOTTENS LÄN</t>
        </is>
      </c>
      <c r="E2965" t="inlineStr">
        <is>
          <t>ÅSELE</t>
        </is>
      </c>
      <c r="F2965" t="inlineStr">
        <is>
          <t>Övriga Aktiebolag</t>
        </is>
      </c>
      <c r="G2965" t="n">
        <v>34.1</v>
      </c>
      <c r="H2965" t="n">
        <v>0</v>
      </c>
      <c r="I2965" t="n">
        <v>0</v>
      </c>
      <c r="J2965" t="n">
        <v>0</v>
      </c>
      <c r="K2965" t="n">
        <v>0</v>
      </c>
      <c r="L2965" t="n">
        <v>0</v>
      </c>
      <c r="M2965" t="n">
        <v>0</v>
      </c>
      <c r="N2965" t="n">
        <v>0</v>
      </c>
      <c r="O2965" t="n">
        <v>0</v>
      </c>
      <c r="P2965" t="n">
        <v>0</v>
      </c>
      <c r="Q2965" t="n">
        <v>0</v>
      </c>
      <c r="R2965" s="2" t="inlineStr"/>
    </row>
    <row r="2966" ht="15" customHeight="1">
      <c r="A2966" t="inlineStr">
        <is>
          <t>A 1276-2020</t>
        </is>
      </c>
      <c r="B2966" s="1" t="n">
        <v>43841</v>
      </c>
      <c r="C2966" s="1" t="n">
        <v>45357</v>
      </c>
      <c r="D2966" t="inlineStr">
        <is>
          <t>VÄSTERBOTTENS LÄN</t>
        </is>
      </c>
      <c r="E2966" t="inlineStr">
        <is>
          <t>DOROTEA</t>
        </is>
      </c>
      <c r="G2966" t="n">
        <v>10</v>
      </c>
      <c r="H2966" t="n">
        <v>0</v>
      </c>
      <c r="I2966" t="n">
        <v>0</v>
      </c>
      <c r="J2966" t="n">
        <v>0</v>
      </c>
      <c r="K2966" t="n">
        <v>0</v>
      </c>
      <c r="L2966" t="n">
        <v>0</v>
      </c>
      <c r="M2966" t="n">
        <v>0</v>
      </c>
      <c r="N2966" t="n">
        <v>0</v>
      </c>
      <c r="O2966" t="n">
        <v>0</v>
      </c>
      <c r="P2966" t="n">
        <v>0</v>
      </c>
      <c r="Q2966" t="n">
        <v>0</v>
      </c>
      <c r="R2966" s="2" t="inlineStr"/>
    </row>
    <row r="2967" ht="15" customHeight="1">
      <c r="A2967" t="inlineStr">
        <is>
          <t>A 1270-2020</t>
        </is>
      </c>
      <c r="B2967" s="1" t="n">
        <v>43841</v>
      </c>
      <c r="C2967" s="1" t="n">
        <v>45357</v>
      </c>
      <c r="D2967" t="inlineStr">
        <is>
          <t>VÄSTERBOTTENS LÄN</t>
        </is>
      </c>
      <c r="E2967" t="inlineStr">
        <is>
          <t>LYCKSELE</t>
        </is>
      </c>
      <c r="F2967" t="inlineStr">
        <is>
          <t>Naturvårdsverket</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2591-2020</t>
        </is>
      </c>
      <c r="B2968" s="1" t="n">
        <v>43843</v>
      </c>
      <c r="C2968" s="1" t="n">
        <v>45357</v>
      </c>
      <c r="D2968" t="inlineStr">
        <is>
          <t>VÄSTERBOTTENS LÄN</t>
        </is>
      </c>
      <c r="E2968" t="inlineStr">
        <is>
          <t>ÅSELE</t>
        </is>
      </c>
      <c r="F2968" t="inlineStr">
        <is>
          <t>Övriga Aktiebolag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1489-2020</t>
        </is>
      </c>
      <c r="B2969" s="1" t="n">
        <v>43843</v>
      </c>
      <c r="C2969" s="1" t="n">
        <v>45357</v>
      </c>
      <c r="D2969" t="inlineStr">
        <is>
          <t>VÄSTERBOTTENS LÄN</t>
        </is>
      </c>
      <c r="E2969" t="inlineStr">
        <is>
          <t>ROBERTSFORS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2582-2020</t>
        </is>
      </c>
      <c r="B2970" s="1" t="n">
        <v>43843</v>
      </c>
      <c r="C2970" s="1" t="n">
        <v>45357</v>
      </c>
      <c r="D2970" t="inlineStr">
        <is>
          <t>VÄSTERBOTTENS LÄN</t>
        </is>
      </c>
      <c r="E2970" t="inlineStr">
        <is>
          <t>ÅSELE</t>
        </is>
      </c>
      <c r="F2970" t="inlineStr">
        <is>
          <t>Övriga Aktiebolag</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1550-2020</t>
        </is>
      </c>
      <c r="B2971" s="1" t="n">
        <v>43843</v>
      </c>
      <c r="C2971" s="1" t="n">
        <v>45357</v>
      </c>
      <c r="D2971" t="inlineStr">
        <is>
          <t>VÄSTERBOTTENS LÄN</t>
        </is>
      </c>
      <c r="E2971" t="inlineStr">
        <is>
          <t>SKELLEFTEÅ</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3108-2020</t>
        </is>
      </c>
      <c r="B2972" s="1" t="n">
        <v>43843</v>
      </c>
      <c r="C2972" s="1" t="n">
        <v>45357</v>
      </c>
      <c r="D2972" t="inlineStr">
        <is>
          <t>VÄSTERBOTTENS LÄN</t>
        </is>
      </c>
      <c r="E2972" t="inlineStr">
        <is>
          <t>UMEÅ</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1612-2020</t>
        </is>
      </c>
      <c r="B2973" s="1" t="n">
        <v>43844</v>
      </c>
      <c r="C2973" s="1" t="n">
        <v>45357</v>
      </c>
      <c r="D2973" t="inlineStr">
        <is>
          <t>VÄSTERBOTTENS LÄN</t>
        </is>
      </c>
      <c r="E2973" t="inlineStr">
        <is>
          <t>SKELLEFTEÅ</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1601-2020</t>
        </is>
      </c>
      <c r="B2974" s="1" t="n">
        <v>43844</v>
      </c>
      <c r="C2974" s="1" t="n">
        <v>45357</v>
      </c>
      <c r="D2974" t="inlineStr">
        <is>
          <t>VÄSTERBOTTENS LÄN</t>
        </is>
      </c>
      <c r="E2974" t="inlineStr">
        <is>
          <t>UMEÅ</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1698-2020</t>
        </is>
      </c>
      <c r="B2975" s="1" t="n">
        <v>43844</v>
      </c>
      <c r="C2975" s="1" t="n">
        <v>45357</v>
      </c>
      <c r="D2975" t="inlineStr">
        <is>
          <t>VÄSTERBOTTENS LÄN</t>
        </is>
      </c>
      <c r="E2975" t="inlineStr">
        <is>
          <t>VINDELN</t>
        </is>
      </c>
      <c r="F2975" t="inlineStr">
        <is>
          <t>Naturvårdsverket</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1695-2020</t>
        </is>
      </c>
      <c r="B2976" s="1" t="n">
        <v>43844</v>
      </c>
      <c r="C2976" s="1" t="n">
        <v>45357</v>
      </c>
      <c r="D2976" t="inlineStr">
        <is>
          <t>VÄSTERBOTTENS LÄN</t>
        </is>
      </c>
      <c r="E2976" t="inlineStr">
        <is>
          <t>SKELLEFTEÅ</t>
        </is>
      </c>
      <c r="F2976" t="inlineStr">
        <is>
          <t>Holmen skog AB</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3280-2020</t>
        </is>
      </c>
      <c r="B2977" s="1" t="n">
        <v>43844</v>
      </c>
      <c r="C2977" s="1" t="n">
        <v>45357</v>
      </c>
      <c r="D2977" t="inlineStr">
        <is>
          <t>VÄSTERBOTTENS LÄN</t>
        </is>
      </c>
      <c r="E2977" t="inlineStr">
        <is>
          <t>MALÅ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1854-2020</t>
        </is>
      </c>
      <c r="B2978" s="1" t="n">
        <v>43844</v>
      </c>
      <c r="C2978" s="1" t="n">
        <v>45357</v>
      </c>
      <c r="D2978" t="inlineStr">
        <is>
          <t>VÄSTERBOTTENS LÄN</t>
        </is>
      </c>
      <c r="E2978" t="inlineStr">
        <is>
          <t>NORSJÖ</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3123-2020</t>
        </is>
      </c>
      <c r="B2979" s="1" t="n">
        <v>43844</v>
      </c>
      <c r="C2979" s="1" t="n">
        <v>45357</v>
      </c>
      <c r="D2979" t="inlineStr">
        <is>
          <t>VÄSTERBOTTENS LÄN</t>
        </is>
      </c>
      <c r="E2979" t="inlineStr">
        <is>
          <t>SKELLEFTEÅ</t>
        </is>
      </c>
      <c r="G2979" t="n">
        <v>12.5</v>
      </c>
      <c r="H2979" t="n">
        <v>0</v>
      </c>
      <c r="I2979" t="n">
        <v>0</v>
      </c>
      <c r="J2979" t="n">
        <v>0</v>
      </c>
      <c r="K2979" t="n">
        <v>0</v>
      </c>
      <c r="L2979" t="n">
        <v>0</v>
      </c>
      <c r="M2979" t="n">
        <v>0</v>
      </c>
      <c r="N2979" t="n">
        <v>0</v>
      </c>
      <c r="O2979" t="n">
        <v>0</v>
      </c>
      <c r="P2979" t="n">
        <v>0</v>
      </c>
      <c r="Q2979" t="n">
        <v>0</v>
      </c>
      <c r="R2979" s="2" t="inlineStr"/>
    </row>
    <row r="2980" ht="15" customHeight="1">
      <c r="A2980" t="inlineStr">
        <is>
          <t>A 3520-2020</t>
        </is>
      </c>
      <c r="B2980" s="1" t="n">
        <v>43845</v>
      </c>
      <c r="C2980" s="1" t="n">
        <v>45357</v>
      </c>
      <c r="D2980" t="inlineStr">
        <is>
          <t>VÄSTERBOTTENS LÄN</t>
        </is>
      </c>
      <c r="E2980" t="inlineStr">
        <is>
          <t>ROBERTSFORS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2001-2020</t>
        </is>
      </c>
      <c r="B2981" s="1" t="n">
        <v>43845</v>
      </c>
      <c r="C2981" s="1" t="n">
        <v>45357</v>
      </c>
      <c r="D2981" t="inlineStr">
        <is>
          <t>VÄSTERBOTTENS LÄN</t>
        </is>
      </c>
      <c r="E2981" t="inlineStr">
        <is>
          <t>VÄNNÄS</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2096-2020</t>
        </is>
      </c>
      <c r="B2982" s="1" t="n">
        <v>43845</v>
      </c>
      <c r="C2982" s="1" t="n">
        <v>45357</v>
      </c>
      <c r="D2982" t="inlineStr">
        <is>
          <t>VÄSTERBOTTENS LÄN</t>
        </is>
      </c>
      <c r="E2982" t="inlineStr">
        <is>
          <t>ÅSELE</t>
        </is>
      </c>
      <c r="G2982" t="n">
        <v>8.6</v>
      </c>
      <c r="H2982" t="n">
        <v>0</v>
      </c>
      <c r="I2982" t="n">
        <v>0</v>
      </c>
      <c r="J2982" t="n">
        <v>0</v>
      </c>
      <c r="K2982" t="n">
        <v>0</v>
      </c>
      <c r="L2982" t="n">
        <v>0</v>
      </c>
      <c r="M2982" t="n">
        <v>0</v>
      </c>
      <c r="N2982" t="n">
        <v>0</v>
      </c>
      <c r="O2982" t="n">
        <v>0</v>
      </c>
      <c r="P2982" t="n">
        <v>0</v>
      </c>
      <c r="Q2982" t="n">
        <v>0</v>
      </c>
      <c r="R2982" s="2" t="inlineStr"/>
    </row>
    <row r="2983" ht="15" customHeight="1">
      <c r="A2983" t="inlineStr">
        <is>
          <t>A 3620-2020</t>
        </is>
      </c>
      <c r="B2983" s="1" t="n">
        <v>43845</v>
      </c>
      <c r="C2983" s="1" t="n">
        <v>45357</v>
      </c>
      <c r="D2983" t="inlineStr">
        <is>
          <t>VÄSTERBOTTENS LÄN</t>
        </is>
      </c>
      <c r="E2983" t="inlineStr">
        <is>
          <t>LYCKSELE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3514-2020</t>
        </is>
      </c>
      <c r="B2984" s="1" t="n">
        <v>43845</v>
      </c>
      <c r="C2984" s="1" t="n">
        <v>45357</v>
      </c>
      <c r="D2984" t="inlineStr">
        <is>
          <t>VÄSTERBOTTENS LÄN</t>
        </is>
      </c>
      <c r="E2984" t="inlineStr">
        <is>
          <t>ROBERTSFORS</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2431-2020</t>
        </is>
      </c>
      <c r="B2985" s="1" t="n">
        <v>43847</v>
      </c>
      <c r="C2985" s="1" t="n">
        <v>45357</v>
      </c>
      <c r="D2985" t="inlineStr">
        <is>
          <t>VÄSTERBOTTENS LÄN</t>
        </is>
      </c>
      <c r="E2985" t="inlineStr">
        <is>
          <t>VINDELN</t>
        </is>
      </c>
      <c r="F2985" t="inlineStr">
        <is>
          <t>Holmen skog AB</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2533-2020</t>
        </is>
      </c>
      <c r="B2986" s="1" t="n">
        <v>43847</v>
      </c>
      <c r="C2986" s="1" t="n">
        <v>45357</v>
      </c>
      <c r="D2986" t="inlineStr">
        <is>
          <t>VÄSTERBOTTENS LÄN</t>
        </is>
      </c>
      <c r="E2986" t="inlineStr">
        <is>
          <t>VINDELN</t>
        </is>
      </c>
      <c r="F2986" t="inlineStr">
        <is>
          <t>Naturvårdsverket</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2443-2020</t>
        </is>
      </c>
      <c r="B2987" s="1" t="n">
        <v>43847</v>
      </c>
      <c r="C2987" s="1" t="n">
        <v>45357</v>
      </c>
      <c r="D2987" t="inlineStr">
        <is>
          <t>VÄSTERBOTTENS LÄN</t>
        </is>
      </c>
      <c r="E2987" t="inlineStr">
        <is>
          <t>VINDELN</t>
        </is>
      </c>
      <c r="F2987" t="inlineStr">
        <is>
          <t>Naturvårdsverket</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2574-2020</t>
        </is>
      </c>
      <c r="B2988" s="1" t="n">
        <v>43847</v>
      </c>
      <c r="C2988" s="1" t="n">
        <v>45357</v>
      </c>
      <c r="D2988" t="inlineStr">
        <is>
          <t>VÄSTERBOTTENS LÄN</t>
        </is>
      </c>
      <c r="E2988" t="inlineStr">
        <is>
          <t>ROBERTSFORS</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4214-2020</t>
        </is>
      </c>
      <c r="B2989" s="1" t="n">
        <v>43847</v>
      </c>
      <c r="C2989" s="1" t="n">
        <v>45357</v>
      </c>
      <c r="D2989" t="inlineStr">
        <is>
          <t>VÄSTERBOTTENS LÄN</t>
        </is>
      </c>
      <c r="E2989" t="inlineStr">
        <is>
          <t>VINDELN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4221-2020</t>
        </is>
      </c>
      <c r="B2990" s="1" t="n">
        <v>43847</v>
      </c>
      <c r="C2990" s="1" t="n">
        <v>45357</v>
      </c>
      <c r="D2990" t="inlineStr">
        <is>
          <t>VÄSTERBOTTENS LÄN</t>
        </is>
      </c>
      <c r="E2990" t="inlineStr">
        <is>
          <t>VINDELN</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4258-2020</t>
        </is>
      </c>
      <c r="B2991" s="1" t="n">
        <v>43847</v>
      </c>
      <c r="C2991" s="1" t="n">
        <v>45357</v>
      </c>
      <c r="D2991" t="inlineStr">
        <is>
          <t>VÄSTERBOTTENS LÄN</t>
        </is>
      </c>
      <c r="E2991" t="inlineStr">
        <is>
          <t>MALÅ</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4286-2020</t>
        </is>
      </c>
      <c r="B2992" s="1" t="n">
        <v>43847</v>
      </c>
      <c r="C2992" s="1" t="n">
        <v>45357</v>
      </c>
      <c r="D2992" t="inlineStr">
        <is>
          <t>VÄSTERBOTTENS LÄN</t>
        </is>
      </c>
      <c r="E2992" t="inlineStr">
        <is>
          <t>SKELLEFTEÅ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4226-2020</t>
        </is>
      </c>
      <c r="B2993" s="1" t="n">
        <v>43847</v>
      </c>
      <c r="C2993" s="1" t="n">
        <v>45357</v>
      </c>
      <c r="D2993" t="inlineStr">
        <is>
          <t>VÄSTERBOTTENS LÄN</t>
        </is>
      </c>
      <c r="E2993" t="inlineStr">
        <is>
          <t>VINDELN</t>
        </is>
      </c>
      <c r="G2993" t="n">
        <v>17.6</v>
      </c>
      <c r="H2993" t="n">
        <v>0</v>
      </c>
      <c r="I2993" t="n">
        <v>0</v>
      </c>
      <c r="J2993" t="n">
        <v>0</v>
      </c>
      <c r="K2993" t="n">
        <v>0</v>
      </c>
      <c r="L2993" t="n">
        <v>0</v>
      </c>
      <c r="M2993" t="n">
        <v>0</v>
      </c>
      <c r="N2993" t="n">
        <v>0</v>
      </c>
      <c r="O2993" t="n">
        <v>0</v>
      </c>
      <c r="P2993" t="n">
        <v>0</v>
      </c>
      <c r="Q2993" t="n">
        <v>0</v>
      </c>
      <c r="R2993" s="2" t="inlineStr"/>
    </row>
    <row r="2994" ht="15" customHeight="1">
      <c r="A2994" t="inlineStr">
        <is>
          <t>A 4261-2020</t>
        </is>
      </c>
      <c r="B2994" s="1" t="n">
        <v>43847</v>
      </c>
      <c r="C2994" s="1" t="n">
        <v>45357</v>
      </c>
      <c r="D2994" t="inlineStr">
        <is>
          <t>VÄSTERBOTTENS LÄN</t>
        </is>
      </c>
      <c r="E2994" t="inlineStr">
        <is>
          <t>MALÅ</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4381-2020</t>
        </is>
      </c>
      <c r="B2995" s="1" t="n">
        <v>43847</v>
      </c>
      <c r="C2995" s="1" t="n">
        <v>45357</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3076-2020</t>
        </is>
      </c>
      <c r="B2996" s="1" t="n">
        <v>43851</v>
      </c>
      <c r="C2996" s="1" t="n">
        <v>45357</v>
      </c>
      <c r="D2996" t="inlineStr">
        <is>
          <t>VÄSTERBOTTENS LÄN</t>
        </is>
      </c>
      <c r="E2996" t="inlineStr">
        <is>
          <t>BJURHOLM</t>
        </is>
      </c>
      <c r="F2996" t="inlineStr">
        <is>
          <t>Holmen skog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3074-2020</t>
        </is>
      </c>
      <c r="B2997" s="1" t="n">
        <v>43851</v>
      </c>
      <c r="C2997" s="1" t="n">
        <v>45357</v>
      </c>
      <c r="D2997" t="inlineStr">
        <is>
          <t>VÄSTERBOTTENS LÄN</t>
        </is>
      </c>
      <c r="E2997" t="inlineStr">
        <is>
          <t>VILHELMINA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3178-2020</t>
        </is>
      </c>
      <c r="B2998" s="1" t="n">
        <v>43851</v>
      </c>
      <c r="C2998" s="1" t="n">
        <v>45357</v>
      </c>
      <c r="D2998" t="inlineStr">
        <is>
          <t>VÄSTERBOTTENS LÄN</t>
        </is>
      </c>
      <c r="E2998" t="inlineStr">
        <is>
          <t>ROBERTSFORS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3293-2020</t>
        </is>
      </c>
      <c r="B2999" s="1" t="n">
        <v>43852</v>
      </c>
      <c r="C2999" s="1" t="n">
        <v>45357</v>
      </c>
      <c r="D2999" t="inlineStr">
        <is>
          <t>VÄSTERBOTTENS LÄN</t>
        </is>
      </c>
      <c r="E2999" t="inlineStr">
        <is>
          <t>NORSJÖ</t>
        </is>
      </c>
      <c r="F2999" t="inlineStr">
        <is>
          <t>Holmen skog AB</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3343-2020</t>
        </is>
      </c>
      <c r="B3000" s="1" t="n">
        <v>43852</v>
      </c>
      <c r="C3000" s="1" t="n">
        <v>45357</v>
      </c>
      <c r="D3000" t="inlineStr">
        <is>
          <t>VÄSTERBOTTENS LÄN</t>
        </is>
      </c>
      <c r="E3000" t="inlineStr">
        <is>
          <t>VILHELMINA</t>
        </is>
      </c>
      <c r="F3000" t="inlineStr">
        <is>
          <t>Sveaskog</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3237-2020</t>
        </is>
      </c>
      <c r="B3001" s="1" t="n">
        <v>43852</v>
      </c>
      <c r="C3001" s="1" t="n">
        <v>45357</v>
      </c>
      <c r="D3001" t="inlineStr">
        <is>
          <t>VÄSTERBOTTENS LÄN</t>
        </is>
      </c>
      <c r="E3001" t="inlineStr">
        <is>
          <t>NORSJÖ</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4872-2020</t>
        </is>
      </c>
      <c r="B3002" s="1" t="n">
        <v>43852</v>
      </c>
      <c r="C3002" s="1" t="n">
        <v>45357</v>
      </c>
      <c r="D3002" t="inlineStr">
        <is>
          <t>VÄSTERBOTTENS LÄN</t>
        </is>
      </c>
      <c r="E3002" t="inlineStr">
        <is>
          <t>VINDELN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4891-2020</t>
        </is>
      </c>
      <c r="B3003" s="1" t="n">
        <v>43852</v>
      </c>
      <c r="C3003" s="1" t="n">
        <v>45357</v>
      </c>
      <c r="D3003" t="inlineStr">
        <is>
          <t>VÄSTERBOTTENS LÄN</t>
        </is>
      </c>
      <c r="E3003" t="inlineStr">
        <is>
          <t>ÅSELE</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4985-2020</t>
        </is>
      </c>
      <c r="B3004" s="1" t="n">
        <v>43853</v>
      </c>
      <c r="C3004" s="1" t="n">
        <v>45357</v>
      </c>
      <c r="D3004" t="inlineStr">
        <is>
          <t>VÄSTERBOTTENS LÄN</t>
        </is>
      </c>
      <c r="E3004" t="inlineStr">
        <is>
          <t>SKELLEFTEÅ</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5022-2020</t>
        </is>
      </c>
      <c r="B3005" s="1" t="n">
        <v>43853</v>
      </c>
      <c r="C3005" s="1" t="n">
        <v>45357</v>
      </c>
      <c r="D3005" t="inlineStr">
        <is>
          <t>VÄSTERBOTTENS LÄN</t>
        </is>
      </c>
      <c r="E3005" t="inlineStr">
        <is>
          <t>UMEÅ</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5026-2020</t>
        </is>
      </c>
      <c r="B3006" s="1" t="n">
        <v>43853</v>
      </c>
      <c r="C3006" s="1" t="n">
        <v>45357</v>
      </c>
      <c r="D3006" t="inlineStr">
        <is>
          <t>VÄSTERBOTTENS LÄN</t>
        </is>
      </c>
      <c r="E3006" t="inlineStr">
        <is>
          <t>STORUMAN</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3968-2020</t>
        </is>
      </c>
      <c r="B3007" s="1" t="n">
        <v>43854</v>
      </c>
      <c r="C3007" s="1" t="n">
        <v>45357</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3924-2020</t>
        </is>
      </c>
      <c r="B3008" s="1" t="n">
        <v>43854</v>
      </c>
      <c r="C3008" s="1" t="n">
        <v>45357</v>
      </c>
      <c r="D3008" t="inlineStr">
        <is>
          <t>VÄSTERBOTTENS LÄN</t>
        </is>
      </c>
      <c r="E3008" t="inlineStr">
        <is>
          <t>BJURHOLM</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5167-2020</t>
        </is>
      </c>
      <c r="B3009" s="1" t="n">
        <v>43854</v>
      </c>
      <c r="C3009" s="1" t="n">
        <v>45357</v>
      </c>
      <c r="D3009" t="inlineStr">
        <is>
          <t>VÄSTERBOTTENS LÄN</t>
        </is>
      </c>
      <c r="E3009" t="inlineStr">
        <is>
          <t>STORUMAN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3770-2020</t>
        </is>
      </c>
      <c r="B3010" s="1" t="n">
        <v>43854</v>
      </c>
      <c r="C3010" s="1" t="n">
        <v>45357</v>
      </c>
      <c r="D3010" t="inlineStr">
        <is>
          <t>VÄSTERBOTTENS LÄN</t>
        </is>
      </c>
      <c r="E3010" t="inlineStr">
        <is>
          <t>DOROTEA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5236-2020</t>
        </is>
      </c>
      <c r="B3011" s="1" t="n">
        <v>43854</v>
      </c>
      <c r="C3011" s="1" t="n">
        <v>45357</v>
      </c>
      <c r="D3011" t="inlineStr">
        <is>
          <t>VÄSTERBOTTENS LÄN</t>
        </is>
      </c>
      <c r="E3011" t="inlineStr">
        <is>
          <t>VILHELMINA</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4006-2020</t>
        </is>
      </c>
      <c r="B3012" s="1" t="n">
        <v>43857</v>
      </c>
      <c r="C3012" s="1" t="n">
        <v>45357</v>
      </c>
      <c r="D3012" t="inlineStr">
        <is>
          <t>VÄSTERBOTTENS LÄN</t>
        </is>
      </c>
      <c r="E3012" t="inlineStr">
        <is>
          <t>SKELLEFTEÅ</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4041-2020</t>
        </is>
      </c>
      <c r="B3013" s="1" t="n">
        <v>43857</v>
      </c>
      <c r="C3013" s="1" t="n">
        <v>45357</v>
      </c>
      <c r="D3013" t="inlineStr">
        <is>
          <t>VÄSTERBOTTENS LÄN</t>
        </is>
      </c>
      <c r="E3013" t="inlineStr">
        <is>
          <t>LYCKSELE</t>
        </is>
      </c>
      <c r="F3013" t="inlineStr">
        <is>
          <t>Sveaskog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4305-2020</t>
        </is>
      </c>
      <c r="B3014" s="1" t="n">
        <v>43857</v>
      </c>
      <c r="C3014" s="1" t="n">
        <v>45357</v>
      </c>
      <c r="D3014" t="inlineStr">
        <is>
          <t>VÄSTERBOTTENS LÄN</t>
        </is>
      </c>
      <c r="E3014" t="inlineStr">
        <is>
          <t>VÄNNÄS</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4366-2020</t>
        </is>
      </c>
      <c r="B3015" s="1" t="n">
        <v>43857</v>
      </c>
      <c r="C3015" s="1" t="n">
        <v>45357</v>
      </c>
      <c r="D3015" t="inlineStr">
        <is>
          <t>VÄSTERBOTTENS LÄN</t>
        </is>
      </c>
      <c r="E3015" t="inlineStr">
        <is>
          <t>ROBERTSFORS</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5261-2020</t>
        </is>
      </c>
      <c r="B3016" s="1" t="n">
        <v>43857</v>
      </c>
      <c r="C3016" s="1" t="n">
        <v>45357</v>
      </c>
      <c r="D3016" t="inlineStr">
        <is>
          <t>VÄSTERBOTTENS LÄN</t>
        </is>
      </c>
      <c r="E3016" t="inlineStr">
        <is>
          <t>SKELLEFTEÅ</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4586-2020</t>
        </is>
      </c>
      <c r="B3017" s="1" t="n">
        <v>43858</v>
      </c>
      <c r="C3017" s="1" t="n">
        <v>45357</v>
      </c>
      <c r="D3017" t="inlineStr">
        <is>
          <t>VÄSTERBOTTENS LÄN</t>
        </is>
      </c>
      <c r="E3017" t="inlineStr">
        <is>
          <t>VILHELMINA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5432-2020</t>
        </is>
      </c>
      <c r="B3018" s="1" t="n">
        <v>43858</v>
      </c>
      <c r="C3018" s="1" t="n">
        <v>45357</v>
      </c>
      <c r="D3018" t="inlineStr">
        <is>
          <t>VÄSTERBOTTENS LÄN</t>
        </is>
      </c>
      <c r="E3018" t="inlineStr">
        <is>
          <t>VILHELMINA</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5501-2020</t>
        </is>
      </c>
      <c r="B3019" s="1" t="n">
        <v>43858</v>
      </c>
      <c r="C3019" s="1" t="n">
        <v>45357</v>
      </c>
      <c r="D3019" t="inlineStr">
        <is>
          <t>VÄSTERBOTTENS LÄN</t>
        </is>
      </c>
      <c r="E3019" t="inlineStr">
        <is>
          <t>LYCKSELE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4771-2020</t>
        </is>
      </c>
      <c r="B3020" s="1" t="n">
        <v>43859</v>
      </c>
      <c r="C3020" s="1" t="n">
        <v>45357</v>
      </c>
      <c r="D3020" t="inlineStr">
        <is>
          <t>VÄSTERBOTTENS LÄN</t>
        </is>
      </c>
      <c r="E3020" t="inlineStr">
        <is>
          <t>UMEÅ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5541-2020</t>
        </is>
      </c>
      <c r="B3021" s="1" t="n">
        <v>43859</v>
      </c>
      <c r="C3021" s="1" t="n">
        <v>45357</v>
      </c>
      <c r="D3021" t="inlineStr">
        <is>
          <t>VÄSTERBOTTENS LÄN</t>
        </is>
      </c>
      <c r="E3021" t="inlineStr">
        <is>
          <t>ÅSELE</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5535-2020</t>
        </is>
      </c>
      <c r="B3022" s="1" t="n">
        <v>43859</v>
      </c>
      <c r="C3022" s="1" t="n">
        <v>45357</v>
      </c>
      <c r="D3022" t="inlineStr">
        <is>
          <t>VÄSTERBOTTENS LÄN</t>
        </is>
      </c>
      <c r="E3022" t="inlineStr">
        <is>
          <t>ROBERTSFORS</t>
        </is>
      </c>
      <c r="G3022" t="n">
        <v>17.8</v>
      </c>
      <c r="H3022" t="n">
        <v>0</v>
      </c>
      <c r="I3022" t="n">
        <v>0</v>
      </c>
      <c r="J3022" t="n">
        <v>0</v>
      </c>
      <c r="K3022" t="n">
        <v>0</v>
      </c>
      <c r="L3022" t="n">
        <v>0</v>
      </c>
      <c r="M3022" t="n">
        <v>0</v>
      </c>
      <c r="N3022" t="n">
        <v>0</v>
      </c>
      <c r="O3022" t="n">
        <v>0</v>
      </c>
      <c r="P3022" t="n">
        <v>0</v>
      </c>
      <c r="Q3022" t="n">
        <v>0</v>
      </c>
      <c r="R3022" s="2" t="inlineStr"/>
    </row>
    <row r="3023" ht="15" customHeight="1">
      <c r="A3023" t="inlineStr">
        <is>
          <t>A 4731-2020</t>
        </is>
      </c>
      <c r="B3023" s="1" t="n">
        <v>43859</v>
      </c>
      <c r="C3023" s="1" t="n">
        <v>45357</v>
      </c>
      <c r="D3023" t="inlineStr">
        <is>
          <t>VÄSTERBOTTENS LÄN</t>
        </is>
      </c>
      <c r="E3023" t="inlineStr">
        <is>
          <t>SKELLEFTEÅ</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5174-2020</t>
        </is>
      </c>
      <c r="B3024" s="1" t="n">
        <v>43860</v>
      </c>
      <c r="C3024" s="1" t="n">
        <v>45357</v>
      </c>
      <c r="D3024" t="inlineStr">
        <is>
          <t>VÄSTERBOTTENS LÄN</t>
        </is>
      </c>
      <c r="E3024" t="inlineStr">
        <is>
          <t>VINDELN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5252-2020</t>
        </is>
      </c>
      <c r="B3025" s="1" t="n">
        <v>43860</v>
      </c>
      <c r="C3025" s="1" t="n">
        <v>45357</v>
      </c>
      <c r="D3025" t="inlineStr">
        <is>
          <t>VÄSTERBOTTENS LÄN</t>
        </is>
      </c>
      <c r="E3025" t="inlineStr">
        <is>
          <t>VINDELN</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5291-2020</t>
        </is>
      </c>
      <c r="B3026" s="1" t="n">
        <v>43860</v>
      </c>
      <c r="C3026" s="1" t="n">
        <v>45357</v>
      </c>
      <c r="D3026" t="inlineStr">
        <is>
          <t>VÄSTERBOTTENS LÄN</t>
        </is>
      </c>
      <c r="E3026" t="inlineStr">
        <is>
          <t>VINDELN</t>
        </is>
      </c>
      <c r="F3026" t="inlineStr">
        <is>
          <t>Sveaskog</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6007-2020</t>
        </is>
      </c>
      <c r="B3027" s="1" t="n">
        <v>43861</v>
      </c>
      <c r="C3027" s="1" t="n">
        <v>45357</v>
      </c>
      <c r="D3027" t="inlineStr">
        <is>
          <t>VÄSTERBOTTENS LÄN</t>
        </is>
      </c>
      <c r="E3027" t="inlineStr">
        <is>
          <t>MALÅ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5682-2020</t>
        </is>
      </c>
      <c r="B3028" s="1" t="n">
        <v>43861</v>
      </c>
      <c r="C3028" s="1" t="n">
        <v>45357</v>
      </c>
      <c r="D3028" t="inlineStr">
        <is>
          <t>VÄSTERBOTTENS LÄN</t>
        </is>
      </c>
      <c r="E3028" t="inlineStr">
        <is>
          <t>VINDELN</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6016-2020</t>
        </is>
      </c>
      <c r="B3029" s="1" t="n">
        <v>43861</v>
      </c>
      <c r="C3029" s="1" t="n">
        <v>45357</v>
      </c>
      <c r="D3029" t="inlineStr">
        <is>
          <t>VÄSTERBOTTENS LÄN</t>
        </is>
      </c>
      <c r="E3029" t="inlineStr">
        <is>
          <t>MALÅ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5508-2020</t>
        </is>
      </c>
      <c r="B3030" s="1" t="n">
        <v>43861</v>
      </c>
      <c r="C3030" s="1" t="n">
        <v>45357</v>
      </c>
      <c r="D3030" t="inlineStr">
        <is>
          <t>VÄSTERBOTTENS LÄN</t>
        </is>
      </c>
      <c r="E3030" t="inlineStr">
        <is>
          <t>ROBERTSFORS</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5772-2020</t>
        </is>
      </c>
      <c r="B3031" s="1" t="n">
        <v>43864</v>
      </c>
      <c r="C3031" s="1" t="n">
        <v>45357</v>
      </c>
      <c r="D3031" t="inlineStr">
        <is>
          <t>VÄSTERBOTTENS LÄN</t>
        </is>
      </c>
      <c r="E3031" t="inlineStr">
        <is>
          <t>NORSJÖ</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6097-2020</t>
        </is>
      </c>
      <c r="B3032" s="1" t="n">
        <v>43864</v>
      </c>
      <c r="C3032" s="1" t="n">
        <v>45357</v>
      </c>
      <c r="D3032" t="inlineStr">
        <is>
          <t>VÄSTERBOTTENS LÄN</t>
        </is>
      </c>
      <c r="E3032" t="inlineStr">
        <is>
          <t>LYCKSELE</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6106-2020</t>
        </is>
      </c>
      <c r="B3033" s="1" t="n">
        <v>43864</v>
      </c>
      <c r="C3033" s="1" t="n">
        <v>45357</v>
      </c>
      <c r="D3033" t="inlineStr">
        <is>
          <t>VÄSTERBOTTENS LÄN</t>
        </is>
      </c>
      <c r="E3033" t="inlineStr">
        <is>
          <t>NORDMALING</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6303-2020</t>
        </is>
      </c>
      <c r="B3034" s="1" t="n">
        <v>43864</v>
      </c>
      <c r="C3034" s="1" t="n">
        <v>45357</v>
      </c>
      <c r="D3034" t="inlineStr">
        <is>
          <t>VÄSTERBOTTENS LÄN</t>
        </is>
      </c>
      <c r="E3034" t="inlineStr">
        <is>
          <t>VINDELN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6027-2020</t>
        </is>
      </c>
      <c r="B3035" s="1" t="n">
        <v>43864</v>
      </c>
      <c r="C3035" s="1" t="n">
        <v>45357</v>
      </c>
      <c r="D3035" t="inlineStr">
        <is>
          <t>VÄSTERBOTTENS LÄN</t>
        </is>
      </c>
      <c r="E3035" t="inlineStr">
        <is>
          <t>ROBERTSFORS</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6295-2020</t>
        </is>
      </c>
      <c r="B3036" s="1" t="n">
        <v>43864</v>
      </c>
      <c r="C3036" s="1" t="n">
        <v>45357</v>
      </c>
      <c r="D3036" t="inlineStr">
        <is>
          <t>VÄSTERBOTTENS LÄN</t>
        </is>
      </c>
      <c r="E3036" t="inlineStr">
        <is>
          <t>VINDELN</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6152-2020</t>
        </is>
      </c>
      <c r="B3037" s="1" t="n">
        <v>43864</v>
      </c>
      <c r="C3037" s="1" t="n">
        <v>45357</v>
      </c>
      <c r="D3037" t="inlineStr">
        <is>
          <t>VÄSTERBOTTENS LÄN</t>
        </is>
      </c>
      <c r="E3037" t="inlineStr">
        <is>
          <t>VINDELN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6570-2020</t>
        </is>
      </c>
      <c r="B3038" s="1" t="n">
        <v>43864</v>
      </c>
      <c r="C3038" s="1" t="n">
        <v>45357</v>
      </c>
      <c r="D3038" t="inlineStr">
        <is>
          <t>VÄSTERBOTTENS LÄN</t>
        </is>
      </c>
      <c r="E3038" t="inlineStr">
        <is>
          <t>DOROTEA</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6297-2020</t>
        </is>
      </c>
      <c r="B3039" s="1" t="n">
        <v>43864</v>
      </c>
      <c r="C3039" s="1" t="n">
        <v>45357</v>
      </c>
      <c r="D3039" t="inlineStr">
        <is>
          <t>VÄSTERBOTTENS LÄN</t>
        </is>
      </c>
      <c r="E3039" t="inlineStr">
        <is>
          <t>VINDELN</t>
        </is>
      </c>
      <c r="G3039" t="n">
        <v>10.3</v>
      </c>
      <c r="H3039" t="n">
        <v>0</v>
      </c>
      <c r="I3039" t="n">
        <v>0</v>
      </c>
      <c r="J3039" t="n">
        <v>0</v>
      </c>
      <c r="K3039" t="n">
        <v>0</v>
      </c>
      <c r="L3039" t="n">
        <v>0</v>
      </c>
      <c r="M3039" t="n">
        <v>0</v>
      </c>
      <c r="N3039" t="n">
        <v>0</v>
      </c>
      <c r="O3039" t="n">
        <v>0</v>
      </c>
      <c r="P3039" t="n">
        <v>0</v>
      </c>
      <c r="Q3039" t="n">
        <v>0</v>
      </c>
      <c r="R3039" s="2" t="inlineStr"/>
    </row>
    <row r="3040" ht="15" customHeight="1">
      <c r="A3040" t="inlineStr">
        <is>
          <t>A 6511-2020</t>
        </is>
      </c>
      <c r="B3040" s="1" t="n">
        <v>43865</v>
      </c>
      <c r="C3040" s="1" t="n">
        <v>45357</v>
      </c>
      <c r="D3040" t="inlineStr">
        <is>
          <t>VÄSTERBOTTENS LÄN</t>
        </is>
      </c>
      <c r="E3040" t="inlineStr">
        <is>
          <t>SKELLEFTEÅ</t>
        </is>
      </c>
      <c r="G3040" t="n">
        <v>9.9</v>
      </c>
      <c r="H3040" t="n">
        <v>0</v>
      </c>
      <c r="I3040" t="n">
        <v>0</v>
      </c>
      <c r="J3040" t="n">
        <v>0</v>
      </c>
      <c r="K3040" t="n">
        <v>0</v>
      </c>
      <c r="L3040" t="n">
        <v>0</v>
      </c>
      <c r="M3040" t="n">
        <v>0</v>
      </c>
      <c r="N3040" t="n">
        <v>0</v>
      </c>
      <c r="O3040" t="n">
        <v>0</v>
      </c>
      <c r="P3040" t="n">
        <v>0</v>
      </c>
      <c r="Q3040" t="n">
        <v>0</v>
      </c>
      <c r="R3040" s="2" t="inlineStr"/>
    </row>
    <row r="3041" ht="15" customHeight="1">
      <c r="A3041" t="inlineStr">
        <is>
          <t>A 6275-2020</t>
        </is>
      </c>
      <c r="B3041" s="1" t="n">
        <v>43866</v>
      </c>
      <c r="C3041" s="1" t="n">
        <v>45357</v>
      </c>
      <c r="D3041" t="inlineStr">
        <is>
          <t>VÄSTERBOTTENS LÄN</t>
        </is>
      </c>
      <c r="E3041" t="inlineStr">
        <is>
          <t>ROBERTSFORS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6998-2020</t>
        </is>
      </c>
      <c r="B3042" s="1" t="n">
        <v>43866</v>
      </c>
      <c r="C3042" s="1" t="n">
        <v>45357</v>
      </c>
      <c r="D3042" t="inlineStr">
        <is>
          <t>VÄSTERBOTTENS LÄN</t>
        </is>
      </c>
      <c r="E3042" t="inlineStr">
        <is>
          <t>NORSJÖ</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7001-2020</t>
        </is>
      </c>
      <c r="B3043" s="1" t="n">
        <v>43866</v>
      </c>
      <c r="C3043" s="1" t="n">
        <v>45357</v>
      </c>
      <c r="D3043" t="inlineStr">
        <is>
          <t>VÄSTERBOTTENS LÄN</t>
        </is>
      </c>
      <c r="E3043" t="inlineStr">
        <is>
          <t>NORSJÖ</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6965-2020</t>
        </is>
      </c>
      <c r="B3044" s="1" t="n">
        <v>43867</v>
      </c>
      <c r="C3044" s="1" t="n">
        <v>45357</v>
      </c>
      <c r="D3044" t="inlineStr">
        <is>
          <t>VÄSTERBOTTENS LÄN</t>
        </is>
      </c>
      <c r="E3044" t="inlineStr">
        <is>
          <t>STORUMAN</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7029-2020</t>
        </is>
      </c>
      <c r="B3045" s="1" t="n">
        <v>43868</v>
      </c>
      <c r="C3045" s="1" t="n">
        <v>45357</v>
      </c>
      <c r="D3045" t="inlineStr">
        <is>
          <t>VÄSTERBOTTENS LÄN</t>
        </is>
      </c>
      <c r="E3045" t="inlineStr">
        <is>
          <t>VÄNNÄS</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7016-2020</t>
        </is>
      </c>
      <c r="B3046" s="1" t="n">
        <v>43868</v>
      </c>
      <c r="C3046" s="1" t="n">
        <v>45357</v>
      </c>
      <c r="D3046" t="inlineStr">
        <is>
          <t>VÄSTERBOTTENS LÄN</t>
        </is>
      </c>
      <c r="E3046" t="inlineStr">
        <is>
          <t>VÄNNÄS</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7334-2020</t>
        </is>
      </c>
      <c r="B3047" s="1" t="n">
        <v>43868</v>
      </c>
      <c r="C3047" s="1" t="n">
        <v>45357</v>
      </c>
      <c r="D3047" t="inlineStr">
        <is>
          <t>VÄSTERBOTTENS LÄN</t>
        </is>
      </c>
      <c r="E3047" t="inlineStr">
        <is>
          <t>SKELLEFTEÅ</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7618-2020</t>
        </is>
      </c>
      <c r="B3048" s="1" t="n">
        <v>43871</v>
      </c>
      <c r="C3048" s="1" t="n">
        <v>45357</v>
      </c>
      <c r="D3048" t="inlineStr">
        <is>
          <t>VÄSTERBOTTENS LÄN</t>
        </is>
      </c>
      <c r="E3048" t="inlineStr">
        <is>
          <t>LYCKSELE</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7632-2020</t>
        </is>
      </c>
      <c r="B3049" s="1" t="n">
        <v>43871</v>
      </c>
      <c r="C3049" s="1" t="n">
        <v>45357</v>
      </c>
      <c r="D3049" t="inlineStr">
        <is>
          <t>VÄSTERBOTTENS LÄN</t>
        </is>
      </c>
      <c r="E3049" t="inlineStr">
        <is>
          <t>LYCKSELE</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7689-2020</t>
        </is>
      </c>
      <c r="B3050" s="1" t="n">
        <v>43872</v>
      </c>
      <c r="C3050" s="1" t="n">
        <v>45357</v>
      </c>
      <c r="D3050" t="inlineStr">
        <is>
          <t>VÄSTERBOTTENS LÄN</t>
        </is>
      </c>
      <c r="E3050" t="inlineStr">
        <is>
          <t>SKELLEFTEÅ</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7533-2020</t>
        </is>
      </c>
      <c r="B3051" s="1" t="n">
        <v>43872</v>
      </c>
      <c r="C3051" s="1" t="n">
        <v>45357</v>
      </c>
      <c r="D3051" t="inlineStr">
        <is>
          <t>VÄSTERBOTTENS LÄN</t>
        </is>
      </c>
      <c r="E3051" t="inlineStr">
        <is>
          <t>VÄNNÄS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7742-2020</t>
        </is>
      </c>
      <c r="B3052" s="1" t="n">
        <v>43872</v>
      </c>
      <c r="C3052" s="1" t="n">
        <v>45357</v>
      </c>
      <c r="D3052" t="inlineStr">
        <is>
          <t>VÄSTERBOTTENS LÄN</t>
        </is>
      </c>
      <c r="E3052" t="inlineStr">
        <is>
          <t>NORSJÖ</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8128-2020</t>
        </is>
      </c>
      <c r="B3053" s="1" t="n">
        <v>43873</v>
      </c>
      <c r="C3053" s="1" t="n">
        <v>45357</v>
      </c>
      <c r="D3053" t="inlineStr">
        <is>
          <t>VÄSTERBOTTENS LÄN</t>
        </is>
      </c>
      <c r="E3053" t="inlineStr">
        <is>
          <t>BJURHOLM</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8187-2020</t>
        </is>
      </c>
      <c r="B3054" s="1" t="n">
        <v>43873</v>
      </c>
      <c r="C3054" s="1" t="n">
        <v>45357</v>
      </c>
      <c r="D3054" t="inlineStr">
        <is>
          <t>VÄSTERBOTTENS LÄN</t>
        </is>
      </c>
      <c r="E3054" t="inlineStr">
        <is>
          <t>UMEÅ</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8060-2020</t>
        </is>
      </c>
      <c r="B3055" s="1" t="n">
        <v>43874</v>
      </c>
      <c r="C3055" s="1" t="n">
        <v>45357</v>
      </c>
      <c r="D3055" t="inlineStr">
        <is>
          <t>VÄSTERBOTTENS LÄN</t>
        </is>
      </c>
      <c r="E3055" t="inlineStr">
        <is>
          <t>SKELLEFTEÅ</t>
        </is>
      </c>
      <c r="G3055" t="n">
        <v>18.7</v>
      </c>
      <c r="H3055" t="n">
        <v>0</v>
      </c>
      <c r="I3055" t="n">
        <v>0</v>
      </c>
      <c r="J3055" t="n">
        <v>0</v>
      </c>
      <c r="K3055" t="n">
        <v>0</v>
      </c>
      <c r="L3055" t="n">
        <v>0</v>
      </c>
      <c r="M3055" t="n">
        <v>0</v>
      </c>
      <c r="N3055" t="n">
        <v>0</v>
      </c>
      <c r="O3055" t="n">
        <v>0</v>
      </c>
      <c r="P3055" t="n">
        <v>0</v>
      </c>
      <c r="Q3055" t="n">
        <v>0</v>
      </c>
      <c r="R3055" s="2" t="inlineStr"/>
    </row>
    <row r="3056" ht="15" customHeight="1">
      <c r="A3056" t="inlineStr">
        <is>
          <t>A 8175-2020</t>
        </is>
      </c>
      <c r="B3056" s="1" t="n">
        <v>43874</v>
      </c>
      <c r="C3056" s="1" t="n">
        <v>45357</v>
      </c>
      <c r="D3056" t="inlineStr">
        <is>
          <t>VÄSTERBOTTENS LÄN</t>
        </is>
      </c>
      <c r="E3056" t="inlineStr">
        <is>
          <t>STORUMAN</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8562-2020</t>
        </is>
      </c>
      <c r="B3057" s="1" t="n">
        <v>43877</v>
      </c>
      <c r="C3057" s="1" t="n">
        <v>45357</v>
      </c>
      <c r="D3057" t="inlineStr">
        <is>
          <t>VÄSTERBOTTENS LÄN</t>
        </is>
      </c>
      <c r="E3057" t="inlineStr">
        <is>
          <t>SKELLEFTEÅ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8867-2020</t>
        </is>
      </c>
      <c r="B3058" s="1" t="n">
        <v>43878</v>
      </c>
      <c r="C3058" s="1" t="n">
        <v>45357</v>
      </c>
      <c r="D3058" t="inlineStr">
        <is>
          <t>VÄSTERBOTTENS LÄN</t>
        </is>
      </c>
      <c r="E3058" t="inlineStr">
        <is>
          <t>BJURHOLM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8868-2020</t>
        </is>
      </c>
      <c r="B3059" s="1" t="n">
        <v>43878</v>
      </c>
      <c r="C3059" s="1" t="n">
        <v>45357</v>
      </c>
      <c r="D3059" t="inlineStr">
        <is>
          <t>VÄSTERBOTTENS LÄN</t>
        </is>
      </c>
      <c r="E3059" t="inlineStr">
        <is>
          <t>VINDELN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8871-2020</t>
        </is>
      </c>
      <c r="B3060" s="1" t="n">
        <v>43878</v>
      </c>
      <c r="C3060" s="1" t="n">
        <v>45357</v>
      </c>
      <c r="D3060" t="inlineStr">
        <is>
          <t>VÄSTERBOTTENS LÄN</t>
        </is>
      </c>
      <c r="E3060" t="inlineStr">
        <is>
          <t>ROBERTSFORS</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9180-2020</t>
        </is>
      </c>
      <c r="B3061" s="1" t="n">
        <v>43879</v>
      </c>
      <c r="C3061" s="1" t="n">
        <v>45357</v>
      </c>
      <c r="D3061" t="inlineStr">
        <is>
          <t>VÄSTERBOTTENS LÄN</t>
        </is>
      </c>
      <c r="E3061" t="inlineStr">
        <is>
          <t>SKELLEFTEÅ</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9266-2020</t>
        </is>
      </c>
      <c r="B3062" s="1" t="n">
        <v>43879</v>
      </c>
      <c r="C3062" s="1" t="n">
        <v>45357</v>
      </c>
      <c r="D3062" t="inlineStr">
        <is>
          <t>VÄSTERBOTTENS LÄN</t>
        </is>
      </c>
      <c r="E3062" t="inlineStr">
        <is>
          <t>BJURHOLM</t>
        </is>
      </c>
      <c r="F3062" t="inlineStr">
        <is>
          <t>SCA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9183-2020</t>
        </is>
      </c>
      <c r="B3063" s="1" t="n">
        <v>43879</v>
      </c>
      <c r="C3063" s="1" t="n">
        <v>45357</v>
      </c>
      <c r="D3063" t="inlineStr">
        <is>
          <t>VÄSTERBOTTENS LÄN</t>
        </is>
      </c>
      <c r="E3063" t="inlineStr">
        <is>
          <t>STORUMAN</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9265-2020</t>
        </is>
      </c>
      <c r="B3064" s="1" t="n">
        <v>43879</v>
      </c>
      <c r="C3064" s="1" t="n">
        <v>45357</v>
      </c>
      <c r="D3064" t="inlineStr">
        <is>
          <t>VÄSTERBOTTENS LÄN</t>
        </is>
      </c>
      <c r="E3064" t="inlineStr">
        <is>
          <t>BJURHOLM</t>
        </is>
      </c>
      <c r="F3064" t="inlineStr">
        <is>
          <t>SCA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9326-2020</t>
        </is>
      </c>
      <c r="B3065" s="1" t="n">
        <v>43880</v>
      </c>
      <c r="C3065" s="1" t="n">
        <v>45357</v>
      </c>
      <c r="D3065" t="inlineStr">
        <is>
          <t>VÄSTERBOTTENS LÄN</t>
        </is>
      </c>
      <c r="E3065" t="inlineStr">
        <is>
          <t>SORSELE</t>
        </is>
      </c>
      <c r="F3065" t="inlineStr">
        <is>
          <t>Kommuner</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9568-2020</t>
        </is>
      </c>
      <c r="B3066" s="1" t="n">
        <v>43881</v>
      </c>
      <c r="C3066" s="1" t="n">
        <v>45357</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9941-2020</t>
        </is>
      </c>
      <c r="B3067" s="1" t="n">
        <v>43882</v>
      </c>
      <c r="C3067" s="1" t="n">
        <v>45357</v>
      </c>
      <c r="D3067" t="inlineStr">
        <is>
          <t>VÄSTERBOTTENS LÄN</t>
        </is>
      </c>
      <c r="E3067" t="inlineStr">
        <is>
          <t>NORDMALING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10030-2020</t>
        </is>
      </c>
      <c r="B3068" s="1" t="n">
        <v>43882</v>
      </c>
      <c r="C3068" s="1" t="n">
        <v>45357</v>
      </c>
      <c r="D3068" t="inlineStr">
        <is>
          <t>VÄSTERBOTTENS LÄN</t>
        </is>
      </c>
      <c r="E3068" t="inlineStr">
        <is>
          <t>SKELLEFTEÅ</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10056-2020</t>
        </is>
      </c>
      <c r="B3069" s="1" t="n">
        <v>43882</v>
      </c>
      <c r="C3069" s="1" t="n">
        <v>45357</v>
      </c>
      <c r="D3069" t="inlineStr">
        <is>
          <t>VÄSTERBOTTENS LÄN</t>
        </is>
      </c>
      <c r="E3069" t="inlineStr">
        <is>
          <t>ROBERTSFORS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9994-2020</t>
        </is>
      </c>
      <c r="B3070" s="1" t="n">
        <v>43882</v>
      </c>
      <c r="C3070" s="1" t="n">
        <v>45357</v>
      </c>
      <c r="D3070" t="inlineStr">
        <is>
          <t>VÄSTERBOTTENS LÄN</t>
        </is>
      </c>
      <c r="E3070" t="inlineStr">
        <is>
          <t>LYCKSELE</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10041-2020</t>
        </is>
      </c>
      <c r="B3071" s="1" t="n">
        <v>43882</v>
      </c>
      <c r="C3071" s="1" t="n">
        <v>45357</v>
      </c>
      <c r="D3071" t="inlineStr">
        <is>
          <t>VÄSTERBOTTENS LÄN</t>
        </is>
      </c>
      <c r="E3071" t="inlineStr">
        <is>
          <t>SKELLEFTEÅ</t>
        </is>
      </c>
      <c r="F3071" t="inlineStr">
        <is>
          <t>Holmen skog AB</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10073-2020</t>
        </is>
      </c>
      <c r="B3072" s="1" t="n">
        <v>43884</v>
      </c>
      <c r="C3072" s="1" t="n">
        <v>45357</v>
      </c>
      <c r="D3072" t="inlineStr">
        <is>
          <t>VÄSTERBOTTENS LÄN</t>
        </is>
      </c>
      <c r="E3072" t="inlineStr">
        <is>
          <t>DOROTEA</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10273-2020</t>
        </is>
      </c>
      <c r="B3073" s="1" t="n">
        <v>43885</v>
      </c>
      <c r="C3073" s="1" t="n">
        <v>45357</v>
      </c>
      <c r="D3073" t="inlineStr">
        <is>
          <t>VÄSTERBOTTENS LÄN</t>
        </is>
      </c>
      <c r="E3073" t="inlineStr">
        <is>
          <t>SKELLEFTEÅ</t>
        </is>
      </c>
      <c r="G3073" t="n">
        <v>1.3</v>
      </c>
      <c r="H3073" t="n">
        <v>0</v>
      </c>
      <c r="I3073" t="n">
        <v>0</v>
      </c>
      <c r="J3073" t="n">
        <v>0</v>
      </c>
      <c r="K3073" t="n">
        <v>0</v>
      </c>
      <c r="L3073" t="n">
        <v>0</v>
      </c>
      <c r="M3073" t="n">
        <v>0</v>
      </c>
      <c r="N3073" t="n">
        <v>0</v>
      </c>
      <c r="O3073" t="n">
        <v>0</v>
      </c>
      <c r="P3073" t="n">
        <v>0</v>
      </c>
      <c r="Q3073" t="n">
        <v>0</v>
      </c>
      <c r="R3073" s="2" t="inlineStr"/>
      <c r="U3073">
        <f>HYPERLINK("https://klasma.github.io/Logging_2482/knärot/A 10273-2020 karta knärot.png", "A 10273-2020")</f>
        <v/>
      </c>
      <c r="V3073">
        <f>HYPERLINK("https://klasma.github.io/Logging_2482/klagomål/A 10273-2020 FSC-klagomål.docx", "A 10273-2020")</f>
        <v/>
      </c>
      <c r="W3073">
        <f>HYPERLINK("https://klasma.github.io/Logging_2482/klagomålsmail/A 10273-2020 FSC-klagomål mail.docx", "A 10273-2020")</f>
        <v/>
      </c>
      <c r="X3073">
        <f>HYPERLINK("https://klasma.github.io/Logging_2482/tillsyn/A 10273-2020 tillsynsbegäran.docx", "A 10273-2020")</f>
        <v/>
      </c>
      <c r="Y3073">
        <f>HYPERLINK("https://klasma.github.io/Logging_2482/tillsynsmail/A 10273-2020 tillsynsbegäran mail.docx", "A 10273-2020")</f>
        <v/>
      </c>
    </row>
    <row r="3074" ht="15" customHeight="1">
      <c r="A3074" t="inlineStr">
        <is>
          <t>A 10279-2020</t>
        </is>
      </c>
      <c r="B3074" s="1" t="n">
        <v>43885</v>
      </c>
      <c r="C3074" s="1" t="n">
        <v>45357</v>
      </c>
      <c r="D3074" t="inlineStr">
        <is>
          <t>VÄSTERBOTTENS LÄN</t>
        </is>
      </c>
      <c r="E3074" t="inlineStr">
        <is>
          <t>SKELLEFTEÅ</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11085-2020</t>
        </is>
      </c>
      <c r="B3075" s="1" t="n">
        <v>43885</v>
      </c>
      <c r="C3075" s="1" t="n">
        <v>45357</v>
      </c>
      <c r="D3075" t="inlineStr">
        <is>
          <t>VÄSTERBOTTENS LÄN</t>
        </is>
      </c>
      <c r="E3075" t="inlineStr">
        <is>
          <t>UMEÅ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11083-2020</t>
        </is>
      </c>
      <c r="B3076" s="1" t="n">
        <v>43885</v>
      </c>
      <c r="C3076" s="1" t="n">
        <v>45357</v>
      </c>
      <c r="D3076" t="inlineStr">
        <is>
          <t>VÄSTERBOTTENS LÄN</t>
        </is>
      </c>
      <c r="E3076" t="inlineStr">
        <is>
          <t>SKELLEFTEÅ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10388-2020</t>
        </is>
      </c>
      <c r="B3077" s="1" t="n">
        <v>43885</v>
      </c>
      <c r="C3077" s="1" t="n">
        <v>45357</v>
      </c>
      <c r="D3077" t="inlineStr">
        <is>
          <t>VÄSTERBOTTENS LÄN</t>
        </is>
      </c>
      <c r="E3077" t="inlineStr">
        <is>
          <t>BJURHOLM</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11084-2020</t>
        </is>
      </c>
      <c r="B3078" s="1" t="n">
        <v>43885</v>
      </c>
      <c r="C3078" s="1" t="n">
        <v>45357</v>
      </c>
      <c r="D3078" t="inlineStr">
        <is>
          <t>VÄSTERBOTTENS LÄN</t>
        </is>
      </c>
      <c r="E3078" t="inlineStr">
        <is>
          <t>UMEÅ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11087-2020</t>
        </is>
      </c>
      <c r="B3079" s="1" t="n">
        <v>43885</v>
      </c>
      <c r="C3079" s="1" t="n">
        <v>45357</v>
      </c>
      <c r="D3079" t="inlineStr">
        <is>
          <t>VÄSTERBOTTENS LÄN</t>
        </is>
      </c>
      <c r="E3079" t="inlineStr">
        <is>
          <t>UMEÅ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11037-2020</t>
        </is>
      </c>
      <c r="B3080" s="1" t="n">
        <v>43886</v>
      </c>
      <c r="C3080" s="1" t="n">
        <v>45357</v>
      </c>
      <c r="D3080" t="inlineStr">
        <is>
          <t>VÄSTERBOTTENS LÄN</t>
        </is>
      </c>
      <c r="E3080" t="inlineStr">
        <is>
          <t>SKELLEFTEÅ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11048-2020</t>
        </is>
      </c>
      <c r="B3081" s="1" t="n">
        <v>43886</v>
      </c>
      <c r="C3081" s="1" t="n">
        <v>45357</v>
      </c>
      <c r="D3081" t="inlineStr">
        <is>
          <t>VÄSTERBOTTENS LÄN</t>
        </is>
      </c>
      <c r="E3081" t="inlineStr">
        <is>
          <t>SKELLEFTEÅ</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11058-2020</t>
        </is>
      </c>
      <c r="B3082" s="1" t="n">
        <v>43886</v>
      </c>
      <c r="C3082" s="1" t="n">
        <v>45357</v>
      </c>
      <c r="D3082" t="inlineStr">
        <is>
          <t>VÄSTERBOTTENS LÄN</t>
        </is>
      </c>
      <c r="E3082" t="inlineStr">
        <is>
          <t>NORSJÖ</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10181-2020</t>
        </is>
      </c>
      <c r="B3083" s="1" t="n">
        <v>43887</v>
      </c>
      <c r="C3083" s="1" t="n">
        <v>45357</v>
      </c>
      <c r="D3083" t="inlineStr">
        <is>
          <t>VÄSTERBOTTENS LÄN</t>
        </is>
      </c>
      <c r="E3083" t="inlineStr">
        <is>
          <t>SKELLEFTEÅ</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10114-2020</t>
        </is>
      </c>
      <c r="B3084" s="1" t="n">
        <v>43887</v>
      </c>
      <c r="C3084" s="1" t="n">
        <v>45357</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11495-2020</t>
        </is>
      </c>
      <c r="B3085" s="1" t="n">
        <v>43887</v>
      </c>
      <c r="C3085" s="1" t="n">
        <v>45357</v>
      </c>
      <c r="D3085" t="inlineStr">
        <is>
          <t>VÄSTERBOTTENS LÄN</t>
        </is>
      </c>
      <c r="E3085" t="inlineStr">
        <is>
          <t>UMEÅ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10745-2020</t>
        </is>
      </c>
      <c r="B3086" s="1" t="n">
        <v>43888</v>
      </c>
      <c r="C3086" s="1" t="n">
        <v>45357</v>
      </c>
      <c r="D3086" t="inlineStr">
        <is>
          <t>VÄSTERBOTTENS LÄN</t>
        </is>
      </c>
      <c r="E3086" t="inlineStr">
        <is>
          <t>UMEÅ</t>
        </is>
      </c>
      <c r="F3086" t="inlineStr">
        <is>
          <t>Holmen skog AB</t>
        </is>
      </c>
      <c r="G3086" t="n">
        <v>29.5</v>
      </c>
      <c r="H3086" t="n">
        <v>0</v>
      </c>
      <c r="I3086" t="n">
        <v>0</v>
      </c>
      <c r="J3086" t="n">
        <v>0</v>
      </c>
      <c r="K3086" t="n">
        <v>0</v>
      </c>
      <c r="L3086" t="n">
        <v>0</v>
      </c>
      <c r="M3086" t="n">
        <v>0</v>
      </c>
      <c r="N3086" t="n">
        <v>0</v>
      </c>
      <c r="O3086" t="n">
        <v>0</v>
      </c>
      <c r="P3086" t="n">
        <v>0</v>
      </c>
      <c r="Q3086" t="n">
        <v>0</v>
      </c>
      <c r="R3086" s="2" t="inlineStr"/>
    </row>
    <row r="3087" ht="15" customHeight="1">
      <c r="A3087" t="inlineStr">
        <is>
          <t>A 11888-2020</t>
        </is>
      </c>
      <c r="B3087" s="1" t="n">
        <v>43888</v>
      </c>
      <c r="C3087" s="1" t="n">
        <v>45357</v>
      </c>
      <c r="D3087" t="inlineStr">
        <is>
          <t>VÄSTERBOTTENS LÄN</t>
        </is>
      </c>
      <c r="E3087" t="inlineStr">
        <is>
          <t>UMEÅ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11928-2020</t>
        </is>
      </c>
      <c r="B3088" s="1" t="n">
        <v>43888</v>
      </c>
      <c r="C3088" s="1" t="n">
        <v>45357</v>
      </c>
      <c r="D3088" t="inlineStr">
        <is>
          <t>VÄSTERBOTTENS LÄN</t>
        </is>
      </c>
      <c r="E3088" t="inlineStr">
        <is>
          <t>VÄNNÄS</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11926-2020</t>
        </is>
      </c>
      <c r="B3089" s="1" t="n">
        <v>43888</v>
      </c>
      <c r="C3089" s="1" t="n">
        <v>45357</v>
      </c>
      <c r="D3089" t="inlineStr">
        <is>
          <t>VÄSTERBOTTENS LÄN</t>
        </is>
      </c>
      <c r="E3089" t="inlineStr">
        <is>
          <t>ÅSELE</t>
        </is>
      </c>
      <c r="F3089" t="inlineStr">
        <is>
          <t>Övriga Aktiebolag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11947-2020</t>
        </is>
      </c>
      <c r="B3090" s="1" t="n">
        <v>43889</v>
      </c>
      <c r="C3090" s="1" t="n">
        <v>45357</v>
      </c>
      <c r="D3090" t="inlineStr">
        <is>
          <t>VÄSTERBOTTENS LÄN</t>
        </is>
      </c>
      <c r="E3090" t="inlineStr">
        <is>
          <t>UMEÅ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11954-2020</t>
        </is>
      </c>
      <c r="B3091" s="1" t="n">
        <v>43889</v>
      </c>
      <c r="C3091" s="1" t="n">
        <v>45357</v>
      </c>
      <c r="D3091" t="inlineStr">
        <is>
          <t>VÄSTERBOTTENS LÄN</t>
        </is>
      </c>
      <c r="E3091" t="inlineStr">
        <is>
          <t>STORUMAN</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12775-2020</t>
        </is>
      </c>
      <c r="B3092" s="1" t="n">
        <v>43893</v>
      </c>
      <c r="C3092" s="1" t="n">
        <v>45357</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12720-2020</t>
        </is>
      </c>
      <c r="B3093" s="1" t="n">
        <v>43893</v>
      </c>
      <c r="C3093" s="1" t="n">
        <v>45357</v>
      </c>
      <c r="D3093" t="inlineStr">
        <is>
          <t>VÄSTERBOTTENS LÄN</t>
        </is>
      </c>
      <c r="E3093" t="inlineStr">
        <is>
          <t>NORDMALING</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11745-2020</t>
        </is>
      </c>
      <c r="B3094" s="1" t="n">
        <v>43894</v>
      </c>
      <c r="C3094" s="1" t="n">
        <v>45357</v>
      </c>
      <c r="D3094" t="inlineStr">
        <is>
          <t>VÄSTERBOTTENS LÄN</t>
        </is>
      </c>
      <c r="E3094" t="inlineStr">
        <is>
          <t>VINDELN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13371-2020</t>
        </is>
      </c>
      <c r="B3095" s="1" t="n">
        <v>43894</v>
      </c>
      <c r="C3095" s="1" t="n">
        <v>45357</v>
      </c>
      <c r="D3095" t="inlineStr">
        <is>
          <t>VÄSTERBOTTENS LÄN</t>
        </is>
      </c>
      <c r="E3095" t="inlineStr">
        <is>
          <t>MALÅ</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12204-2020</t>
        </is>
      </c>
      <c r="B3096" s="1" t="n">
        <v>43895</v>
      </c>
      <c r="C3096" s="1" t="n">
        <v>45357</v>
      </c>
      <c r="D3096" t="inlineStr">
        <is>
          <t>VÄSTERBOTTENS LÄN</t>
        </is>
      </c>
      <c r="E3096" t="inlineStr">
        <is>
          <t>NORDMALING</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12419-2020</t>
        </is>
      </c>
      <c r="B3097" s="1" t="n">
        <v>43896</v>
      </c>
      <c r="C3097" s="1" t="n">
        <v>45357</v>
      </c>
      <c r="D3097" t="inlineStr">
        <is>
          <t>VÄSTERBOTTENS LÄN</t>
        </is>
      </c>
      <c r="E3097" t="inlineStr">
        <is>
          <t>VILHELMINA</t>
        </is>
      </c>
      <c r="F3097" t="inlineStr">
        <is>
          <t>Kommuner</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12532-2020</t>
        </is>
      </c>
      <c r="B3098" s="1" t="n">
        <v>43896</v>
      </c>
      <c r="C3098" s="1" t="n">
        <v>45357</v>
      </c>
      <c r="D3098" t="inlineStr">
        <is>
          <t>VÄSTERBOTTENS LÄN</t>
        </is>
      </c>
      <c r="E3098" t="inlineStr">
        <is>
          <t>ROBERTSFORS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12424-2020</t>
        </is>
      </c>
      <c r="B3099" s="1" t="n">
        <v>43896</v>
      </c>
      <c r="C3099" s="1" t="n">
        <v>45357</v>
      </c>
      <c r="D3099" t="inlineStr">
        <is>
          <t>VÄSTERBOTTENS LÄN</t>
        </is>
      </c>
      <c r="E3099" t="inlineStr">
        <is>
          <t>VILHELMINA</t>
        </is>
      </c>
      <c r="F3099" t="inlineStr">
        <is>
          <t>Kommuner</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12423-2020</t>
        </is>
      </c>
      <c r="B3100" s="1" t="n">
        <v>43896</v>
      </c>
      <c r="C3100" s="1" t="n">
        <v>45357</v>
      </c>
      <c r="D3100" t="inlineStr">
        <is>
          <t>VÄSTERBOTTENS LÄN</t>
        </is>
      </c>
      <c r="E3100" t="inlineStr">
        <is>
          <t>VILHELMINA</t>
        </is>
      </c>
      <c r="F3100" t="inlineStr">
        <is>
          <t>Kommuner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12451-2020</t>
        </is>
      </c>
      <c r="B3101" s="1" t="n">
        <v>43896</v>
      </c>
      <c r="C3101" s="1" t="n">
        <v>45357</v>
      </c>
      <c r="D3101" t="inlineStr">
        <is>
          <t>VÄSTERBOTTENS LÄN</t>
        </is>
      </c>
      <c r="E3101" t="inlineStr">
        <is>
          <t>VILHELMINA</t>
        </is>
      </c>
      <c r="F3101" t="inlineStr">
        <is>
          <t>Kommuner</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12533-2020</t>
        </is>
      </c>
      <c r="B3102" s="1" t="n">
        <v>43896</v>
      </c>
      <c r="C3102" s="1" t="n">
        <v>45357</v>
      </c>
      <c r="D3102" t="inlineStr">
        <is>
          <t>VÄSTERBOTTENS LÄN</t>
        </is>
      </c>
      <c r="E3102" t="inlineStr">
        <is>
          <t>SKELLEFTEÅ</t>
        </is>
      </c>
      <c r="F3102" t="inlineStr">
        <is>
          <t>SCA</t>
        </is>
      </c>
      <c r="G3102" t="n">
        <v>8.1</v>
      </c>
      <c r="H3102" t="n">
        <v>0</v>
      </c>
      <c r="I3102" t="n">
        <v>0</v>
      </c>
      <c r="J3102" t="n">
        <v>0</v>
      </c>
      <c r="K3102" t="n">
        <v>0</v>
      </c>
      <c r="L3102" t="n">
        <v>0</v>
      </c>
      <c r="M3102" t="n">
        <v>0</v>
      </c>
      <c r="N3102" t="n">
        <v>0</v>
      </c>
      <c r="O3102" t="n">
        <v>0</v>
      </c>
      <c r="P3102" t="n">
        <v>0</v>
      </c>
      <c r="Q3102" t="n">
        <v>0</v>
      </c>
      <c r="R3102" s="2" t="inlineStr"/>
    </row>
    <row r="3103" ht="15" customHeight="1">
      <c r="A3103" t="inlineStr">
        <is>
          <t>A 12534-2020</t>
        </is>
      </c>
      <c r="B3103" s="1" t="n">
        <v>43896</v>
      </c>
      <c r="C3103" s="1" t="n">
        <v>45357</v>
      </c>
      <c r="D3103" t="inlineStr">
        <is>
          <t>VÄSTERBOTTENS LÄN</t>
        </is>
      </c>
      <c r="E3103" t="inlineStr">
        <is>
          <t>SKELLEFTEÅ</t>
        </is>
      </c>
      <c r="F3103" t="inlineStr">
        <is>
          <t>SCA</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12589-2020</t>
        </is>
      </c>
      <c r="B3104" s="1" t="n">
        <v>43899</v>
      </c>
      <c r="C3104" s="1" t="n">
        <v>45357</v>
      </c>
      <c r="D3104" t="inlineStr">
        <is>
          <t>VÄSTERBOTTENS LÄN</t>
        </is>
      </c>
      <c r="E3104" t="inlineStr">
        <is>
          <t>DOROTEA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12870-2020</t>
        </is>
      </c>
      <c r="B3105" s="1" t="n">
        <v>43899</v>
      </c>
      <c r="C3105" s="1" t="n">
        <v>45357</v>
      </c>
      <c r="D3105" t="inlineStr">
        <is>
          <t>VÄSTERBOTTENS LÄN</t>
        </is>
      </c>
      <c r="E3105" t="inlineStr">
        <is>
          <t>DOROTEA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13415-2020</t>
        </is>
      </c>
      <c r="B3106" s="1" t="n">
        <v>43899</v>
      </c>
      <c r="C3106" s="1" t="n">
        <v>45357</v>
      </c>
      <c r="D3106" t="inlineStr">
        <is>
          <t>VÄSTERBOTTENS LÄN</t>
        </is>
      </c>
      <c r="E3106" t="inlineStr">
        <is>
          <t>SKELLEFTEÅ</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14147-2020</t>
        </is>
      </c>
      <c r="B3107" s="1" t="n">
        <v>43900</v>
      </c>
      <c r="C3107" s="1" t="n">
        <v>45357</v>
      </c>
      <c r="D3107" t="inlineStr">
        <is>
          <t>VÄSTERBOTTENS LÄN</t>
        </is>
      </c>
      <c r="E3107" t="inlineStr">
        <is>
          <t>SKELLEFTEÅ</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12945-2020</t>
        </is>
      </c>
      <c r="B3108" s="1" t="n">
        <v>43900</v>
      </c>
      <c r="C3108" s="1" t="n">
        <v>45357</v>
      </c>
      <c r="D3108" t="inlineStr">
        <is>
          <t>VÄSTERBOTTENS LÄN</t>
        </is>
      </c>
      <c r="E3108" t="inlineStr">
        <is>
          <t>SKELLEFTEÅ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12939-2020</t>
        </is>
      </c>
      <c r="B3109" s="1" t="n">
        <v>43900</v>
      </c>
      <c r="C3109" s="1" t="n">
        <v>45357</v>
      </c>
      <c r="D3109" t="inlineStr">
        <is>
          <t>VÄSTERBOTTENS LÄN</t>
        </is>
      </c>
      <c r="E3109" t="inlineStr">
        <is>
          <t>SKELLEFTEÅ</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13110-2020</t>
        </is>
      </c>
      <c r="B3110" s="1" t="n">
        <v>43901</v>
      </c>
      <c r="C3110" s="1" t="n">
        <v>45357</v>
      </c>
      <c r="D3110" t="inlineStr">
        <is>
          <t>VÄSTERBOTTENS LÄN</t>
        </is>
      </c>
      <c r="E3110" t="inlineStr">
        <is>
          <t>BJURHOLM</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13101-2020</t>
        </is>
      </c>
      <c r="B3111" s="1" t="n">
        <v>43901</v>
      </c>
      <c r="C3111" s="1" t="n">
        <v>45357</v>
      </c>
      <c r="D3111" t="inlineStr">
        <is>
          <t>VÄSTERBOTTENS LÄN</t>
        </is>
      </c>
      <c r="E3111" t="inlineStr">
        <is>
          <t>ROBERTSFORS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13297-2020</t>
        </is>
      </c>
      <c r="B3112" s="1" t="n">
        <v>43901</v>
      </c>
      <c r="C3112" s="1" t="n">
        <v>45357</v>
      </c>
      <c r="D3112" t="inlineStr">
        <is>
          <t>VÄSTERBOTTENS LÄN</t>
        </is>
      </c>
      <c r="E3112" t="inlineStr">
        <is>
          <t>NORDMALING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13298-2020</t>
        </is>
      </c>
      <c r="B3113" s="1" t="n">
        <v>43901</v>
      </c>
      <c r="C3113" s="1" t="n">
        <v>45357</v>
      </c>
      <c r="D3113" t="inlineStr">
        <is>
          <t>VÄSTERBOTTENS LÄN</t>
        </is>
      </c>
      <c r="E3113" t="inlineStr">
        <is>
          <t>NORDMALING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14186-2020</t>
        </is>
      </c>
      <c r="B3114" s="1" t="n">
        <v>43901</v>
      </c>
      <c r="C3114" s="1" t="n">
        <v>45357</v>
      </c>
      <c r="D3114" t="inlineStr">
        <is>
          <t>VÄSTERBOTTENS LÄN</t>
        </is>
      </c>
      <c r="E3114" t="inlineStr">
        <is>
          <t>SKELLEFTEÅ</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14499-2020</t>
        </is>
      </c>
      <c r="B3115" s="1" t="n">
        <v>43902</v>
      </c>
      <c r="C3115" s="1" t="n">
        <v>45357</v>
      </c>
      <c r="D3115" t="inlineStr">
        <is>
          <t>VÄSTERBOTTENS LÄN</t>
        </is>
      </c>
      <c r="E3115" t="inlineStr">
        <is>
          <t>NORDMALING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13566-2020</t>
        </is>
      </c>
      <c r="B3116" s="1" t="n">
        <v>43902</v>
      </c>
      <c r="C3116" s="1" t="n">
        <v>45357</v>
      </c>
      <c r="D3116" t="inlineStr">
        <is>
          <t>VÄSTERBOTTENS LÄN</t>
        </is>
      </c>
      <c r="E3116" t="inlineStr">
        <is>
          <t>SKELLEFTEÅ</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13553-2020</t>
        </is>
      </c>
      <c r="B3117" s="1" t="n">
        <v>43902</v>
      </c>
      <c r="C3117" s="1" t="n">
        <v>45357</v>
      </c>
      <c r="D3117" t="inlineStr">
        <is>
          <t>VÄSTERBOTTENS LÄN</t>
        </is>
      </c>
      <c r="E3117" t="inlineStr">
        <is>
          <t>NORDMALING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13568-2020</t>
        </is>
      </c>
      <c r="B3118" s="1" t="n">
        <v>43902</v>
      </c>
      <c r="C3118" s="1" t="n">
        <v>45357</v>
      </c>
      <c r="D3118" t="inlineStr">
        <is>
          <t>VÄSTERBOTTENS LÄN</t>
        </is>
      </c>
      <c r="E3118" t="inlineStr">
        <is>
          <t>SKELLEFTEÅ</t>
        </is>
      </c>
      <c r="F3118" t="inlineStr">
        <is>
          <t>SCA</t>
        </is>
      </c>
      <c r="G3118" t="n">
        <v>6.9</v>
      </c>
      <c r="H3118" t="n">
        <v>0</v>
      </c>
      <c r="I3118" t="n">
        <v>0</v>
      </c>
      <c r="J3118" t="n">
        <v>0</v>
      </c>
      <c r="K3118" t="n">
        <v>0</v>
      </c>
      <c r="L3118" t="n">
        <v>0</v>
      </c>
      <c r="M3118" t="n">
        <v>0</v>
      </c>
      <c r="N3118" t="n">
        <v>0</v>
      </c>
      <c r="O3118" t="n">
        <v>0</v>
      </c>
      <c r="P3118" t="n">
        <v>0</v>
      </c>
      <c r="Q3118" t="n">
        <v>0</v>
      </c>
      <c r="R3118" s="2" t="inlineStr"/>
    </row>
    <row r="3119" ht="15" customHeight="1">
      <c r="A3119" t="inlineStr">
        <is>
          <t>A 13851-2020</t>
        </is>
      </c>
      <c r="B3119" s="1" t="n">
        <v>43906</v>
      </c>
      <c r="C3119" s="1" t="n">
        <v>45357</v>
      </c>
      <c r="D3119" t="inlineStr">
        <is>
          <t>VÄSTERBOTTENS LÄN</t>
        </is>
      </c>
      <c r="E3119" t="inlineStr">
        <is>
          <t>SKELLEFTEÅ</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13933-2020</t>
        </is>
      </c>
      <c r="B3120" s="1" t="n">
        <v>43906</v>
      </c>
      <c r="C3120" s="1" t="n">
        <v>45357</v>
      </c>
      <c r="D3120" t="inlineStr">
        <is>
          <t>VÄSTERBOTTENS LÄN</t>
        </is>
      </c>
      <c r="E3120" t="inlineStr">
        <is>
          <t>SKELLEFTEÅ</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13883-2020</t>
        </is>
      </c>
      <c r="B3121" s="1" t="n">
        <v>43906</v>
      </c>
      <c r="C3121" s="1" t="n">
        <v>45357</v>
      </c>
      <c r="D3121" t="inlineStr">
        <is>
          <t>VÄSTERBOTTENS LÄN</t>
        </is>
      </c>
      <c r="E3121" t="inlineStr">
        <is>
          <t>SKELLEFTEÅ</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14882-2020</t>
        </is>
      </c>
      <c r="B3122" s="1" t="n">
        <v>43906</v>
      </c>
      <c r="C3122" s="1" t="n">
        <v>45357</v>
      </c>
      <c r="D3122" t="inlineStr">
        <is>
          <t>VÄSTERBOTTENS LÄN</t>
        </is>
      </c>
      <c r="E3122" t="inlineStr">
        <is>
          <t>NORSJÖ</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15181-2020</t>
        </is>
      </c>
      <c r="B3123" s="1" t="n">
        <v>43906</v>
      </c>
      <c r="C3123" s="1" t="n">
        <v>45357</v>
      </c>
      <c r="D3123" t="inlineStr">
        <is>
          <t>VÄSTERBOTTENS LÄN</t>
        </is>
      </c>
      <c r="E3123" t="inlineStr">
        <is>
          <t>VINDELN</t>
        </is>
      </c>
      <c r="G3123" t="n">
        <v>7.8</v>
      </c>
      <c r="H3123" t="n">
        <v>0</v>
      </c>
      <c r="I3123" t="n">
        <v>0</v>
      </c>
      <c r="J3123" t="n">
        <v>0</v>
      </c>
      <c r="K3123" t="n">
        <v>0</v>
      </c>
      <c r="L3123" t="n">
        <v>0</v>
      </c>
      <c r="M3123" t="n">
        <v>0</v>
      </c>
      <c r="N3123" t="n">
        <v>0</v>
      </c>
      <c r="O3123" t="n">
        <v>0</v>
      </c>
      <c r="P3123" t="n">
        <v>0</v>
      </c>
      <c r="Q3123" t="n">
        <v>0</v>
      </c>
      <c r="R3123" s="2" t="inlineStr"/>
    </row>
    <row r="3124" ht="15" customHeight="1">
      <c r="A3124" t="inlineStr">
        <is>
          <t>A 16097-2020</t>
        </is>
      </c>
      <c r="B3124" s="1" t="n">
        <v>43907</v>
      </c>
      <c r="C3124" s="1" t="n">
        <v>45357</v>
      </c>
      <c r="D3124" t="inlineStr">
        <is>
          <t>VÄSTERBOTTENS LÄN</t>
        </is>
      </c>
      <c r="E3124" t="inlineStr">
        <is>
          <t>STORUMAN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15025-2020</t>
        </is>
      </c>
      <c r="B3125" s="1" t="n">
        <v>43907</v>
      </c>
      <c r="C3125" s="1" t="n">
        <v>45357</v>
      </c>
      <c r="D3125" t="inlineStr">
        <is>
          <t>VÄSTERBOTTENS LÄN</t>
        </is>
      </c>
      <c r="E3125" t="inlineStr">
        <is>
          <t>NORDMALING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16089-2020</t>
        </is>
      </c>
      <c r="B3126" s="1" t="n">
        <v>43907</v>
      </c>
      <c r="C3126" s="1" t="n">
        <v>45357</v>
      </c>
      <c r="D3126" t="inlineStr">
        <is>
          <t>VÄSTERBOTTENS LÄN</t>
        </is>
      </c>
      <c r="E3126" t="inlineStr">
        <is>
          <t>STORUMAN</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14738-2020</t>
        </is>
      </c>
      <c r="B3127" s="1" t="n">
        <v>43909</v>
      </c>
      <c r="C3127" s="1" t="n">
        <v>45357</v>
      </c>
      <c r="D3127" t="inlineStr">
        <is>
          <t>VÄSTERBOTTENS LÄN</t>
        </is>
      </c>
      <c r="E3127" t="inlineStr">
        <is>
          <t>VILHELMINA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16540-2020</t>
        </is>
      </c>
      <c r="B3128" s="1" t="n">
        <v>43909</v>
      </c>
      <c r="C3128" s="1" t="n">
        <v>45357</v>
      </c>
      <c r="D3128" t="inlineStr">
        <is>
          <t>VÄSTERBOTTENS LÄN</t>
        </is>
      </c>
      <c r="E3128" t="inlineStr">
        <is>
          <t>UMEÅ</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14672-2020</t>
        </is>
      </c>
      <c r="B3129" s="1" t="n">
        <v>43909</v>
      </c>
      <c r="C3129" s="1" t="n">
        <v>45357</v>
      </c>
      <c r="D3129" t="inlineStr">
        <is>
          <t>VÄSTERBOTTENS LÄN</t>
        </is>
      </c>
      <c r="E3129" t="inlineStr">
        <is>
          <t>BJURHOLM</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16610-2020</t>
        </is>
      </c>
      <c r="B3130" s="1" t="n">
        <v>43909</v>
      </c>
      <c r="C3130" s="1" t="n">
        <v>45357</v>
      </c>
      <c r="D3130" t="inlineStr">
        <is>
          <t>VÄSTERBOTTENS LÄN</t>
        </is>
      </c>
      <c r="E3130" t="inlineStr">
        <is>
          <t>SORSELE</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15113-2020</t>
        </is>
      </c>
      <c r="B3131" s="1" t="n">
        <v>43910</v>
      </c>
      <c r="C3131" s="1" t="n">
        <v>45357</v>
      </c>
      <c r="D3131" t="inlineStr">
        <is>
          <t>VÄSTERBOTTENS LÄN</t>
        </is>
      </c>
      <c r="E3131" t="inlineStr">
        <is>
          <t>VILHELMINA</t>
        </is>
      </c>
      <c r="G3131" t="n">
        <v>9.5</v>
      </c>
      <c r="H3131" t="n">
        <v>0</v>
      </c>
      <c r="I3131" t="n">
        <v>0</v>
      </c>
      <c r="J3131" t="n">
        <v>0</v>
      </c>
      <c r="K3131" t="n">
        <v>0</v>
      </c>
      <c r="L3131" t="n">
        <v>0</v>
      </c>
      <c r="M3131" t="n">
        <v>0</v>
      </c>
      <c r="N3131" t="n">
        <v>0</v>
      </c>
      <c r="O3131" t="n">
        <v>0</v>
      </c>
      <c r="P3131" t="n">
        <v>0</v>
      </c>
      <c r="Q3131" t="n">
        <v>0</v>
      </c>
      <c r="R3131" s="2" t="inlineStr"/>
    </row>
    <row r="3132" ht="15" customHeight="1">
      <c r="A3132" t="inlineStr">
        <is>
          <t>A 14940-2020</t>
        </is>
      </c>
      <c r="B3132" s="1" t="n">
        <v>43910</v>
      </c>
      <c r="C3132" s="1" t="n">
        <v>45357</v>
      </c>
      <c r="D3132" t="inlineStr">
        <is>
          <t>VÄSTERBOTTENS LÄN</t>
        </is>
      </c>
      <c r="E3132" t="inlineStr">
        <is>
          <t>LYCKSELE</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15095-2020</t>
        </is>
      </c>
      <c r="B3133" s="1" t="n">
        <v>43910</v>
      </c>
      <c r="C3133" s="1" t="n">
        <v>45357</v>
      </c>
      <c r="D3133" t="inlineStr">
        <is>
          <t>VÄSTERBOTTENS LÄN</t>
        </is>
      </c>
      <c r="E3133" t="inlineStr">
        <is>
          <t>UMEÅ</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16690-2020</t>
        </is>
      </c>
      <c r="B3134" s="1" t="n">
        <v>43910</v>
      </c>
      <c r="C3134" s="1" t="n">
        <v>45357</v>
      </c>
      <c r="D3134" t="inlineStr">
        <is>
          <t>VÄSTERBOTTENS LÄN</t>
        </is>
      </c>
      <c r="E3134" t="inlineStr">
        <is>
          <t>VINDELN</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16678-2020</t>
        </is>
      </c>
      <c r="B3135" s="1" t="n">
        <v>43910</v>
      </c>
      <c r="C3135" s="1" t="n">
        <v>45357</v>
      </c>
      <c r="D3135" t="inlineStr">
        <is>
          <t>VÄSTERBOTTENS LÄN</t>
        </is>
      </c>
      <c r="E3135" t="inlineStr">
        <is>
          <t>VÄNNÄS</t>
        </is>
      </c>
      <c r="G3135" t="n">
        <v>18.8</v>
      </c>
      <c r="H3135" t="n">
        <v>0</v>
      </c>
      <c r="I3135" t="n">
        <v>0</v>
      </c>
      <c r="J3135" t="n">
        <v>0</v>
      </c>
      <c r="K3135" t="n">
        <v>0</v>
      </c>
      <c r="L3135" t="n">
        <v>0</v>
      </c>
      <c r="M3135" t="n">
        <v>0</v>
      </c>
      <c r="N3135" t="n">
        <v>0</v>
      </c>
      <c r="O3135" t="n">
        <v>0</v>
      </c>
      <c r="P3135" t="n">
        <v>0</v>
      </c>
      <c r="Q3135" t="n">
        <v>0</v>
      </c>
      <c r="R3135" s="2" t="inlineStr"/>
    </row>
    <row r="3136" ht="15" customHeight="1">
      <c r="A3136" t="inlineStr">
        <is>
          <t>A 16650-2020</t>
        </is>
      </c>
      <c r="B3136" s="1" t="n">
        <v>43910</v>
      </c>
      <c r="C3136" s="1" t="n">
        <v>45357</v>
      </c>
      <c r="D3136" t="inlineStr">
        <is>
          <t>VÄSTERBOTTENS LÄN</t>
        </is>
      </c>
      <c r="E3136" t="inlineStr">
        <is>
          <t>STORUMAN</t>
        </is>
      </c>
      <c r="G3136" t="n">
        <v>19.1</v>
      </c>
      <c r="H3136" t="n">
        <v>0</v>
      </c>
      <c r="I3136" t="n">
        <v>0</v>
      </c>
      <c r="J3136" t="n">
        <v>0</v>
      </c>
      <c r="K3136" t="n">
        <v>0</v>
      </c>
      <c r="L3136" t="n">
        <v>0</v>
      </c>
      <c r="M3136" t="n">
        <v>0</v>
      </c>
      <c r="N3136" t="n">
        <v>0</v>
      </c>
      <c r="O3136" t="n">
        <v>0</v>
      </c>
      <c r="P3136" t="n">
        <v>0</v>
      </c>
      <c r="Q3136" t="n">
        <v>0</v>
      </c>
      <c r="R3136" s="2" t="inlineStr"/>
    </row>
    <row r="3137" ht="15" customHeight="1">
      <c r="A3137" t="inlineStr">
        <is>
          <t>A 16728-2020</t>
        </is>
      </c>
      <c r="B3137" s="1" t="n">
        <v>43910</v>
      </c>
      <c r="C3137" s="1" t="n">
        <v>45357</v>
      </c>
      <c r="D3137" t="inlineStr">
        <is>
          <t>VÄSTERBOTTENS LÄN</t>
        </is>
      </c>
      <c r="E3137" t="inlineStr">
        <is>
          <t>SKELLEFTEÅ</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15087-2020</t>
        </is>
      </c>
      <c r="B3138" s="1" t="n">
        <v>43910</v>
      </c>
      <c r="C3138" s="1" t="n">
        <v>45357</v>
      </c>
      <c r="D3138" t="inlineStr">
        <is>
          <t>VÄSTERBOTTENS LÄN</t>
        </is>
      </c>
      <c r="E3138" t="inlineStr">
        <is>
          <t>VÄNNÄS</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16709-2020</t>
        </is>
      </c>
      <c r="B3139" s="1" t="n">
        <v>43910</v>
      </c>
      <c r="C3139" s="1" t="n">
        <v>45357</v>
      </c>
      <c r="D3139" t="inlineStr">
        <is>
          <t>VÄSTERBOTTENS LÄN</t>
        </is>
      </c>
      <c r="E3139" t="inlineStr">
        <is>
          <t>NORDMALING</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15400-2020</t>
        </is>
      </c>
      <c r="B3140" s="1" t="n">
        <v>43913</v>
      </c>
      <c r="C3140" s="1" t="n">
        <v>45357</v>
      </c>
      <c r="D3140" t="inlineStr">
        <is>
          <t>VÄSTERBOTTENS LÄN</t>
        </is>
      </c>
      <c r="E3140" t="inlineStr">
        <is>
          <t>VILHELMINA</t>
        </is>
      </c>
      <c r="F3140" t="inlineStr">
        <is>
          <t>SCA</t>
        </is>
      </c>
      <c r="G3140" t="n">
        <v>11.7</v>
      </c>
      <c r="H3140" t="n">
        <v>0</v>
      </c>
      <c r="I3140" t="n">
        <v>0</v>
      </c>
      <c r="J3140" t="n">
        <v>0</v>
      </c>
      <c r="K3140" t="n">
        <v>0</v>
      </c>
      <c r="L3140" t="n">
        <v>0</v>
      </c>
      <c r="M3140" t="n">
        <v>0</v>
      </c>
      <c r="N3140" t="n">
        <v>0</v>
      </c>
      <c r="O3140" t="n">
        <v>0</v>
      </c>
      <c r="P3140" t="n">
        <v>0</v>
      </c>
      <c r="Q3140" t="n">
        <v>0</v>
      </c>
      <c r="R3140" s="2" t="inlineStr"/>
    </row>
    <row r="3141" ht="15" customHeight="1">
      <c r="A3141" t="inlineStr">
        <is>
          <t>A 15320-2020</t>
        </is>
      </c>
      <c r="B3141" s="1" t="n">
        <v>43913</v>
      </c>
      <c r="C3141" s="1" t="n">
        <v>45357</v>
      </c>
      <c r="D3141" t="inlineStr">
        <is>
          <t>VÄSTERBOTTENS LÄN</t>
        </is>
      </c>
      <c r="E3141" t="inlineStr">
        <is>
          <t>SKELLEFTEÅ</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15410-2020</t>
        </is>
      </c>
      <c r="B3142" s="1" t="n">
        <v>43913</v>
      </c>
      <c r="C3142" s="1" t="n">
        <v>45357</v>
      </c>
      <c r="D3142" t="inlineStr">
        <is>
          <t>VÄSTERBOTTENS LÄN</t>
        </is>
      </c>
      <c r="E3142" t="inlineStr">
        <is>
          <t>VILHELMINA</t>
        </is>
      </c>
      <c r="F3142" t="inlineStr">
        <is>
          <t>SCA</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15399-2020</t>
        </is>
      </c>
      <c r="B3143" s="1" t="n">
        <v>43913</v>
      </c>
      <c r="C3143" s="1" t="n">
        <v>45357</v>
      </c>
      <c r="D3143" t="inlineStr">
        <is>
          <t>VÄSTERBOTTENS LÄN</t>
        </is>
      </c>
      <c r="E3143" t="inlineStr">
        <is>
          <t>VILHELMINA</t>
        </is>
      </c>
      <c r="F3143" t="inlineStr">
        <is>
          <t>SCA</t>
        </is>
      </c>
      <c r="G3143" t="n">
        <v>9.699999999999999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15407-2020</t>
        </is>
      </c>
      <c r="B3144" s="1" t="n">
        <v>43913</v>
      </c>
      <c r="C3144" s="1" t="n">
        <v>45357</v>
      </c>
      <c r="D3144" t="inlineStr">
        <is>
          <t>VÄSTERBOTTENS LÄN</t>
        </is>
      </c>
      <c r="E3144" t="inlineStr">
        <is>
          <t>VILHELMINA</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15413-2020</t>
        </is>
      </c>
      <c r="B3145" s="1" t="n">
        <v>43913</v>
      </c>
      <c r="C3145" s="1" t="n">
        <v>45357</v>
      </c>
      <c r="D3145" t="inlineStr">
        <is>
          <t>VÄSTERBOTTENS LÄN</t>
        </is>
      </c>
      <c r="E3145" t="inlineStr">
        <is>
          <t>VILHELMINA</t>
        </is>
      </c>
      <c r="F3145" t="inlineStr">
        <is>
          <t>SCA</t>
        </is>
      </c>
      <c r="G3145" t="n">
        <v>12.1</v>
      </c>
      <c r="H3145" t="n">
        <v>0</v>
      </c>
      <c r="I3145" t="n">
        <v>0</v>
      </c>
      <c r="J3145" t="n">
        <v>0</v>
      </c>
      <c r="K3145" t="n">
        <v>0</v>
      </c>
      <c r="L3145" t="n">
        <v>0</v>
      </c>
      <c r="M3145" t="n">
        <v>0</v>
      </c>
      <c r="N3145" t="n">
        <v>0</v>
      </c>
      <c r="O3145" t="n">
        <v>0</v>
      </c>
      <c r="P3145" t="n">
        <v>0</v>
      </c>
      <c r="Q3145" t="n">
        <v>0</v>
      </c>
      <c r="R3145" s="2" t="inlineStr"/>
    </row>
    <row r="3146" ht="15" customHeight="1">
      <c r="A3146" t="inlineStr">
        <is>
          <t>A 15409-2020</t>
        </is>
      </c>
      <c r="B3146" s="1" t="n">
        <v>43913</v>
      </c>
      <c r="C3146" s="1" t="n">
        <v>45357</v>
      </c>
      <c r="D3146" t="inlineStr">
        <is>
          <t>VÄSTERBOTTENS LÄN</t>
        </is>
      </c>
      <c r="E3146" t="inlineStr">
        <is>
          <t>VILHELMINA</t>
        </is>
      </c>
      <c r="F3146" t="inlineStr">
        <is>
          <t>SCA</t>
        </is>
      </c>
      <c r="G3146" t="n">
        <v>11.1</v>
      </c>
      <c r="H3146" t="n">
        <v>0</v>
      </c>
      <c r="I3146" t="n">
        <v>0</v>
      </c>
      <c r="J3146" t="n">
        <v>0</v>
      </c>
      <c r="K3146" t="n">
        <v>0</v>
      </c>
      <c r="L3146" t="n">
        <v>0</v>
      </c>
      <c r="M3146" t="n">
        <v>0</v>
      </c>
      <c r="N3146" t="n">
        <v>0</v>
      </c>
      <c r="O3146" t="n">
        <v>0</v>
      </c>
      <c r="P3146" t="n">
        <v>0</v>
      </c>
      <c r="Q3146" t="n">
        <v>0</v>
      </c>
      <c r="R3146" s="2" t="inlineStr"/>
    </row>
    <row r="3147" ht="15" customHeight="1">
      <c r="A3147" t="inlineStr">
        <is>
          <t>A 15411-2020</t>
        </is>
      </c>
      <c r="B3147" s="1" t="n">
        <v>43913</v>
      </c>
      <c r="C3147" s="1" t="n">
        <v>45357</v>
      </c>
      <c r="D3147" t="inlineStr">
        <is>
          <t>VÄSTERBOTTENS LÄN</t>
        </is>
      </c>
      <c r="E3147" t="inlineStr">
        <is>
          <t>VILHELMINA</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17110-2020</t>
        </is>
      </c>
      <c r="B3148" s="1" t="n">
        <v>43913</v>
      </c>
      <c r="C3148" s="1" t="n">
        <v>45357</v>
      </c>
      <c r="D3148" t="inlineStr">
        <is>
          <t>VÄSTERBOTTENS LÄN</t>
        </is>
      </c>
      <c r="E3148" t="inlineStr">
        <is>
          <t>VILHELMINA</t>
        </is>
      </c>
      <c r="G3148" t="n">
        <v>15.1</v>
      </c>
      <c r="H3148" t="n">
        <v>0</v>
      </c>
      <c r="I3148" t="n">
        <v>0</v>
      </c>
      <c r="J3148" t="n">
        <v>0</v>
      </c>
      <c r="K3148" t="n">
        <v>0</v>
      </c>
      <c r="L3148" t="n">
        <v>0</v>
      </c>
      <c r="M3148" t="n">
        <v>0</v>
      </c>
      <c r="N3148" t="n">
        <v>0</v>
      </c>
      <c r="O3148" t="n">
        <v>0</v>
      </c>
      <c r="P3148" t="n">
        <v>0</v>
      </c>
      <c r="Q3148" t="n">
        <v>0</v>
      </c>
      <c r="R3148" s="2" t="inlineStr"/>
    </row>
    <row r="3149" ht="15" customHeight="1">
      <c r="A3149" t="inlineStr">
        <is>
          <t>A 17115-2020</t>
        </is>
      </c>
      <c r="B3149" s="1" t="n">
        <v>43913</v>
      </c>
      <c r="C3149" s="1" t="n">
        <v>45357</v>
      </c>
      <c r="D3149" t="inlineStr">
        <is>
          <t>VÄSTERBOTTENS LÄN</t>
        </is>
      </c>
      <c r="E3149" t="inlineStr">
        <is>
          <t>VILHELMINA</t>
        </is>
      </c>
      <c r="G3149" t="n">
        <v>19.8</v>
      </c>
      <c r="H3149" t="n">
        <v>0</v>
      </c>
      <c r="I3149" t="n">
        <v>0</v>
      </c>
      <c r="J3149" t="n">
        <v>0</v>
      </c>
      <c r="K3149" t="n">
        <v>0</v>
      </c>
      <c r="L3149" t="n">
        <v>0</v>
      </c>
      <c r="M3149" t="n">
        <v>0</v>
      </c>
      <c r="N3149" t="n">
        <v>0</v>
      </c>
      <c r="O3149" t="n">
        <v>0</v>
      </c>
      <c r="P3149" t="n">
        <v>0</v>
      </c>
      <c r="Q3149" t="n">
        <v>0</v>
      </c>
      <c r="R3149" s="2" t="inlineStr"/>
    </row>
    <row r="3150" ht="15" customHeight="1">
      <c r="A3150" t="inlineStr">
        <is>
          <t>A 16823-2020</t>
        </is>
      </c>
      <c r="B3150" s="1" t="n">
        <v>43913</v>
      </c>
      <c r="C3150" s="1" t="n">
        <v>45357</v>
      </c>
      <c r="D3150" t="inlineStr">
        <is>
          <t>VÄSTERBOTTENS LÄN</t>
        </is>
      </c>
      <c r="E3150" t="inlineStr">
        <is>
          <t>UMEÅ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15489-2020</t>
        </is>
      </c>
      <c r="B3151" s="1" t="n">
        <v>43914</v>
      </c>
      <c r="C3151" s="1" t="n">
        <v>45357</v>
      </c>
      <c r="D3151" t="inlineStr">
        <is>
          <t>VÄSTERBOTTENS LÄN</t>
        </is>
      </c>
      <c r="E3151" t="inlineStr">
        <is>
          <t>VILHELMINA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15428-2020</t>
        </is>
      </c>
      <c r="B3152" s="1" t="n">
        <v>43914</v>
      </c>
      <c r="C3152" s="1" t="n">
        <v>45357</v>
      </c>
      <c r="D3152" t="inlineStr">
        <is>
          <t>VÄSTERBOTTENS LÄN</t>
        </is>
      </c>
      <c r="E3152" t="inlineStr">
        <is>
          <t>SORSELE</t>
        </is>
      </c>
      <c r="F3152" t="inlineStr">
        <is>
          <t>Sveaskog</t>
        </is>
      </c>
      <c r="G3152" t="n">
        <v>19.6</v>
      </c>
      <c r="H3152" t="n">
        <v>0</v>
      </c>
      <c r="I3152" t="n">
        <v>0</v>
      </c>
      <c r="J3152" t="n">
        <v>0</v>
      </c>
      <c r="K3152" t="n">
        <v>0</v>
      </c>
      <c r="L3152" t="n">
        <v>0</v>
      </c>
      <c r="M3152" t="n">
        <v>0</v>
      </c>
      <c r="N3152" t="n">
        <v>0</v>
      </c>
      <c r="O3152" t="n">
        <v>0</v>
      </c>
      <c r="P3152" t="n">
        <v>0</v>
      </c>
      <c r="Q3152" t="n">
        <v>0</v>
      </c>
      <c r="R3152" s="2" t="inlineStr"/>
    </row>
    <row r="3153" ht="15" customHeight="1">
      <c r="A3153" t="inlineStr">
        <is>
          <t>A 17124-2020</t>
        </is>
      </c>
      <c r="B3153" s="1" t="n">
        <v>43914</v>
      </c>
      <c r="C3153" s="1" t="n">
        <v>45357</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15870-2020</t>
        </is>
      </c>
      <c r="B3154" s="1" t="n">
        <v>43915</v>
      </c>
      <c r="C3154" s="1" t="n">
        <v>45357</v>
      </c>
      <c r="D3154" t="inlineStr">
        <is>
          <t>VÄSTERBOTTENS LÄN</t>
        </is>
      </c>
      <c r="E3154" t="inlineStr">
        <is>
          <t>SKELLEFTEÅ</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15897-2020</t>
        </is>
      </c>
      <c r="B3155" s="1" t="n">
        <v>43915</v>
      </c>
      <c r="C3155" s="1" t="n">
        <v>45357</v>
      </c>
      <c r="D3155" t="inlineStr">
        <is>
          <t>VÄSTERBOTTENS LÄN</t>
        </is>
      </c>
      <c r="E3155" t="inlineStr">
        <is>
          <t>VILHELMINA</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15869-2020</t>
        </is>
      </c>
      <c r="B3156" s="1" t="n">
        <v>43915</v>
      </c>
      <c r="C3156" s="1" t="n">
        <v>45357</v>
      </c>
      <c r="D3156" t="inlineStr">
        <is>
          <t>VÄSTERBOTTENS LÄN</t>
        </is>
      </c>
      <c r="E3156" t="inlineStr">
        <is>
          <t>SKELLEFTEÅ</t>
        </is>
      </c>
      <c r="F3156" t="inlineStr">
        <is>
          <t>Sveaskog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15692-2020</t>
        </is>
      </c>
      <c r="B3157" s="1" t="n">
        <v>43915</v>
      </c>
      <c r="C3157" s="1" t="n">
        <v>45357</v>
      </c>
      <c r="D3157" t="inlineStr">
        <is>
          <t>VÄSTERBOTTENS LÄN</t>
        </is>
      </c>
      <c r="E3157" t="inlineStr">
        <is>
          <t>VILHELMINA</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15750-2020</t>
        </is>
      </c>
      <c r="B3158" s="1" t="n">
        <v>43915</v>
      </c>
      <c r="C3158" s="1" t="n">
        <v>45357</v>
      </c>
      <c r="D3158" t="inlineStr">
        <is>
          <t>VÄSTERBOTTENS LÄN</t>
        </is>
      </c>
      <c r="E3158" t="inlineStr">
        <is>
          <t>VILHELMINA</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15695-2020</t>
        </is>
      </c>
      <c r="B3159" s="1" t="n">
        <v>43915</v>
      </c>
      <c r="C3159" s="1" t="n">
        <v>45357</v>
      </c>
      <c r="D3159" t="inlineStr">
        <is>
          <t>VÄSTERBOTTENS LÄN</t>
        </is>
      </c>
      <c r="E3159" t="inlineStr">
        <is>
          <t>VILHELMINA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17361-2020</t>
        </is>
      </c>
      <c r="B3160" s="1" t="n">
        <v>43916</v>
      </c>
      <c r="C3160" s="1" t="n">
        <v>45357</v>
      </c>
      <c r="D3160" t="inlineStr">
        <is>
          <t>VÄSTERBOTTENS LÄN</t>
        </is>
      </c>
      <c r="E3160" t="inlineStr">
        <is>
          <t>ROBERTSFORS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16193-2020</t>
        </is>
      </c>
      <c r="B3161" s="1" t="n">
        <v>43917</v>
      </c>
      <c r="C3161" s="1" t="n">
        <v>45357</v>
      </c>
      <c r="D3161" t="inlineStr">
        <is>
          <t>VÄSTERBOTTENS LÄN</t>
        </is>
      </c>
      <c r="E3161" t="inlineStr">
        <is>
          <t>BJURHOLM</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17395-2020</t>
        </is>
      </c>
      <c r="B3162" s="1" t="n">
        <v>43917</v>
      </c>
      <c r="C3162" s="1" t="n">
        <v>45357</v>
      </c>
      <c r="D3162" t="inlineStr">
        <is>
          <t>VÄSTERBOTTENS LÄN</t>
        </is>
      </c>
      <c r="E3162" t="inlineStr">
        <is>
          <t>ROBERTSFORS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16392-2020</t>
        </is>
      </c>
      <c r="B3163" s="1" t="n">
        <v>43917</v>
      </c>
      <c r="C3163" s="1" t="n">
        <v>45357</v>
      </c>
      <c r="D3163" t="inlineStr">
        <is>
          <t>VÄSTERBOTTENS LÄN</t>
        </is>
      </c>
      <c r="E3163" t="inlineStr">
        <is>
          <t>SORSELE</t>
        </is>
      </c>
      <c r="F3163" t="inlineStr">
        <is>
          <t>Sveaskog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17399-2020</t>
        </is>
      </c>
      <c r="B3164" s="1" t="n">
        <v>43917</v>
      </c>
      <c r="C3164" s="1" t="n">
        <v>45357</v>
      </c>
      <c r="D3164" t="inlineStr">
        <is>
          <t>VÄSTERBOTTENS LÄN</t>
        </is>
      </c>
      <c r="E3164" t="inlineStr">
        <is>
          <t>VINDELN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17434-2020</t>
        </is>
      </c>
      <c r="B3165" s="1" t="n">
        <v>43917</v>
      </c>
      <c r="C3165" s="1" t="n">
        <v>45357</v>
      </c>
      <c r="D3165" t="inlineStr">
        <is>
          <t>VÄSTERBOTTENS LÄN</t>
        </is>
      </c>
      <c r="E3165" t="inlineStr">
        <is>
          <t>SKELLEFTEÅ</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17396-2020</t>
        </is>
      </c>
      <c r="B3166" s="1" t="n">
        <v>43917</v>
      </c>
      <c r="C3166" s="1" t="n">
        <v>45357</v>
      </c>
      <c r="D3166" t="inlineStr">
        <is>
          <t>VÄSTERBOTTENS LÄN</t>
        </is>
      </c>
      <c r="E3166" t="inlineStr">
        <is>
          <t>VINDELN</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17417-2020</t>
        </is>
      </c>
      <c r="B3167" s="1" t="n">
        <v>43917</v>
      </c>
      <c r="C3167" s="1" t="n">
        <v>45357</v>
      </c>
      <c r="D3167" t="inlineStr">
        <is>
          <t>VÄSTERBOTTENS LÄN</t>
        </is>
      </c>
      <c r="E3167" t="inlineStr">
        <is>
          <t>VINDELN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16587-2020</t>
        </is>
      </c>
      <c r="B3168" s="1" t="n">
        <v>43920</v>
      </c>
      <c r="C3168" s="1" t="n">
        <v>45357</v>
      </c>
      <c r="D3168" t="inlineStr">
        <is>
          <t>VÄSTERBOTTENS LÄN</t>
        </is>
      </c>
      <c r="E3168" t="inlineStr">
        <is>
          <t>SORSELE</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16811-2020</t>
        </is>
      </c>
      <c r="B3169" s="1" t="n">
        <v>43920</v>
      </c>
      <c r="C3169" s="1" t="n">
        <v>45357</v>
      </c>
      <c r="D3169" t="inlineStr">
        <is>
          <t>VÄSTERBOTTENS LÄN</t>
        </is>
      </c>
      <c r="E3169" t="inlineStr">
        <is>
          <t>BJURHOLM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16871-2020</t>
        </is>
      </c>
      <c r="B3170" s="1" t="n">
        <v>43921</v>
      </c>
      <c r="C3170" s="1" t="n">
        <v>45357</v>
      </c>
      <c r="D3170" t="inlineStr">
        <is>
          <t>VÄSTERBOTTENS LÄN</t>
        </is>
      </c>
      <c r="E3170" t="inlineStr">
        <is>
          <t>UMEÅ</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16868-2020</t>
        </is>
      </c>
      <c r="B3171" s="1" t="n">
        <v>43921</v>
      </c>
      <c r="C3171" s="1" t="n">
        <v>45357</v>
      </c>
      <c r="D3171" t="inlineStr">
        <is>
          <t>VÄSTERBOTTENS LÄN</t>
        </is>
      </c>
      <c r="E3171" t="inlineStr">
        <is>
          <t>UMEÅ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17016-2020</t>
        </is>
      </c>
      <c r="B3172" s="1" t="n">
        <v>43921</v>
      </c>
      <c r="C3172" s="1" t="n">
        <v>45357</v>
      </c>
      <c r="D3172" t="inlineStr">
        <is>
          <t>VÄSTERBOTTENS LÄN</t>
        </is>
      </c>
      <c r="E3172" t="inlineStr">
        <is>
          <t>UMEÅ</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17062-2020</t>
        </is>
      </c>
      <c r="B3173" s="1" t="n">
        <v>43921</v>
      </c>
      <c r="C3173" s="1" t="n">
        <v>45357</v>
      </c>
      <c r="D3173" t="inlineStr">
        <is>
          <t>VÄSTERBOTTENS LÄN</t>
        </is>
      </c>
      <c r="E3173" t="inlineStr">
        <is>
          <t>VINDELN</t>
        </is>
      </c>
      <c r="F3173" t="inlineStr">
        <is>
          <t>Övriga Aktiebolag</t>
        </is>
      </c>
      <c r="G3173" t="n">
        <v>49.1</v>
      </c>
      <c r="H3173" t="n">
        <v>0</v>
      </c>
      <c r="I3173" t="n">
        <v>0</v>
      </c>
      <c r="J3173" t="n">
        <v>0</v>
      </c>
      <c r="K3173" t="n">
        <v>0</v>
      </c>
      <c r="L3173" t="n">
        <v>0</v>
      </c>
      <c r="M3173" t="n">
        <v>0</v>
      </c>
      <c r="N3173" t="n">
        <v>0</v>
      </c>
      <c r="O3173" t="n">
        <v>0</v>
      </c>
      <c r="P3173" t="n">
        <v>0</v>
      </c>
      <c r="Q3173" t="n">
        <v>0</v>
      </c>
      <c r="R3173" s="2" t="inlineStr"/>
    </row>
    <row r="3174" ht="15" customHeight="1">
      <c r="A3174" t="inlineStr">
        <is>
          <t>A 17092-2020</t>
        </is>
      </c>
      <c r="B3174" s="1" t="n">
        <v>43922</v>
      </c>
      <c r="C3174" s="1" t="n">
        <v>45357</v>
      </c>
      <c r="D3174" t="inlineStr">
        <is>
          <t>VÄSTERBOTTENS LÄN</t>
        </is>
      </c>
      <c r="E3174" t="inlineStr">
        <is>
          <t>UMEÅ</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17137-2020</t>
        </is>
      </c>
      <c r="B3175" s="1" t="n">
        <v>43922</v>
      </c>
      <c r="C3175" s="1" t="n">
        <v>45357</v>
      </c>
      <c r="D3175" t="inlineStr">
        <is>
          <t>VÄSTERBOTTENS LÄN</t>
        </is>
      </c>
      <c r="E3175" t="inlineStr">
        <is>
          <t>LYCKSELE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17126-2020</t>
        </is>
      </c>
      <c r="B3176" s="1" t="n">
        <v>43922</v>
      </c>
      <c r="C3176" s="1" t="n">
        <v>45357</v>
      </c>
      <c r="D3176" t="inlineStr">
        <is>
          <t>VÄSTERBOTTENS LÄN</t>
        </is>
      </c>
      <c r="E3176" t="inlineStr">
        <is>
          <t>LYCKSELE</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17722-2020</t>
        </is>
      </c>
      <c r="B3177" s="1" t="n">
        <v>43922</v>
      </c>
      <c r="C3177" s="1" t="n">
        <v>45357</v>
      </c>
      <c r="D3177" t="inlineStr">
        <is>
          <t>VÄSTERBOTTENS LÄN</t>
        </is>
      </c>
      <c r="E3177" t="inlineStr">
        <is>
          <t>SORSELE</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17730-2020</t>
        </is>
      </c>
      <c r="B3178" s="1" t="n">
        <v>43922</v>
      </c>
      <c r="C3178" s="1" t="n">
        <v>45357</v>
      </c>
      <c r="D3178" t="inlineStr">
        <is>
          <t>VÄSTERBOTTENS LÄN</t>
        </is>
      </c>
      <c r="E3178" t="inlineStr">
        <is>
          <t>SORSELE</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17522-2020</t>
        </is>
      </c>
      <c r="B3179" s="1" t="n">
        <v>43923</v>
      </c>
      <c r="C3179" s="1" t="n">
        <v>45357</v>
      </c>
      <c r="D3179" t="inlineStr">
        <is>
          <t>VÄSTERBOTTENS LÄN</t>
        </is>
      </c>
      <c r="E3179" t="inlineStr">
        <is>
          <t>VILHELMINA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17513-2020</t>
        </is>
      </c>
      <c r="B3180" s="1" t="n">
        <v>43923</v>
      </c>
      <c r="C3180" s="1" t="n">
        <v>45357</v>
      </c>
      <c r="D3180" t="inlineStr">
        <is>
          <t>VÄSTERBOTTENS LÄN</t>
        </is>
      </c>
      <c r="E3180" t="inlineStr">
        <is>
          <t>NORDMALING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17619-2020</t>
        </is>
      </c>
      <c r="B3181" s="1" t="n">
        <v>43923</v>
      </c>
      <c r="C3181" s="1" t="n">
        <v>45357</v>
      </c>
      <c r="D3181" t="inlineStr">
        <is>
          <t>VÄSTERBOTTENS LÄN</t>
        </is>
      </c>
      <c r="E3181" t="inlineStr">
        <is>
          <t>VILHELMINA</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17789-2020</t>
        </is>
      </c>
      <c r="B3182" s="1" t="n">
        <v>43923</v>
      </c>
      <c r="C3182" s="1" t="n">
        <v>45357</v>
      </c>
      <c r="D3182" t="inlineStr">
        <is>
          <t>VÄSTERBOTTENS LÄN</t>
        </is>
      </c>
      <c r="E3182" t="inlineStr">
        <is>
          <t>VILHELMINA</t>
        </is>
      </c>
      <c r="F3182" t="inlineStr">
        <is>
          <t>Allmännings- och besparingsskogar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17894-2020</t>
        </is>
      </c>
      <c r="B3183" s="1" t="n">
        <v>43923</v>
      </c>
      <c r="C3183" s="1" t="n">
        <v>45357</v>
      </c>
      <c r="D3183" t="inlineStr">
        <is>
          <t>VÄSTERBOTTENS LÄN</t>
        </is>
      </c>
      <c r="E3183" t="inlineStr">
        <is>
          <t>SKELLEFTEÅ</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18139-2020</t>
        </is>
      </c>
      <c r="B3184" s="1" t="n">
        <v>43924</v>
      </c>
      <c r="C3184" s="1" t="n">
        <v>45357</v>
      </c>
      <c r="D3184" t="inlineStr">
        <is>
          <t>VÄSTERBOTTENS LÄN</t>
        </is>
      </c>
      <c r="E3184" t="inlineStr">
        <is>
          <t>ÅSELE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18540-2020</t>
        </is>
      </c>
      <c r="B3185" s="1" t="n">
        <v>43927</v>
      </c>
      <c r="C3185" s="1" t="n">
        <v>45357</v>
      </c>
      <c r="D3185" t="inlineStr">
        <is>
          <t>VÄSTERBOTTENS LÄN</t>
        </is>
      </c>
      <c r="E3185" t="inlineStr">
        <is>
          <t>NORSJÖ</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18536-2020</t>
        </is>
      </c>
      <c r="B3186" s="1" t="n">
        <v>43927</v>
      </c>
      <c r="C3186" s="1" t="n">
        <v>45357</v>
      </c>
      <c r="D3186" t="inlineStr">
        <is>
          <t>VÄSTERBOTTENS LÄN</t>
        </is>
      </c>
      <c r="E3186" t="inlineStr">
        <is>
          <t>NORSJÖ</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18165-2020</t>
        </is>
      </c>
      <c r="B3187" s="1" t="n">
        <v>43927</v>
      </c>
      <c r="C3187" s="1" t="n">
        <v>45357</v>
      </c>
      <c r="D3187" t="inlineStr">
        <is>
          <t>VÄSTERBOTTENS LÄN</t>
        </is>
      </c>
      <c r="E3187" t="inlineStr">
        <is>
          <t>VILHELMINA</t>
        </is>
      </c>
      <c r="F3187" t="inlineStr">
        <is>
          <t>Kommuner</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18233-2020</t>
        </is>
      </c>
      <c r="B3188" s="1" t="n">
        <v>43928</v>
      </c>
      <c r="C3188" s="1" t="n">
        <v>45357</v>
      </c>
      <c r="D3188" t="inlineStr">
        <is>
          <t>VÄSTERBOTTENS LÄN</t>
        </is>
      </c>
      <c r="E3188" t="inlineStr">
        <is>
          <t>UMEÅ</t>
        </is>
      </c>
      <c r="G3188" t="n">
        <v>26.8</v>
      </c>
      <c r="H3188" t="n">
        <v>0</v>
      </c>
      <c r="I3188" t="n">
        <v>0</v>
      </c>
      <c r="J3188" t="n">
        <v>0</v>
      </c>
      <c r="K3188" t="n">
        <v>0</v>
      </c>
      <c r="L3188" t="n">
        <v>0</v>
      </c>
      <c r="M3188" t="n">
        <v>0</v>
      </c>
      <c r="N3188" t="n">
        <v>0</v>
      </c>
      <c r="O3188" t="n">
        <v>0</v>
      </c>
      <c r="P3188" t="n">
        <v>0</v>
      </c>
      <c r="Q3188" t="n">
        <v>0</v>
      </c>
      <c r="R3188" s="2" t="inlineStr"/>
    </row>
    <row r="3189" ht="15" customHeight="1">
      <c r="A3189" t="inlineStr">
        <is>
          <t>A 18361-2020</t>
        </is>
      </c>
      <c r="B3189" s="1" t="n">
        <v>43928</v>
      </c>
      <c r="C3189" s="1" t="n">
        <v>45357</v>
      </c>
      <c r="D3189" t="inlineStr">
        <is>
          <t>VÄSTERBOTTENS LÄN</t>
        </is>
      </c>
      <c r="E3189" t="inlineStr">
        <is>
          <t>VINDELN</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18619-2020</t>
        </is>
      </c>
      <c r="B3190" s="1" t="n">
        <v>43928</v>
      </c>
      <c r="C3190" s="1" t="n">
        <v>45357</v>
      </c>
      <c r="D3190" t="inlineStr">
        <is>
          <t>VÄSTERBOTTENS LÄN</t>
        </is>
      </c>
      <c r="E3190" t="inlineStr">
        <is>
          <t>SKELLEFTEÅ</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18636-2020</t>
        </is>
      </c>
      <c r="B3191" s="1" t="n">
        <v>43928</v>
      </c>
      <c r="C3191" s="1" t="n">
        <v>45357</v>
      </c>
      <c r="D3191" t="inlineStr">
        <is>
          <t>VÄSTERBOTTENS LÄN</t>
        </is>
      </c>
      <c r="E3191" t="inlineStr">
        <is>
          <t>UMEÅ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18442-2020</t>
        </is>
      </c>
      <c r="B3192" s="1" t="n">
        <v>43929</v>
      </c>
      <c r="C3192" s="1" t="n">
        <v>45357</v>
      </c>
      <c r="D3192" t="inlineStr">
        <is>
          <t>VÄSTERBOTTENS LÄN</t>
        </is>
      </c>
      <c r="E3192" t="inlineStr">
        <is>
          <t>SKELLEFTEÅ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18605-2020</t>
        </is>
      </c>
      <c r="B3193" s="1" t="n">
        <v>43929</v>
      </c>
      <c r="C3193" s="1" t="n">
        <v>45357</v>
      </c>
      <c r="D3193" t="inlineStr">
        <is>
          <t>VÄSTERBOTTENS LÄN</t>
        </is>
      </c>
      <c r="E3193" t="inlineStr">
        <is>
          <t>NORDMALING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18647-2020</t>
        </is>
      </c>
      <c r="B3194" s="1" t="n">
        <v>43929</v>
      </c>
      <c r="C3194" s="1" t="n">
        <v>45357</v>
      </c>
      <c r="D3194" t="inlineStr">
        <is>
          <t>VÄSTERBOTTENS LÄN</t>
        </is>
      </c>
      <c r="E3194" t="inlineStr">
        <is>
          <t>BJURHOLM</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18609-2020</t>
        </is>
      </c>
      <c r="B3195" s="1" t="n">
        <v>43929</v>
      </c>
      <c r="C3195" s="1" t="n">
        <v>45357</v>
      </c>
      <c r="D3195" t="inlineStr">
        <is>
          <t>VÄSTERBOTTENS LÄN</t>
        </is>
      </c>
      <c r="E3195" t="inlineStr">
        <is>
          <t>LYCKSELE</t>
        </is>
      </c>
      <c r="F3195" t="inlineStr">
        <is>
          <t>SCA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18898-2020</t>
        </is>
      </c>
      <c r="B3196" s="1" t="n">
        <v>43930</v>
      </c>
      <c r="C3196" s="1" t="n">
        <v>45357</v>
      </c>
      <c r="D3196" t="inlineStr">
        <is>
          <t>VÄSTERBOTTENS LÄN</t>
        </is>
      </c>
      <c r="E3196" t="inlineStr">
        <is>
          <t>LYCKSELE</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18908-2020</t>
        </is>
      </c>
      <c r="B3197" s="1" t="n">
        <v>43930</v>
      </c>
      <c r="C3197" s="1" t="n">
        <v>45357</v>
      </c>
      <c r="D3197" t="inlineStr">
        <is>
          <t>VÄSTERBOTTENS LÄN</t>
        </is>
      </c>
      <c r="E3197" t="inlineStr">
        <is>
          <t>UMEÅ</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18820-2020</t>
        </is>
      </c>
      <c r="B3198" s="1" t="n">
        <v>43935</v>
      </c>
      <c r="C3198" s="1" t="n">
        <v>45357</v>
      </c>
      <c r="D3198" t="inlineStr">
        <is>
          <t>VÄSTERBOTTENS LÄN</t>
        </is>
      </c>
      <c r="E3198" t="inlineStr">
        <is>
          <t>SKELLEFTEÅ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18938-2020</t>
        </is>
      </c>
      <c r="B3199" s="1" t="n">
        <v>43935</v>
      </c>
      <c r="C3199" s="1" t="n">
        <v>45357</v>
      </c>
      <c r="D3199" t="inlineStr">
        <is>
          <t>VÄSTERBOTTENS LÄN</t>
        </is>
      </c>
      <c r="E3199" t="inlineStr">
        <is>
          <t>SORSELE</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19009-2020</t>
        </is>
      </c>
      <c r="B3200" s="1" t="n">
        <v>43935</v>
      </c>
      <c r="C3200" s="1" t="n">
        <v>45357</v>
      </c>
      <c r="D3200" t="inlineStr">
        <is>
          <t>VÄSTERBOTTENS LÄN</t>
        </is>
      </c>
      <c r="E3200" t="inlineStr">
        <is>
          <t>VILHELMINA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19006-2020</t>
        </is>
      </c>
      <c r="B3201" s="1" t="n">
        <v>43936</v>
      </c>
      <c r="C3201" s="1" t="n">
        <v>45357</v>
      </c>
      <c r="D3201" t="inlineStr">
        <is>
          <t>VÄSTERBOTTENS LÄN</t>
        </is>
      </c>
      <c r="E3201" t="inlineStr">
        <is>
          <t>SKELLEFTEÅ</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19558-2020</t>
        </is>
      </c>
      <c r="B3202" s="1" t="n">
        <v>43936</v>
      </c>
      <c r="C3202" s="1" t="n">
        <v>45357</v>
      </c>
      <c r="D3202" t="inlineStr">
        <is>
          <t>VÄSTERBOTTENS LÄN</t>
        </is>
      </c>
      <c r="E3202" t="inlineStr">
        <is>
          <t>VINDELN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19590-2020</t>
        </is>
      </c>
      <c r="B3203" s="1" t="n">
        <v>43936</v>
      </c>
      <c r="C3203" s="1" t="n">
        <v>45357</v>
      </c>
      <c r="D3203" t="inlineStr">
        <is>
          <t>VÄSTERBOTTENS LÄN</t>
        </is>
      </c>
      <c r="E3203" t="inlineStr">
        <is>
          <t>ÅSELE</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19561-2020</t>
        </is>
      </c>
      <c r="B3204" s="1" t="n">
        <v>43936</v>
      </c>
      <c r="C3204" s="1" t="n">
        <v>45357</v>
      </c>
      <c r="D3204" t="inlineStr">
        <is>
          <t>VÄSTERBOTTENS LÄN</t>
        </is>
      </c>
      <c r="E3204" t="inlineStr">
        <is>
          <t>VINDELN</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19588-2020</t>
        </is>
      </c>
      <c r="B3205" s="1" t="n">
        <v>43936</v>
      </c>
      <c r="C3205" s="1" t="n">
        <v>45357</v>
      </c>
      <c r="D3205" t="inlineStr">
        <is>
          <t>VÄSTERBOTTENS LÄN</t>
        </is>
      </c>
      <c r="E3205" t="inlineStr">
        <is>
          <t>ÅSELE</t>
        </is>
      </c>
      <c r="G3205" t="n">
        <v>13.2</v>
      </c>
      <c r="H3205" t="n">
        <v>0</v>
      </c>
      <c r="I3205" t="n">
        <v>0</v>
      </c>
      <c r="J3205" t="n">
        <v>0</v>
      </c>
      <c r="K3205" t="n">
        <v>0</v>
      </c>
      <c r="L3205" t="n">
        <v>0</v>
      </c>
      <c r="M3205" t="n">
        <v>0</v>
      </c>
      <c r="N3205" t="n">
        <v>0</v>
      </c>
      <c r="O3205" t="n">
        <v>0</v>
      </c>
      <c r="P3205" t="n">
        <v>0</v>
      </c>
      <c r="Q3205" t="n">
        <v>0</v>
      </c>
      <c r="R3205" s="2" t="inlineStr"/>
    </row>
    <row r="3206" ht="15" customHeight="1">
      <c r="A3206" t="inlineStr">
        <is>
          <t>A 19559-2020</t>
        </is>
      </c>
      <c r="B3206" s="1" t="n">
        <v>43936</v>
      </c>
      <c r="C3206" s="1" t="n">
        <v>45357</v>
      </c>
      <c r="D3206" t="inlineStr">
        <is>
          <t>VÄSTERBOTTENS LÄN</t>
        </is>
      </c>
      <c r="E3206" t="inlineStr">
        <is>
          <t>VINDELN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19572-2020</t>
        </is>
      </c>
      <c r="B3207" s="1" t="n">
        <v>43936</v>
      </c>
      <c r="C3207" s="1" t="n">
        <v>45357</v>
      </c>
      <c r="D3207" t="inlineStr">
        <is>
          <t>VÄSTERBOTTENS LÄN</t>
        </is>
      </c>
      <c r="E3207" t="inlineStr">
        <is>
          <t>VINDELN</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19652-2020</t>
        </is>
      </c>
      <c r="B3208" s="1" t="n">
        <v>43937</v>
      </c>
      <c r="C3208" s="1" t="n">
        <v>45357</v>
      </c>
      <c r="D3208" t="inlineStr">
        <is>
          <t>VÄSTERBOTTENS LÄN</t>
        </is>
      </c>
      <c r="E3208" t="inlineStr">
        <is>
          <t>BJURHOLM</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19707-2020</t>
        </is>
      </c>
      <c r="B3209" s="1" t="n">
        <v>43937</v>
      </c>
      <c r="C3209" s="1" t="n">
        <v>45357</v>
      </c>
      <c r="D3209" t="inlineStr">
        <is>
          <t>VÄSTERBOTTENS LÄN</t>
        </is>
      </c>
      <c r="E3209" t="inlineStr">
        <is>
          <t>NORDMALING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19580-2020</t>
        </is>
      </c>
      <c r="B3210" s="1" t="n">
        <v>43941</v>
      </c>
      <c r="C3210" s="1" t="n">
        <v>45357</v>
      </c>
      <c r="D3210" t="inlineStr">
        <is>
          <t>VÄSTERBOTTENS LÄN</t>
        </is>
      </c>
      <c r="E3210" t="inlineStr">
        <is>
          <t>UMEÅ</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19541-2020</t>
        </is>
      </c>
      <c r="B3211" s="1" t="n">
        <v>43941</v>
      </c>
      <c r="C3211" s="1" t="n">
        <v>45357</v>
      </c>
      <c r="D3211" t="inlineStr">
        <is>
          <t>VÄSTERBOTTENS LÄN</t>
        </is>
      </c>
      <c r="E3211" t="inlineStr">
        <is>
          <t>UMEÅ</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19693-2020</t>
        </is>
      </c>
      <c r="B3212" s="1" t="n">
        <v>43941</v>
      </c>
      <c r="C3212" s="1" t="n">
        <v>45357</v>
      </c>
      <c r="D3212" t="inlineStr">
        <is>
          <t>VÄSTERBOTTENS LÄN</t>
        </is>
      </c>
      <c r="E3212" t="inlineStr">
        <is>
          <t>VÄNNÄS</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19767-2020</t>
        </is>
      </c>
      <c r="B3213" s="1" t="n">
        <v>43942</v>
      </c>
      <c r="C3213" s="1" t="n">
        <v>45357</v>
      </c>
      <c r="D3213" t="inlineStr">
        <is>
          <t>VÄSTERBOTTENS LÄN</t>
        </is>
      </c>
      <c r="E3213" t="inlineStr">
        <is>
          <t>UMEÅ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19814-2020</t>
        </is>
      </c>
      <c r="B3214" s="1" t="n">
        <v>43942</v>
      </c>
      <c r="C3214" s="1" t="n">
        <v>45357</v>
      </c>
      <c r="D3214" t="inlineStr">
        <is>
          <t>VÄSTERBOTTENS LÄN</t>
        </is>
      </c>
      <c r="E3214" t="inlineStr">
        <is>
          <t>VINDELN</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19961-2020</t>
        </is>
      </c>
      <c r="B3215" s="1" t="n">
        <v>43943</v>
      </c>
      <c r="C3215" s="1" t="n">
        <v>45357</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20099-2020</t>
        </is>
      </c>
      <c r="B3216" s="1" t="n">
        <v>43943</v>
      </c>
      <c r="C3216" s="1" t="n">
        <v>45357</v>
      </c>
      <c r="D3216" t="inlineStr">
        <is>
          <t>VÄSTERBOTTENS LÄN</t>
        </is>
      </c>
      <c r="E3216" t="inlineStr">
        <is>
          <t>MALÅ</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20187-2020</t>
        </is>
      </c>
      <c r="B3217" s="1" t="n">
        <v>43944</v>
      </c>
      <c r="C3217" s="1" t="n">
        <v>45357</v>
      </c>
      <c r="D3217" t="inlineStr">
        <is>
          <t>VÄSTERBOTTENS LÄN</t>
        </is>
      </c>
      <c r="E3217" t="inlineStr">
        <is>
          <t>VILHELMINA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20288-2020</t>
        </is>
      </c>
      <c r="B3218" s="1" t="n">
        <v>43945</v>
      </c>
      <c r="C3218" s="1" t="n">
        <v>45357</v>
      </c>
      <c r="D3218" t="inlineStr">
        <is>
          <t>VÄSTERBOTTENS LÄN</t>
        </is>
      </c>
      <c r="E3218" t="inlineStr">
        <is>
          <t>UMEÅ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20243-2020</t>
        </is>
      </c>
      <c r="B3219" s="1" t="n">
        <v>43945</v>
      </c>
      <c r="C3219" s="1" t="n">
        <v>45357</v>
      </c>
      <c r="D3219" t="inlineStr">
        <is>
          <t>VÄSTERBOTTENS LÄN</t>
        </is>
      </c>
      <c r="E3219" t="inlineStr">
        <is>
          <t>SKELLEFTEÅ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20283-2020</t>
        </is>
      </c>
      <c r="B3220" s="1" t="n">
        <v>43945</v>
      </c>
      <c r="C3220" s="1" t="n">
        <v>45357</v>
      </c>
      <c r="D3220" t="inlineStr">
        <is>
          <t>VÄSTERBOTTENS LÄN</t>
        </is>
      </c>
      <c r="E3220" t="inlineStr">
        <is>
          <t>SKELLEFTEÅ</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20351-2020</t>
        </is>
      </c>
      <c r="B3221" s="1" t="n">
        <v>43945</v>
      </c>
      <c r="C3221" s="1" t="n">
        <v>45357</v>
      </c>
      <c r="D3221" t="inlineStr">
        <is>
          <t>VÄSTERBOTTENS LÄN</t>
        </is>
      </c>
      <c r="E3221" t="inlineStr">
        <is>
          <t>SKELLEFTEÅ</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20383-2020</t>
        </is>
      </c>
      <c r="B3222" s="1" t="n">
        <v>43945</v>
      </c>
      <c r="C3222" s="1" t="n">
        <v>45357</v>
      </c>
      <c r="D3222" t="inlineStr">
        <is>
          <t>VÄSTERBOTTENS LÄN</t>
        </is>
      </c>
      <c r="E3222" t="inlineStr">
        <is>
          <t>LYCKSELE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20420-2020</t>
        </is>
      </c>
      <c r="B3223" s="1" t="n">
        <v>43945</v>
      </c>
      <c r="C3223" s="1" t="n">
        <v>45357</v>
      </c>
      <c r="D3223" t="inlineStr">
        <is>
          <t>VÄSTERBOTTENS LÄN</t>
        </is>
      </c>
      <c r="E3223" t="inlineStr">
        <is>
          <t>VILHELMINA</t>
        </is>
      </c>
      <c r="F3223" t="inlineStr">
        <is>
          <t>SCA</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20445-2020</t>
        </is>
      </c>
      <c r="B3224" s="1" t="n">
        <v>43945</v>
      </c>
      <c r="C3224" s="1" t="n">
        <v>45357</v>
      </c>
      <c r="D3224" t="inlineStr">
        <is>
          <t>VÄSTERBOTTENS LÄN</t>
        </is>
      </c>
      <c r="E3224" t="inlineStr">
        <is>
          <t>LYCKSELE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20388-2020</t>
        </is>
      </c>
      <c r="B3225" s="1" t="n">
        <v>43945</v>
      </c>
      <c r="C3225" s="1" t="n">
        <v>45357</v>
      </c>
      <c r="D3225" t="inlineStr">
        <is>
          <t>VÄSTERBOTTENS LÄN</t>
        </is>
      </c>
      <c r="E3225" t="inlineStr">
        <is>
          <t>LYCKSELE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20403-2020</t>
        </is>
      </c>
      <c r="B3226" s="1" t="n">
        <v>43945</v>
      </c>
      <c r="C3226" s="1" t="n">
        <v>45357</v>
      </c>
      <c r="D3226" t="inlineStr">
        <is>
          <t>VÄSTERBOTTENS LÄN</t>
        </is>
      </c>
      <c r="E3226" t="inlineStr">
        <is>
          <t>BJURHOLM</t>
        </is>
      </c>
      <c r="F3226" t="inlineStr">
        <is>
          <t>Holmen skog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20537-2020</t>
        </is>
      </c>
      <c r="B3227" s="1" t="n">
        <v>43948</v>
      </c>
      <c r="C3227" s="1" t="n">
        <v>45357</v>
      </c>
      <c r="D3227" t="inlineStr">
        <is>
          <t>VÄSTERBOTTENS LÄN</t>
        </is>
      </c>
      <c r="E3227" t="inlineStr">
        <is>
          <t>VINDELN</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20536-2020</t>
        </is>
      </c>
      <c r="B3228" s="1" t="n">
        <v>43948</v>
      </c>
      <c r="C3228" s="1" t="n">
        <v>45357</v>
      </c>
      <c r="D3228" t="inlineStr">
        <is>
          <t>VÄSTERBOTTENS LÄN</t>
        </is>
      </c>
      <c r="E3228" t="inlineStr">
        <is>
          <t>VINDELN</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20444-2020</t>
        </is>
      </c>
      <c r="B3229" s="1" t="n">
        <v>43948</v>
      </c>
      <c r="C3229" s="1" t="n">
        <v>45357</v>
      </c>
      <c r="D3229" t="inlineStr">
        <is>
          <t>VÄSTERBOTTENS LÄN</t>
        </is>
      </c>
      <c r="E3229" t="inlineStr">
        <is>
          <t>SKELLEFTEÅ</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20851-2020</t>
        </is>
      </c>
      <c r="B3230" s="1" t="n">
        <v>43948</v>
      </c>
      <c r="C3230" s="1" t="n">
        <v>45357</v>
      </c>
      <c r="D3230" t="inlineStr">
        <is>
          <t>VÄSTERBOTTENS LÄN</t>
        </is>
      </c>
      <c r="E3230" t="inlineStr">
        <is>
          <t>BJURHOLM</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20466-2020</t>
        </is>
      </c>
      <c r="B3231" s="1" t="n">
        <v>43948</v>
      </c>
      <c r="C3231" s="1" t="n">
        <v>45357</v>
      </c>
      <c r="D3231" t="inlineStr">
        <is>
          <t>VÄSTERBOTTENS LÄN</t>
        </is>
      </c>
      <c r="E3231" t="inlineStr">
        <is>
          <t>SKELLEFTEÅ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20695-2020</t>
        </is>
      </c>
      <c r="B3232" s="1" t="n">
        <v>43949</v>
      </c>
      <c r="C3232" s="1" t="n">
        <v>45357</v>
      </c>
      <c r="D3232" t="inlineStr">
        <is>
          <t>VÄSTERBOTTENS LÄN</t>
        </is>
      </c>
      <c r="E3232" t="inlineStr">
        <is>
          <t>VINDELN</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20956-2020</t>
        </is>
      </c>
      <c r="B3233" s="1" t="n">
        <v>43950</v>
      </c>
      <c r="C3233" s="1" t="n">
        <v>45357</v>
      </c>
      <c r="D3233" t="inlineStr">
        <is>
          <t>VÄSTERBOTTENS LÄN</t>
        </is>
      </c>
      <c r="E3233" t="inlineStr">
        <is>
          <t>UMEÅ</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20908-2020</t>
        </is>
      </c>
      <c r="B3234" s="1" t="n">
        <v>43950</v>
      </c>
      <c r="C3234" s="1" t="n">
        <v>45357</v>
      </c>
      <c r="D3234" t="inlineStr">
        <is>
          <t>VÄSTERBOTTENS LÄN</t>
        </is>
      </c>
      <c r="E3234" t="inlineStr">
        <is>
          <t>VINDELN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20852-2020</t>
        </is>
      </c>
      <c r="B3235" s="1" t="n">
        <v>43950</v>
      </c>
      <c r="C3235" s="1" t="n">
        <v>45357</v>
      </c>
      <c r="D3235" t="inlineStr">
        <is>
          <t>VÄSTERBOTTENS LÄN</t>
        </is>
      </c>
      <c r="E3235" t="inlineStr">
        <is>
          <t>ROBERTSFORS</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21025-2020</t>
        </is>
      </c>
      <c r="B3236" s="1" t="n">
        <v>43950</v>
      </c>
      <c r="C3236" s="1" t="n">
        <v>45357</v>
      </c>
      <c r="D3236" t="inlineStr">
        <is>
          <t>VÄSTERBOTTENS LÄN</t>
        </is>
      </c>
      <c r="E3236" t="inlineStr">
        <is>
          <t>DOROTEA</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21248-2020</t>
        </is>
      </c>
      <c r="B3237" s="1" t="n">
        <v>43951</v>
      </c>
      <c r="C3237" s="1" t="n">
        <v>45357</v>
      </c>
      <c r="D3237" t="inlineStr">
        <is>
          <t>VÄSTERBOTTENS LÄN</t>
        </is>
      </c>
      <c r="E3237" t="inlineStr">
        <is>
          <t>ROBERTSFORS</t>
        </is>
      </c>
      <c r="G3237" t="n">
        <v>12.7</v>
      </c>
      <c r="H3237" t="n">
        <v>0</v>
      </c>
      <c r="I3237" t="n">
        <v>0</v>
      </c>
      <c r="J3237" t="n">
        <v>0</v>
      </c>
      <c r="K3237" t="n">
        <v>0</v>
      </c>
      <c r="L3237" t="n">
        <v>0</v>
      </c>
      <c r="M3237" t="n">
        <v>0</v>
      </c>
      <c r="N3237" t="n">
        <v>0</v>
      </c>
      <c r="O3237" t="n">
        <v>0</v>
      </c>
      <c r="P3237" t="n">
        <v>0</v>
      </c>
      <c r="Q3237" t="n">
        <v>0</v>
      </c>
      <c r="R3237" s="2" t="inlineStr"/>
    </row>
    <row r="3238" ht="15" customHeight="1">
      <c r="A3238" t="inlineStr">
        <is>
          <t>A 21524-2020</t>
        </is>
      </c>
      <c r="B3238" s="1" t="n">
        <v>43951</v>
      </c>
      <c r="C3238" s="1" t="n">
        <v>45357</v>
      </c>
      <c r="D3238" t="inlineStr">
        <is>
          <t>VÄSTERBOTTENS LÄN</t>
        </is>
      </c>
      <c r="E3238" t="inlineStr">
        <is>
          <t>ROBERTSFORS</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21538-2020</t>
        </is>
      </c>
      <c r="B3239" s="1" t="n">
        <v>43951</v>
      </c>
      <c r="C3239" s="1" t="n">
        <v>45357</v>
      </c>
      <c r="D3239" t="inlineStr">
        <is>
          <t>VÄSTERBOTTENS LÄN</t>
        </is>
      </c>
      <c r="E3239" t="inlineStr">
        <is>
          <t>ROBERTSFORS</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21235-2020</t>
        </is>
      </c>
      <c r="B3240" s="1" t="n">
        <v>43952</v>
      </c>
      <c r="C3240" s="1" t="n">
        <v>45357</v>
      </c>
      <c r="D3240" t="inlineStr">
        <is>
          <t>VÄSTERBOTTENS LÄN</t>
        </is>
      </c>
      <c r="E3240" t="inlineStr">
        <is>
          <t>UMEÅ</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21282-2020</t>
        </is>
      </c>
      <c r="B3241" s="1" t="n">
        <v>43955</v>
      </c>
      <c r="C3241" s="1" t="n">
        <v>45357</v>
      </c>
      <c r="D3241" t="inlineStr">
        <is>
          <t>VÄSTERBOTTENS LÄN</t>
        </is>
      </c>
      <c r="E3241" t="inlineStr">
        <is>
          <t>UMEÅ</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21288-2020</t>
        </is>
      </c>
      <c r="B3242" s="1" t="n">
        <v>43955</v>
      </c>
      <c r="C3242" s="1" t="n">
        <v>45357</v>
      </c>
      <c r="D3242" t="inlineStr">
        <is>
          <t>VÄSTERBOTTENS LÄN</t>
        </is>
      </c>
      <c r="E3242" t="inlineStr">
        <is>
          <t>UMEÅ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21398-2020</t>
        </is>
      </c>
      <c r="B3243" s="1" t="n">
        <v>43955</v>
      </c>
      <c r="C3243" s="1" t="n">
        <v>45357</v>
      </c>
      <c r="D3243" t="inlineStr">
        <is>
          <t>VÄSTERBOTTENS LÄN</t>
        </is>
      </c>
      <c r="E3243" t="inlineStr">
        <is>
          <t>DOROTEA</t>
        </is>
      </c>
      <c r="G3243" t="n">
        <v>17.4</v>
      </c>
      <c r="H3243" t="n">
        <v>0</v>
      </c>
      <c r="I3243" t="n">
        <v>0</v>
      </c>
      <c r="J3243" t="n">
        <v>0</v>
      </c>
      <c r="K3243" t="n">
        <v>0</v>
      </c>
      <c r="L3243" t="n">
        <v>0</v>
      </c>
      <c r="M3243" t="n">
        <v>0</v>
      </c>
      <c r="N3243" t="n">
        <v>0</v>
      </c>
      <c r="O3243" t="n">
        <v>0</v>
      </c>
      <c r="P3243" t="n">
        <v>0</v>
      </c>
      <c r="Q3243" t="n">
        <v>0</v>
      </c>
      <c r="R3243" s="2" t="inlineStr"/>
    </row>
    <row r="3244" ht="15" customHeight="1">
      <c r="A3244" t="inlineStr">
        <is>
          <t>A 21405-2020</t>
        </is>
      </c>
      <c r="B3244" s="1" t="n">
        <v>43955</v>
      </c>
      <c r="C3244" s="1" t="n">
        <v>45357</v>
      </c>
      <c r="D3244" t="inlineStr">
        <is>
          <t>VÄSTERBOTTENS LÄN</t>
        </is>
      </c>
      <c r="E3244" t="inlineStr">
        <is>
          <t>ROBERTSFORS</t>
        </is>
      </c>
      <c r="F3244" t="inlineStr">
        <is>
          <t>Holmen skog AB</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21245-2020</t>
        </is>
      </c>
      <c r="B3245" s="1" t="n">
        <v>43955</v>
      </c>
      <c r="C3245" s="1" t="n">
        <v>45357</v>
      </c>
      <c r="D3245" t="inlineStr">
        <is>
          <t>VÄSTERBOTTENS LÄN</t>
        </is>
      </c>
      <c r="E3245" t="inlineStr">
        <is>
          <t>ROBERTSFORS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21283-2020</t>
        </is>
      </c>
      <c r="B3246" s="1" t="n">
        <v>43955</v>
      </c>
      <c r="C3246" s="1" t="n">
        <v>45357</v>
      </c>
      <c r="D3246" t="inlineStr">
        <is>
          <t>VÄSTERBOTTENS LÄN</t>
        </is>
      </c>
      <c r="E3246" t="inlineStr">
        <is>
          <t>UMEÅ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22464-2020</t>
        </is>
      </c>
      <c r="B3247" s="1" t="n">
        <v>43958</v>
      </c>
      <c r="C3247" s="1" t="n">
        <v>45357</v>
      </c>
      <c r="D3247" t="inlineStr">
        <is>
          <t>VÄSTERBOTTENS LÄN</t>
        </is>
      </c>
      <c r="E3247" t="inlineStr">
        <is>
          <t>SORSELE</t>
        </is>
      </c>
      <c r="G3247" t="n">
        <v>12.2</v>
      </c>
      <c r="H3247" t="n">
        <v>0</v>
      </c>
      <c r="I3247" t="n">
        <v>0</v>
      </c>
      <c r="J3247" t="n">
        <v>0</v>
      </c>
      <c r="K3247" t="n">
        <v>0</v>
      </c>
      <c r="L3247" t="n">
        <v>0</v>
      </c>
      <c r="M3247" t="n">
        <v>0</v>
      </c>
      <c r="N3247" t="n">
        <v>0</v>
      </c>
      <c r="O3247" t="n">
        <v>0</v>
      </c>
      <c r="P3247" t="n">
        <v>0</v>
      </c>
      <c r="Q3247" t="n">
        <v>0</v>
      </c>
      <c r="R3247" s="2" t="inlineStr"/>
    </row>
    <row r="3248" ht="15" customHeight="1">
      <c r="A3248" t="inlineStr">
        <is>
          <t>A 22009-2020</t>
        </is>
      </c>
      <c r="B3248" s="1" t="n">
        <v>43959</v>
      </c>
      <c r="C3248" s="1" t="n">
        <v>45357</v>
      </c>
      <c r="D3248" t="inlineStr">
        <is>
          <t>VÄSTERBOTTENS LÄN</t>
        </is>
      </c>
      <c r="E3248" t="inlineStr">
        <is>
          <t>STORUMAN</t>
        </is>
      </c>
      <c r="F3248" t="inlineStr">
        <is>
          <t>Kommuner</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22030-2020</t>
        </is>
      </c>
      <c r="B3249" s="1" t="n">
        <v>43959</v>
      </c>
      <c r="C3249" s="1" t="n">
        <v>45357</v>
      </c>
      <c r="D3249" t="inlineStr">
        <is>
          <t>VÄSTERBOTTENS LÄN</t>
        </is>
      </c>
      <c r="E3249" t="inlineStr">
        <is>
          <t>UMEÅ</t>
        </is>
      </c>
      <c r="F3249" t="inlineStr">
        <is>
          <t>Holmen skog AB</t>
        </is>
      </c>
      <c r="G3249" t="n">
        <v>12.5</v>
      </c>
      <c r="H3249" t="n">
        <v>0</v>
      </c>
      <c r="I3249" t="n">
        <v>0</v>
      </c>
      <c r="J3249" t="n">
        <v>0</v>
      </c>
      <c r="K3249" t="n">
        <v>0</v>
      </c>
      <c r="L3249" t="n">
        <v>0</v>
      </c>
      <c r="M3249" t="n">
        <v>0</v>
      </c>
      <c r="N3249" t="n">
        <v>0</v>
      </c>
      <c r="O3249" t="n">
        <v>0</v>
      </c>
      <c r="P3249" t="n">
        <v>0</v>
      </c>
      <c r="Q3249" t="n">
        <v>0</v>
      </c>
      <c r="R3249" s="2" t="inlineStr"/>
    </row>
    <row r="3250" ht="15" customHeight="1">
      <c r="A3250" t="inlineStr">
        <is>
          <t>A 22529-2020</t>
        </is>
      </c>
      <c r="B3250" s="1" t="n">
        <v>43959</v>
      </c>
      <c r="C3250" s="1" t="n">
        <v>45357</v>
      </c>
      <c r="D3250" t="inlineStr">
        <is>
          <t>VÄSTERBOTTENS LÄN</t>
        </is>
      </c>
      <c r="E3250" t="inlineStr">
        <is>
          <t>STORUMAN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22142-2020</t>
        </is>
      </c>
      <c r="B3251" s="1" t="n">
        <v>43961</v>
      </c>
      <c r="C3251" s="1" t="n">
        <v>45357</v>
      </c>
      <c r="D3251" t="inlineStr">
        <is>
          <t>VÄSTERBOTTENS LÄN</t>
        </is>
      </c>
      <c r="E3251" t="inlineStr">
        <is>
          <t>UMEÅ</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22145-2020</t>
        </is>
      </c>
      <c r="B3252" s="1" t="n">
        <v>43961</v>
      </c>
      <c r="C3252" s="1" t="n">
        <v>45357</v>
      </c>
      <c r="D3252" t="inlineStr">
        <is>
          <t>VÄSTERBOTTENS LÄN</t>
        </is>
      </c>
      <c r="E3252" t="inlineStr">
        <is>
          <t>ÅSELE</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22136-2020</t>
        </is>
      </c>
      <c r="B3253" s="1" t="n">
        <v>43961</v>
      </c>
      <c r="C3253" s="1" t="n">
        <v>45357</v>
      </c>
      <c r="D3253" t="inlineStr">
        <is>
          <t>VÄSTERBOTTENS LÄN</t>
        </is>
      </c>
      <c r="E3253" t="inlineStr">
        <is>
          <t>UMEÅ</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22159-2020</t>
        </is>
      </c>
      <c r="B3254" s="1" t="n">
        <v>43962</v>
      </c>
      <c r="C3254" s="1" t="n">
        <v>45357</v>
      </c>
      <c r="D3254" t="inlineStr">
        <is>
          <t>VÄSTERBOTTENS LÄN</t>
        </is>
      </c>
      <c r="E3254" t="inlineStr">
        <is>
          <t>ROBERTSFORS</t>
        </is>
      </c>
      <c r="F3254" t="inlineStr">
        <is>
          <t>Holmen skog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22451-2020</t>
        </is>
      </c>
      <c r="B3255" s="1" t="n">
        <v>43963</v>
      </c>
      <c r="C3255" s="1" t="n">
        <v>45357</v>
      </c>
      <c r="D3255" t="inlineStr">
        <is>
          <t>VÄSTERBOTTENS LÄN</t>
        </is>
      </c>
      <c r="E3255" t="inlineStr">
        <is>
          <t>SKELLEFTEÅ</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22442-2020</t>
        </is>
      </c>
      <c r="B3256" s="1" t="n">
        <v>43963</v>
      </c>
      <c r="C3256" s="1" t="n">
        <v>45357</v>
      </c>
      <c r="D3256" t="inlineStr">
        <is>
          <t>VÄSTERBOTTENS LÄN</t>
        </is>
      </c>
      <c r="E3256" t="inlineStr">
        <is>
          <t>UMEÅ</t>
        </is>
      </c>
      <c r="F3256" t="inlineStr">
        <is>
          <t>Holmen skog AB</t>
        </is>
      </c>
      <c r="G3256" t="n">
        <v>14.3</v>
      </c>
      <c r="H3256" t="n">
        <v>0</v>
      </c>
      <c r="I3256" t="n">
        <v>0</v>
      </c>
      <c r="J3256" t="n">
        <v>0</v>
      </c>
      <c r="K3256" t="n">
        <v>0</v>
      </c>
      <c r="L3256" t="n">
        <v>0</v>
      </c>
      <c r="M3256" t="n">
        <v>0</v>
      </c>
      <c r="N3256" t="n">
        <v>0</v>
      </c>
      <c r="O3256" t="n">
        <v>0</v>
      </c>
      <c r="P3256" t="n">
        <v>0</v>
      </c>
      <c r="Q3256" t="n">
        <v>0</v>
      </c>
      <c r="R3256" s="2" t="inlineStr"/>
    </row>
    <row r="3257" ht="15" customHeight="1">
      <c r="A3257" t="inlineStr">
        <is>
          <t>A 22752-2020</t>
        </is>
      </c>
      <c r="B3257" s="1" t="n">
        <v>43963</v>
      </c>
      <c r="C3257" s="1" t="n">
        <v>45357</v>
      </c>
      <c r="D3257" t="inlineStr">
        <is>
          <t>VÄSTERBOTTENS LÄN</t>
        </is>
      </c>
      <c r="E3257" t="inlineStr">
        <is>
          <t>SKELLEFTEÅ</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22423-2020</t>
        </is>
      </c>
      <c r="B3258" s="1" t="n">
        <v>43963</v>
      </c>
      <c r="C3258" s="1" t="n">
        <v>45357</v>
      </c>
      <c r="D3258" t="inlineStr">
        <is>
          <t>VÄSTERBOTTENS LÄN</t>
        </is>
      </c>
      <c r="E3258" t="inlineStr">
        <is>
          <t>UMEÅ</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22436-2020</t>
        </is>
      </c>
      <c r="B3259" s="1" t="n">
        <v>43963</v>
      </c>
      <c r="C3259" s="1" t="n">
        <v>45357</v>
      </c>
      <c r="D3259" t="inlineStr">
        <is>
          <t>VÄSTERBOTTENS LÄN</t>
        </is>
      </c>
      <c r="E3259" t="inlineStr">
        <is>
          <t>UMEÅ</t>
        </is>
      </c>
      <c r="F3259" t="inlineStr">
        <is>
          <t>Holmen skog AB</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22789-2020</t>
        </is>
      </c>
      <c r="B3260" s="1" t="n">
        <v>43964</v>
      </c>
      <c r="C3260" s="1" t="n">
        <v>45357</v>
      </c>
      <c r="D3260" t="inlineStr">
        <is>
          <t>VÄSTERBOTTENS LÄN</t>
        </is>
      </c>
      <c r="E3260" t="inlineStr">
        <is>
          <t>VILHELMINA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22865-2020</t>
        </is>
      </c>
      <c r="B3261" s="1" t="n">
        <v>43964</v>
      </c>
      <c r="C3261" s="1" t="n">
        <v>45357</v>
      </c>
      <c r="D3261" t="inlineStr">
        <is>
          <t>VÄSTERBOTTENS LÄN</t>
        </is>
      </c>
      <c r="E3261" t="inlineStr">
        <is>
          <t>VINDELN</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22791-2020</t>
        </is>
      </c>
      <c r="B3262" s="1" t="n">
        <v>43964</v>
      </c>
      <c r="C3262" s="1" t="n">
        <v>45357</v>
      </c>
      <c r="D3262" t="inlineStr">
        <is>
          <t>VÄSTERBOTTENS LÄN</t>
        </is>
      </c>
      <c r="E3262" t="inlineStr">
        <is>
          <t>VILHELMINA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23006-2020</t>
        </is>
      </c>
      <c r="B3263" s="1" t="n">
        <v>43965</v>
      </c>
      <c r="C3263" s="1" t="n">
        <v>45357</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22956-2020</t>
        </is>
      </c>
      <c r="B3264" s="1" t="n">
        <v>43965</v>
      </c>
      <c r="C3264" s="1" t="n">
        <v>45357</v>
      </c>
      <c r="D3264" t="inlineStr">
        <is>
          <t>VÄSTERBOTTENS LÄN</t>
        </is>
      </c>
      <c r="E3264" t="inlineStr">
        <is>
          <t>UMEÅ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23106-2020</t>
        </is>
      </c>
      <c r="B3265" s="1" t="n">
        <v>43965</v>
      </c>
      <c r="C3265" s="1" t="n">
        <v>45357</v>
      </c>
      <c r="D3265" t="inlineStr">
        <is>
          <t>VÄSTERBOTTENS LÄN</t>
        </is>
      </c>
      <c r="E3265" t="inlineStr">
        <is>
          <t>UMEÅ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23191-2020</t>
        </is>
      </c>
      <c r="B3266" s="1" t="n">
        <v>43965</v>
      </c>
      <c r="C3266" s="1" t="n">
        <v>45357</v>
      </c>
      <c r="D3266" t="inlineStr">
        <is>
          <t>VÄSTERBOTTENS LÄN</t>
        </is>
      </c>
      <c r="E3266" t="inlineStr">
        <is>
          <t>VINDELN</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22975-2020</t>
        </is>
      </c>
      <c r="B3267" s="1" t="n">
        <v>43965</v>
      </c>
      <c r="C3267" s="1" t="n">
        <v>45357</v>
      </c>
      <c r="D3267" t="inlineStr">
        <is>
          <t>VÄSTERBOTTENS LÄN</t>
        </is>
      </c>
      <c r="E3267" t="inlineStr">
        <is>
          <t>UMEÅ</t>
        </is>
      </c>
      <c r="G3267" t="n">
        <v>27.5</v>
      </c>
      <c r="H3267" t="n">
        <v>0</v>
      </c>
      <c r="I3267" t="n">
        <v>0</v>
      </c>
      <c r="J3267" t="n">
        <v>0</v>
      </c>
      <c r="K3267" t="n">
        <v>0</v>
      </c>
      <c r="L3267" t="n">
        <v>0</v>
      </c>
      <c r="M3267" t="n">
        <v>0</v>
      </c>
      <c r="N3267" t="n">
        <v>0</v>
      </c>
      <c r="O3267" t="n">
        <v>0</v>
      </c>
      <c r="P3267" t="n">
        <v>0</v>
      </c>
      <c r="Q3267" t="n">
        <v>0</v>
      </c>
      <c r="R3267" s="2" t="inlineStr"/>
    </row>
    <row r="3268" ht="15" customHeight="1">
      <c r="A3268" t="inlineStr">
        <is>
          <t>A 23080-2020</t>
        </is>
      </c>
      <c r="B3268" s="1" t="n">
        <v>43965</v>
      </c>
      <c r="C3268" s="1" t="n">
        <v>45357</v>
      </c>
      <c r="D3268" t="inlineStr">
        <is>
          <t>VÄSTERBOTTENS LÄN</t>
        </is>
      </c>
      <c r="E3268" t="inlineStr">
        <is>
          <t>ROBERTSFORS</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23104-2020</t>
        </is>
      </c>
      <c r="B3269" s="1" t="n">
        <v>43965</v>
      </c>
      <c r="C3269" s="1" t="n">
        <v>45357</v>
      </c>
      <c r="D3269" t="inlineStr">
        <is>
          <t>VÄSTERBOTTENS LÄN</t>
        </is>
      </c>
      <c r="E3269" t="inlineStr">
        <is>
          <t>SORSELE</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23181-2020</t>
        </is>
      </c>
      <c r="B3270" s="1" t="n">
        <v>43965</v>
      </c>
      <c r="C3270" s="1" t="n">
        <v>45357</v>
      </c>
      <c r="D3270" t="inlineStr">
        <is>
          <t>VÄSTERBOTTENS LÄN</t>
        </is>
      </c>
      <c r="E3270" t="inlineStr">
        <is>
          <t>SKELLEFTEÅ</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23168-2020</t>
        </is>
      </c>
      <c r="B3271" s="1" t="n">
        <v>43966</v>
      </c>
      <c r="C3271" s="1" t="n">
        <v>45357</v>
      </c>
      <c r="D3271" t="inlineStr">
        <is>
          <t>VÄSTERBOTTENS LÄN</t>
        </is>
      </c>
      <c r="E3271" t="inlineStr">
        <is>
          <t>VILHELMINA</t>
        </is>
      </c>
      <c r="F3271" t="inlineStr">
        <is>
          <t>Övriga Aktiebolag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23175-2020</t>
        </is>
      </c>
      <c r="B3272" s="1" t="n">
        <v>43966</v>
      </c>
      <c r="C3272" s="1" t="n">
        <v>45357</v>
      </c>
      <c r="D3272" t="inlineStr">
        <is>
          <t>VÄSTERBOTTENS LÄN</t>
        </is>
      </c>
      <c r="E3272" t="inlineStr">
        <is>
          <t>VILHELMINA</t>
        </is>
      </c>
      <c r="F3272" t="inlineStr">
        <is>
          <t>Övriga Aktiebolag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23250-2020</t>
        </is>
      </c>
      <c r="B3273" s="1" t="n">
        <v>43966</v>
      </c>
      <c r="C3273" s="1" t="n">
        <v>45357</v>
      </c>
      <c r="D3273" t="inlineStr">
        <is>
          <t>VÄSTERBOTTENS LÄN</t>
        </is>
      </c>
      <c r="E3273" t="inlineStr">
        <is>
          <t>ROBERTSFORS</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23193-2020</t>
        </is>
      </c>
      <c r="B3274" s="1" t="n">
        <v>43966</v>
      </c>
      <c r="C3274" s="1" t="n">
        <v>45357</v>
      </c>
      <c r="D3274" t="inlineStr">
        <is>
          <t>VÄSTERBOTTENS LÄN</t>
        </is>
      </c>
      <c r="E3274" t="inlineStr">
        <is>
          <t>UMEÅ</t>
        </is>
      </c>
      <c r="F3274" t="inlineStr">
        <is>
          <t>Holmen skog AB</t>
        </is>
      </c>
      <c r="G3274" t="n">
        <v>25.9</v>
      </c>
      <c r="H3274" t="n">
        <v>0</v>
      </c>
      <c r="I3274" t="n">
        <v>0</v>
      </c>
      <c r="J3274" t="n">
        <v>0</v>
      </c>
      <c r="K3274" t="n">
        <v>0</v>
      </c>
      <c r="L3274" t="n">
        <v>0</v>
      </c>
      <c r="M3274" t="n">
        <v>0</v>
      </c>
      <c r="N3274" t="n">
        <v>0</v>
      </c>
      <c r="O3274" t="n">
        <v>0</v>
      </c>
      <c r="P3274" t="n">
        <v>0</v>
      </c>
      <c r="Q3274" t="n">
        <v>0</v>
      </c>
      <c r="R3274" s="2" t="inlineStr"/>
    </row>
    <row r="3275" ht="15" customHeight="1">
      <c r="A3275" t="inlineStr">
        <is>
          <t>A 23431-2020</t>
        </is>
      </c>
      <c r="B3275" s="1" t="n">
        <v>43966</v>
      </c>
      <c r="C3275" s="1" t="n">
        <v>45357</v>
      </c>
      <c r="D3275" t="inlineStr">
        <is>
          <t>VÄSTERBOTTENS LÄN</t>
        </is>
      </c>
      <c r="E3275" t="inlineStr">
        <is>
          <t>NORSJÖ</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23489-2020</t>
        </is>
      </c>
      <c r="B3276" s="1" t="n">
        <v>43966</v>
      </c>
      <c r="C3276" s="1" t="n">
        <v>45357</v>
      </c>
      <c r="D3276" t="inlineStr">
        <is>
          <t>VÄSTERBOTTENS LÄN</t>
        </is>
      </c>
      <c r="E3276" t="inlineStr">
        <is>
          <t>UMEÅ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23487-2020</t>
        </is>
      </c>
      <c r="B3277" s="1" t="n">
        <v>43966</v>
      </c>
      <c r="C3277" s="1" t="n">
        <v>45357</v>
      </c>
      <c r="D3277" t="inlineStr">
        <is>
          <t>VÄSTERBOTTENS LÄN</t>
        </is>
      </c>
      <c r="E3277" t="inlineStr">
        <is>
          <t>UMEÅ</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23522-2020</t>
        </is>
      </c>
      <c r="B3278" s="1" t="n">
        <v>43969</v>
      </c>
      <c r="C3278" s="1" t="n">
        <v>45357</v>
      </c>
      <c r="D3278" t="inlineStr">
        <is>
          <t>VÄSTERBOTTENS LÄN</t>
        </is>
      </c>
      <c r="E3278" t="inlineStr">
        <is>
          <t>SKELLEFTEÅ</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23672-2020</t>
        </is>
      </c>
      <c r="B3279" s="1" t="n">
        <v>43970</v>
      </c>
      <c r="C3279" s="1" t="n">
        <v>45357</v>
      </c>
      <c r="D3279" t="inlineStr">
        <is>
          <t>VÄSTERBOTTENS LÄN</t>
        </is>
      </c>
      <c r="E3279" t="inlineStr">
        <is>
          <t>SKELLEFTEÅ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24280-2020</t>
        </is>
      </c>
      <c r="B3280" s="1" t="n">
        <v>43970</v>
      </c>
      <c r="C3280" s="1" t="n">
        <v>45357</v>
      </c>
      <c r="D3280" t="inlineStr">
        <is>
          <t>VÄSTERBOTTENS LÄN</t>
        </is>
      </c>
      <c r="E3280" t="inlineStr">
        <is>
          <t>SKELLEFTEÅ</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24276-2020</t>
        </is>
      </c>
      <c r="B3281" s="1" t="n">
        <v>43970</v>
      </c>
      <c r="C3281" s="1" t="n">
        <v>45357</v>
      </c>
      <c r="D3281" t="inlineStr">
        <is>
          <t>VÄSTERBOTTENS LÄN</t>
        </is>
      </c>
      <c r="E3281" t="inlineStr">
        <is>
          <t>SKELLEFTEÅ</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24274-2020</t>
        </is>
      </c>
      <c r="B3282" s="1" t="n">
        <v>43970</v>
      </c>
      <c r="C3282" s="1" t="n">
        <v>45357</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24249-2020</t>
        </is>
      </c>
      <c r="B3283" s="1" t="n">
        <v>43970</v>
      </c>
      <c r="C3283" s="1" t="n">
        <v>45357</v>
      </c>
      <c r="D3283" t="inlineStr">
        <is>
          <t>VÄSTERBOTTENS LÄN</t>
        </is>
      </c>
      <c r="E3283" t="inlineStr">
        <is>
          <t>MALÅ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23908-2020</t>
        </is>
      </c>
      <c r="B3284" s="1" t="n">
        <v>43970</v>
      </c>
      <c r="C3284" s="1" t="n">
        <v>45357</v>
      </c>
      <c r="D3284" t="inlineStr">
        <is>
          <t>VÄSTERBOTTENS LÄN</t>
        </is>
      </c>
      <c r="E3284" t="inlineStr">
        <is>
          <t>SKELLEFTEÅ</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23907-2020</t>
        </is>
      </c>
      <c r="B3285" s="1" t="n">
        <v>43970</v>
      </c>
      <c r="C3285" s="1" t="n">
        <v>45357</v>
      </c>
      <c r="D3285" t="inlineStr">
        <is>
          <t>VÄSTERBOTTENS LÄN</t>
        </is>
      </c>
      <c r="E3285" t="inlineStr">
        <is>
          <t>SKELLEFTEÅ</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24264-2020</t>
        </is>
      </c>
      <c r="B3286" s="1" t="n">
        <v>43970</v>
      </c>
      <c r="C3286" s="1" t="n">
        <v>45357</v>
      </c>
      <c r="D3286" t="inlineStr">
        <is>
          <t>VÄSTERBOTTENS LÄN</t>
        </is>
      </c>
      <c r="E3286" t="inlineStr">
        <is>
          <t>SKELLEFTEÅ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23927-2020</t>
        </is>
      </c>
      <c r="B3287" s="1" t="n">
        <v>43971</v>
      </c>
      <c r="C3287" s="1" t="n">
        <v>45357</v>
      </c>
      <c r="D3287" t="inlineStr">
        <is>
          <t>VÄSTERBOTTENS LÄN</t>
        </is>
      </c>
      <c r="E3287" t="inlineStr">
        <is>
          <t>VINDELN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23977-2020</t>
        </is>
      </c>
      <c r="B3288" s="1" t="n">
        <v>43971</v>
      </c>
      <c r="C3288" s="1" t="n">
        <v>45357</v>
      </c>
      <c r="D3288" t="inlineStr">
        <is>
          <t>VÄSTERBOTTENS LÄN</t>
        </is>
      </c>
      <c r="E3288" t="inlineStr">
        <is>
          <t>VINDELN</t>
        </is>
      </c>
      <c r="G3288" t="n">
        <v>0</v>
      </c>
      <c r="H3288" t="n">
        <v>0</v>
      </c>
      <c r="I3288" t="n">
        <v>0</v>
      </c>
      <c r="J3288" t="n">
        <v>0</v>
      </c>
      <c r="K3288" t="n">
        <v>0</v>
      </c>
      <c r="L3288" t="n">
        <v>0</v>
      </c>
      <c r="M3288" t="n">
        <v>0</v>
      </c>
      <c r="N3288" t="n">
        <v>0</v>
      </c>
      <c r="O3288" t="n">
        <v>0</v>
      </c>
      <c r="P3288" t="n">
        <v>0</v>
      </c>
      <c r="Q3288" t="n">
        <v>0</v>
      </c>
      <c r="R3288" s="2" t="inlineStr"/>
    </row>
    <row r="3289" ht="15" customHeight="1">
      <c r="A3289" t="inlineStr">
        <is>
          <t>A 24144-2020</t>
        </is>
      </c>
      <c r="B3289" s="1" t="n">
        <v>43973</v>
      </c>
      <c r="C3289" s="1" t="n">
        <v>45357</v>
      </c>
      <c r="D3289" t="inlineStr">
        <is>
          <t>VÄSTERBOTTENS LÄN</t>
        </is>
      </c>
      <c r="E3289" t="inlineStr">
        <is>
          <t>VINDELN</t>
        </is>
      </c>
      <c r="F3289" t="inlineStr">
        <is>
          <t>SCA</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24315-2020</t>
        </is>
      </c>
      <c r="B3290" s="1" t="n">
        <v>43976</v>
      </c>
      <c r="C3290" s="1" t="n">
        <v>45357</v>
      </c>
      <c r="D3290" t="inlineStr">
        <is>
          <t>VÄSTERBOTTENS LÄN</t>
        </is>
      </c>
      <c r="E3290" t="inlineStr">
        <is>
          <t>ÅSELE</t>
        </is>
      </c>
      <c r="F3290" t="inlineStr">
        <is>
          <t>Sveaskog</t>
        </is>
      </c>
      <c r="G3290" t="n">
        <v>31.2</v>
      </c>
      <c r="H3290" t="n">
        <v>0</v>
      </c>
      <c r="I3290" t="n">
        <v>0</v>
      </c>
      <c r="J3290" t="n">
        <v>0</v>
      </c>
      <c r="K3290" t="n">
        <v>0</v>
      </c>
      <c r="L3290" t="n">
        <v>0</v>
      </c>
      <c r="M3290" t="n">
        <v>0</v>
      </c>
      <c r="N3290" t="n">
        <v>0</v>
      </c>
      <c r="O3290" t="n">
        <v>0</v>
      </c>
      <c r="P3290" t="n">
        <v>0</v>
      </c>
      <c r="Q3290" t="n">
        <v>0</v>
      </c>
      <c r="R3290" s="2" t="inlineStr"/>
    </row>
    <row r="3291" ht="15" customHeight="1">
      <c r="A3291" t="inlineStr">
        <is>
          <t>A 24258-2020</t>
        </is>
      </c>
      <c r="B3291" s="1" t="n">
        <v>43976</v>
      </c>
      <c r="C3291" s="1" t="n">
        <v>45357</v>
      </c>
      <c r="D3291" t="inlineStr">
        <is>
          <t>VÄSTERBOTTENS LÄN</t>
        </is>
      </c>
      <c r="E3291" t="inlineStr">
        <is>
          <t>UMEÅ</t>
        </is>
      </c>
      <c r="F3291" t="inlineStr">
        <is>
          <t>Kommuner</t>
        </is>
      </c>
      <c r="G3291" t="n">
        <v>17.4</v>
      </c>
      <c r="H3291" t="n">
        <v>0</v>
      </c>
      <c r="I3291" t="n">
        <v>0</v>
      </c>
      <c r="J3291" t="n">
        <v>0</v>
      </c>
      <c r="K3291" t="n">
        <v>0</v>
      </c>
      <c r="L3291" t="n">
        <v>0</v>
      </c>
      <c r="M3291" t="n">
        <v>0</v>
      </c>
      <c r="N3291" t="n">
        <v>0</v>
      </c>
      <c r="O3291" t="n">
        <v>0</v>
      </c>
      <c r="P3291" t="n">
        <v>0</v>
      </c>
      <c r="Q3291" t="n">
        <v>0</v>
      </c>
      <c r="R3291" s="2" t="inlineStr"/>
    </row>
    <row r="3292" ht="15" customHeight="1">
      <c r="A3292" t="inlineStr">
        <is>
          <t>A 24469-2020</t>
        </is>
      </c>
      <c r="B3292" s="1" t="n">
        <v>43976</v>
      </c>
      <c r="C3292" s="1" t="n">
        <v>45357</v>
      </c>
      <c r="D3292" t="inlineStr">
        <is>
          <t>VÄSTERBOTTENS LÄN</t>
        </is>
      </c>
      <c r="E3292" t="inlineStr">
        <is>
          <t>ROBERTSFORS</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24558-2020</t>
        </is>
      </c>
      <c r="B3293" s="1" t="n">
        <v>43976</v>
      </c>
      <c r="C3293" s="1" t="n">
        <v>45357</v>
      </c>
      <c r="D3293" t="inlineStr">
        <is>
          <t>VÄSTERBOTTENS LÄN</t>
        </is>
      </c>
      <c r="E3293" t="inlineStr">
        <is>
          <t>VINDELN</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24543-2020</t>
        </is>
      </c>
      <c r="B3294" s="1" t="n">
        <v>43977</v>
      </c>
      <c r="C3294" s="1" t="n">
        <v>45357</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24985-2020</t>
        </is>
      </c>
      <c r="B3295" s="1" t="n">
        <v>43977</v>
      </c>
      <c r="C3295" s="1" t="n">
        <v>45357</v>
      </c>
      <c r="D3295" t="inlineStr">
        <is>
          <t>VÄSTERBOTTENS LÄN</t>
        </is>
      </c>
      <c r="E3295" t="inlineStr">
        <is>
          <t>VILHELMINA</t>
        </is>
      </c>
      <c r="F3295" t="inlineStr">
        <is>
          <t>Övriga statliga verk och myndigheter</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24683-2020</t>
        </is>
      </c>
      <c r="B3296" s="1" t="n">
        <v>43978</v>
      </c>
      <c r="C3296" s="1" t="n">
        <v>45357</v>
      </c>
      <c r="D3296" t="inlineStr">
        <is>
          <t>VÄSTERBOTTENS LÄN</t>
        </is>
      </c>
      <c r="E3296" t="inlineStr">
        <is>
          <t>ROBERTSFORS</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24702-2020</t>
        </is>
      </c>
      <c r="B3297" s="1" t="n">
        <v>43978</v>
      </c>
      <c r="C3297" s="1" t="n">
        <v>45357</v>
      </c>
      <c r="D3297" t="inlineStr">
        <is>
          <t>VÄSTERBOTTENS LÄN</t>
        </is>
      </c>
      <c r="E3297" t="inlineStr">
        <is>
          <t>UMEÅ</t>
        </is>
      </c>
      <c r="F3297" t="inlineStr">
        <is>
          <t>Holmen skog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24680-2020</t>
        </is>
      </c>
      <c r="B3298" s="1" t="n">
        <v>43978</v>
      </c>
      <c r="C3298" s="1" t="n">
        <v>45357</v>
      </c>
      <c r="D3298" t="inlineStr">
        <is>
          <t>VÄSTERBOTTENS LÄN</t>
        </is>
      </c>
      <c r="E3298" t="inlineStr">
        <is>
          <t>ROBERTSFORS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25142-2020</t>
        </is>
      </c>
      <c r="B3299" s="1" t="n">
        <v>43978</v>
      </c>
      <c r="C3299" s="1" t="n">
        <v>45357</v>
      </c>
      <c r="D3299" t="inlineStr">
        <is>
          <t>VÄSTERBOTTENS LÄN</t>
        </is>
      </c>
      <c r="E3299" t="inlineStr">
        <is>
          <t>SKELLEFTEÅ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24820-2020</t>
        </is>
      </c>
      <c r="B3300" s="1" t="n">
        <v>43978</v>
      </c>
      <c r="C3300" s="1" t="n">
        <v>45357</v>
      </c>
      <c r="D3300" t="inlineStr">
        <is>
          <t>VÄSTERBOTTENS LÄN</t>
        </is>
      </c>
      <c r="E3300" t="inlineStr">
        <is>
          <t>ROBERTSFORS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25161-2020</t>
        </is>
      </c>
      <c r="B3301" s="1" t="n">
        <v>43978</v>
      </c>
      <c r="C3301" s="1" t="n">
        <v>45357</v>
      </c>
      <c r="D3301" t="inlineStr">
        <is>
          <t>VÄSTERBOTTENS LÄN</t>
        </is>
      </c>
      <c r="E3301" t="inlineStr">
        <is>
          <t>SKELLEFTEÅ</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24715-2020</t>
        </is>
      </c>
      <c r="B3302" s="1" t="n">
        <v>43978</v>
      </c>
      <c r="C3302" s="1" t="n">
        <v>45357</v>
      </c>
      <c r="D3302" t="inlineStr">
        <is>
          <t>VÄSTERBOTTENS LÄN</t>
        </is>
      </c>
      <c r="E3302" t="inlineStr">
        <is>
          <t>UMEÅ</t>
        </is>
      </c>
      <c r="F3302" t="inlineStr">
        <is>
          <t>Holmen skog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25051-2020</t>
        </is>
      </c>
      <c r="B3303" s="1" t="n">
        <v>43979</v>
      </c>
      <c r="C3303" s="1" t="n">
        <v>45357</v>
      </c>
      <c r="D3303" t="inlineStr">
        <is>
          <t>VÄSTERBOTTENS LÄN</t>
        </is>
      </c>
      <c r="E3303" t="inlineStr">
        <is>
          <t>SKELLEFTEÅ</t>
        </is>
      </c>
      <c r="F3303" t="inlineStr">
        <is>
          <t>Holmen skog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24923-2020</t>
        </is>
      </c>
      <c r="B3304" s="1" t="n">
        <v>43979</v>
      </c>
      <c r="C3304" s="1" t="n">
        <v>45357</v>
      </c>
      <c r="D3304" t="inlineStr">
        <is>
          <t>VÄSTERBOTTENS LÄN</t>
        </is>
      </c>
      <c r="E3304" t="inlineStr">
        <is>
          <t>ROBERTSFORS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25178-2020</t>
        </is>
      </c>
      <c r="B3305" s="1" t="n">
        <v>43980</v>
      </c>
      <c r="C3305" s="1" t="n">
        <v>45357</v>
      </c>
      <c r="D3305" t="inlineStr">
        <is>
          <t>VÄSTERBOTTENS LÄN</t>
        </is>
      </c>
      <c r="E3305" t="inlineStr">
        <is>
          <t>UMEÅ</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25147-2020</t>
        </is>
      </c>
      <c r="B3306" s="1" t="n">
        <v>43980</v>
      </c>
      <c r="C3306" s="1" t="n">
        <v>45357</v>
      </c>
      <c r="D3306" t="inlineStr">
        <is>
          <t>VÄSTERBOTTENS LÄN</t>
        </is>
      </c>
      <c r="E3306" t="inlineStr">
        <is>
          <t>ROBERTSFORS</t>
        </is>
      </c>
      <c r="F3306" t="inlineStr">
        <is>
          <t>Holmen skog AB</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25186-2020</t>
        </is>
      </c>
      <c r="B3307" s="1" t="n">
        <v>43980</v>
      </c>
      <c r="C3307" s="1" t="n">
        <v>45357</v>
      </c>
      <c r="D3307" t="inlineStr">
        <is>
          <t>VÄSTERBOTTENS LÄN</t>
        </is>
      </c>
      <c r="E3307" t="inlineStr">
        <is>
          <t>ÅSELE</t>
        </is>
      </c>
      <c r="F3307" t="inlineStr">
        <is>
          <t>Holmen skog AB</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25244-2020</t>
        </is>
      </c>
      <c r="B3308" s="1" t="n">
        <v>43980</v>
      </c>
      <c r="C3308" s="1" t="n">
        <v>45357</v>
      </c>
      <c r="D3308" t="inlineStr">
        <is>
          <t>VÄSTERBOTTENS LÄN</t>
        </is>
      </c>
      <c r="E3308" t="inlineStr">
        <is>
          <t>BJURHOLM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25202-2020</t>
        </is>
      </c>
      <c r="B3309" s="1" t="n">
        <v>43980</v>
      </c>
      <c r="C3309" s="1" t="n">
        <v>45357</v>
      </c>
      <c r="D3309" t="inlineStr">
        <is>
          <t>VÄSTERBOTTENS LÄN</t>
        </is>
      </c>
      <c r="E3309" t="inlineStr">
        <is>
          <t>SKELLEFTEÅ</t>
        </is>
      </c>
      <c r="F3309" t="inlineStr">
        <is>
          <t>Holmen skog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25258-2020</t>
        </is>
      </c>
      <c r="B3310" s="1" t="n">
        <v>43980</v>
      </c>
      <c r="C3310" s="1" t="n">
        <v>45357</v>
      </c>
      <c r="D3310" t="inlineStr">
        <is>
          <t>VÄSTERBOTTENS LÄN</t>
        </is>
      </c>
      <c r="E3310" t="inlineStr">
        <is>
          <t>LYCKSELE</t>
        </is>
      </c>
      <c r="F3310" t="inlineStr">
        <is>
          <t>Holmen skog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25435-2020</t>
        </is>
      </c>
      <c r="B3311" s="1" t="n">
        <v>43980</v>
      </c>
      <c r="C3311" s="1" t="n">
        <v>45357</v>
      </c>
      <c r="D3311" t="inlineStr">
        <is>
          <t>VÄSTERBOTTENS LÄN</t>
        </is>
      </c>
      <c r="E3311" t="inlineStr">
        <is>
          <t>ÅSELE</t>
        </is>
      </c>
      <c r="F3311" t="inlineStr">
        <is>
          <t>Holmen skog AB</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25452-2020</t>
        </is>
      </c>
      <c r="B3312" s="1" t="n">
        <v>43983</v>
      </c>
      <c r="C3312" s="1" t="n">
        <v>45357</v>
      </c>
      <c r="D3312" t="inlineStr">
        <is>
          <t>VÄSTERBOTTENS LÄN</t>
        </is>
      </c>
      <c r="E3312" t="inlineStr">
        <is>
          <t>ÅSELE</t>
        </is>
      </c>
      <c r="F3312" t="inlineStr">
        <is>
          <t>Sveaskog</t>
        </is>
      </c>
      <c r="G3312" t="n">
        <v>8.300000000000001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25491-2020</t>
        </is>
      </c>
      <c r="B3313" s="1" t="n">
        <v>43983</v>
      </c>
      <c r="C3313" s="1" t="n">
        <v>45357</v>
      </c>
      <c r="D3313" t="inlineStr">
        <is>
          <t>VÄSTERBOTTENS LÄN</t>
        </is>
      </c>
      <c r="E3313" t="inlineStr">
        <is>
          <t>VILHELMINA</t>
        </is>
      </c>
      <c r="F3313" t="inlineStr">
        <is>
          <t>Allmännings- och besparingsskogar</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25473-2020</t>
        </is>
      </c>
      <c r="B3314" s="1" t="n">
        <v>43983</v>
      </c>
      <c r="C3314" s="1" t="n">
        <v>45357</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25498-2020</t>
        </is>
      </c>
      <c r="B3315" s="1" t="n">
        <v>43983</v>
      </c>
      <c r="C3315" s="1" t="n">
        <v>45357</v>
      </c>
      <c r="D3315" t="inlineStr">
        <is>
          <t>VÄSTERBOTTENS LÄN</t>
        </is>
      </c>
      <c r="E3315" t="inlineStr">
        <is>
          <t>VILHELMINA</t>
        </is>
      </c>
      <c r="F3315" t="inlineStr">
        <is>
          <t>Allmännings- och besparingsskogar</t>
        </is>
      </c>
      <c r="G3315" t="n">
        <v>22.6</v>
      </c>
      <c r="H3315" t="n">
        <v>0</v>
      </c>
      <c r="I3315" t="n">
        <v>0</v>
      </c>
      <c r="J3315" t="n">
        <v>0</v>
      </c>
      <c r="K3315" t="n">
        <v>0</v>
      </c>
      <c r="L3315" t="n">
        <v>0</v>
      </c>
      <c r="M3315" t="n">
        <v>0</v>
      </c>
      <c r="N3315" t="n">
        <v>0</v>
      </c>
      <c r="O3315" t="n">
        <v>0</v>
      </c>
      <c r="P3315" t="n">
        <v>0</v>
      </c>
      <c r="Q3315" t="n">
        <v>0</v>
      </c>
      <c r="R3315" s="2" t="inlineStr"/>
    </row>
    <row r="3316" ht="15" customHeight="1">
      <c r="A3316" t="inlineStr">
        <is>
          <t>A 25608-2020</t>
        </is>
      </c>
      <c r="B3316" s="1" t="n">
        <v>43983</v>
      </c>
      <c r="C3316" s="1" t="n">
        <v>45357</v>
      </c>
      <c r="D3316" t="inlineStr">
        <is>
          <t>VÄSTERBOTTENS LÄN</t>
        </is>
      </c>
      <c r="E3316" t="inlineStr">
        <is>
          <t>LYCKSELE</t>
        </is>
      </c>
      <c r="F3316" t="inlineStr">
        <is>
          <t>Holmen skog AB</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25674-2020</t>
        </is>
      </c>
      <c r="B3317" s="1" t="n">
        <v>43983</v>
      </c>
      <c r="C3317" s="1" t="n">
        <v>45357</v>
      </c>
      <c r="D3317" t="inlineStr">
        <is>
          <t>VÄSTERBOTTENS LÄN</t>
        </is>
      </c>
      <c r="E3317" t="inlineStr">
        <is>
          <t>STORUMAN</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25682-2020</t>
        </is>
      </c>
      <c r="B3318" s="1" t="n">
        <v>43983</v>
      </c>
      <c r="C3318" s="1" t="n">
        <v>45357</v>
      </c>
      <c r="D3318" t="inlineStr">
        <is>
          <t>VÄSTERBOTTENS LÄN</t>
        </is>
      </c>
      <c r="E3318" t="inlineStr">
        <is>
          <t>SKELLEFTEÅ</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25839-2020</t>
        </is>
      </c>
      <c r="B3319" s="1" t="n">
        <v>43983</v>
      </c>
      <c r="C3319" s="1" t="n">
        <v>45357</v>
      </c>
      <c r="D3319" t="inlineStr">
        <is>
          <t>VÄSTERBOTTENS LÄN</t>
        </is>
      </c>
      <c r="E3319" t="inlineStr">
        <is>
          <t>ROBERTSFORS</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25865-2020</t>
        </is>
      </c>
      <c r="B3320" s="1" t="n">
        <v>43983</v>
      </c>
      <c r="C3320" s="1" t="n">
        <v>45357</v>
      </c>
      <c r="D3320" t="inlineStr">
        <is>
          <t>VÄSTERBOTTENS LÄN</t>
        </is>
      </c>
      <c r="E3320" t="inlineStr">
        <is>
          <t>MALÅ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25858-2020</t>
        </is>
      </c>
      <c r="B3321" s="1" t="n">
        <v>43984</v>
      </c>
      <c r="C3321" s="1" t="n">
        <v>45357</v>
      </c>
      <c r="D3321" t="inlineStr">
        <is>
          <t>VÄSTERBOTTENS LÄN</t>
        </is>
      </c>
      <c r="E3321" t="inlineStr">
        <is>
          <t>SKELLEFTEÅ</t>
        </is>
      </c>
      <c r="F3321" t="inlineStr">
        <is>
          <t>Sveaskog</t>
        </is>
      </c>
      <c r="G3321" t="n">
        <v>9.300000000000001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25972-2020</t>
        </is>
      </c>
      <c r="B3322" s="1" t="n">
        <v>43984</v>
      </c>
      <c r="C3322" s="1" t="n">
        <v>45357</v>
      </c>
      <c r="D3322" t="inlineStr">
        <is>
          <t>VÄSTERBOTTENS LÄN</t>
        </is>
      </c>
      <c r="E3322" t="inlineStr">
        <is>
          <t>ROBERTSFORS</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26089-2020</t>
        </is>
      </c>
      <c r="B3323" s="1" t="n">
        <v>43984</v>
      </c>
      <c r="C3323" s="1" t="n">
        <v>45357</v>
      </c>
      <c r="D3323" t="inlineStr">
        <is>
          <t>VÄSTERBOTTENS LÄN</t>
        </is>
      </c>
      <c r="E3323" t="inlineStr">
        <is>
          <t>SKELLEFTEÅ</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25695-2020</t>
        </is>
      </c>
      <c r="B3324" s="1" t="n">
        <v>43984</v>
      </c>
      <c r="C3324" s="1" t="n">
        <v>45357</v>
      </c>
      <c r="D3324" t="inlineStr">
        <is>
          <t>VÄSTERBOTTENS LÄN</t>
        </is>
      </c>
      <c r="E3324" t="inlineStr">
        <is>
          <t>SKELLEFTEÅ</t>
        </is>
      </c>
      <c r="G3324" t="n">
        <v>15.3</v>
      </c>
      <c r="H3324" t="n">
        <v>0</v>
      </c>
      <c r="I3324" t="n">
        <v>0</v>
      </c>
      <c r="J3324" t="n">
        <v>0</v>
      </c>
      <c r="K3324" t="n">
        <v>0</v>
      </c>
      <c r="L3324" t="n">
        <v>0</v>
      </c>
      <c r="M3324" t="n">
        <v>0</v>
      </c>
      <c r="N3324" t="n">
        <v>0</v>
      </c>
      <c r="O3324" t="n">
        <v>0</v>
      </c>
      <c r="P3324" t="n">
        <v>0</v>
      </c>
      <c r="Q3324" t="n">
        <v>0</v>
      </c>
      <c r="R3324" s="2" t="inlineStr"/>
    </row>
    <row r="3325" ht="15" customHeight="1">
      <c r="A3325" t="inlineStr">
        <is>
          <t>A 25883-2020</t>
        </is>
      </c>
      <c r="B3325" s="1" t="n">
        <v>43984</v>
      </c>
      <c r="C3325" s="1" t="n">
        <v>45357</v>
      </c>
      <c r="D3325" t="inlineStr">
        <is>
          <t>VÄSTERBOTTENS LÄN</t>
        </is>
      </c>
      <c r="E3325" t="inlineStr">
        <is>
          <t>BJURHOLM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25908-2020</t>
        </is>
      </c>
      <c r="B3326" s="1" t="n">
        <v>43984</v>
      </c>
      <c r="C3326" s="1" t="n">
        <v>45357</v>
      </c>
      <c r="D3326" t="inlineStr">
        <is>
          <t>VÄSTERBOTTENS LÄN</t>
        </is>
      </c>
      <c r="E3326" t="inlineStr">
        <is>
          <t>NORDMALING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25916-2020</t>
        </is>
      </c>
      <c r="B3327" s="1" t="n">
        <v>43984</v>
      </c>
      <c r="C3327" s="1" t="n">
        <v>45357</v>
      </c>
      <c r="D3327" t="inlineStr">
        <is>
          <t>VÄSTERBOTTENS LÄN</t>
        </is>
      </c>
      <c r="E3327" t="inlineStr">
        <is>
          <t>LYCKSELE</t>
        </is>
      </c>
      <c r="F3327" t="inlineStr">
        <is>
          <t>SCA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26096-2020</t>
        </is>
      </c>
      <c r="B3328" s="1" t="n">
        <v>43985</v>
      </c>
      <c r="C3328" s="1" t="n">
        <v>45357</v>
      </c>
      <c r="D3328" t="inlineStr">
        <is>
          <t>VÄSTERBOTTENS LÄN</t>
        </is>
      </c>
      <c r="E3328" t="inlineStr">
        <is>
          <t>LYCKSELE</t>
        </is>
      </c>
      <c r="F3328" t="inlineStr">
        <is>
          <t>Holmen skog AB</t>
        </is>
      </c>
      <c r="G3328" t="n">
        <v>9.800000000000001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26082-2020</t>
        </is>
      </c>
      <c r="B3329" s="1" t="n">
        <v>43985</v>
      </c>
      <c r="C3329" s="1" t="n">
        <v>45357</v>
      </c>
      <c r="D3329" t="inlineStr">
        <is>
          <t>VÄSTERBOTTENS LÄN</t>
        </is>
      </c>
      <c r="E3329" t="inlineStr">
        <is>
          <t>LYCKSELE</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27094-2020</t>
        </is>
      </c>
      <c r="B3330" s="1" t="n">
        <v>43985</v>
      </c>
      <c r="C3330" s="1" t="n">
        <v>45357</v>
      </c>
      <c r="D3330" t="inlineStr">
        <is>
          <t>VÄSTERBOTTENS LÄN</t>
        </is>
      </c>
      <c r="E3330" t="inlineStr">
        <is>
          <t>LYCKSELE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25968-2020</t>
        </is>
      </c>
      <c r="B3331" s="1" t="n">
        <v>43985</v>
      </c>
      <c r="C3331" s="1" t="n">
        <v>45357</v>
      </c>
      <c r="D3331" t="inlineStr">
        <is>
          <t>VÄSTERBOTTENS LÄN</t>
        </is>
      </c>
      <c r="E3331" t="inlineStr">
        <is>
          <t>SKELLEFTEÅ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26014-2020</t>
        </is>
      </c>
      <c r="B3332" s="1" t="n">
        <v>43985</v>
      </c>
      <c r="C3332" s="1" t="n">
        <v>45357</v>
      </c>
      <c r="D3332" t="inlineStr">
        <is>
          <t>VÄSTERBOTTENS LÄN</t>
        </is>
      </c>
      <c r="E3332" t="inlineStr">
        <is>
          <t>ROBERTSFORS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26580-2020</t>
        </is>
      </c>
      <c r="B3333" s="1" t="n">
        <v>43986</v>
      </c>
      <c r="C3333" s="1" t="n">
        <v>45357</v>
      </c>
      <c r="D3333" t="inlineStr">
        <is>
          <t>VÄSTERBOTTENS LÄN</t>
        </is>
      </c>
      <c r="E3333" t="inlineStr">
        <is>
          <t>UMEÅ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26422-2020</t>
        </is>
      </c>
      <c r="B3334" s="1" t="n">
        <v>43986</v>
      </c>
      <c r="C3334" s="1" t="n">
        <v>45357</v>
      </c>
      <c r="D3334" t="inlineStr">
        <is>
          <t>VÄSTERBOTTENS LÄN</t>
        </is>
      </c>
      <c r="E3334" t="inlineStr">
        <is>
          <t>SKELLEFTEÅ</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26382-2020</t>
        </is>
      </c>
      <c r="B3335" s="1" t="n">
        <v>43986</v>
      </c>
      <c r="C3335" s="1" t="n">
        <v>45357</v>
      </c>
      <c r="D3335" t="inlineStr">
        <is>
          <t>VÄSTERBOTTENS LÄN</t>
        </is>
      </c>
      <c r="E3335" t="inlineStr">
        <is>
          <t>VILHELMINA</t>
        </is>
      </c>
      <c r="F3335" t="inlineStr">
        <is>
          <t>SCA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26369-2020</t>
        </is>
      </c>
      <c r="B3336" s="1" t="n">
        <v>43986</v>
      </c>
      <c r="C3336" s="1" t="n">
        <v>45357</v>
      </c>
      <c r="D3336" t="inlineStr">
        <is>
          <t>VÄSTERBOTTENS LÄN</t>
        </is>
      </c>
      <c r="E3336" t="inlineStr">
        <is>
          <t>MALÅ</t>
        </is>
      </c>
      <c r="F3336" t="inlineStr">
        <is>
          <t>SCA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26308-2020</t>
        </is>
      </c>
      <c r="B3337" s="1" t="n">
        <v>43986</v>
      </c>
      <c r="C3337" s="1" t="n">
        <v>45357</v>
      </c>
      <c r="D3337" t="inlineStr">
        <is>
          <t>VÄSTERBOTTENS LÄN</t>
        </is>
      </c>
      <c r="E3337" t="inlineStr">
        <is>
          <t>VILHELMINA</t>
        </is>
      </c>
      <c r="G3337" t="n">
        <v>12.1</v>
      </c>
      <c r="H3337" t="n">
        <v>0</v>
      </c>
      <c r="I3337" t="n">
        <v>0</v>
      </c>
      <c r="J3337" t="n">
        <v>0</v>
      </c>
      <c r="K3337" t="n">
        <v>0</v>
      </c>
      <c r="L3337" t="n">
        <v>0</v>
      </c>
      <c r="M3337" t="n">
        <v>0</v>
      </c>
      <c r="N3337" t="n">
        <v>0</v>
      </c>
      <c r="O3337" t="n">
        <v>0</v>
      </c>
      <c r="P3337" t="n">
        <v>0</v>
      </c>
      <c r="Q3337" t="n">
        <v>0</v>
      </c>
      <c r="R3337" s="2" t="inlineStr"/>
    </row>
    <row r="3338" ht="15" customHeight="1">
      <c r="A3338" t="inlineStr">
        <is>
          <t>A 26578-2020</t>
        </is>
      </c>
      <c r="B3338" s="1" t="n">
        <v>43986</v>
      </c>
      <c r="C3338" s="1" t="n">
        <v>45357</v>
      </c>
      <c r="D3338" t="inlineStr">
        <is>
          <t>VÄSTERBOTTENS LÄN</t>
        </is>
      </c>
      <c r="E3338" t="inlineStr">
        <is>
          <t>VINDELN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26362-2020</t>
        </is>
      </c>
      <c r="B3339" s="1" t="n">
        <v>43986</v>
      </c>
      <c r="C3339" s="1" t="n">
        <v>45357</v>
      </c>
      <c r="D3339" t="inlineStr">
        <is>
          <t>VÄSTERBOTTENS LÄN</t>
        </is>
      </c>
      <c r="E3339" t="inlineStr">
        <is>
          <t>UMEÅ</t>
        </is>
      </c>
      <c r="F3339" t="inlineStr">
        <is>
          <t>Holmen skog AB</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26386-2020</t>
        </is>
      </c>
      <c r="B3340" s="1" t="n">
        <v>43986</v>
      </c>
      <c r="C3340" s="1" t="n">
        <v>45357</v>
      </c>
      <c r="D3340" t="inlineStr">
        <is>
          <t>VÄSTERBOTTENS LÄN</t>
        </is>
      </c>
      <c r="E3340" t="inlineStr">
        <is>
          <t>STORUMAN</t>
        </is>
      </c>
      <c r="F3340" t="inlineStr">
        <is>
          <t>SCA</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26413-2020</t>
        </is>
      </c>
      <c r="B3341" s="1" t="n">
        <v>43987</v>
      </c>
      <c r="C3341" s="1" t="n">
        <v>45357</v>
      </c>
      <c r="D3341" t="inlineStr">
        <is>
          <t>VÄSTERBOTTENS LÄN</t>
        </is>
      </c>
      <c r="E3341" t="inlineStr">
        <is>
          <t>SKELLEFTEÅ</t>
        </is>
      </c>
      <c r="F3341" t="inlineStr">
        <is>
          <t>Holmen skog AB</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26620-2020</t>
        </is>
      </c>
      <c r="B3342" s="1" t="n">
        <v>43987</v>
      </c>
      <c r="C3342" s="1" t="n">
        <v>45357</v>
      </c>
      <c r="D3342" t="inlineStr">
        <is>
          <t>VÄSTERBOTTENS LÄN</t>
        </is>
      </c>
      <c r="E3342" t="inlineStr">
        <is>
          <t>STORUMAN</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26484-2020</t>
        </is>
      </c>
      <c r="B3343" s="1" t="n">
        <v>43987</v>
      </c>
      <c r="C3343" s="1" t="n">
        <v>45357</v>
      </c>
      <c r="D3343" t="inlineStr">
        <is>
          <t>VÄSTERBOTTENS LÄN</t>
        </is>
      </c>
      <c r="E3343" t="inlineStr">
        <is>
          <t>ÅSELE</t>
        </is>
      </c>
      <c r="F3343" t="inlineStr">
        <is>
          <t>Holmen skog AB</t>
        </is>
      </c>
      <c r="G3343" t="n">
        <v>9</v>
      </c>
      <c r="H3343" t="n">
        <v>0</v>
      </c>
      <c r="I3343" t="n">
        <v>0</v>
      </c>
      <c r="J3343" t="n">
        <v>0</v>
      </c>
      <c r="K3343" t="n">
        <v>0</v>
      </c>
      <c r="L3343" t="n">
        <v>0</v>
      </c>
      <c r="M3343" t="n">
        <v>0</v>
      </c>
      <c r="N3343" t="n">
        <v>0</v>
      </c>
      <c r="O3343" t="n">
        <v>0</v>
      </c>
      <c r="P3343" t="n">
        <v>0</v>
      </c>
      <c r="Q3343" t="n">
        <v>0</v>
      </c>
      <c r="R3343" s="2" t="inlineStr"/>
    </row>
    <row r="3344" ht="15" customHeight="1">
      <c r="A3344" t="inlineStr">
        <is>
          <t>A 26566-2020</t>
        </is>
      </c>
      <c r="B3344" s="1" t="n">
        <v>43987</v>
      </c>
      <c r="C3344" s="1" t="n">
        <v>45357</v>
      </c>
      <c r="D3344" t="inlineStr">
        <is>
          <t>VÄSTERBOTTENS LÄN</t>
        </is>
      </c>
      <c r="E3344" t="inlineStr">
        <is>
          <t>BJURHOLM</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26457-2020</t>
        </is>
      </c>
      <c r="B3345" s="1" t="n">
        <v>43987</v>
      </c>
      <c r="C3345" s="1" t="n">
        <v>45357</v>
      </c>
      <c r="D3345" t="inlineStr">
        <is>
          <t>VÄSTERBOTTENS LÄN</t>
        </is>
      </c>
      <c r="E3345" t="inlineStr">
        <is>
          <t>LYCKSELE</t>
        </is>
      </c>
      <c r="F3345" t="inlineStr">
        <is>
          <t>Holmen skog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26433-2020</t>
        </is>
      </c>
      <c r="B3346" s="1" t="n">
        <v>43987</v>
      </c>
      <c r="C3346" s="1" t="n">
        <v>45357</v>
      </c>
      <c r="D3346" t="inlineStr">
        <is>
          <t>VÄSTERBOTTENS LÄN</t>
        </is>
      </c>
      <c r="E3346" t="inlineStr">
        <is>
          <t>NORSJÖ</t>
        </is>
      </c>
      <c r="F3346" t="inlineStr">
        <is>
          <t>Holmen skog AB</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26396-2020</t>
        </is>
      </c>
      <c r="B3347" s="1" t="n">
        <v>43987</v>
      </c>
      <c r="C3347" s="1" t="n">
        <v>45357</v>
      </c>
      <c r="D3347" t="inlineStr">
        <is>
          <t>VÄSTERBOTTENS LÄN</t>
        </is>
      </c>
      <c r="E3347" t="inlineStr">
        <is>
          <t>SKELLEFTEÅ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26780-2020</t>
        </is>
      </c>
      <c r="B3348" s="1" t="n">
        <v>43990</v>
      </c>
      <c r="C3348" s="1" t="n">
        <v>45357</v>
      </c>
      <c r="D3348" t="inlineStr">
        <is>
          <t>VÄSTERBOTTENS LÄN</t>
        </is>
      </c>
      <c r="E3348" t="inlineStr">
        <is>
          <t>LYCKSELE</t>
        </is>
      </c>
      <c r="F3348" t="inlineStr">
        <is>
          <t>Sveaskog</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26758-2020</t>
        </is>
      </c>
      <c r="B3349" s="1" t="n">
        <v>43990</v>
      </c>
      <c r="C3349" s="1" t="n">
        <v>45357</v>
      </c>
      <c r="D3349" t="inlineStr">
        <is>
          <t>VÄSTERBOTTENS LÄN</t>
        </is>
      </c>
      <c r="E3349" t="inlineStr">
        <is>
          <t>BJURHOLM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26961-2020</t>
        </is>
      </c>
      <c r="B3350" s="1" t="n">
        <v>43990</v>
      </c>
      <c r="C3350" s="1" t="n">
        <v>45357</v>
      </c>
      <c r="D3350" t="inlineStr">
        <is>
          <t>VÄSTERBOTTENS LÄN</t>
        </is>
      </c>
      <c r="E3350" t="inlineStr">
        <is>
          <t>SORSELE</t>
        </is>
      </c>
      <c r="G3350" t="n">
        <v>12.6</v>
      </c>
      <c r="H3350" t="n">
        <v>0</v>
      </c>
      <c r="I3350" t="n">
        <v>0</v>
      </c>
      <c r="J3350" t="n">
        <v>0</v>
      </c>
      <c r="K3350" t="n">
        <v>0</v>
      </c>
      <c r="L3350" t="n">
        <v>0</v>
      </c>
      <c r="M3350" t="n">
        <v>0</v>
      </c>
      <c r="N3350" t="n">
        <v>0</v>
      </c>
      <c r="O3350" t="n">
        <v>0</v>
      </c>
      <c r="P3350" t="n">
        <v>0</v>
      </c>
      <c r="Q3350" t="n">
        <v>0</v>
      </c>
      <c r="R3350" s="2" t="inlineStr"/>
    </row>
    <row r="3351" ht="15" customHeight="1">
      <c r="A3351" t="inlineStr">
        <is>
          <t>A 27111-2020</t>
        </is>
      </c>
      <c r="B3351" s="1" t="n">
        <v>43990</v>
      </c>
      <c r="C3351" s="1" t="n">
        <v>45357</v>
      </c>
      <c r="D3351" t="inlineStr">
        <is>
          <t>VÄSTERBOTTENS LÄN</t>
        </is>
      </c>
      <c r="E3351" t="inlineStr">
        <is>
          <t>VÄNNÄS</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26978-2020</t>
        </is>
      </c>
      <c r="B3352" s="1" t="n">
        <v>43991</v>
      </c>
      <c r="C3352" s="1" t="n">
        <v>45357</v>
      </c>
      <c r="D3352" t="inlineStr">
        <is>
          <t>VÄSTERBOTTENS LÄN</t>
        </is>
      </c>
      <c r="E3352" t="inlineStr">
        <is>
          <t>SORSELE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26977-2020</t>
        </is>
      </c>
      <c r="B3353" s="1" t="n">
        <v>43991</v>
      </c>
      <c r="C3353" s="1" t="n">
        <v>45357</v>
      </c>
      <c r="D3353" t="inlineStr">
        <is>
          <t>VÄSTERBOTTENS LÄN</t>
        </is>
      </c>
      <c r="E3353" t="inlineStr">
        <is>
          <t>SORSELE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27318-2020</t>
        </is>
      </c>
      <c r="B3354" s="1" t="n">
        <v>43991</v>
      </c>
      <c r="C3354" s="1" t="n">
        <v>45357</v>
      </c>
      <c r="D3354" t="inlineStr">
        <is>
          <t>VÄSTERBOTTENS LÄN</t>
        </is>
      </c>
      <c r="E3354" t="inlineStr">
        <is>
          <t>NORDMALING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26988-2020</t>
        </is>
      </c>
      <c r="B3355" s="1" t="n">
        <v>43991</v>
      </c>
      <c r="C3355" s="1" t="n">
        <v>45357</v>
      </c>
      <c r="D3355" t="inlineStr">
        <is>
          <t>VÄSTERBOTTENS LÄN</t>
        </is>
      </c>
      <c r="E3355" t="inlineStr">
        <is>
          <t>UMEÅ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27218-2020</t>
        </is>
      </c>
      <c r="B3356" s="1" t="n">
        <v>43992</v>
      </c>
      <c r="C3356" s="1" t="n">
        <v>45357</v>
      </c>
      <c r="D3356" t="inlineStr">
        <is>
          <t>VÄSTERBOTTENS LÄN</t>
        </is>
      </c>
      <c r="E3356" t="inlineStr">
        <is>
          <t>SKELLEFTEÅ</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27253-2020</t>
        </is>
      </c>
      <c r="B3357" s="1" t="n">
        <v>43992</v>
      </c>
      <c r="C3357" s="1" t="n">
        <v>45357</v>
      </c>
      <c r="D3357" t="inlineStr">
        <is>
          <t>VÄSTERBOTTENS LÄN</t>
        </is>
      </c>
      <c r="E3357" t="inlineStr">
        <is>
          <t>ROBERTSFORS</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27360-2020</t>
        </is>
      </c>
      <c r="B3358" s="1" t="n">
        <v>43992</v>
      </c>
      <c r="C3358" s="1" t="n">
        <v>45357</v>
      </c>
      <c r="D3358" t="inlineStr">
        <is>
          <t>VÄSTERBOTTENS LÄN</t>
        </is>
      </c>
      <c r="E3358" t="inlineStr">
        <is>
          <t>NORDMALING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27347-2020</t>
        </is>
      </c>
      <c r="B3359" s="1" t="n">
        <v>43992</v>
      </c>
      <c r="C3359" s="1" t="n">
        <v>45357</v>
      </c>
      <c r="D3359" t="inlineStr">
        <is>
          <t>VÄSTERBOTTENS LÄN</t>
        </is>
      </c>
      <c r="E3359" t="inlineStr">
        <is>
          <t>NORDMALING</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27353-2020</t>
        </is>
      </c>
      <c r="B3360" s="1" t="n">
        <v>43992</v>
      </c>
      <c r="C3360" s="1" t="n">
        <v>45357</v>
      </c>
      <c r="D3360" t="inlineStr">
        <is>
          <t>VÄSTERBOTTENS LÄN</t>
        </is>
      </c>
      <c r="E3360" t="inlineStr">
        <is>
          <t>NORDMALING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27545-2020</t>
        </is>
      </c>
      <c r="B3361" s="1" t="n">
        <v>43993</v>
      </c>
      <c r="C3361" s="1" t="n">
        <v>45357</v>
      </c>
      <c r="D3361" t="inlineStr">
        <is>
          <t>VÄSTERBOTTENS LÄN</t>
        </is>
      </c>
      <c r="E3361" t="inlineStr">
        <is>
          <t>NORSJÖ</t>
        </is>
      </c>
      <c r="F3361" t="inlineStr">
        <is>
          <t>Holmen skog AB</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27966-2020</t>
        </is>
      </c>
      <c r="B3362" s="1" t="n">
        <v>43993</v>
      </c>
      <c r="C3362" s="1" t="n">
        <v>45357</v>
      </c>
      <c r="D3362" t="inlineStr">
        <is>
          <t>VÄSTERBOTTENS LÄN</t>
        </is>
      </c>
      <c r="E3362" t="inlineStr">
        <is>
          <t>ÅSELE</t>
        </is>
      </c>
      <c r="F3362" t="inlineStr">
        <is>
          <t>Övriga Aktiebolag</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27972-2020</t>
        </is>
      </c>
      <c r="B3363" s="1" t="n">
        <v>43993</v>
      </c>
      <c r="C3363" s="1" t="n">
        <v>45357</v>
      </c>
      <c r="D3363" t="inlineStr">
        <is>
          <t>VÄSTERBOTTENS LÄN</t>
        </is>
      </c>
      <c r="E3363" t="inlineStr">
        <is>
          <t>ÅSELE</t>
        </is>
      </c>
      <c r="F3363" t="inlineStr">
        <is>
          <t>Övriga Aktiebolag</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28039-2020</t>
        </is>
      </c>
      <c r="B3364" s="1" t="n">
        <v>43993</v>
      </c>
      <c r="C3364" s="1" t="n">
        <v>45357</v>
      </c>
      <c r="D3364" t="inlineStr">
        <is>
          <t>VÄSTERBOTTENS LÄN</t>
        </is>
      </c>
      <c r="E3364" t="inlineStr">
        <is>
          <t>UMEÅ</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27971-2020</t>
        </is>
      </c>
      <c r="B3365" s="1" t="n">
        <v>43993</v>
      </c>
      <c r="C3365" s="1" t="n">
        <v>45357</v>
      </c>
      <c r="D3365" t="inlineStr">
        <is>
          <t>VÄSTERBOTTENS LÄN</t>
        </is>
      </c>
      <c r="E3365" t="inlineStr">
        <is>
          <t>ÅSELE</t>
        </is>
      </c>
      <c r="F3365" t="inlineStr">
        <is>
          <t>Övriga Aktiebolag</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27792-2020</t>
        </is>
      </c>
      <c r="B3366" s="1" t="n">
        <v>43994</v>
      </c>
      <c r="C3366" s="1" t="n">
        <v>45357</v>
      </c>
      <c r="D3366" t="inlineStr">
        <is>
          <t>VÄSTERBOTTENS LÄN</t>
        </is>
      </c>
      <c r="E3366" t="inlineStr">
        <is>
          <t>NORSJÖ</t>
        </is>
      </c>
      <c r="F3366" t="inlineStr">
        <is>
          <t>Holmen skog AB</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27824-2020</t>
        </is>
      </c>
      <c r="B3367" s="1" t="n">
        <v>43994</v>
      </c>
      <c r="C3367" s="1" t="n">
        <v>45357</v>
      </c>
      <c r="D3367" t="inlineStr">
        <is>
          <t>VÄSTERBOTTENS LÄN</t>
        </is>
      </c>
      <c r="E3367" t="inlineStr">
        <is>
          <t>BJURHOLM</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27684-2020</t>
        </is>
      </c>
      <c r="B3368" s="1" t="n">
        <v>43994</v>
      </c>
      <c r="C3368" s="1" t="n">
        <v>45357</v>
      </c>
      <c r="D3368" t="inlineStr">
        <is>
          <t>VÄSTERBOTTENS LÄN</t>
        </is>
      </c>
      <c r="E3368" t="inlineStr">
        <is>
          <t>SKELLEFTEÅ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27813-2020</t>
        </is>
      </c>
      <c r="B3369" s="1" t="n">
        <v>43994</v>
      </c>
      <c r="C3369" s="1" t="n">
        <v>45357</v>
      </c>
      <c r="D3369" t="inlineStr">
        <is>
          <t>VÄSTERBOTTENS LÄN</t>
        </is>
      </c>
      <c r="E3369" t="inlineStr">
        <is>
          <t>NORDMALING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28164-2020</t>
        </is>
      </c>
      <c r="B3370" s="1" t="n">
        <v>43997</v>
      </c>
      <c r="C3370" s="1" t="n">
        <v>45357</v>
      </c>
      <c r="D3370" t="inlineStr">
        <is>
          <t>VÄSTERBOTTENS LÄN</t>
        </is>
      </c>
      <c r="E3370" t="inlineStr">
        <is>
          <t>STORUMAN</t>
        </is>
      </c>
      <c r="F3370" t="inlineStr">
        <is>
          <t>Sveaskog</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28210-2020</t>
        </is>
      </c>
      <c r="B3371" s="1" t="n">
        <v>43997</v>
      </c>
      <c r="C3371" s="1" t="n">
        <v>45357</v>
      </c>
      <c r="D3371" t="inlineStr">
        <is>
          <t>VÄSTERBOTTENS LÄN</t>
        </is>
      </c>
      <c r="E3371" t="inlineStr">
        <is>
          <t>DOROTEA</t>
        </is>
      </c>
      <c r="F3371" t="inlineStr">
        <is>
          <t>SCA</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28449-2020</t>
        </is>
      </c>
      <c r="B3372" s="1" t="n">
        <v>43998</v>
      </c>
      <c r="C3372" s="1" t="n">
        <v>45357</v>
      </c>
      <c r="D3372" t="inlineStr">
        <is>
          <t>VÄSTERBOTTENS LÄN</t>
        </is>
      </c>
      <c r="E3372" t="inlineStr">
        <is>
          <t>SKELLEFTEÅ</t>
        </is>
      </c>
      <c r="F3372" t="inlineStr">
        <is>
          <t>Sveaskog</t>
        </is>
      </c>
      <c r="G3372" t="n">
        <v>20.9</v>
      </c>
      <c r="H3372" t="n">
        <v>0</v>
      </c>
      <c r="I3372" t="n">
        <v>0</v>
      </c>
      <c r="J3372" t="n">
        <v>0</v>
      </c>
      <c r="K3372" t="n">
        <v>0</v>
      </c>
      <c r="L3372" t="n">
        <v>0</v>
      </c>
      <c r="M3372" t="n">
        <v>0</v>
      </c>
      <c r="N3372" t="n">
        <v>0</v>
      </c>
      <c r="O3372" t="n">
        <v>0</v>
      </c>
      <c r="P3372" t="n">
        <v>0</v>
      </c>
      <c r="Q3372" t="n">
        <v>0</v>
      </c>
      <c r="R3372" s="2" t="inlineStr"/>
    </row>
    <row r="3373" ht="15" customHeight="1">
      <c r="A3373" t="inlineStr">
        <is>
          <t>A 28265-2020</t>
        </is>
      </c>
      <c r="B3373" s="1" t="n">
        <v>43998</v>
      </c>
      <c r="C3373" s="1" t="n">
        <v>45357</v>
      </c>
      <c r="D3373" t="inlineStr">
        <is>
          <t>VÄSTERBOTTENS LÄN</t>
        </is>
      </c>
      <c r="E3373" t="inlineStr">
        <is>
          <t>NORSJÖ</t>
        </is>
      </c>
      <c r="F3373" t="inlineStr">
        <is>
          <t>Holmen skog AB</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28345-2020</t>
        </is>
      </c>
      <c r="B3374" s="1" t="n">
        <v>43998</v>
      </c>
      <c r="C3374" s="1" t="n">
        <v>45357</v>
      </c>
      <c r="D3374" t="inlineStr">
        <is>
          <t>VÄSTERBOTTENS LÄN</t>
        </is>
      </c>
      <c r="E3374" t="inlineStr">
        <is>
          <t>NORSJÖ</t>
        </is>
      </c>
      <c r="F3374" t="inlineStr">
        <is>
          <t>Holmen skog AB</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28503-2020</t>
        </is>
      </c>
      <c r="B3375" s="1" t="n">
        <v>43999</v>
      </c>
      <c r="C3375" s="1" t="n">
        <v>45357</v>
      </c>
      <c r="D3375" t="inlineStr">
        <is>
          <t>VÄSTERBOTTENS LÄN</t>
        </is>
      </c>
      <c r="E3375" t="inlineStr">
        <is>
          <t>SKELLEFTEÅ</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28501-2020</t>
        </is>
      </c>
      <c r="B3376" s="1" t="n">
        <v>43999</v>
      </c>
      <c r="C3376" s="1" t="n">
        <v>45357</v>
      </c>
      <c r="D3376" t="inlineStr">
        <is>
          <t>VÄSTERBOTTENS LÄN</t>
        </is>
      </c>
      <c r="E3376" t="inlineStr">
        <is>
          <t>SKELLEFTEÅ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28505-2020</t>
        </is>
      </c>
      <c r="B3377" s="1" t="n">
        <v>43999</v>
      </c>
      <c r="C3377" s="1" t="n">
        <v>45357</v>
      </c>
      <c r="D3377" t="inlineStr">
        <is>
          <t>VÄSTERBOTTENS LÄN</t>
        </is>
      </c>
      <c r="E3377" t="inlineStr">
        <is>
          <t>SKELLEFTEÅ</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28574-2020</t>
        </is>
      </c>
      <c r="B3378" s="1" t="n">
        <v>43999</v>
      </c>
      <c r="C3378" s="1" t="n">
        <v>45357</v>
      </c>
      <c r="D3378" t="inlineStr">
        <is>
          <t>VÄSTERBOTTENS LÄN</t>
        </is>
      </c>
      <c r="E3378" t="inlineStr">
        <is>
          <t>SKELLEFTEÅ</t>
        </is>
      </c>
      <c r="F3378" t="inlineStr">
        <is>
          <t>Holmen skog AB</t>
        </is>
      </c>
      <c r="G3378" t="n">
        <v>19.4</v>
      </c>
      <c r="H3378" t="n">
        <v>0</v>
      </c>
      <c r="I3378" t="n">
        <v>0</v>
      </c>
      <c r="J3378" t="n">
        <v>0</v>
      </c>
      <c r="K3378" t="n">
        <v>0</v>
      </c>
      <c r="L3378" t="n">
        <v>0</v>
      </c>
      <c r="M3378" t="n">
        <v>0</v>
      </c>
      <c r="N3378" t="n">
        <v>0</v>
      </c>
      <c r="O3378" t="n">
        <v>0</v>
      </c>
      <c r="P3378" t="n">
        <v>0</v>
      </c>
      <c r="Q3378" t="n">
        <v>0</v>
      </c>
      <c r="R3378" s="2" t="inlineStr"/>
    </row>
    <row r="3379" ht="15" customHeight="1">
      <c r="A3379" t="inlineStr">
        <is>
          <t>A 29026-2020</t>
        </is>
      </c>
      <c r="B3379" s="1" t="n">
        <v>43999</v>
      </c>
      <c r="C3379" s="1" t="n">
        <v>45357</v>
      </c>
      <c r="D3379" t="inlineStr">
        <is>
          <t>VÄSTERBOTTENS LÄN</t>
        </is>
      </c>
      <c r="E3379" t="inlineStr">
        <is>
          <t>UMEÅ</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28871-2020</t>
        </is>
      </c>
      <c r="B3380" s="1" t="n">
        <v>44000</v>
      </c>
      <c r="C3380" s="1" t="n">
        <v>45357</v>
      </c>
      <c r="D3380" t="inlineStr">
        <is>
          <t>VÄSTERBOTTENS LÄN</t>
        </is>
      </c>
      <c r="E3380" t="inlineStr">
        <is>
          <t>VILHELMINA</t>
        </is>
      </c>
      <c r="F3380" t="inlineStr">
        <is>
          <t>Kommuner</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28790-2020</t>
        </is>
      </c>
      <c r="B3381" s="1" t="n">
        <v>44000</v>
      </c>
      <c r="C3381" s="1" t="n">
        <v>45357</v>
      </c>
      <c r="D3381" t="inlineStr">
        <is>
          <t>VÄSTERBOTTENS LÄN</t>
        </is>
      </c>
      <c r="E3381" t="inlineStr">
        <is>
          <t>DOROTEA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28864-2020</t>
        </is>
      </c>
      <c r="B3382" s="1" t="n">
        <v>44000</v>
      </c>
      <c r="C3382" s="1" t="n">
        <v>45357</v>
      </c>
      <c r="D3382" t="inlineStr">
        <is>
          <t>VÄSTERBOTTENS LÄN</t>
        </is>
      </c>
      <c r="E3382" t="inlineStr">
        <is>
          <t>VILHELMINA</t>
        </is>
      </c>
      <c r="F3382" t="inlineStr">
        <is>
          <t>Kommuner</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28986-2020</t>
        </is>
      </c>
      <c r="B3383" s="1" t="n">
        <v>44000</v>
      </c>
      <c r="C3383" s="1" t="n">
        <v>45357</v>
      </c>
      <c r="D3383" t="inlineStr">
        <is>
          <t>VÄSTERBOTTENS LÄN</t>
        </is>
      </c>
      <c r="E3383" t="inlineStr">
        <is>
          <t>SKELLEFTEÅ</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28991-2020</t>
        </is>
      </c>
      <c r="B3384" s="1" t="n">
        <v>44000</v>
      </c>
      <c r="C3384" s="1" t="n">
        <v>45357</v>
      </c>
      <c r="D3384" t="inlineStr">
        <is>
          <t>VÄSTERBOTTENS LÄN</t>
        </is>
      </c>
      <c r="E3384" t="inlineStr">
        <is>
          <t>NORSJÖ</t>
        </is>
      </c>
      <c r="F3384" t="inlineStr">
        <is>
          <t>Holmen skog AB</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28985-2020</t>
        </is>
      </c>
      <c r="B3385" s="1" t="n">
        <v>44000</v>
      </c>
      <c r="C3385" s="1" t="n">
        <v>45357</v>
      </c>
      <c r="D3385" t="inlineStr">
        <is>
          <t>VÄSTERBOTTENS LÄN</t>
        </is>
      </c>
      <c r="E3385" t="inlineStr">
        <is>
          <t>SKELLEFTEÅ</t>
        </is>
      </c>
      <c r="F3385" t="inlineStr">
        <is>
          <t>Sveaskog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29252-2020</t>
        </is>
      </c>
      <c r="B3386" s="1" t="n">
        <v>44000</v>
      </c>
      <c r="C3386" s="1" t="n">
        <v>45357</v>
      </c>
      <c r="D3386" t="inlineStr">
        <is>
          <t>VÄSTERBOTTENS LÄN</t>
        </is>
      </c>
      <c r="E3386" t="inlineStr">
        <is>
          <t>UMEÅ</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29134-2020</t>
        </is>
      </c>
      <c r="B3387" s="1" t="n">
        <v>44004</v>
      </c>
      <c r="C3387" s="1" t="n">
        <v>45357</v>
      </c>
      <c r="D3387" t="inlineStr">
        <is>
          <t>VÄSTERBOTTENS LÄN</t>
        </is>
      </c>
      <c r="E3387" t="inlineStr">
        <is>
          <t>SKELLEFTEÅ</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29370-2020</t>
        </is>
      </c>
      <c r="B3388" s="1" t="n">
        <v>44004</v>
      </c>
      <c r="C3388" s="1" t="n">
        <v>45357</v>
      </c>
      <c r="D3388" t="inlineStr">
        <is>
          <t>VÄSTERBOTTENS LÄN</t>
        </is>
      </c>
      <c r="E3388" t="inlineStr">
        <is>
          <t>VINDELN</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29132-2020</t>
        </is>
      </c>
      <c r="B3389" s="1" t="n">
        <v>44004</v>
      </c>
      <c r="C3389" s="1" t="n">
        <v>45357</v>
      </c>
      <c r="D3389" t="inlineStr">
        <is>
          <t>VÄSTERBOTTENS LÄN</t>
        </is>
      </c>
      <c r="E3389" t="inlineStr">
        <is>
          <t>BJURHOLM</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29362-2020</t>
        </is>
      </c>
      <c r="B3390" s="1" t="n">
        <v>44004</v>
      </c>
      <c r="C3390" s="1" t="n">
        <v>45357</v>
      </c>
      <c r="D3390" t="inlineStr">
        <is>
          <t>VÄSTERBOTTENS LÄN</t>
        </is>
      </c>
      <c r="E3390" t="inlineStr">
        <is>
          <t>VINDELN</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29494-2020</t>
        </is>
      </c>
      <c r="B3391" s="1" t="n">
        <v>44004</v>
      </c>
      <c r="C3391" s="1" t="n">
        <v>45357</v>
      </c>
      <c r="D3391" t="inlineStr">
        <is>
          <t>VÄSTERBOTTENS LÄN</t>
        </is>
      </c>
      <c r="E3391" t="inlineStr">
        <is>
          <t>STORUMAN</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29468-2020</t>
        </is>
      </c>
      <c r="B3392" s="1" t="n">
        <v>44004</v>
      </c>
      <c r="C3392" s="1" t="n">
        <v>45357</v>
      </c>
      <c r="D3392" t="inlineStr">
        <is>
          <t>VÄSTERBOTTENS LÄN</t>
        </is>
      </c>
      <c r="E3392" t="inlineStr">
        <is>
          <t>DOROTEA</t>
        </is>
      </c>
      <c r="F3392" t="inlineStr">
        <is>
          <t>SCA</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29595-2020</t>
        </is>
      </c>
      <c r="B3393" s="1" t="n">
        <v>44004</v>
      </c>
      <c r="C3393" s="1" t="n">
        <v>45357</v>
      </c>
      <c r="D3393" t="inlineStr">
        <is>
          <t>VÄSTERBOTTENS LÄN</t>
        </is>
      </c>
      <c r="E3393" t="inlineStr">
        <is>
          <t>SKELLEFTEÅ</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29481-2020</t>
        </is>
      </c>
      <c r="B3394" s="1" t="n">
        <v>44004</v>
      </c>
      <c r="C3394" s="1" t="n">
        <v>45357</v>
      </c>
      <c r="D3394" t="inlineStr">
        <is>
          <t>VÄSTERBOTTENS LÄN</t>
        </is>
      </c>
      <c r="E3394" t="inlineStr">
        <is>
          <t>ÅSELE</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29542-2020</t>
        </is>
      </c>
      <c r="B3395" s="1" t="n">
        <v>44005</v>
      </c>
      <c r="C3395" s="1" t="n">
        <v>45357</v>
      </c>
      <c r="D3395" t="inlineStr">
        <is>
          <t>VÄSTERBOTTENS LÄN</t>
        </is>
      </c>
      <c r="E3395" t="inlineStr">
        <is>
          <t>SKELLEFTEÅ</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29720-2020</t>
        </is>
      </c>
      <c r="B3396" s="1" t="n">
        <v>44005</v>
      </c>
      <c r="C3396" s="1" t="n">
        <v>45357</v>
      </c>
      <c r="D3396" t="inlineStr">
        <is>
          <t>VÄSTERBOTTENS LÄN</t>
        </is>
      </c>
      <c r="E3396" t="inlineStr">
        <is>
          <t>UMEÅ</t>
        </is>
      </c>
      <c r="F3396" t="inlineStr">
        <is>
          <t>Holmen skog AB</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29778-2020</t>
        </is>
      </c>
      <c r="B3397" s="1" t="n">
        <v>44005</v>
      </c>
      <c r="C3397" s="1" t="n">
        <v>45357</v>
      </c>
      <c r="D3397" t="inlineStr">
        <is>
          <t>VÄSTERBOTTENS LÄN</t>
        </is>
      </c>
      <c r="E3397" t="inlineStr">
        <is>
          <t>DOROTEA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29799-2020</t>
        </is>
      </c>
      <c r="B3398" s="1" t="n">
        <v>44005</v>
      </c>
      <c r="C3398" s="1" t="n">
        <v>45357</v>
      </c>
      <c r="D3398" t="inlineStr">
        <is>
          <t>VÄSTERBOTTENS LÄN</t>
        </is>
      </c>
      <c r="E3398" t="inlineStr">
        <is>
          <t>DOROTEA</t>
        </is>
      </c>
      <c r="F3398" t="inlineStr">
        <is>
          <t>SCA</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29832-2020</t>
        </is>
      </c>
      <c r="B3399" s="1" t="n">
        <v>44005</v>
      </c>
      <c r="C3399" s="1" t="n">
        <v>45357</v>
      </c>
      <c r="D3399" t="inlineStr">
        <is>
          <t>VÄSTERBOTTENS LÄN</t>
        </is>
      </c>
      <c r="E3399" t="inlineStr">
        <is>
          <t>SKELLEFTEÅ</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29850-2020</t>
        </is>
      </c>
      <c r="B3400" s="1" t="n">
        <v>44005</v>
      </c>
      <c r="C3400" s="1" t="n">
        <v>45357</v>
      </c>
      <c r="D3400" t="inlineStr">
        <is>
          <t>VÄSTERBOTTENS LÄN</t>
        </is>
      </c>
      <c r="E3400" t="inlineStr">
        <is>
          <t>SKELLEFTEÅ</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29735-2020</t>
        </is>
      </c>
      <c r="B3401" s="1" t="n">
        <v>44005</v>
      </c>
      <c r="C3401" s="1" t="n">
        <v>45357</v>
      </c>
      <c r="D3401" t="inlineStr">
        <is>
          <t>VÄSTERBOTTENS LÄN</t>
        </is>
      </c>
      <c r="E3401" t="inlineStr">
        <is>
          <t>UMEÅ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29817-2020</t>
        </is>
      </c>
      <c r="B3402" s="1" t="n">
        <v>44005</v>
      </c>
      <c r="C3402" s="1" t="n">
        <v>45357</v>
      </c>
      <c r="D3402" t="inlineStr">
        <is>
          <t>VÄSTERBOTTENS LÄN</t>
        </is>
      </c>
      <c r="E3402" t="inlineStr">
        <is>
          <t>BJURHOLM</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29734-2020</t>
        </is>
      </c>
      <c r="B3403" s="1" t="n">
        <v>44005</v>
      </c>
      <c r="C3403" s="1" t="n">
        <v>45357</v>
      </c>
      <c r="D3403" t="inlineStr">
        <is>
          <t>VÄSTERBOTTENS LÄN</t>
        </is>
      </c>
      <c r="E3403" t="inlineStr">
        <is>
          <t>UMEÅ</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29842-2020</t>
        </is>
      </c>
      <c r="B3404" s="1" t="n">
        <v>44005</v>
      </c>
      <c r="C3404" s="1" t="n">
        <v>45357</v>
      </c>
      <c r="D3404" t="inlineStr">
        <is>
          <t>VÄSTERBOTTENS LÄN</t>
        </is>
      </c>
      <c r="E3404" t="inlineStr">
        <is>
          <t>SKELLEFTEÅ</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29846-2020</t>
        </is>
      </c>
      <c r="B3405" s="1" t="n">
        <v>44006</v>
      </c>
      <c r="C3405" s="1" t="n">
        <v>45357</v>
      </c>
      <c r="D3405" t="inlineStr">
        <is>
          <t>VÄSTERBOTTENS LÄN</t>
        </is>
      </c>
      <c r="E3405" t="inlineStr">
        <is>
          <t>BJURHOLM</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29805-2020</t>
        </is>
      </c>
      <c r="B3406" s="1" t="n">
        <v>44006</v>
      </c>
      <c r="C3406" s="1" t="n">
        <v>45357</v>
      </c>
      <c r="D3406" t="inlineStr">
        <is>
          <t>VÄSTERBOTTENS LÄN</t>
        </is>
      </c>
      <c r="E3406" t="inlineStr">
        <is>
          <t>NORSJÖ</t>
        </is>
      </c>
      <c r="F3406" t="inlineStr">
        <is>
          <t>Holmen skog AB</t>
        </is>
      </c>
      <c r="G3406" t="n">
        <v>12.7</v>
      </c>
      <c r="H3406" t="n">
        <v>0</v>
      </c>
      <c r="I3406" t="n">
        <v>0</v>
      </c>
      <c r="J3406" t="n">
        <v>0</v>
      </c>
      <c r="K3406" t="n">
        <v>0</v>
      </c>
      <c r="L3406" t="n">
        <v>0</v>
      </c>
      <c r="M3406" t="n">
        <v>0</v>
      </c>
      <c r="N3406" t="n">
        <v>0</v>
      </c>
      <c r="O3406" t="n">
        <v>0</v>
      </c>
      <c r="P3406" t="n">
        <v>0</v>
      </c>
      <c r="Q3406" t="n">
        <v>0</v>
      </c>
      <c r="R3406" s="2" t="inlineStr"/>
    </row>
    <row r="3407" ht="15" customHeight="1">
      <c r="A3407" t="inlineStr">
        <is>
          <t>A 29893-2020</t>
        </is>
      </c>
      <c r="B3407" s="1" t="n">
        <v>44006</v>
      </c>
      <c r="C3407" s="1" t="n">
        <v>45357</v>
      </c>
      <c r="D3407" t="inlineStr">
        <is>
          <t>VÄSTERBOTTENS LÄN</t>
        </is>
      </c>
      <c r="E3407" t="inlineStr">
        <is>
          <t>ROBERTSFORS</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29982-2020</t>
        </is>
      </c>
      <c r="B3408" s="1" t="n">
        <v>44006</v>
      </c>
      <c r="C3408" s="1" t="n">
        <v>45357</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30075-2020</t>
        </is>
      </c>
      <c r="B3409" s="1" t="n">
        <v>44006</v>
      </c>
      <c r="C3409" s="1" t="n">
        <v>45357</v>
      </c>
      <c r="D3409" t="inlineStr">
        <is>
          <t>VÄSTERBOTTENS LÄN</t>
        </is>
      </c>
      <c r="E3409" t="inlineStr">
        <is>
          <t>SKELLEFTEÅ</t>
        </is>
      </c>
      <c r="F3409" t="inlineStr">
        <is>
          <t>Holmen skog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30144-2020</t>
        </is>
      </c>
      <c r="B3410" s="1" t="n">
        <v>44006</v>
      </c>
      <c r="C3410" s="1" t="n">
        <v>45357</v>
      </c>
      <c r="D3410" t="inlineStr">
        <is>
          <t>VÄSTERBOTTENS LÄN</t>
        </is>
      </c>
      <c r="E3410" t="inlineStr">
        <is>
          <t>VÄNNÄS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30012-2020</t>
        </is>
      </c>
      <c r="B3411" s="1" t="n">
        <v>44006</v>
      </c>
      <c r="C3411" s="1" t="n">
        <v>45357</v>
      </c>
      <c r="D3411" t="inlineStr">
        <is>
          <t>VÄSTERBOTTENS LÄN</t>
        </is>
      </c>
      <c r="E3411" t="inlineStr">
        <is>
          <t>VINDELN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30234-2020</t>
        </is>
      </c>
      <c r="B3412" s="1" t="n">
        <v>44006</v>
      </c>
      <c r="C3412" s="1" t="n">
        <v>45357</v>
      </c>
      <c r="D3412" t="inlineStr">
        <is>
          <t>VÄSTERBOTTENS LÄN</t>
        </is>
      </c>
      <c r="E3412" t="inlineStr">
        <is>
          <t>UMEÅ</t>
        </is>
      </c>
      <c r="G3412" t="n">
        <v>8.4</v>
      </c>
      <c r="H3412" t="n">
        <v>0</v>
      </c>
      <c r="I3412" t="n">
        <v>0</v>
      </c>
      <c r="J3412" t="n">
        <v>0</v>
      </c>
      <c r="K3412" t="n">
        <v>0</v>
      </c>
      <c r="L3412" t="n">
        <v>0</v>
      </c>
      <c r="M3412" t="n">
        <v>0</v>
      </c>
      <c r="N3412" t="n">
        <v>0</v>
      </c>
      <c r="O3412" t="n">
        <v>0</v>
      </c>
      <c r="P3412" t="n">
        <v>0</v>
      </c>
      <c r="Q3412" t="n">
        <v>0</v>
      </c>
      <c r="R3412" s="2" t="inlineStr"/>
    </row>
    <row r="3413" ht="15" customHeight="1">
      <c r="A3413" t="inlineStr">
        <is>
          <t>A 30142-2020</t>
        </is>
      </c>
      <c r="B3413" s="1" t="n">
        <v>44006</v>
      </c>
      <c r="C3413" s="1" t="n">
        <v>45357</v>
      </c>
      <c r="D3413" t="inlineStr">
        <is>
          <t>VÄSTERBOTTENS LÄN</t>
        </is>
      </c>
      <c r="E3413" t="inlineStr">
        <is>
          <t>NORDMALING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30074-2020</t>
        </is>
      </c>
      <c r="B3414" s="1" t="n">
        <v>44006</v>
      </c>
      <c r="C3414" s="1" t="n">
        <v>45357</v>
      </c>
      <c r="D3414" t="inlineStr">
        <is>
          <t>VÄSTERBOTTENS LÄN</t>
        </is>
      </c>
      <c r="E3414" t="inlineStr">
        <is>
          <t>SKELLEFTEÅ</t>
        </is>
      </c>
      <c r="F3414" t="inlineStr">
        <is>
          <t>Holmen skog AB</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30104-2020</t>
        </is>
      </c>
      <c r="B3415" s="1" t="n">
        <v>44006</v>
      </c>
      <c r="C3415" s="1" t="n">
        <v>45357</v>
      </c>
      <c r="D3415" t="inlineStr">
        <is>
          <t>VÄSTERBOTTENS LÄN</t>
        </is>
      </c>
      <c r="E3415" t="inlineStr">
        <is>
          <t>VINDELN</t>
        </is>
      </c>
      <c r="F3415" t="inlineStr">
        <is>
          <t>SCA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30210-2020</t>
        </is>
      </c>
      <c r="B3416" s="1" t="n">
        <v>44007</v>
      </c>
      <c r="C3416" s="1" t="n">
        <v>45357</v>
      </c>
      <c r="D3416" t="inlineStr">
        <is>
          <t>VÄSTERBOTTENS LÄN</t>
        </is>
      </c>
      <c r="E3416" t="inlineStr">
        <is>
          <t>VILHELMINA</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30340-2020</t>
        </is>
      </c>
      <c r="B3417" s="1" t="n">
        <v>44007</v>
      </c>
      <c r="C3417" s="1" t="n">
        <v>45357</v>
      </c>
      <c r="D3417" t="inlineStr">
        <is>
          <t>VÄSTERBOTTENS LÄN</t>
        </is>
      </c>
      <c r="E3417" t="inlineStr">
        <is>
          <t>VÄNNÄS</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30342-2020</t>
        </is>
      </c>
      <c r="B3418" s="1" t="n">
        <v>44007</v>
      </c>
      <c r="C3418" s="1" t="n">
        <v>45357</v>
      </c>
      <c r="D3418" t="inlineStr">
        <is>
          <t>VÄSTERBOTTENS LÄN</t>
        </is>
      </c>
      <c r="E3418" t="inlineStr">
        <is>
          <t>ÅSELE</t>
        </is>
      </c>
      <c r="F3418" t="inlineStr">
        <is>
          <t>Sveaskog</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30386-2020</t>
        </is>
      </c>
      <c r="B3419" s="1" t="n">
        <v>44007</v>
      </c>
      <c r="C3419" s="1" t="n">
        <v>45357</v>
      </c>
      <c r="D3419" t="inlineStr">
        <is>
          <t>VÄSTERBOTTENS LÄN</t>
        </is>
      </c>
      <c r="E3419" t="inlineStr">
        <is>
          <t>LYCKSELE</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30425-2020</t>
        </is>
      </c>
      <c r="B3420" s="1" t="n">
        <v>44007</v>
      </c>
      <c r="C3420" s="1" t="n">
        <v>45357</v>
      </c>
      <c r="D3420" t="inlineStr">
        <is>
          <t>VÄSTERBOTTENS LÄN</t>
        </is>
      </c>
      <c r="E3420" t="inlineStr">
        <is>
          <t>VÄNNÄS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30408-2020</t>
        </is>
      </c>
      <c r="B3421" s="1" t="n">
        <v>44007</v>
      </c>
      <c r="C3421" s="1" t="n">
        <v>45357</v>
      </c>
      <c r="D3421" t="inlineStr">
        <is>
          <t>VÄSTERBOTTENS LÄN</t>
        </is>
      </c>
      <c r="E3421" t="inlineStr">
        <is>
          <t>SKELLEFTEÅ</t>
        </is>
      </c>
      <c r="G3421" t="n">
        <v>24.3</v>
      </c>
      <c r="H3421" t="n">
        <v>0</v>
      </c>
      <c r="I3421" t="n">
        <v>0</v>
      </c>
      <c r="J3421" t="n">
        <v>0</v>
      </c>
      <c r="K3421" t="n">
        <v>0</v>
      </c>
      <c r="L3421" t="n">
        <v>0</v>
      </c>
      <c r="M3421" t="n">
        <v>0</v>
      </c>
      <c r="N3421" t="n">
        <v>0</v>
      </c>
      <c r="O3421" t="n">
        <v>0</v>
      </c>
      <c r="P3421" t="n">
        <v>0</v>
      </c>
      <c r="Q3421" t="n">
        <v>0</v>
      </c>
      <c r="R3421" s="2" t="inlineStr"/>
    </row>
    <row r="3422" ht="15" customHeight="1">
      <c r="A3422" t="inlineStr">
        <is>
          <t>A 30373-2020</t>
        </is>
      </c>
      <c r="B3422" s="1" t="n">
        <v>44007</v>
      </c>
      <c r="C3422" s="1" t="n">
        <v>45357</v>
      </c>
      <c r="D3422" t="inlineStr">
        <is>
          <t>VÄSTERBOTTENS LÄN</t>
        </is>
      </c>
      <c r="E3422" t="inlineStr">
        <is>
          <t>VILHELMINA</t>
        </is>
      </c>
      <c r="F3422" t="inlineStr">
        <is>
          <t>Övriga statliga verk och myndigheter</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30418-2020</t>
        </is>
      </c>
      <c r="B3423" s="1" t="n">
        <v>44007</v>
      </c>
      <c r="C3423" s="1" t="n">
        <v>45357</v>
      </c>
      <c r="D3423" t="inlineStr">
        <is>
          <t>VÄSTERBOTTENS LÄN</t>
        </is>
      </c>
      <c r="E3423" t="inlineStr">
        <is>
          <t>BJURHOLM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30537-2020</t>
        </is>
      </c>
      <c r="B3424" s="1" t="n">
        <v>44007</v>
      </c>
      <c r="C3424" s="1" t="n">
        <v>45357</v>
      </c>
      <c r="D3424" t="inlineStr">
        <is>
          <t>VÄSTERBOTTENS LÄN</t>
        </is>
      </c>
      <c r="E3424" t="inlineStr">
        <is>
          <t>VINDELN</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30251-2020</t>
        </is>
      </c>
      <c r="B3425" s="1" t="n">
        <v>44007</v>
      </c>
      <c r="C3425" s="1" t="n">
        <v>45357</v>
      </c>
      <c r="D3425" t="inlineStr">
        <is>
          <t>VÄSTERBOTTENS LÄN</t>
        </is>
      </c>
      <c r="E3425" t="inlineStr">
        <is>
          <t>BJURHOLM</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30674-2020</t>
        </is>
      </c>
      <c r="B3426" s="1" t="n">
        <v>44008</v>
      </c>
      <c r="C3426" s="1" t="n">
        <v>45357</v>
      </c>
      <c r="D3426" t="inlineStr">
        <is>
          <t>VÄSTERBOTTENS LÄN</t>
        </is>
      </c>
      <c r="E3426" t="inlineStr">
        <is>
          <t>STORUMAN</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30712-2020</t>
        </is>
      </c>
      <c r="B3427" s="1" t="n">
        <v>44008</v>
      </c>
      <c r="C3427" s="1" t="n">
        <v>45357</v>
      </c>
      <c r="D3427" t="inlineStr">
        <is>
          <t>VÄSTERBOTTENS LÄN</t>
        </is>
      </c>
      <c r="E3427" t="inlineStr">
        <is>
          <t>SKELLEFTEÅ</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30632-2020</t>
        </is>
      </c>
      <c r="B3428" s="1" t="n">
        <v>44008</v>
      </c>
      <c r="C3428" s="1" t="n">
        <v>45357</v>
      </c>
      <c r="D3428" t="inlineStr">
        <is>
          <t>VÄSTERBOTTENS LÄN</t>
        </is>
      </c>
      <c r="E3428" t="inlineStr">
        <is>
          <t>UMEÅ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30531-2020</t>
        </is>
      </c>
      <c r="B3429" s="1" t="n">
        <v>44008</v>
      </c>
      <c r="C3429" s="1" t="n">
        <v>45357</v>
      </c>
      <c r="D3429" t="inlineStr">
        <is>
          <t>VÄSTERBOTTENS LÄN</t>
        </is>
      </c>
      <c r="E3429" t="inlineStr">
        <is>
          <t>NORSJÖ</t>
        </is>
      </c>
      <c r="F3429" t="inlineStr">
        <is>
          <t>Holmen skog AB</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30677-2020</t>
        </is>
      </c>
      <c r="B3430" s="1" t="n">
        <v>44008</v>
      </c>
      <c r="C3430" s="1" t="n">
        <v>45357</v>
      </c>
      <c r="D3430" t="inlineStr">
        <is>
          <t>VÄSTERBOTTENS LÄN</t>
        </is>
      </c>
      <c r="E3430" t="inlineStr">
        <is>
          <t>STORUMAN</t>
        </is>
      </c>
      <c r="F3430" t="inlineStr">
        <is>
          <t>Sveaskog</t>
        </is>
      </c>
      <c r="G3430" t="n">
        <v>16.6</v>
      </c>
      <c r="H3430" t="n">
        <v>0</v>
      </c>
      <c r="I3430" t="n">
        <v>0</v>
      </c>
      <c r="J3430" t="n">
        <v>0</v>
      </c>
      <c r="K3430" t="n">
        <v>0</v>
      </c>
      <c r="L3430" t="n">
        <v>0</v>
      </c>
      <c r="M3430" t="n">
        <v>0</v>
      </c>
      <c r="N3430" t="n">
        <v>0</v>
      </c>
      <c r="O3430" t="n">
        <v>0</v>
      </c>
      <c r="P3430" t="n">
        <v>0</v>
      </c>
      <c r="Q3430" t="n">
        <v>0</v>
      </c>
      <c r="R3430" s="2" t="inlineStr"/>
    </row>
    <row r="3431" ht="15" customHeight="1">
      <c r="A3431" t="inlineStr">
        <is>
          <t>A 30555-2020</t>
        </is>
      </c>
      <c r="B3431" s="1" t="n">
        <v>44008</v>
      </c>
      <c r="C3431" s="1" t="n">
        <v>45357</v>
      </c>
      <c r="D3431" t="inlineStr">
        <is>
          <t>VÄSTERBOTTENS LÄN</t>
        </is>
      </c>
      <c r="E3431" t="inlineStr">
        <is>
          <t>UMEÅ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30563-2020</t>
        </is>
      </c>
      <c r="B3432" s="1" t="n">
        <v>44008</v>
      </c>
      <c r="C3432" s="1" t="n">
        <v>45357</v>
      </c>
      <c r="D3432" t="inlineStr">
        <is>
          <t>VÄSTERBOTTENS LÄN</t>
        </is>
      </c>
      <c r="E3432" t="inlineStr">
        <is>
          <t>NORDMALING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30653-2020</t>
        </is>
      </c>
      <c r="B3433" s="1" t="n">
        <v>44008</v>
      </c>
      <c r="C3433" s="1" t="n">
        <v>45357</v>
      </c>
      <c r="D3433" t="inlineStr">
        <is>
          <t>VÄSTERBOTTENS LÄN</t>
        </is>
      </c>
      <c r="E3433" t="inlineStr">
        <is>
          <t>SKELLEFTEÅ</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30709-2020</t>
        </is>
      </c>
      <c r="B3434" s="1" t="n">
        <v>44008</v>
      </c>
      <c r="C3434" s="1" t="n">
        <v>45357</v>
      </c>
      <c r="D3434" t="inlineStr">
        <is>
          <t>VÄSTERBOTTENS LÄN</t>
        </is>
      </c>
      <c r="E3434" t="inlineStr">
        <is>
          <t>SKELLEFTEÅ</t>
        </is>
      </c>
      <c r="F3434" t="inlineStr">
        <is>
          <t>Holmen skog AB</t>
        </is>
      </c>
      <c r="G3434" t="n">
        <v>7.5</v>
      </c>
      <c r="H3434" t="n">
        <v>0</v>
      </c>
      <c r="I3434" t="n">
        <v>0</v>
      </c>
      <c r="J3434" t="n">
        <v>0</v>
      </c>
      <c r="K3434" t="n">
        <v>0</v>
      </c>
      <c r="L3434" t="n">
        <v>0</v>
      </c>
      <c r="M3434" t="n">
        <v>0</v>
      </c>
      <c r="N3434" t="n">
        <v>0</v>
      </c>
      <c r="O3434" t="n">
        <v>0</v>
      </c>
      <c r="P3434" t="n">
        <v>0</v>
      </c>
      <c r="Q3434" t="n">
        <v>0</v>
      </c>
      <c r="R3434" s="2" t="inlineStr"/>
    </row>
    <row r="3435" ht="15" customHeight="1">
      <c r="A3435" t="inlineStr">
        <is>
          <t>A 30728-2020</t>
        </is>
      </c>
      <c r="B3435" s="1" t="n">
        <v>44008</v>
      </c>
      <c r="C3435" s="1" t="n">
        <v>45357</v>
      </c>
      <c r="D3435" t="inlineStr">
        <is>
          <t>VÄSTERBOTTENS LÄN</t>
        </is>
      </c>
      <c r="E3435" t="inlineStr">
        <is>
          <t>SKELLEFTEÅ</t>
        </is>
      </c>
      <c r="F3435" t="inlineStr">
        <is>
          <t>Holmen skog AB</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30553-2020</t>
        </is>
      </c>
      <c r="B3436" s="1" t="n">
        <v>44008</v>
      </c>
      <c r="C3436" s="1" t="n">
        <v>45357</v>
      </c>
      <c r="D3436" t="inlineStr">
        <is>
          <t>VÄSTERBOTTENS LÄN</t>
        </is>
      </c>
      <c r="E3436" t="inlineStr">
        <is>
          <t>VÄNNÄS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30841-2020</t>
        </is>
      </c>
      <c r="B3437" s="1" t="n">
        <v>44008</v>
      </c>
      <c r="C3437" s="1" t="n">
        <v>45357</v>
      </c>
      <c r="D3437" t="inlineStr">
        <is>
          <t>VÄSTERBOTTENS LÄN</t>
        </is>
      </c>
      <c r="E3437" t="inlineStr">
        <is>
          <t>SKELLEFTEÅ</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30777-2020</t>
        </is>
      </c>
      <c r="B3438" s="1" t="n">
        <v>44009</v>
      </c>
      <c r="C3438" s="1" t="n">
        <v>45357</v>
      </c>
      <c r="D3438" t="inlineStr">
        <is>
          <t>VÄSTERBOTTENS LÄN</t>
        </is>
      </c>
      <c r="E3438" t="inlineStr">
        <is>
          <t>NORSJÖ</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30877-2020</t>
        </is>
      </c>
      <c r="B3439" s="1" t="n">
        <v>44011</v>
      </c>
      <c r="C3439" s="1" t="n">
        <v>45357</v>
      </c>
      <c r="D3439" t="inlineStr">
        <is>
          <t>VÄSTERBOTTENS LÄN</t>
        </is>
      </c>
      <c r="E3439" t="inlineStr">
        <is>
          <t>SKELLEFTEÅ</t>
        </is>
      </c>
      <c r="F3439" t="inlineStr">
        <is>
          <t>Kyrkan</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30861-2020</t>
        </is>
      </c>
      <c r="B3440" s="1" t="n">
        <v>44011</v>
      </c>
      <c r="C3440" s="1" t="n">
        <v>45357</v>
      </c>
      <c r="D3440" t="inlineStr">
        <is>
          <t>VÄSTERBOTTENS LÄN</t>
        </is>
      </c>
      <c r="E3440" t="inlineStr">
        <is>
          <t>UMEÅ</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30907-2020</t>
        </is>
      </c>
      <c r="B3441" s="1" t="n">
        <v>44011</v>
      </c>
      <c r="C3441" s="1" t="n">
        <v>45357</v>
      </c>
      <c r="D3441" t="inlineStr">
        <is>
          <t>VÄSTERBOTTENS LÄN</t>
        </is>
      </c>
      <c r="E3441" t="inlineStr">
        <is>
          <t>MALÅ</t>
        </is>
      </c>
      <c r="F3441" t="inlineStr">
        <is>
          <t>Sveaskog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30949-2020</t>
        </is>
      </c>
      <c r="B3442" s="1" t="n">
        <v>44011</v>
      </c>
      <c r="C3442" s="1" t="n">
        <v>45357</v>
      </c>
      <c r="D3442" t="inlineStr">
        <is>
          <t>VÄSTERBOTTENS LÄN</t>
        </is>
      </c>
      <c r="E3442" t="inlineStr">
        <is>
          <t>SKELLEFTEÅ</t>
        </is>
      </c>
      <c r="F3442" t="inlineStr">
        <is>
          <t>Kommuner</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30964-2020</t>
        </is>
      </c>
      <c r="B3443" s="1" t="n">
        <v>44011</v>
      </c>
      <c r="C3443" s="1" t="n">
        <v>45357</v>
      </c>
      <c r="D3443" t="inlineStr">
        <is>
          <t>VÄSTERBOTTENS LÄN</t>
        </is>
      </c>
      <c r="E3443" t="inlineStr">
        <is>
          <t>LYCKSELE</t>
        </is>
      </c>
      <c r="F3443" t="inlineStr">
        <is>
          <t>Sveaskog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30979-2020</t>
        </is>
      </c>
      <c r="B3444" s="1" t="n">
        <v>44011</v>
      </c>
      <c r="C3444" s="1" t="n">
        <v>45357</v>
      </c>
      <c r="D3444" t="inlineStr">
        <is>
          <t>VÄSTERBOTTENS LÄN</t>
        </is>
      </c>
      <c r="E3444" t="inlineStr">
        <is>
          <t>ROBERTSFORS</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31019-2020</t>
        </is>
      </c>
      <c r="B3445" s="1" t="n">
        <v>44011</v>
      </c>
      <c r="C3445" s="1" t="n">
        <v>45357</v>
      </c>
      <c r="D3445" t="inlineStr">
        <is>
          <t>VÄSTERBOTTENS LÄN</t>
        </is>
      </c>
      <c r="E3445" t="inlineStr">
        <is>
          <t>DOROTEA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31017-2020</t>
        </is>
      </c>
      <c r="B3446" s="1" t="n">
        <v>44011</v>
      </c>
      <c r="C3446" s="1" t="n">
        <v>45357</v>
      </c>
      <c r="D3446" t="inlineStr">
        <is>
          <t>VÄSTERBOTTENS LÄN</t>
        </is>
      </c>
      <c r="E3446" t="inlineStr">
        <is>
          <t>DOROTEA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31060-2020</t>
        </is>
      </c>
      <c r="B3447" s="1" t="n">
        <v>44012</v>
      </c>
      <c r="C3447" s="1" t="n">
        <v>45357</v>
      </c>
      <c r="D3447" t="inlineStr">
        <is>
          <t>VÄSTERBOTTENS LÄN</t>
        </is>
      </c>
      <c r="E3447" t="inlineStr">
        <is>
          <t>SKELLEFTEÅ</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31057-2020</t>
        </is>
      </c>
      <c r="B3448" s="1" t="n">
        <v>44012</v>
      </c>
      <c r="C3448" s="1" t="n">
        <v>45357</v>
      </c>
      <c r="D3448" t="inlineStr">
        <is>
          <t>VÄSTERBOTTENS LÄN</t>
        </is>
      </c>
      <c r="E3448" t="inlineStr">
        <is>
          <t>UMEÅ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31237-2020</t>
        </is>
      </c>
      <c r="B3449" s="1" t="n">
        <v>44012</v>
      </c>
      <c r="C3449" s="1" t="n">
        <v>45357</v>
      </c>
      <c r="D3449" t="inlineStr">
        <is>
          <t>VÄSTERBOTTENS LÄN</t>
        </is>
      </c>
      <c r="E3449" t="inlineStr">
        <is>
          <t>UMEÅ</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31248-2020</t>
        </is>
      </c>
      <c r="B3450" s="1" t="n">
        <v>44012</v>
      </c>
      <c r="C3450" s="1" t="n">
        <v>45357</v>
      </c>
      <c r="D3450" t="inlineStr">
        <is>
          <t>VÄSTERBOTTENS LÄN</t>
        </is>
      </c>
      <c r="E3450" t="inlineStr">
        <is>
          <t>VINDELN</t>
        </is>
      </c>
      <c r="G3450" t="n">
        <v>44.8</v>
      </c>
      <c r="H3450" t="n">
        <v>0</v>
      </c>
      <c r="I3450" t="n">
        <v>0</v>
      </c>
      <c r="J3450" t="n">
        <v>0</v>
      </c>
      <c r="K3450" t="n">
        <v>0</v>
      </c>
      <c r="L3450" t="n">
        <v>0</v>
      </c>
      <c r="M3450" t="n">
        <v>0</v>
      </c>
      <c r="N3450" t="n">
        <v>0</v>
      </c>
      <c r="O3450" t="n">
        <v>0</v>
      </c>
      <c r="P3450" t="n">
        <v>0</v>
      </c>
      <c r="Q3450" t="n">
        <v>0</v>
      </c>
      <c r="R3450" s="2" t="inlineStr"/>
    </row>
    <row r="3451" ht="15" customHeight="1">
      <c r="A3451" t="inlineStr">
        <is>
          <t>A 31255-2020</t>
        </is>
      </c>
      <c r="B3451" s="1" t="n">
        <v>44012</v>
      </c>
      <c r="C3451" s="1" t="n">
        <v>45357</v>
      </c>
      <c r="D3451" t="inlineStr">
        <is>
          <t>VÄSTERBOTTENS LÄN</t>
        </is>
      </c>
      <c r="E3451" t="inlineStr">
        <is>
          <t>VÄNNÄS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31296-2020</t>
        </is>
      </c>
      <c r="B3452" s="1" t="n">
        <v>44012</v>
      </c>
      <c r="C3452" s="1" t="n">
        <v>45357</v>
      </c>
      <c r="D3452" t="inlineStr">
        <is>
          <t>VÄSTERBOTTENS LÄN</t>
        </is>
      </c>
      <c r="E3452" t="inlineStr">
        <is>
          <t>DOROTEA</t>
        </is>
      </c>
      <c r="G3452" t="n">
        <v>31.1</v>
      </c>
      <c r="H3452" t="n">
        <v>0</v>
      </c>
      <c r="I3452" t="n">
        <v>0</v>
      </c>
      <c r="J3452" t="n">
        <v>0</v>
      </c>
      <c r="K3452" t="n">
        <v>0</v>
      </c>
      <c r="L3452" t="n">
        <v>0</v>
      </c>
      <c r="M3452" t="n">
        <v>0</v>
      </c>
      <c r="N3452" t="n">
        <v>0</v>
      </c>
      <c r="O3452" t="n">
        <v>0</v>
      </c>
      <c r="P3452" t="n">
        <v>0</v>
      </c>
      <c r="Q3452" t="n">
        <v>0</v>
      </c>
      <c r="R3452" s="2" t="inlineStr"/>
    </row>
    <row r="3453" ht="15" customHeight="1">
      <c r="A3453" t="inlineStr">
        <is>
          <t>A 31434-2020</t>
        </is>
      </c>
      <c r="B3453" s="1" t="n">
        <v>44012</v>
      </c>
      <c r="C3453" s="1" t="n">
        <v>45357</v>
      </c>
      <c r="D3453" t="inlineStr">
        <is>
          <t>VÄSTERBOTTENS LÄN</t>
        </is>
      </c>
      <c r="E3453" t="inlineStr">
        <is>
          <t>SKELLEFTEÅ</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31331-2020</t>
        </is>
      </c>
      <c r="B3454" s="1" t="n">
        <v>44012</v>
      </c>
      <c r="C3454" s="1" t="n">
        <v>45357</v>
      </c>
      <c r="D3454" t="inlineStr">
        <is>
          <t>VÄSTERBOTTENS LÄN</t>
        </is>
      </c>
      <c r="E3454" t="inlineStr">
        <is>
          <t>SKELLEFTEÅ</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31394-2020</t>
        </is>
      </c>
      <c r="B3455" s="1" t="n">
        <v>44012</v>
      </c>
      <c r="C3455" s="1" t="n">
        <v>45357</v>
      </c>
      <c r="D3455" t="inlineStr">
        <is>
          <t>VÄSTERBOTTENS LÄN</t>
        </is>
      </c>
      <c r="E3455" t="inlineStr">
        <is>
          <t>MALÅ</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31490-2020</t>
        </is>
      </c>
      <c r="B3456" s="1" t="n">
        <v>44013</v>
      </c>
      <c r="C3456" s="1" t="n">
        <v>45357</v>
      </c>
      <c r="D3456" t="inlineStr">
        <is>
          <t>VÄSTERBOTTENS LÄN</t>
        </is>
      </c>
      <c r="E3456" t="inlineStr">
        <is>
          <t>SKELLEFTEÅ</t>
        </is>
      </c>
      <c r="F3456" t="inlineStr">
        <is>
          <t>Kommuner</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31515-2020</t>
        </is>
      </c>
      <c r="B3457" s="1" t="n">
        <v>44013</v>
      </c>
      <c r="C3457" s="1" t="n">
        <v>45357</v>
      </c>
      <c r="D3457" t="inlineStr">
        <is>
          <t>VÄSTERBOTTENS LÄN</t>
        </is>
      </c>
      <c r="E3457" t="inlineStr">
        <is>
          <t>SKELLEFTEÅ</t>
        </is>
      </c>
      <c r="F3457" t="inlineStr">
        <is>
          <t>Holmen skog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31562-2020</t>
        </is>
      </c>
      <c r="B3458" s="1" t="n">
        <v>44013</v>
      </c>
      <c r="C3458" s="1" t="n">
        <v>45357</v>
      </c>
      <c r="D3458" t="inlineStr">
        <is>
          <t>VÄSTERBOTTENS LÄN</t>
        </is>
      </c>
      <c r="E3458" t="inlineStr">
        <is>
          <t>ROBERTSFORS</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31572-2020</t>
        </is>
      </c>
      <c r="B3459" s="1" t="n">
        <v>44013</v>
      </c>
      <c r="C3459" s="1" t="n">
        <v>45357</v>
      </c>
      <c r="D3459" t="inlineStr">
        <is>
          <t>VÄSTERBOTTENS LÄN</t>
        </is>
      </c>
      <c r="E3459" t="inlineStr">
        <is>
          <t>ROBERTSFORS</t>
        </is>
      </c>
      <c r="G3459" t="n">
        <v>7.1</v>
      </c>
      <c r="H3459" t="n">
        <v>0</v>
      </c>
      <c r="I3459" t="n">
        <v>0</v>
      </c>
      <c r="J3459" t="n">
        <v>0</v>
      </c>
      <c r="K3459" t="n">
        <v>0</v>
      </c>
      <c r="L3459" t="n">
        <v>0</v>
      </c>
      <c r="M3459" t="n">
        <v>0</v>
      </c>
      <c r="N3459" t="n">
        <v>0</v>
      </c>
      <c r="O3459" t="n">
        <v>0</v>
      </c>
      <c r="P3459" t="n">
        <v>0</v>
      </c>
      <c r="Q3459" t="n">
        <v>0</v>
      </c>
      <c r="R3459" s="2" t="inlineStr"/>
    </row>
    <row r="3460" ht="15" customHeight="1">
      <c r="A3460" t="inlineStr">
        <is>
          <t>A 31519-2020</t>
        </is>
      </c>
      <c r="B3460" s="1" t="n">
        <v>44013</v>
      </c>
      <c r="C3460" s="1" t="n">
        <v>45357</v>
      </c>
      <c r="D3460" t="inlineStr">
        <is>
          <t>VÄSTERBOTTENS LÄN</t>
        </is>
      </c>
      <c r="E3460" t="inlineStr">
        <is>
          <t>SKELLEFTEÅ</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31568-2020</t>
        </is>
      </c>
      <c r="B3461" s="1" t="n">
        <v>44013</v>
      </c>
      <c r="C3461" s="1" t="n">
        <v>45357</v>
      </c>
      <c r="D3461" t="inlineStr">
        <is>
          <t>VÄSTERBOTTENS LÄN</t>
        </is>
      </c>
      <c r="E3461" t="inlineStr">
        <is>
          <t>ROBERTSFORS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31467-2020</t>
        </is>
      </c>
      <c r="B3462" s="1" t="n">
        <v>44013</v>
      </c>
      <c r="C3462" s="1" t="n">
        <v>45357</v>
      </c>
      <c r="D3462" t="inlineStr">
        <is>
          <t>VÄSTERBOTTENS LÄN</t>
        </is>
      </c>
      <c r="E3462" t="inlineStr">
        <is>
          <t>UMEÅ</t>
        </is>
      </c>
      <c r="F3462" t="inlineStr">
        <is>
          <t>Holmen skog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31501-2020</t>
        </is>
      </c>
      <c r="B3463" s="1" t="n">
        <v>44013</v>
      </c>
      <c r="C3463" s="1" t="n">
        <v>45357</v>
      </c>
      <c r="D3463" t="inlineStr">
        <is>
          <t>VÄSTERBOTTENS LÄN</t>
        </is>
      </c>
      <c r="E3463" t="inlineStr">
        <is>
          <t>SKELLEFTEÅ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31530-2020</t>
        </is>
      </c>
      <c r="B3464" s="1" t="n">
        <v>44013</v>
      </c>
      <c r="C3464" s="1" t="n">
        <v>45357</v>
      </c>
      <c r="D3464" t="inlineStr">
        <is>
          <t>VÄSTERBOTTENS LÄN</t>
        </is>
      </c>
      <c r="E3464" t="inlineStr">
        <is>
          <t>NORSJÖ</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31570-2020</t>
        </is>
      </c>
      <c r="B3465" s="1" t="n">
        <v>44013</v>
      </c>
      <c r="C3465" s="1" t="n">
        <v>45357</v>
      </c>
      <c r="D3465" t="inlineStr">
        <is>
          <t>VÄSTERBOTTENS LÄN</t>
        </is>
      </c>
      <c r="E3465" t="inlineStr">
        <is>
          <t>ROBERTSFORS</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31582-2020</t>
        </is>
      </c>
      <c r="B3466" s="1" t="n">
        <v>44013</v>
      </c>
      <c r="C3466" s="1" t="n">
        <v>45357</v>
      </c>
      <c r="D3466" t="inlineStr">
        <is>
          <t>VÄSTERBOTTENS LÄN</t>
        </is>
      </c>
      <c r="E3466" t="inlineStr">
        <is>
          <t>ROBERTSFORS</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31736-2020</t>
        </is>
      </c>
      <c r="B3467" s="1" t="n">
        <v>44013</v>
      </c>
      <c r="C3467" s="1" t="n">
        <v>45357</v>
      </c>
      <c r="D3467" t="inlineStr">
        <is>
          <t>VÄSTERBOTTENS LÄN</t>
        </is>
      </c>
      <c r="E3467" t="inlineStr">
        <is>
          <t>SKELLEFTEÅ</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31799-2020</t>
        </is>
      </c>
      <c r="B3468" s="1" t="n">
        <v>44013</v>
      </c>
      <c r="C3468" s="1" t="n">
        <v>45357</v>
      </c>
      <c r="D3468" t="inlineStr">
        <is>
          <t>VÄSTERBOTTENS LÄN</t>
        </is>
      </c>
      <c r="E3468" t="inlineStr">
        <is>
          <t>SORSELE</t>
        </is>
      </c>
      <c r="F3468" t="inlineStr">
        <is>
          <t>Allmännings- och besparingsskogar</t>
        </is>
      </c>
      <c r="G3468" t="n">
        <v>14.8</v>
      </c>
      <c r="H3468" t="n">
        <v>0</v>
      </c>
      <c r="I3468" t="n">
        <v>0</v>
      </c>
      <c r="J3468" t="n">
        <v>0</v>
      </c>
      <c r="K3468" t="n">
        <v>0</v>
      </c>
      <c r="L3468" t="n">
        <v>0</v>
      </c>
      <c r="M3468" t="n">
        <v>0</v>
      </c>
      <c r="N3468" t="n">
        <v>0</v>
      </c>
      <c r="O3468" t="n">
        <v>0</v>
      </c>
      <c r="P3468" t="n">
        <v>0</v>
      </c>
      <c r="Q3468" t="n">
        <v>0</v>
      </c>
      <c r="R3468" s="2" t="inlineStr"/>
    </row>
    <row r="3469" ht="15" customHeight="1">
      <c r="A3469" t="inlineStr">
        <is>
          <t>A 31715-2020</t>
        </is>
      </c>
      <c r="B3469" s="1" t="n">
        <v>44013</v>
      </c>
      <c r="C3469" s="1" t="n">
        <v>45357</v>
      </c>
      <c r="D3469" t="inlineStr">
        <is>
          <t>VÄSTERBOTTENS LÄN</t>
        </is>
      </c>
      <c r="E3469" t="inlineStr">
        <is>
          <t>STORUMAN</t>
        </is>
      </c>
      <c r="F3469" t="inlineStr">
        <is>
          <t>Allmännings- och besparingsskogar</t>
        </is>
      </c>
      <c r="G3469" t="n">
        <v>18.1</v>
      </c>
      <c r="H3469" t="n">
        <v>0</v>
      </c>
      <c r="I3469" t="n">
        <v>0</v>
      </c>
      <c r="J3469" t="n">
        <v>0</v>
      </c>
      <c r="K3469" t="n">
        <v>0</v>
      </c>
      <c r="L3469" t="n">
        <v>0</v>
      </c>
      <c r="M3469" t="n">
        <v>0</v>
      </c>
      <c r="N3469" t="n">
        <v>0</v>
      </c>
      <c r="O3469" t="n">
        <v>0</v>
      </c>
      <c r="P3469" t="n">
        <v>0</v>
      </c>
      <c r="Q3469" t="n">
        <v>0</v>
      </c>
      <c r="R3469" s="2" t="inlineStr"/>
    </row>
    <row r="3470" ht="15" customHeight="1">
      <c r="A3470" t="inlineStr">
        <is>
          <t>A 31780-2020</t>
        </is>
      </c>
      <c r="B3470" s="1" t="n">
        <v>44013</v>
      </c>
      <c r="C3470" s="1" t="n">
        <v>45357</v>
      </c>
      <c r="D3470" t="inlineStr">
        <is>
          <t>VÄSTERBOTTENS LÄN</t>
        </is>
      </c>
      <c r="E3470" t="inlineStr">
        <is>
          <t>STORUMAN</t>
        </is>
      </c>
      <c r="F3470" t="inlineStr">
        <is>
          <t>Allmännings- och besparingsskogar</t>
        </is>
      </c>
      <c r="G3470" t="n">
        <v>17.5</v>
      </c>
      <c r="H3470" t="n">
        <v>0</v>
      </c>
      <c r="I3470" t="n">
        <v>0</v>
      </c>
      <c r="J3470" t="n">
        <v>0</v>
      </c>
      <c r="K3470" t="n">
        <v>0</v>
      </c>
      <c r="L3470" t="n">
        <v>0</v>
      </c>
      <c r="M3470" t="n">
        <v>0</v>
      </c>
      <c r="N3470" t="n">
        <v>0</v>
      </c>
      <c r="O3470" t="n">
        <v>0</v>
      </c>
      <c r="P3470" t="n">
        <v>0</v>
      </c>
      <c r="Q3470" t="n">
        <v>0</v>
      </c>
      <c r="R3470" s="2" t="inlineStr"/>
    </row>
    <row r="3471" ht="15" customHeight="1">
      <c r="A3471" t="inlineStr">
        <is>
          <t>A 31734-2020</t>
        </is>
      </c>
      <c r="B3471" s="1" t="n">
        <v>44013</v>
      </c>
      <c r="C3471" s="1" t="n">
        <v>45357</v>
      </c>
      <c r="D3471" t="inlineStr">
        <is>
          <t>VÄSTERBOTTENS LÄN</t>
        </is>
      </c>
      <c r="E3471" t="inlineStr">
        <is>
          <t>SKELLEFTEÅ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31895-2020</t>
        </is>
      </c>
      <c r="B3472" s="1" t="n">
        <v>44014</v>
      </c>
      <c r="C3472" s="1" t="n">
        <v>45357</v>
      </c>
      <c r="D3472" t="inlineStr">
        <is>
          <t>VÄSTERBOTTENS LÄN</t>
        </is>
      </c>
      <c r="E3472" t="inlineStr">
        <is>
          <t>VÄNNÄS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31743-2020</t>
        </is>
      </c>
      <c r="B3473" s="1" t="n">
        <v>44014</v>
      </c>
      <c r="C3473" s="1" t="n">
        <v>45357</v>
      </c>
      <c r="D3473" t="inlineStr">
        <is>
          <t>VÄSTERBOTTENS LÄN</t>
        </is>
      </c>
      <c r="E3473" t="inlineStr">
        <is>
          <t>LYCKSELE</t>
        </is>
      </c>
      <c r="F3473" t="inlineStr">
        <is>
          <t>Holmen skog AB</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31993-2020</t>
        </is>
      </c>
      <c r="B3474" s="1" t="n">
        <v>44014</v>
      </c>
      <c r="C3474" s="1" t="n">
        <v>45357</v>
      </c>
      <c r="D3474" t="inlineStr">
        <is>
          <t>VÄSTERBOTTENS LÄN</t>
        </is>
      </c>
      <c r="E3474" t="inlineStr">
        <is>
          <t>VINDELN</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31999-2020</t>
        </is>
      </c>
      <c r="B3475" s="1" t="n">
        <v>44014</v>
      </c>
      <c r="C3475" s="1" t="n">
        <v>45357</v>
      </c>
      <c r="D3475" t="inlineStr">
        <is>
          <t>VÄSTERBOTTENS LÄN</t>
        </is>
      </c>
      <c r="E3475" t="inlineStr">
        <is>
          <t>VINDELN</t>
        </is>
      </c>
      <c r="F3475" t="inlineStr">
        <is>
          <t>SCA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31995-2020</t>
        </is>
      </c>
      <c r="B3476" s="1" t="n">
        <v>44014</v>
      </c>
      <c r="C3476" s="1" t="n">
        <v>45357</v>
      </c>
      <c r="D3476" t="inlineStr">
        <is>
          <t>VÄSTERBOTTENS LÄN</t>
        </is>
      </c>
      <c r="E3476" t="inlineStr">
        <is>
          <t>VINDELN</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32079-2020</t>
        </is>
      </c>
      <c r="B3477" s="1" t="n">
        <v>44014</v>
      </c>
      <c r="C3477" s="1" t="n">
        <v>45357</v>
      </c>
      <c r="D3477" t="inlineStr">
        <is>
          <t>VÄSTERBOTTENS LÄN</t>
        </is>
      </c>
      <c r="E3477" t="inlineStr">
        <is>
          <t>ÅSELE</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31992-2020</t>
        </is>
      </c>
      <c r="B3478" s="1" t="n">
        <v>44014</v>
      </c>
      <c r="C3478" s="1" t="n">
        <v>45357</v>
      </c>
      <c r="D3478" t="inlineStr">
        <is>
          <t>VÄSTERBOTTENS LÄN</t>
        </is>
      </c>
      <c r="E3478" t="inlineStr">
        <is>
          <t>VINDELN</t>
        </is>
      </c>
      <c r="F3478" t="inlineStr">
        <is>
          <t>SCA</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31754-2020</t>
        </is>
      </c>
      <c r="B3479" s="1" t="n">
        <v>44014</v>
      </c>
      <c r="C3479" s="1" t="n">
        <v>45357</v>
      </c>
      <c r="D3479" t="inlineStr">
        <is>
          <t>VÄSTERBOTTENS LÄN</t>
        </is>
      </c>
      <c r="E3479" t="inlineStr">
        <is>
          <t>ROBERTSFORS</t>
        </is>
      </c>
      <c r="F3479" t="inlineStr">
        <is>
          <t>Holmen skog AB</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32173-2020</t>
        </is>
      </c>
      <c r="B3480" s="1" t="n">
        <v>44015</v>
      </c>
      <c r="C3480" s="1" t="n">
        <v>45357</v>
      </c>
      <c r="D3480" t="inlineStr">
        <is>
          <t>VÄSTERBOTTENS LÄN</t>
        </is>
      </c>
      <c r="E3480" t="inlineStr">
        <is>
          <t>SKELLEFTEÅ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32176-2020</t>
        </is>
      </c>
      <c r="B3481" s="1" t="n">
        <v>44015</v>
      </c>
      <c r="C3481" s="1" t="n">
        <v>45357</v>
      </c>
      <c r="D3481" t="inlineStr">
        <is>
          <t>VÄSTERBOTTENS LÄN</t>
        </is>
      </c>
      <c r="E3481" t="inlineStr">
        <is>
          <t>LYCKSELE</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32184-2020</t>
        </is>
      </c>
      <c r="B3482" s="1" t="n">
        <v>44015</v>
      </c>
      <c r="C3482" s="1" t="n">
        <v>45357</v>
      </c>
      <c r="D3482" t="inlineStr">
        <is>
          <t>VÄSTERBOTTENS LÄN</t>
        </is>
      </c>
      <c r="E3482" t="inlineStr">
        <is>
          <t>NORSJÖ</t>
        </is>
      </c>
      <c r="F3482" t="inlineStr">
        <is>
          <t>Holmen skog AB</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32298-2020</t>
        </is>
      </c>
      <c r="B3483" s="1" t="n">
        <v>44015</v>
      </c>
      <c r="C3483" s="1" t="n">
        <v>45357</v>
      </c>
      <c r="D3483" t="inlineStr">
        <is>
          <t>VÄSTERBOTTENS LÄN</t>
        </is>
      </c>
      <c r="E3483" t="inlineStr">
        <is>
          <t>DOROTEA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32188-2020</t>
        </is>
      </c>
      <c r="B3484" s="1" t="n">
        <v>44015</v>
      </c>
      <c r="C3484" s="1" t="n">
        <v>45357</v>
      </c>
      <c r="D3484" t="inlineStr">
        <is>
          <t>VÄSTERBOTTENS LÄN</t>
        </is>
      </c>
      <c r="E3484" t="inlineStr">
        <is>
          <t>LYCKSELE</t>
        </is>
      </c>
      <c r="F3484" t="inlineStr">
        <is>
          <t>Sveaskog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32321-2020</t>
        </is>
      </c>
      <c r="B3485" s="1" t="n">
        <v>44015</v>
      </c>
      <c r="C3485" s="1" t="n">
        <v>45357</v>
      </c>
      <c r="D3485" t="inlineStr">
        <is>
          <t>VÄSTERBOTTENS LÄN</t>
        </is>
      </c>
      <c r="E3485" t="inlineStr">
        <is>
          <t>ROBERTSFORS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32329-2020</t>
        </is>
      </c>
      <c r="B3486" s="1" t="n">
        <v>44016</v>
      </c>
      <c r="C3486" s="1" t="n">
        <v>45357</v>
      </c>
      <c r="D3486" t="inlineStr">
        <is>
          <t>VÄSTERBOTTENS LÄN</t>
        </is>
      </c>
      <c r="E3486" t="inlineStr">
        <is>
          <t>VÄNNÄS</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32330-2020</t>
        </is>
      </c>
      <c r="B3487" s="1" t="n">
        <v>44016</v>
      </c>
      <c r="C3487" s="1" t="n">
        <v>45357</v>
      </c>
      <c r="D3487" t="inlineStr">
        <is>
          <t>VÄSTERBOTTENS LÄN</t>
        </is>
      </c>
      <c r="E3487" t="inlineStr">
        <is>
          <t>VÄNNÄS</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32511-2020</t>
        </is>
      </c>
      <c r="B3488" s="1" t="n">
        <v>44017</v>
      </c>
      <c r="C3488" s="1" t="n">
        <v>45357</v>
      </c>
      <c r="D3488" t="inlineStr">
        <is>
          <t>VÄSTERBOTTENS LÄN</t>
        </is>
      </c>
      <c r="E3488" t="inlineStr">
        <is>
          <t>SKELLEFTEÅ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32549-2020</t>
        </is>
      </c>
      <c r="B3489" s="1" t="n">
        <v>44017</v>
      </c>
      <c r="C3489" s="1" t="n">
        <v>45357</v>
      </c>
      <c r="D3489" t="inlineStr">
        <is>
          <t>VÄSTERBOTTENS LÄN</t>
        </is>
      </c>
      <c r="E3489" t="inlineStr">
        <is>
          <t>SKELLEFTEÅ</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32526-2020</t>
        </is>
      </c>
      <c r="B3490" s="1" t="n">
        <v>44017</v>
      </c>
      <c r="C3490" s="1" t="n">
        <v>45357</v>
      </c>
      <c r="D3490" t="inlineStr">
        <is>
          <t>VÄSTERBOTTENS LÄN</t>
        </is>
      </c>
      <c r="E3490" t="inlineStr">
        <is>
          <t>SKELLEFTEÅ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32530-2020</t>
        </is>
      </c>
      <c r="B3491" s="1" t="n">
        <v>44017</v>
      </c>
      <c r="C3491" s="1" t="n">
        <v>45357</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32394-2020</t>
        </is>
      </c>
      <c r="B3492" s="1" t="n">
        <v>44018</v>
      </c>
      <c r="C3492" s="1" t="n">
        <v>45357</v>
      </c>
      <c r="D3492" t="inlineStr">
        <is>
          <t>VÄSTERBOTTENS LÄN</t>
        </is>
      </c>
      <c r="E3492" t="inlineStr">
        <is>
          <t>STORUMAN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32391-2020</t>
        </is>
      </c>
      <c r="B3493" s="1" t="n">
        <v>44018</v>
      </c>
      <c r="C3493" s="1" t="n">
        <v>45357</v>
      </c>
      <c r="D3493" t="inlineStr">
        <is>
          <t>VÄSTERBOTTENS LÄN</t>
        </is>
      </c>
      <c r="E3493" t="inlineStr">
        <is>
          <t>STORUMAN</t>
        </is>
      </c>
      <c r="F3493" t="inlineStr">
        <is>
          <t>Sveaskog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32571-2020</t>
        </is>
      </c>
      <c r="B3494" s="1" t="n">
        <v>44018</v>
      </c>
      <c r="C3494" s="1" t="n">
        <v>45357</v>
      </c>
      <c r="D3494" t="inlineStr">
        <is>
          <t>VÄSTERBOTTENS LÄN</t>
        </is>
      </c>
      <c r="E3494" t="inlineStr">
        <is>
          <t>UMEÅ</t>
        </is>
      </c>
      <c r="F3494" t="inlineStr">
        <is>
          <t>Holmen skog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32714-2020</t>
        </is>
      </c>
      <c r="B3495" s="1" t="n">
        <v>44018</v>
      </c>
      <c r="C3495" s="1" t="n">
        <v>45357</v>
      </c>
      <c r="D3495" t="inlineStr">
        <is>
          <t>VÄSTERBOTTENS LÄN</t>
        </is>
      </c>
      <c r="E3495" t="inlineStr">
        <is>
          <t>STORUMAN</t>
        </is>
      </c>
      <c r="G3495" t="n">
        <v>21.3</v>
      </c>
      <c r="H3495" t="n">
        <v>0</v>
      </c>
      <c r="I3495" t="n">
        <v>0</v>
      </c>
      <c r="J3495" t="n">
        <v>0</v>
      </c>
      <c r="K3495" t="n">
        <v>0</v>
      </c>
      <c r="L3495" t="n">
        <v>0</v>
      </c>
      <c r="M3495" t="n">
        <v>0</v>
      </c>
      <c r="N3495" t="n">
        <v>0</v>
      </c>
      <c r="O3495" t="n">
        <v>0</v>
      </c>
      <c r="P3495" t="n">
        <v>0</v>
      </c>
      <c r="Q3495" t="n">
        <v>0</v>
      </c>
      <c r="R3495" s="2" t="inlineStr"/>
    </row>
    <row r="3496" ht="15" customHeight="1">
      <c r="A3496" t="inlineStr">
        <is>
          <t>A 32716-2020</t>
        </is>
      </c>
      <c r="B3496" s="1" t="n">
        <v>44018</v>
      </c>
      <c r="C3496" s="1" t="n">
        <v>45357</v>
      </c>
      <c r="D3496" t="inlineStr">
        <is>
          <t>VÄSTERBOTTENS LÄN</t>
        </is>
      </c>
      <c r="E3496" t="inlineStr">
        <is>
          <t>STORUMAN</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33021-2020</t>
        </is>
      </c>
      <c r="B3497" s="1" t="n">
        <v>44019</v>
      </c>
      <c r="C3497" s="1" t="n">
        <v>45357</v>
      </c>
      <c r="D3497" t="inlineStr">
        <is>
          <t>VÄSTERBOTTENS LÄN</t>
        </is>
      </c>
      <c r="E3497" t="inlineStr">
        <is>
          <t>UMEÅ</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32625-2020</t>
        </is>
      </c>
      <c r="B3498" s="1" t="n">
        <v>44019</v>
      </c>
      <c r="C3498" s="1" t="n">
        <v>45357</v>
      </c>
      <c r="D3498" t="inlineStr">
        <is>
          <t>VÄSTERBOTTENS LÄN</t>
        </is>
      </c>
      <c r="E3498" t="inlineStr">
        <is>
          <t>ROBERTSFORS</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32670-2020</t>
        </is>
      </c>
      <c r="B3499" s="1" t="n">
        <v>44019</v>
      </c>
      <c r="C3499" s="1" t="n">
        <v>45357</v>
      </c>
      <c r="D3499" t="inlineStr">
        <is>
          <t>VÄSTERBOTTENS LÄN</t>
        </is>
      </c>
      <c r="E3499" t="inlineStr">
        <is>
          <t>NORSJÖ</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32885-2020</t>
        </is>
      </c>
      <c r="B3500" s="1" t="n">
        <v>44020</v>
      </c>
      <c r="C3500" s="1" t="n">
        <v>45357</v>
      </c>
      <c r="D3500" t="inlineStr">
        <is>
          <t>VÄSTERBOTTENS LÄN</t>
        </is>
      </c>
      <c r="E3500" t="inlineStr">
        <is>
          <t>SKELLEFTEÅ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32864-2020</t>
        </is>
      </c>
      <c r="B3501" s="1" t="n">
        <v>44020</v>
      </c>
      <c r="C3501" s="1" t="n">
        <v>45357</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33082-2020</t>
        </is>
      </c>
      <c r="B3502" s="1" t="n">
        <v>44021</v>
      </c>
      <c r="C3502" s="1" t="n">
        <v>45357</v>
      </c>
      <c r="D3502" t="inlineStr">
        <is>
          <t>VÄSTERBOTTENS LÄN</t>
        </is>
      </c>
      <c r="E3502" t="inlineStr">
        <is>
          <t>LYCKSELE</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33109-2020</t>
        </is>
      </c>
      <c r="B3503" s="1" t="n">
        <v>44021</v>
      </c>
      <c r="C3503" s="1" t="n">
        <v>45357</v>
      </c>
      <c r="D3503" t="inlineStr">
        <is>
          <t>VÄSTERBOTTENS LÄN</t>
        </is>
      </c>
      <c r="E3503" t="inlineStr">
        <is>
          <t>LYCKSELE</t>
        </is>
      </c>
      <c r="F3503" t="inlineStr">
        <is>
          <t>Holmen skog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33086-2020</t>
        </is>
      </c>
      <c r="B3504" s="1" t="n">
        <v>44021</v>
      </c>
      <c r="C3504" s="1" t="n">
        <v>45357</v>
      </c>
      <c r="D3504" t="inlineStr">
        <is>
          <t>VÄSTERBOTTENS LÄN</t>
        </is>
      </c>
      <c r="E3504" t="inlineStr">
        <is>
          <t>SKELLEFTEÅ</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33347-2020</t>
        </is>
      </c>
      <c r="B3505" s="1" t="n">
        <v>44021</v>
      </c>
      <c r="C3505" s="1" t="n">
        <v>45357</v>
      </c>
      <c r="D3505" t="inlineStr">
        <is>
          <t>VÄSTERBOTTENS LÄN</t>
        </is>
      </c>
      <c r="E3505" t="inlineStr">
        <is>
          <t>LYCKSELE</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33574-2020</t>
        </is>
      </c>
      <c r="B3506" s="1" t="n">
        <v>44021</v>
      </c>
      <c r="C3506" s="1" t="n">
        <v>45357</v>
      </c>
      <c r="D3506" t="inlineStr">
        <is>
          <t>VÄSTERBOTTENS LÄN</t>
        </is>
      </c>
      <c r="E3506" t="inlineStr">
        <is>
          <t>UMEÅ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33376-2020</t>
        </is>
      </c>
      <c r="B3507" s="1" t="n">
        <v>44022</v>
      </c>
      <c r="C3507" s="1" t="n">
        <v>45357</v>
      </c>
      <c r="D3507" t="inlineStr">
        <is>
          <t>VÄSTERBOTTENS LÄN</t>
        </is>
      </c>
      <c r="E3507" t="inlineStr">
        <is>
          <t>VINDELN</t>
        </is>
      </c>
      <c r="F3507" t="inlineStr">
        <is>
          <t>Holmen skog AB</t>
        </is>
      </c>
      <c r="G3507" t="n">
        <v>8.5</v>
      </c>
      <c r="H3507" t="n">
        <v>0</v>
      </c>
      <c r="I3507" t="n">
        <v>0</v>
      </c>
      <c r="J3507" t="n">
        <v>0</v>
      </c>
      <c r="K3507" t="n">
        <v>0</v>
      </c>
      <c r="L3507" t="n">
        <v>0</v>
      </c>
      <c r="M3507" t="n">
        <v>0</v>
      </c>
      <c r="N3507" t="n">
        <v>0</v>
      </c>
      <c r="O3507" t="n">
        <v>0</v>
      </c>
      <c r="P3507" t="n">
        <v>0</v>
      </c>
      <c r="Q3507" t="n">
        <v>0</v>
      </c>
      <c r="R3507" s="2" t="inlineStr"/>
    </row>
    <row r="3508" ht="15" customHeight="1">
      <c r="A3508" t="inlineStr">
        <is>
          <t>A 33327-2020</t>
        </is>
      </c>
      <c r="B3508" s="1" t="n">
        <v>44022</v>
      </c>
      <c r="C3508" s="1" t="n">
        <v>45357</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33370-2020</t>
        </is>
      </c>
      <c r="B3509" s="1" t="n">
        <v>44022</v>
      </c>
      <c r="C3509" s="1" t="n">
        <v>45357</v>
      </c>
      <c r="D3509" t="inlineStr">
        <is>
          <t>VÄSTERBOTTENS LÄN</t>
        </is>
      </c>
      <c r="E3509" t="inlineStr">
        <is>
          <t>VILHELMINA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33322-2020</t>
        </is>
      </c>
      <c r="B3510" s="1" t="n">
        <v>44022</v>
      </c>
      <c r="C3510" s="1" t="n">
        <v>45357</v>
      </c>
      <c r="D3510" t="inlineStr">
        <is>
          <t>VÄSTERBOTTENS LÄN</t>
        </is>
      </c>
      <c r="E3510" t="inlineStr">
        <is>
          <t>SKELLEFTEÅ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33424-2020</t>
        </is>
      </c>
      <c r="B3511" s="1" t="n">
        <v>44022</v>
      </c>
      <c r="C3511" s="1" t="n">
        <v>45357</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33731-2020</t>
        </is>
      </c>
      <c r="B3512" s="1" t="n">
        <v>44023</v>
      </c>
      <c r="C3512" s="1" t="n">
        <v>45357</v>
      </c>
      <c r="D3512" t="inlineStr">
        <is>
          <t>VÄSTERBOTTENS LÄN</t>
        </is>
      </c>
      <c r="E3512" t="inlineStr">
        <is>
          <t>NORSJÖ</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33734-2020</t>
        </is>
      </c>
      <c r="B3513" s="1" t="n">
        <v>44023</v>
      </c>
      <c r="C3513" s="1" t="n">
        <v>45357</v>
      </c>
      <c r="D3513" t="inlineStr">
        <is>
          <t>VÄSTERBOTTENS LÄN</t>
        </is>
      </c>
      <c r="E3513" t="inlineStr">
        <is>
          <t>NORSJÖ</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33487-2020</t>
        </is>
      </c>
      <c r="B3514" s="1" t="n">
        <v>44024</v>
      </c>
      <c r="C3514" s="1" t="n">
        <v>45357</v>
      </c>
      <c r="D3514" t="inlineStr">
        <is>
          <t>VÄSTERBOTTENS LÄN</t>
        </is>
      </c>
      <c r="E3514" t="inlineStr">
        <is>
          <t>LYCKSELE</t>
        </is>
      </c>
      <c r="F3514" t="inlineStr">
        <is>
          <t>Sveaskog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33484-2020</t>
        </is>
      </c>
      <c r="B3515" s="1" t="n">
        <v>44024</v>
      </c>
      <c r="C3515" s="1" t="n">
        <v>45357</v>
      </c>
      <c r="D3515" t="inlineStr">
        <is>
          <t>VÄSTERBOTTENS LÄN</t>
        </is>
      </c>
      <c r="E3515" t="inlineStr">
        <is>
          <t>LYCKSELE</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33625-2020</t>
        </is>
      </c>
      <c r="B3516" s="1" t="n">
        <v>44025</v>
      </c>
      <c r="C3516" s="1" t="n">
        <v>45357</v>
      </c>
      <c r="D3516" t="inlineStr">
        <is>
          <t>VÄSTERBOTTENS LÄN</t>
        </is>
      </c>
      <c r="E3516" t="inlineStr">
        <is>
          <t>NORDMALING</t>
        </is>
      </c>
      <c r="F3516" t="inlineStr">
        <is>
          <t>SCA</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33593-2020</t>
        </is>
      </c>
      <c r="B3517" s="1" t="n">
        <v>44025</v>
      </c>
      <c r="C3517" s="1" t="n">
        <v>45357</v>
      </c>
      <c r="D3517" t="inlineStr">
        <is>
          <t>VÄSTERBOTTENS LÄN</t>
        </is>
      </c>
      <c r="E3517" t="inlineStr">
        <is>
          <t>ROBERTSFORS</t>
        </is>
      </c>
      <c r="F3517" t="inlineStr">
        <is>
          <t>Holmen skog AB</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33626-2020</t>
        </is>
      </c>
      <c r="B3518" s="1" t="n">
        <v>44025</v>
      </c>
      <c r="C3518" s="1" t="n">
        <v>45357</v>
      </c>
      <c r="D3518" t="inlineStr">
        <is>
          <t>VÄSTERBOTTENS LÄN</t>
        </is>
      </c>
      <c r="E3518" t="inlineStr">
        <is>
          <t>NORDMALING</t>
        </is>
      </c>
      <c r="F3518" t="inlineStr">
        <is>
          <t>SCA</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33791-2020</t>
        </is>
      </c>
      <c r="B3519" s="1" t="n">
        <v>44026</v>
      </c>
      <c r="C3519" s="1" t="n">
        <v>45357</v>
      </c>
      <c r="D3519" t="inlineStr">
        <is>
          <t>VÄSTERBOTTENS LÄN</t>
        </is>
      </c>
      <c r="E3519" t="inlineStr">
        <is>
          <t>SKELLEFTEÅ</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33729-2020</t>
        </is>
      </c>
      <c r="B3520" s="1" t="n">
        <v>44026</v>
      </c>
      <c r="C3520" s="1" t="n">
        <v>45357</v>
      </c>
      <c r="D3520" t="inlineStr">
        <is>
          <t>VÄSTERBOTTENS LÄN</t>
        </is>
      </c>
      <c r="E3520" t="inlineStr">
        <is>
          <t>BJURHOLM</t>
        </is>
      </c>
      <c r="F3520" t="inlineStr">
        <is>
          <t>Holmen skog AB</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33771-2020</t>
        </is>
      </c>
      <c r="B3521" s="1" t="n">
        <v>44026</v>
      </c>
      <c r="C3521" s="1" t="n">
        <v>45357</v>
      </c>
      <c r="D3521" t="inlineStr">
        <is>
          <t>VÄSTERBOTTENS LÄN</t>
        </is>
      </c>
      <c r="E3521" t="inlineStr">
        <is>
          <t>ÅSELE</t>
        </is>
      </c>
      <c r="F3521" t="inlineStr">
        <is>
          <t>Sveaskog</t>
        </is>
      </c>
      <c r="G3521" t="n">
        <v>17.2</v>
      </c>
      <c r="H3521" t="n">
        <v>0</v>
      </c>
      <c r="I3521" t="n">
        <v>0</v>
      </c>
      <c r="J3521" t="n">
        <v>0</v>
      </c>
      <c r="K3521" t="n">
        <v>0</v>
      </c>
      <c r="L3521" t="n">
        <v>0</v>
      </c>
      <c r="M3521" t="n">
        <v>0</v>
      </c>
      <c r="N3521" t="n">
        <v>0</v>
      </c>
      <c r="O3521" t="n">
        <v>0</v>
      </c>
      <c r="P3521" t="n">
        <v>0</v>
      </c>
      <c r="Q3521" t="n">
        <v>0</v>
      </c>
      <c r="R3521" s="2" t="inlineStr"/>
    </row>
    <row r="3522" ht="15" customHeight="1">
      <c r="A3522" t="inlineStr">
        <is>
          <t>A 33928-2020</t>
        </is>
      </c>
      <c r="B3522" s="1" t="n">
        <v>44027</v>
      </c>
      <c r="C3522" s="1" t="n">
        <v>45357</v>
      </c>
      <c r="D3522" t="inlineStr">
        <is>
          <t>VÄSTERBOTTENS LÄN</t>
        </is>
      </c>
      <c r="E3522" t="inlineStr">
        <is>
          <t>NORSJÖ</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34151-2020</t>
        </is>
      </c>
      <c r="B3523" s="1" t="n">
        <v>44027</v>
      </c>
      <c r="C3523" s="1" t="n">
        <v>45357</v>
      </c>
      <c r="D3523" t="inlineStr">
        <is>
          <t>VÄSTERBOTTENS LÄN</t>
        </is>
      </c>
      <c r="E3523" t="inlineStr">
        <is>
          <t>LYCKSELE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34235-2020</t>
        </is>
      </c>
      <c r="B3524" s="1" t="n">
        <v>44027</v>
      </c>
      <c r="C3524" s="1" t="n">
        <v>45357</v>
      </c>
      <c r="D3524" t="inlineStr">
        <is>
          <t>VÄSTERBOTTENS LÄN</t>
        </is>
      </c>
      <c r="E3524" t="inlineStr">
        <is>
          <t>SKELLEFTEÅ</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33841-2020</t>
        </is>
      </c>
      <c r="B3525" s="1" t="n">
        <v>44027</v>
      </c>
      <c r="C3525" s="1" t="n">
        <v>45357</v>
      </c>
      <c r="D3525" t="inlineStr">
        <is>
          <t>VÄSTERBOTTENS LÄN</t>
        </is>
      </c>
      <c r="E3525" t="inlineStr">
        <is>
          <t>LYCKSELE</t>
        </is>
      </c>
      <c r="F3525" t="inlineStr">
        <is>
          <t>Holmen skog AB</t>
        </is>
      </c>
      <c r="G3525" t="n">
        <v>13.1</v>
      </c>
      <c r="H3525" t="n">
        <v>0</v>
      </c>
      <c r="I3525" t="n">
        <v>0</v>
      </c>
      <c r="J3525" t="n">
        <v>0</v>
      </c>
      <c r="K3525" t="n">
        <v>0</v>
      </c>
      <c r="L3525" t="n">
        <v>0</v>
      </c>
      <c r="M3525" t="n">
        <v>0</v>
      </c>
      <c r="N3525" t="n">
        <v>0</v>
      </c>
      <c r="O3525" t="n">
        <v>0</v>
      </c>
      <c r="P3525" t="n">
        <v>0</v>
      </c>
      <c r="Q3525" t="n">
        <v>0</v>
      </c>
      <c r="R3525" s="2" t="inlineStr"/>
    </row>
    <row r="3526" ht="15" customHeight="1">
      <c r="A3526" t="inlineStr">
        <is>
          <t>A 33874-2020</t>
        </is>
      </c>
      <c r="B3526" s="1" t="n">
        <v>44027</v>
      </c>
      <c r="C3526" s="1" t="n">
        <v>45357</v>
      </c>
      <c r="D3526" t="inlineStr">
        <is>
          <t>VÄSTERBOTTENS LÄN</t>
        </is>
      </c>
      <c r="E3526" t="inlineStr">
        <is>
          <t>MALÅ</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34060-2020</t>
        </is>
      </c>
      <c r="B3527" s="1" t="n">
        <v>44028</v>
      </c>
      <c r="C3527" s="1" t="n">
        <v>45357</v>
      </c>
      <c r="D3527" t="inlineStr">
        <is>
          <t>VÄSTERBOTTENS LÄN</t>
        </is>
      </c>
      <c r="E3527" t="inlineStr">
        <is>
          <t>LYCKSELE</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34099-2020</t>
        </is>
      </c>
      <c r="B3528" s="1" t="n">
        <v>44028</v>
      </c>
      <c r="C3528" s="1" t="n">
        <v>45357</v>
      </c>
      <c r="D3528" t="inlineStr">
        <is>
          <t>VÄSTERBOTTENS LÄN</t>
        </is>
      </c>
      <c r="E3528" t="inlineStr">
        <is>
          <t>ÅSELE</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34173-2020</t>
        </is>
      </c>
      <c r="B3529" s="1" t="n">
        <v>44029</v>
      </c>
      <c r="C3529" s="1" t="n">
        <v>45357</v>
      </c>
      <c r="D3529" t="inlineStr">
        <is>
          <t>VÄSTERBOTTENS LÄN</t>
        </is>
      </c>
      <c r="E3529" t="inlineStr">
        <is>
          <t>SKELLEFTEÅ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34155-2020</t>
        </is>
      </c>
      <c r="B3530" s="1" t="n">
        <v>44029</v>
      </c>
      <c r="C3530" s="1" t="n">
        <v>45357</v>
      </c>
      <c r="D3530" t="inlineStr">
        <is>
          <t>VÄSTERBOTTENS LÄN</t>
        </is>
      </c>
      <c r="E3530" t="inlineStr">
        <is>
          <t>SKELLEFTEÅ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34169-2020</t>
        </is>
      </c>
      <c r="B3531" s="1" t="n">
        <v>44029</v>
      </c>
      <c r="C3531" s="1" t="n">
        <v>45357</v>
      </c>
      <c r="D3531" t="inlineStr">
        <is>
          <t>VÄSTERBOTTENS LÄN</t>
        </is>
      </c>
      <c r="E3531" t="inlineStr">
        <is>
          <t>SKELLEFTEÅ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34177-2020</t>
        </is>
      </c>
      <c r="B3532" s="1" t="n">
        <v>44029</v>
      </c>
      <c r="C3532" s="1" t="n">
        <v>45357</v>
      </c>
      <c r="D3532" t="inlineStr">
        <is>
          <t>VÄSTERBOTTENS LÄN</t>
        </is>
      </c>
      <c r="E3532" t="inlineStr">
        <is>
          <t>SKELLEFTEÅ</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34142-2020</t>
        </is>
      </c>
      <c r="B3533" s="1" t="n">
        <v>44029</v>
      </c>
      <c r="C3533" s="1" t="n">
        <v>45357</v>
      </c>
      <c r="D3533" t="inlineStr">
        <is>
          <t>VÄSTERBOTTENS LÄN</t>
        </is>
      </c>
      <c r="E3533" t="inlineStr">
        <is>
          <t>SKELLEFTEÅ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34170-2020</t>
        </is>
      </c>
      <c r="B3534" s="1" t="n">
        <v>44029</v>
      </c>
      <c r="C3534" s="1" t="n">
        <v>45357</v>
      </c>
      <c r="D3534" t="inlineStr">
        <is>
          <t>VÄSTERBOTTENS LÄN</t>
        </is>
      </c>
      <c r="E3534" t="inlineStr">
        <is>
          <t>ÅSELE</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34510-2020</t>
        </is>
      </c>
      <c r="B3535" s="1" t="n">
        <v>44029</v>
      </c>
      <c r="C3535" s="1" t="n">
        <v>45357</v>
      </c>
      <c r="D3535" t="inlineStr">
        <is>
          <t>VÄSTERBOTTENS LÄN</t>
        </is>
      </c>
      <c r="E3535" t="inlineStr">
        <is>
          <t>ÅSELE</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34521-2020</t>
        </is>
      </c>
      <c r="B3536" s="1" t="n">
        <v>44029</v>
      </c>
      <c r="C3536" s="1" t="n">
        <v>45357</v>
      </c>
      <c r="D3536" t="inlineStr">
        <is>
          <t>VÄSTERBOTTENS LÄN</t>
        </is>
      </c>
      <c r="E3536" t="inlineStr">
        <is>
          <t>ROBERTSFORS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34522-2020</t>
        </is>
      </c>
      <c r="B3537" s="1" t="n">
        <v>44029</v>
      </c>
      <c r="C3537" s="1" t="n">
        <v>45357</v>
      </c>
      <c r="D3537" t="inlineStr">
        <is>
          <t>VÄSTERBOTTENS LÄN</t>
        </is>
      </c>
      <c r="E3537" t="inlineStr">
        <is>
          <t>ÅSELE</t>
        </is>
      </c>
      <c r="G3537" t="n">
        <v>35.2</v>
      </c>
      <c r="H3537" t="n">
        <v>0</v>
      </c>
      <c r="I3537" t="n">
        <v>0</v>
      </c>
      <c r="J3537" t="n">
        <v>0</v>
      </c>
      <c r="K3537" t="n">
        <v>0</v>
      </c>
      <c r="L3537" t="n">
        <v>0</v>
      </c>
      <c r="M3537" t="n">
        <v>0</v>
      </c>
      <c r="N3537" t="n">
        <v>0</v>
      </c>
      <c r="O3537" t="n">
        <v>0</v>
      </c>
      <c r="P3537" t="n">
        <v>0</v>
      </c>
      <c r="Q3537" t="n">
        <v>0</v>
      </c>
      <c r="R3537" s="2" t="inlineStr"/>
    </row>
    <row r="3538" ht="15" customHeight="1">
      <c r="A3538" t="inlineStr">
        <is>
          <t>A 34520-2020</t>
        </is>
      </c>
      <c r="B3538" s="1" t="n">
        <v>44029</v>
      </c>
      <c r="C3538" s="1" t="n">
        <v>45357</v>
      </c>
      <c r="D3538" t="inlineStr">
        <is>
          <t>VÄSTERBOTTENS LÄN</t>
        </is>
      </c>
      <c r="E3538" t="inlineStr">
        <is>
          <t>ÅSELE</t>
        </is>
      </c>
      <c r="G3538" t="n">
        <v>26.7</v>
      </c>
      <c r="H3538" t="n">
        <v>0</v>
      </c>
      <c r="I3538" t="n">
        <v>0</v>
      </c>
      <c r="J3538" t="n">
        <v>0</v>
      </c>
      <c r="K3538" t="n">
        <v>0</v>
      </c>
      <c r="L3538" t="n">
        <v>0</v>
      </c>
      <c r="M3538" t="n">
        <v>0</v>
      </c>
      <c r="N3538" t="n">
        <v>0</v>
      </c>
      <c r="O3538" t="n">
        <v>0</v>
      </c>
      <c r="P3538" t="n">
        <v>0</v>
      </c>
      <c r="Q3538" t="n">
        <v>0</v>
      </c>
      <c r="R3538" s="2" t="inlineStr"/>
    </row>
    <row r="3539" ht="15" customHeight="1">
      <c r="A3539" t="inlineStr">
        <is>
          <t>A 34516-2020</t>
        </is>
      </c>
      <c r="B3539" s="1" t="n">
        <v>44029</v>
      </c>
      <c r="C3539" s="1" t="n">
        <v>45357</v>
      </c>
      <c r="D3539" t="inlineStr">
        <is>
          <t>VÄSTERBOTTENS LÄN</t>
        </is>
      </c>
      <c r="E3539" t="inlineStr">
        <is>
          <t>ÅSELE</t>
        </is>
      </c>
      <c r="G3539" t="n">
        <v>8.9</v>
      </c>
      <c r="H3539" t="n">
        <v>0</v>
      </c>
      <c r="I3539" t="n">
        <v>0</v>
      </c>
      <c r="J3539" t="n">
        <v>0</v>
      </c>
      <c r="K3539" t="n">
        <v>0</v>
      </c>
      <c r="L3539" t="n">
        <v>0</v>
      </c>
      <c r="M3539" t="n">
        <v>0</v>
      </c>
      <c r="N3539" t="n">
        <v>0</v>
      </c>
      <c r="O3539" t="n">
        <v>0</v>
      </c>
      <c r="P3539" t="n">
        <v>0</v>
      </c>
      <c r="Q3539" t="n">
        <v>0</v>
      </c>
      <c r="R3539" s="2" t="inlineStr"/>
    </row>
    <row r="3540" ht="15" customHeight="1">
      <c r="A3540" t="inlineStr">
        <is>
          <t>A 34368-2020</t>
        </is>
      </c>
      <c r="B3540" s="1" t="n">
        <v>44032</v>
      </c>
      <c r="C3540" s="1" t="n">
        <v>45357</v>
      </c>
      <c r="D3540" t="inlineStr">
        <is>
          <t>VÄSTERBOTTENS LÄN</t>
        </is>
      </c>
      <c r="E3540" t="inlineStr">
        <is>
          <t>VILHELMINA</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34479-2020</t>
        </is>
      </c>
      <c r="B3541" s="1" t="n">
        <v>44032</v>
      </c>
      <c r="C3541" s="1" t="n">
        <v>45357</v>
      </c>
      <c r="D3541" t="inlineStr">
        <is>
          <t>VÄSTERBOTTENS LÄN</t>
        </is>
      </c>
      <c r="E3541" t="inlineStr">
        <is>
          <t>LYCKSELE</t>
        </is>
      </c>
      <c r="F3541" t="inlineStr">
        <is>
          <t>Naturvårdsverket</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34351-2020</t>
        </is>
      </c>
      <c r="B3542" s="1" t="n">
        <v>44032</v>
      </c>
      <c r="C3542" s="1" t="n">
        <v>45357</v>
      </c>
      <c r="D3542" t="inlineStr">
        <is>
          <t>VÄSTERBOTTENS LÄN</t>
        </is>
      </c>
      <c r="E3542" t="inlineStr">
        <is>
          <t>SKELLEFTEÅ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34517-2020</t>
        </is>
      </c>
      <c r="B3543" s="1" t="n">
        <v>44033</v>
      </c>
      <c r="C3543" s="1" t="n">
        <v>45357</v>
      </c>
      <c r="D3543" t="inlineStr">
        <is>
          <t>VÄSTERBOTTENS LÄN</t>
        </is>
      </c>
      <c r="E3543" t="inlineStr">
        <is>
          <t>SKELLEFTEÅ</t>
        </is>
      </c>
      <c r="F3543" t="inlineStr">
        <is>
          <t>Holmen skog AB</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34613-2020</t>
        </is>
      </c>
      <c r="B3544" s="1" t="n">
        <v>44033</v>
      </c>
      <c r="C3544" s="1" t="n">
        <v>45357</v>
      </c>
      <c r="D3544" t="inlineStr">
        <is>
          <t>VÄSTERBOTTENS LÄN</t>
        </is>
      </c>
      <c r="E3544" t="inlineStr">
        <is>
          <t>STORUMAN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34733-2020</t>
        </is>
      </c>
      <c r="B3545" s="1" t="n">
        <v>44035</v>
      </c>
      <c r="C3545" s="1" t="n">
        <v>45357</v>
      </c>
      <c r="D3545" t="inlineStr">
        <is>
          <t>VÄSTERBOTTENS LÄN</t>
        </is>
      </c>
      <c r="E3545" t="inlineStr">
        <is>
          <t>NORSJÖ</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34710-2020</t>
        </is>
      </c>
      <c r="B3546" s="1" t="n">
        <v>44035</v>
      </c>
      <c r="C3546" s="1" t="n">
        <v>45357</v>
      </c>
      <c r="D3546" t="inlineStr">
        <is>
          <t>VÄSTERBOTTENS LÄN</t>
        </is>
      </c>
      <c r="E3546" t="inlineStr">
        <is>
          <t>NORDMALING</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34770-2020</t>
        </is>
      </c>
      <c r="B3547" s="1" t="n">
        <v>44035</v>
      </c>
      <c r="C3547" s="1" t="n">
        <v>45357</v>
      </c>
      <c r="D3547" t="inlineStr">
        <is>
          <t>VÄSTERBOTTENS LÄN</t>
        </is>
      </c>
      <c r="E3547" t="inlineStr">
        <is>
          <t>LYCKSELE</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34763-2020</t>
        </is>
      </c>
      <c r="B3548" s="1" t="n">
        <v>44035</v>
      </c>
      <c r="C3548" s="1" t="n">
        <v>45357</v>
      </c>
      <c r="D3548" t="inlineStr">
        <is>
          <t>VÄSTERBOTTENS LÄN</t>
        </is>
      </c>
      <c r="E3548" t="inlineStr">
        <is>
          <t>LYCKSELE</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34909-2020</t>
        </is>
      </c>
      <c r="B3549" s="1" t="n">
        <v>44036</v>
      </c>
      <c r="C3549" s="1" t="n">
        <v>45357</v>
      </c>
      <c r="D3549" t="inlineStr">
        <is>
          <t>VÄSTERBOTTENS LÄN</t>
        </is>
      </c>
      <c r="E3549" t="inlineStr">
        <is>
          <t>VILHELMINA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34920-2020</t>
        </is>
      </c>
      <c r="B3550" s="1" t="n">
        <v>44036</v>
      </c>
      <c r="C3550" s="1" t="n">
        <v>45357</v>
      </c>
      <c r="D3550" t="inlineStr">
        <is>
          <t>VÄSTERBOTTENS LÄN</t>
        </is>
      </c>
      <c r="E3550" t="inlineStr">
        <is>
          <t>ROBERTSFORS</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34933-2020</t>
        </is>
      </c>
      <c r="B3551" s="1" t="n">
        <v>44036</v>
      </c>
      <c r="C3551" s="1" t="n">
        <v>45357</v>
      </c>
      <c r="D3551" t="inlineStr">
        <is>
          <t>VÄSTERBOTTENS LÄN</t>
        </is>
      </c>
      <c r="E3551" t="inlineStr">
        <is>
          <t>ROBERTSFORS</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34987-2020</t>
        </is>
      </c>
      <c r="B3552" s="1" t="n">
        <v>44039</v>
      </c>
      <c r="C3552" s="1" t="n">
        <v>45357</v>
      </c>
      <c r="D3552" t="inlineStr">
        <is>
          <t>VÄSTERBOTTENS LÄN</t>
        </is>
      </c>
      <c r="E3552" t="inlineStr">
        <is>
          <t>VILHELMINA</t>
        </is>
      </c>
      <c r="G3552" t="n">
        <v>16.6</v>
      </c>
      <c r="H3552" t="n">
        <v>0</v>
      </c>
      <c r="I3552" t="n">
        <v>0</v>
      </c>
      <c r="J3552" t="n">
        <v>0</v>
      </c>
      <c r="K3552" t="n">
        <v>0</v>
      </c>
      <c r="L3552" t="n">
        <v>0</v>
      </c>
      <c r="M3552" t="n">
        <v>0</v>
      </c>
      <c r="N3552" t="n">
        <v>0</v>
      </c>
      <c r="O3552" t="n">
        <v>0</v>
      </c>
      <c r="P3552" t="n">
        <v>0</v>
      </c>
      <c r="Q3552" t="n">
        <v>0</v>
      </c>
      <c r="R3552" s="2" t="inlineStr"/>
    </row>
    <row r="3553" ht="15" customHeight="1">
      <c r="A3553" t="inlineStr">
        <is>
          <t>A 35173-2020</t>
        </is>
      </c>
      <c r="B3553" s="1" t="n">
        <v>44040</v>
      </c>
      <c r="C3553" s="1" t="n">
        <v>45357</v>
      </c>
      <c r="D3553" t="inlineStr">
        <is>
          <t>VÄSTERBOTTENS LÄN</t>
        </is>
      </c>
      <c r="E3553" t="inlineStr">
        <is>
          <t>SKELLEFTEÅ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35285-2020</t>
        </is>
      </c>
      <c r="B3554" s="1" t="n">
        <v>44041</v>
      </c>
      <c r="C3554" s="1" t="n">
        <v>45357</v>
      </c>
      <c r="D3554" t="inlineStr">
        <is>
          <t>VÄSTERBOTTENS LÄN</t>
        </is>
      </c>
      <c r="E3554" t="inlineStr">
        <is>
          <t>SKELLEFTEÅ</t>
        </is>
      </c>
      <c r="F3554" t="inlineStr">
        <is>
          <t>Holmen skog AB</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35230-2020</t>
        </is>
      </c>
      <c r="B3555" s="1" t="n">
        <v>44041</v>
      </c>
      <c r="C3555" s="1" t="n">
        <v>45357</v>
      </c>
      <c r="D3555" t="inlineStr">
        <is>
          <t>VÄSTERBOTTENS LÄN</t>
        </is>
      </c>
      <c r="E3555" t="inlineStr">
        <is>
          <t>SORSELE</t>
        </is>
      </c>
      <c r="F3555" t="inlineStr">
        <is>
          <t>Sveaskog</t>
        </is>
      </c>
      <c r="G3555" t="n">
        <v>41.8</v>
      </c>
      <c r="H3555" t="n">
        <v>0</v>
      </c>
      <c r="I3555" t="n">
        <v>0</v>
      </c>
      <c r="J3555" t="n">
        <v>0</v>
      </c>
      <c r="K3555" t="n">
        <v>0</v>
      </c>
      <c r="L3555" t="n">
        <v>0</v>
      </c>
      <c r="M3555" t="n">
        <v>0</v>
      </c>
      <c r="N3555" t="n">
        <v>0</v>
      </c>
      <c r="O3555" t="n">
        <v>0</v>
      </c>
      <c r="P3555" t="n">
        <v>0</v>
      </c>
      <c r="Q3555" t="n">
        <v>0</v>
      </c>
      <c r="R3555" s="2" t="inlineStr"/>
    </row>
    <row r="3556" ht="15" customHeight="1">
      <c r="A3556" t="inlineStr">
        <is>
          <t>A 35590-2020</t>
        </is>
      </c>
      <c r="B3556" s="1" t="n">
        <v>44043</v>
      </c>
      <c r="C3556" s="1" t="n">
        <v>45357</v>
      </c>
      <c r="D3556" t="inlineStr">
        <is>
          <t>VÄSTERBOTTENS LÄN</t>
        </is>
      </c>
      <c r="E3556" t="inlineStr">
        <is>
          <t>SORSELE</t>
        </is>
      </c>
      <c r="F3556" t="inlineStr">
        <is>
          <t>SCA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35806-2020</t>
        </is>
      </c>
      <c r="B3557" s="1" t="n">
        <v>44046</v>
      </c>
      <c r="C3557" s="1" t="n">
        <v>45357</v>
      </c>
      <c r="D3557" t="inlineStr">
        <is>
          <t>VÄSTERBOTTENS LÄN</t>
        </is>
      </c>
      <c r="E3557" t="inlineStr">
        <is>
          <t>SKELLEFTEÅ</t>
        </is>
      </c>
      <c r="F3557" t="inlineStr">
        <is>
          <t>SCA</t>
        </is>
      </c>
      <c r="G3557" t="n">
        <v>13.5</v>
      </c>
      <c r="H3557" t="n">
        <v>0</v>
      </c>
      <c r="I3557" t="n">
        <v>0</v>
      </c>
      <c r="J3557" t="n">
        <v>0</v>
      </c>
      <c r="K3557" t="n">
        <v>0</v>
      </c>
      <c r="L3557" t="n">
        <v>0</v>
      </c>
      <c r="M3557" t="n">
        <v>0</v>
      </c>
      <c r="N3557" t="n">
        <v>0</v>
      </c>
      <c r="O3557" t="n">
        <v>0</v>
      </c>
      <c r="P3557" t="n">
        <v>0</v>
      </c>
      <c r="Q3557" t="n">
        <v>0</v>
      </c>
      <c r="R3557" s="2" t="inlineStr"/>
    </row>
    <row r="3558" ht="15" customHeight="1">
      <c r="A3558" t="inlineStr">
        <is>
          <t>A 35687-2020</t>
        </is>
      </c>
      <c r="B3558" s="1" t="n">
        <v>44046</v>
      </c>
      <c r="C3558" s="1" t="n">
        <v>45357</v>
      </c>
      <c r="D3558" t="inlineStr">
        <is>
          <t>VÄSTERBOTTENS LÄN</t>
        </is>
      </c>
      <c r="E3558" t="inlineStr">
        <is>
          <t>UMEÅ</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35702-2020</t>
        </is>
      </c>
      <c r="B3559" s="1" t="n">
        <v>44046</v>
      </c>
      <c r="C3559" s="1" t="n">
        <v>45357</v>
      </c>
      <c r="D3559" t="inlineStr">
        <is>
          <t>VÄSTERBOTTENS LÄN</t>
        </is>
      </c>
      <c r="E3559" t="inlineStr">
        <is>
          <t>MALÅ</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35807-2020</t>
        </is>
      </c>
      <c r="B3560" s="1" t="n">
        <v>44046</v>
      </c>
      <c r="C3560" s="1" t="n">
        <v>45357</v>
      </c>
      <c r="D3560" t="inlineStr">
        <is>
          <t>VÄSTERBOTTENS LÄN</t>
        </is>
      </c>
      <c r="E3560" t="inlineStr">
        <is>
          <t>SKELLEFTEÅ</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36439-2020</t>
        </is>
      </c>
      <c r="B3561" s="1" t="n">
        <v>44049</v>
      </c>
      <c r="C3561" s="1" t="n">
        <v>45357</v>
      </c>
      <c r="D3561" t="inlineStr">
        <is>
          <t>VÄSTERBOTTENS LÄN</t>
        </is>
      </c>
      <c r="E3561" t="inlineStr">
        <is>
          <t>VÄNNÄS</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36440-2020</t>
        </is>
      </c>
      <c r="B3562" s="1" t="n">
        <v>44049</v>
      </c>
      <c r="C3562" s="1" t="n">
        <v>45357</v>
      </c>
      <c r="D3562" t="inlineStr">
        <is>
          <t>VÄSTERBOTTENS LÄN</t>
        </is>
      </c>
      <c r="E3562" t="inlineStr">
        <is>
          <t>VÄNNÄS</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36401-2020</t>
        </is>
      </c>
      <c r="B3563" s="1" t="n">
        <v>44049</v>
      </c>
      <c r="C3563" s="1" t="n">
        <v>45357</v>
      </c>
      <c r="D3563" t="inlineStr">
        <is>
          <t>VÄSTERBOTTENS LÄN</t>
        </is>
      </c>
      <c r="E3563" t="inlineStr">
        <is>
          <t>SKELLEFTEÅ</t>
        </is>
      </c>
      <c r="F3563" t="inlineStr">
        <is>
          <t>Holmen skog AB</t>
        </is>
      </c>
      <c r="G3563" t="n">
        <v>11.1</v>
      </c>
      <c r="H3563" t="n">
        <v>0</v>
      </c>
      <c r="I3563" t="n">
        <v>0</v>
      </c>
      <c r="J3563" t="n">
        <v>0</v>
      </c>
      <c r="K3563" t="n">
        <v>0</v>
      </c>
      <c r="L3563" t="n">
        <v>0</v>
      </c>
      <c r="M3563" t="n">
        <v>0</v>
      </c>
      <c r="N3563" t="n">
        <v>0</v>
      </c>
      <c r="O3563" t="n">
        <v>0</v>
      </c>
      <c r="P3563" t="n">
        <v>0</v>
      </c>
      <c r="Q3563" t="n">
        <v>0</v>
      </c>
      <c r="R3563" s="2" t="inlineStr"/>
    </row>
    <row r="3564" ht="15" customHeight="1">
      <c r="A3564" t="inlineStr">
        <is>
          <t>A 36431-2020</t>
        </is>
      </c>
      <c r="B3564" s="1" t="n">
        <v>44049</v>
      </c>
      <c r="C3564" s="1" t="n">
        <v>45357</v>
      </c>
      <c r="D3564" t="inlineStr">
        <is>
          <t>VÄSTERBOTTENS LÄN</t>
        </is>
      </c>
      <c r="E3564" t="inlineStr">
        <is>
          <t>VINDELN</t>
        </is>
      </c>
      <c r="G3564" t="n">
        <v>27.6</v>
      </c>
      <c r="H3564" t="n">
        <v>0</v>
      </c>
      <c r="I3564" t="n">
        <v>0</v>
      </c>
      <c r="J3564" t="n">
        <v>0</v>
      </c>
      <c r="K3564" t="n">
        <v>0</v>
      </c>
      <c r="L3564" t="n">
        <v>0</v>
      </c>
      <c r="M3564" t="n">
        <v>0</v>
      </c>
      <c r="N3564" t="n">
        <v>0</v>
      </c>
      <c r="O3564" t="n">
        <v>0</v>
      </c>
      <c r="P3564" t="n">
        <v>0</v>
      </c>
      <c r="Q3564" t="n">
        <v>0</v>
      </c>
      <c r="R3564" s="2" t="inlineStr"/>
    </row>
    <row r="3565" ht="15" customHeight="1">
      <c r="A3565" t="inlineStr">
        <is>
          <t>A 36514-2020</t>
        </is>
      </c>
      <c r="B3565" s="1" t="n">
        <v>44050</v>
      </c>
      <c r="C3565" s="1" t="n">
        <v>45357</v>
      </c>
      <c r="D3565" t="inlineStr">
        <is>
          <t>VÄSTERBOTTENS LÄN</t>
        </is>
      </c>
      <c r="E3565" t="inlineStr">
        <is>
          <t>ÅSELE</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36529-2020</t>
        </is>
      </c>
      <c r="B3566" s="1" t="n">
        <v>44050</v>
      </c>
      <c r="C3566" s="1" t="n">
        <v>45357</v>
      </c>
      <c r="D3566" t="inlineStr">
        <is>
          <t>VÄSTERBOTTENS LÄN</t>
        </is>
      </c>
      <c r="E3566" t="inlineStr">
        <is>
          <t>ROBERTSFORS</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36544-2020</t>
        </is>
      </c>
      <c r="B3567" s="1" t="n">
        <v>44050</v>
      </c>
      <c r="C3567" s="1" t="n">
        <v>45357</v>
      </c>
      <c r="D3567" t="inlineStr">
        <is>
          <t>VÄSTERBOTTENS LÄN</t>
        </is>
      </c>
      <c r="E3567" t="inlineStr">
        <is>
          <t>ROBERTSFORS</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38217-2020</t>
        </is>
      </c>
      <c r="B3568" s="1" t="n">
        <v>44050</v>
      </c>
      <c r="C3568" s="1" t="n">
        <v>45357</v>
      </c>
      <c r="D3568" t="inlineStr">
        <is>
          <t>VÄSTERBOTTENS LÄN</t>
        </is>
      </c>
      <c r="E3568" t="inlineStr">
        <is>
          <t>SKELLEFTEÅ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36531-2020</t>
        </is>
      </c>
      <c r="B3569" s="1" t="n">
        <v>44050</v>
      </c>
      <c r="C3569" s="1" t="n">
        <v>45357</v>
      </c>
      <c r="D3569" t="inlineStr">
        <is>
          <t>VÄSTERBOTTENS LÄN</t>
        </is>
      </c>
      <c r="E3569" t="inlineStr">
        <is>
          <t>UMEÅ</t>
        </is>
      </c>
      <c r="F3569" t="inlineStr">
        <is>
          <t>Holmen skog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36842-2020</t>
        </is>
      </c>
      <c r="B3570" s="1" t="n">
        <v>44053</v>
      </c>
      <c r="C3570" s="1" t="n">
        <v>45357</v>
      </c>
      <c r="D3570" t="inlineStr">
        <is>
          <t>VÄSTERBOTTENS LÄN</t>
        </is>
      </c>
      <c r="E3570" t="inlineStr">
        <is>
          <t>NORSJÖ</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36854-2020</t>
        </is>
      </c>
      <c r="B3571" s="1" t="n">
        <v>44053</v>
      </c>
      <c r="C3571" s="1" t="n">
        <v>45357</v>
      </c>
      <c r="D3571" t="inlineStr">
        <is>
          <t>VÄSTERBOTTENS LÄN</t>
        </is>
      </c>
      <c r="E3571" t="inlineStr">
        <is>
          <t>VINDELN</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36846-2020</t>
        </is>
      </c>
      <c r="B3572" s="1" t="n">
        <v>44053</v>
      </c>
      <c r="C3572" s="1" t="n">
        <v>45357</v>
      </c>
      <c r="D3572" t="inlineStr">
        <is>
          <t>VÄSTERBOTTENS LÄN</t>
        </is>
      </c>
      <c r="E3572" t="inlineStr">
        <is>
          <t>STORUMAN</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36844-2020</t>
        </is>
      </c>
      <c r="B3573" s="1" t="n">
        <v>44053</v>
      </c>
      <c r="C3573" s="1" t="n">
        <v>45357</v>
      </c>
      <c r="D3573" t="inlineStr">
        <is>
          <t>VÄSTERBOTTENS LÄN</t>
        </is>
      </c>
      <c r="E3573" t="inlineStr">
        <is>
          <t>NORSJÖ</t>
        </is>
      </c>
      <c r="F3573" t="inlineStr">
        <is>
          <t>Holmen skog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36875-2020</t>
        </is>
      </c>
      <c r="B3574" s="1" t="n">
        <v>44053</v>
      </c>
      <c r="C3574" s="1" t="n">
        <v>45357</v>
      </c>
      <c r="D3574" t="inlineStr">
        <is>
          <t>VÄSTERBOTTENS LÄN</t>
        </is>
      </c>
      <c r="E3574" t="inlineStr">
        <is>
          <t>VILHELMINA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37073-2020</t>
        </is>
      </c>
      <c r="B3575" s="1" t="n">
        <v>44054</v>
      </c>
      <c r="C3575" s="1" t="n">
        <v>45357</v>
      </c>
      <c r="D3575" t="inlineStr">
        <is>
          <t>VÄSTERBOTTENS LÄN</t>
        </is>
      </c>
      <c r="E3575" t="inlineStr">
        <is>
          <t>NORSJÖ</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37223-2020</t>
        </is>
      </c>
      <c r="B3576" s="1" t="n">
        <v>44054</v>
      </c>
      <c r="C3576" s="1" t="n">
        <v>45357</v>
      </c>
      <c r="D3576" t="inlineStr">
        <is>
          <t>VÄSTERBOTTENS LÄN</t>
        </is>
      </c>
      <c r="E3576" t="inlineStr">
        <is>
          <t>NORDMALING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37227-2020</t>
        </is>
      </c>
      <c r="B3577" s="1" t="n">
        <v>44054</v>
      </c>
      <c r="C3577" s="1" t="n">
        <v>45357</v>
      </c>
      <c r="D3577" t="inlineStr">
        <is>
          <t>VÄSTERBOTTENS LÄN</t>
        </is>
      </c>
      <c r="E3577" t="inlineStr">
        <is>
          <t>LYCKSELE</t>
        </is>
      </c>
      <c r="F3577" t="inlineStr">
        <is>
          <t>SCA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37309-2020</t>
        </is>
      </c>
      <c r="B3578" s="1" t="n">
        <v>44054</v>
      </c>
      <c r="C3578" s="1" t="n">
        <v>45357</v>
      </c>
      <c r="D3578" t="inlineStr">
        <is>
          <t>VÄSTERBOTTENS LÄN</t>
        </is>
      </c>
      <c r="E3578" t="inlineStr">
        <is>
          <t>ÅSELE</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37384-2020</t>
        </is>
      </c>
      <c r="B3579" s="1" t="n">
        <v>44055</v>
      </c>
      <c r="C3579" s="1" t="n">
        <v>45357</v>
      </c>
      <c r="D3579" t="inlineStr">
        <is>
          <t>VÄSTERBOTTENS LÄN</t>
        </is>
      </c>
      <c r="E3579" t="inlineStr">
        <is>
          <t>SKELLEFTEÅ</t>
        </is>
      </c>
      <c r="F3579" t="inlineStr">
        <is>
          <t>Holmen skog AB</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37393-2020</t>
        </is>
      </c>
      <c r="B3580" s="1" t="n">
        <v>44055</v>
      </c>
      <c r="C3580" s="1" t="n">
        <v>45357</v>
      </c>
      <c r="D3580" t="inlineStr">
        <is>
          <t>VÄSTERBOTTENS LÄN</t>
        </is>
      </c>
      <c r="E3580" t="inlineStr">
        <is>
          <t>SKELLEFTEÅ</t>
        </is>
      </c>
      <c r="F3580" t="inlineStr">
        <is>
          <t>Holmen skog AB</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37405-2020</t>
        </is>
      </c>
      <c r="B3581" s="1" t="n">
        <v>44055</v>
      </c>
      <c r="C3581" s="1" t="n">
        <v>45357</v>
      </c>
      <c r="D3581" t="inlineStr">
        <is>
          <t>VÄSTERBOTTENS LÄN</t>
        </is>
      </c>
      <c r="E3581" t="inlineStr">
        <is>
          <t>VINDELN</t>
        </is>
      </c>
      <c r="F3581" t="inlineStr">
        <is>
          <t>Holmen skog AB</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37268-2020</t>
        </is>
      </c>
      <c r="B3582" s="1" t="n">
        <v>44055</v>
      </c>
      <c r="C3582" s="1" t="n">
        <v>45357</v>
      </c>
      <c r="D3582" t="inlineStr">
        <is>
          <t>VÄSTERBOTTENS LÄN</t>
        </is>
      </c>
      <c r="E3582" t="inlineStr">
        <is>
          <t>SKELLEFTEÅ</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37285-2020</t>
        </is>
      </c>
      <c r="B3583" s="1" t="n">
        <v>44055</v>
      </c>
      <c r="C3583" s="1" t="n">
        <v>45357</v>
      </c>
      <c r="D3583" t="inlineStr">
        <is>
          <t>VÄSTERBOTTENS LÄN</t>
        </is>
      </c>
      <c r="E3583" t="inlineStr">
        <is>
          <t>ROBERTSFORS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37334-2020</t>
        </is>
      </c>
      <c r="B3584" s="1" t="n">
        <v>44055</v>
      </c>
      <c r="C3584" s="1" t="n">
        <v>45357</v>
      </c>
      <c r="D3584" t="inlineStr">
        <is>
          <t>VÄSTERBOTTENS LÄN</t>
        </is>
      </c>
      <c r="E3584" t="inlineStr">
        <is>
          <t>VINDELN</t>
        </is>
      </c>
      <c r="F3584" t="inlineStr">
        <is>
          <t>Holmen skog AB</t>
        </is>
      </c>
      <c r="G3584" t="n">
        <v>15.7</v>
      </c>
      <c r="H3584" t="n">
        <v>0</v>
      </c>
      <c r="I3584" t="n">
        <v>0</v>
      </c>
      <c r="J3584" t="n">
        <v>0</v>
      </c>
      <c r="K3584" t="n">
        <v>0</v>
      </c>
      <c r="L3584" t="n">
        <v>0</v>
      </c>
      <c r="M3584" t="n">
        <v>0</v>
      </c>
      <c r="N3584" t="n">
        <v>0</v>
      </c>
      <c r="O3584" t="n">
        <v>0</v>
      </c>
      <c r="P3584" t="n">
        <v>0</v>
      </c>
      <c r="Q3584" t="n">
        <v>0</v>
      </c>
      <c r="R3584" s="2" t="inlineStr"/>
    </row>
    <row r="3585" ht="15" customHeight="1">
      <c r="A3585" t="inlineStr">
        <is>
          <t>A 37337-2020</t>
        </is>
      </c>
      <c r="B3585" s="1" t="n">
        <v>44055</v>
      </c>
      <c r="C3585" s="1" t="n">
        <v>45357</v>
      </c>
      <c r="D3585" t="inlineStr">
        <is>
          <t>VÄSTERBOTTENS LÄN</t>
        </is>
      </c>
      <c r="E3585" t="inlineStr">
        <is>
          <t>BJURHOLM</t>
        </is>
      </c>
      <c r="F3585" t="inlineStr">
        <is>
          <t>Holmen skog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37491-2020</t>
        </is>
      </c>
      <c r="B3586" s="1" t="n">
        <v>44055</v>
      </c>
      <c r="C3586" s="1" t="n">
        <v>45357</v>
      </c>
      <c r="D3586" t="inlineStr">
        <is>
          <t>VÄSTERBOTTENS LÄN</t>
        </is>
      </c>
      <c r="E3586" t="inlineStr">
        <is>
          <t>VINDELN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37860-2020</t>
        </is>
      </c>
      <c r="B3587" s="1" t="n">
        <v>44057</v>
      </c>
      <c r="C3587" s="1" t="n">
        <v>45357</v>
      </c>
      <c r="D3587" t="inlineStr">
        <is>
          <t>VÄSTERBOTTENS LÄN</t>
        </is>
      </c>
      <c r="E3587" t="inlineStr">
        <is>
          <t>SKELLEFTEÅ</t>
        </is>
      </c>
      <c r="F3587" t="inlineStr">
        <is>
          <t>Holmen skog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37858-2020</t>
        </is>
      </c>
      <c r="B3588" s="1" t="n">
        <v>44057</v>
      </c>
      <c r="C3588" s="1" t="n">
        <v>45357</v>
      </c>
      <c r="D3588" t="inlineStr">
        <is>
          <t>VÄSTERBOTTENS LÄN</t>
        </is>
      </c>
      <c r="E3588" t="inlineStr">
        <is>
          <t>SKELLEFTEÅ</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37869-2020</t>
        </is>
      </c>
      <c r="B3589" s="1" t="n">
        <v>44057</v>
      </c>
      <c r="C3589" s="1" t="n">
        <v>45357</v>
      </c>
      <c r="D3589" t="inlineStr">
        <is>
          <t>VÄSTERBOTTENS LÄN</t>
        </is>
      </c>
      <c r="E3589" t="inlineStr">
        <is>
          <t>SKELLEFTEÅ</t>
        </is>
      </c>
      <c r="G3589" t="n">
        <v>11.5</v>
      </c>
      <c r="H3589" t="n">
        <v>0</v>
      </c>
      <c r="I3589" t="n">
        <v>0</v>
      </c>
      <c r="J3589" t="n">
        <v>0</v>
      </c>
      <c r="K3589" t="n">
        <v>0</v>
      </c>
      <c r="L3589" t="n">
        <v>0</v>
      </c>
      <c r="M3589" t="n">
        <v>0</v>
      </c>
      <c r="N3589" t="n">
        <v>0</v>
      </c>
      <c r="O3589" t="n">
        <v>0</v>
      </c>
      <c r="P3589" t="n">
        <v>0</v>
      </c>
      <c r="Q3589" t="n">
        <v>0</v>
      </c>
      <c r="R3589" s="2" t="inlineStr"/>
    </row>
    <row r="3590" ht="15" customHeight="1">
      <c r="A3590" t="inlineStr">
        <is>
          <t>A 37862-2020</t>
        </is>
      </c>
      <c r="B3590" s="1" t="n">
        <v>44057</v>
      </c>
      <c r="C3590" s="1" t="n">
        <v>45357</v>
      </c>
      <c r="D3590" t="inlineStr">
        <is>
          <t>VÄSTERBOTTENS LÄN</t>
        </is>
      </c>
      <c r="E3590" t="inlineStr">
        <is>
          <t>SKELLEFTEÅ</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37978-2020</t>
        </is>
      </c>
      <c r="B3591" s="1" t="n">
        <v>44057</v>
      </c>
      <c r="C3591" s="1" t="n">
        <v>45357</v>
      </c>
      <c r="D3591" t="inlineStr">
        <is>
          <t>VÄSTERBOTTENS LÄN</t>
        </is>
      </c>
      <c r="E3591" t="inlineStr">
        <is>
          <t>LYCKSELE</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38174-2020</t>
        </is>
      </c>
      <c r="B3592" s="1" t="n">
        <v>44057</v>
      </c>
      <c r="C3592" s="1" t="n">
        <v>45357</v>
      </c>
      <c r="D3592" t="inlineStr">
        <is>
          <t>VÄSTERBOTTENS LÄN</t>
        </is>
      </c>
      <c r="E3592" t="inlineStr">
        <is>
          <t>SKELLEFTEÅ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38067-2020</t>
        </is>
      </c>
      <c r="B3593" s="1" t="n">
        <v>44057</v>
      </c>
      <c r="C3593" s="1" t="n">
        <v>45357</v>
      </c>
      <c r="D3593" t="inlineStr">
        <is>
          <t>VÄSTERBOTTENS LÄN</t>
        </is>
      </c>
      <c r="E3593" t="inlineStr">
        <is>
          <t>LYCKSELE</t>
        </is>
      </c>
      <c r="F3593" t="inlineStr">
        <is>
          <t>SCA</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38075-2020</t>
        </is>
      </c>
      <c r="B3594" s="1" t="n">
        <v>44057</v>
      </c>
      <c r="C3594" s="1" t="n">
        <v>45357</v>
      </c>
      <c r="D3594" t="inlineStr">
        <is>
          <t>VÄSTERBOTTENS LÄN</t>
        </is>
      </c>
      <c r="E3594" t="inlineStr">
        <is>
          <t>UMEÅ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37986-2020</t>
        </is>
      </c>
      <c r="B3595" s="1" t="n">
        <v>44057</v>
      </c>
      <c r="C3595" s="1" t="n">
        <v>45357</v>
      </c>
      <c r="D3595" t="inlineStr">
        <is>
          <t>VÄSTERBOTTENS LÄN</t>
        </is>
      </c>
      <c r="E3595" t="inlineStr">
        <is>
          <t>VINDELN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38073-2020</t>
        </is>
      </c>
      <c r="B3596" s="1" t="n">
        <v>44057</v>
      </c>
      <c r="C3596" s="1" t="n">
        <v>45357</v>
      </c>
      <c r="D3596" t="inlineStr">
        <is>
          <t>VÄSTERBOTTENS LÄN</t>
        </is>
      </c>
      <c r="E3596" t="inlineStr">
        <is>
          <t>UMEÅ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38147-2020</t>
        </is>
      </c>
      <c r="B3597" s="1" t="n">
        <v>44057</v>
      </c>
      <c r="C3597" s="1" t="n">
        <v>45357</v>
      </c>
      <c r="D3597" t="inlineStr">
        <is>
          <t>VÄSTERBOTTENS LÄN</t>
        </is>
      </c>
      <c r="E3597" t="inlineStr">
        <is>
          <t>NORDMALING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38086-2020</t>
        </is>
      </c>
      <c r="B3598" s="1" t="n">
        <v>44057</v>
      </c>
      <c r="C3598" s="1" t="n">
        <v>45357</v>
      </c>
      <c r="D3598" t="inlineStr">
        <is>
          <t>VÄSTERBOTTENS LÄN</t>
        </is>
      </c>
      <c r="E3598" t="inlineStr">
        <is>
          <t>ROBERTSFORS</t>
        </is>
      </c>
      <c r="F3598" t="inlineStr">
        <is>
          <t>SCA</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38160-2020</t>
        </is>
      </c>
      <c r="B3599" s="1" t="n">
        <v>44057</v>
      </c>
      <c r="C3599" s="1" t="n">
        <v>45357</v>
      </c>
      <c r="D3599" t="inlineStr">
        <is>
          <t>VÄSTERBOTTENS LÄN</t>
        </is>
      </c>
      <c r="E3599" t="inlineStr">
        <is>
          <t>NORDMALING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38181-2020</t>
        </is>
      </c>
      <c r="B3600" s="1" t="n">
        <v>44057</v>
      </c>
      <c r="C3600" s="1" t="n">
        <v>45357</v>
      </c>
      <c r="D3600" t="inlineStr">
        <is>
          <t>VÄSTERBOTTENS LÄN</t>
        </is>
      </c>
      <c r="E3600" t="inlineStr">
        <is>
          <t>SKELLEFTEÅ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38120-2020</t>
        </is>
      </c>
      <c r="B3601" s="1" t="n">
        <v>44059</v>
      </c>
      <c r="C3601" s="1" t="n">
        <v>45357</v>
      </c>
      <c r="D3601" t="inlineStr">
        <is>
          <t>VÄSTERBOTTENS LÄN</t>
        </is>
      </c>
      <c r="E3601" t="inlineStr">
        <is>
          <t>SKELLEFTEÅ</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38132-2020</t>
        </is>
      </c>
      <c r="B3602" s="1" t="n">
        <v>44059</v>
      </c>
      <c r="C3602" s="1" t="n">
        <v>45357</v>
      </c>
      <c r="D3602" t="inlineStr">
        <is>
          <t>VÄSTERBOTTENS LÄN</t>
        </is>
      </c>
      <c r="E3602" t="inlineStr">
        <is>
          <t>SKELLEFTEÅ</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38119-2020</t>
        </is>
      </c>
      <c r="B3603" s="1" t="n">
        <v>44059</v>
      </c>
      <c r="C3603" s="1" t="n">
        <v>45357</v>
      </c>
      <c r="D3603" t="inlineStr">
        <is>
          <t>VÄSTERBOTTENS LÄN</t>
        </is>
      </c>
      <c r="E3603" t="inlineStr">
        <is>
          <t>SKELLEFTEÅ</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38187-2020</t>
        </is>
      </c>
      <c r="B3604" s="1" t="n">
        <v>44060</v>
      </c>
      <c r="C3604" s="1" t="n">
        <v>45357</v>
      </c>
      <c r="D3604" t="inlineStr">
        <is>
          <t>VÄSTERBOTTENS LÄN</t>
        </is>
      </c>
      <c r="E3604" t="inlineStr">
        <is>
          <t>SKELLEFTEÅ</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38332-2020</t>
        </is>
      </c>
      <c r="B3605" s="1" t="n">
        <v>44060</v>
      </c>
      <c r="C3605" s="1" t="n">
        <v>45357</v>
      </c>
      <c r="D3605" t="inlineStr">
        <is>
          <t>VÄSTERBOTTENS LÄN</t>
        </is>
      </c>
      <c r="E3605" t="inlineStr">
        <is>
          <t>ROBERTSFORS</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38192-2020</t>
        </is>
      </c>
      <c r="B3606" s="1" t="n">
        <v>44060</v>
      </c>
      <c r="C3606" s="1" t="n">
        <v>45357</v>
      </c>
      <c r="D3606" t="inlineStr">
        <is>
          <t>VÄSTERBOTTENS LÄN</t>
        </is>
      </c>
      <c r="E3606" t="inlineStr">
        <is>
          <t>SKELLEFTEÅ</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38194-2020</t>
        </is>
      </c>
      <c r="B3607" s="1" t="n">
        <v>44060</v>
      </c>
      <c r="C3607" s="1" t="n">
        <v>45357</v>
      </c>
      <c r="D3607" t="inlineStr">
        <is>
          <t>VÄSTERBOTTENS LÄN</t>
        </is>
      </c>
      <c r="E3607" t="inlineStr">
        <is>
          <t>VINDELN</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38311-2020</t>
        </is>
      </c>
      <c r="B3608" s="1" t="n">
        <v>44060</v>
      </c>
      <c r="C3608" s="1" t="n">
        <v>45357</v>
      </c>
      <c r="D3608" t="inlineStr">
        <is>
          <t>VÄSTERBOTTENS LÄN</t>
        </is>
      </c>
      <c r="E3608" t="inlineStr">
        <is>
          <t>MALÅ</t>
        </is>
      </c>
      <c r="F3608" t="inlineStr">
        <is>
          <t>Sveaskog</t>
        </is>
      </c>
      <c r="G3608" t="n">
        <v>12.9</v>
      </c>
      <c r="H3608" t="n">
        <v>0</v>
      </c>
      <c r="I3608" t="n">
        <v>0</v>
      </c>
      <c r="J3608" t="n">
        <v>0</v>
      </c>
      <c r="K3608" t="n">
        <v>0</v>
      </c>
      <c r="L3608" t="n">
        <v>0</v>
      </c>
      <c r="M3608" t="n">
        <v>0</v>
      </c>
      <c r="N3608" t="n">
        <v>0</v>
      </c>
      <c r="O3608" t="n">
        <v>0</v>
      </c>
      <c r="P3608" t="n">
        <v>0</v>
      </c>
      <c r="Q3608" t="n">
        <v>0</v>
      </c>
      <c r="R3608" s="2" t="inlineStr"/>
    </row>
    <row r="3609" ht="15" customHeight="1">
      <c r="A3609" t="inlineStr">
        <is>
          <t>A 38392-2020</t>
        </is>
      </c>
      <c r="B3609" s="1" t="n">
        <v>44060</v>
      </c>
      <c r="C3609" s="1" t="n">
        <v>45357</v>
      </c>
      <c r="D3609" t="inlineStr">
        <is>
          <t>VÄSTERBOTTENS LÄN</t>
        </is>
      </c>
      <c r="E3609" t="inlineStr">
        <is>
          <t>ÅSELE</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38349-2020</t>
        </is>
      </c>
      <c r="B3610" s="1" t="n">
        <v>44060</v>
      </c>
      <c r="C3610" s="1" t="n">
        <v>45357</v>
      </c>
      <c r="D3610" t="inlineStr">
        <is>
          <t>VÄSTERBOTTENS LÄN</t>
        </is>
      </c>
      <c r="E3610" t="inlineStr">
        <is>
          <t>VILHELMINA</t>
        </is>
      </c>
      <c r="F3610" t="inlineStr">
        <is>
          <t>SCA</t>
        </is>
      </c>
      <c r="G3610" t="n">
        <v>26.8</v>
      </c>
      <c r="H3610" t="n">
        <v>0</v>
      </c>
      <c r="I3610" t="n">
        <v>0</v>
      </c>
      <c r="J3610" t="n">
        <v>0</v>
      </c>
      <c r="K3610" t="n">
        <v>0</v>
      </c>
      <c r="L3610" t="n">
        <v>0</v>
      </c>
      <c r="M3610" t="n">
        <v>0</v>
      </c>
      <c r="N3610" t="n">
        <v>0</v>
      </c>
      <c r="O3610" t="n">
        <v>0</v>
      </c>
      <c r="P3610" t="n">
        <v>0</v>
      </c>
      <c r="Q3610" t="n">
        <v>0</v>
      </c>
      <c r="R3610" s="2" t="inlineStr"/>
    </row>
    <row r="3611" ht="15" customHeight="1">
      <c r="A3611" t="inlineStr">
        <is>
          <t>A 38457-2020</t>
        </is>
      </c>
      <c r="B3611" s="1" t="n">
        <v>44060</v>
      </c>
      <c r="C3611" s="1" t="n">
        <v>45357</v>
      </c>
      <c r="D3611" t="inlineStr">
        <is>
          <t>VÄSTERBOTTENS LÄN</t>
        </is>
      </c>
      <c r="E3611" t="inlineStr">
        <is>
          <t>ROBERTSFORS</t>
        </is>
      </c>
      <c r="F3611" t="inlineStr">
        <is>
          <t>SCA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38580-2020</t>
        </is>
      </c>
      <c r="B3612" s="1" t="n">
        <v>44061</v>
      </c>
      <c r="C3612" s="1" t="n">
        <v>45357</v>
      </c>
      <c r="D3612" t="inlineStr">
        <is>
          <t>VÄSTERBOTTENS LÄN</t>
        </is>
      </c>
      <c r="E3612" t="inlineStr">
        <is>
          <t>VINDELN</t>
        </is>
      </c>
      <c r="F3612" t="inlineStr">
        <is>
          <t>Holmen skog AB</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38679-2020</t>
        </is>
      </c>
      <c r="B3613" s="1" t="n">
        <v>44061</v>
      </c>
      <c r="C3613" s="1" t="n">
        <v>45357</v>
      </c>
      <c r="D3613" t="inlineStr">
        <is>
          <t>VÄSTERBOTTENS LÄN</t>
        </is>
      </c>
      <c r="E3613" t="inlineStr">
        <is>
          <t>VINDELN</t>
        </is>
      </c>
      <c r="F3613" t="inlineStr">
        <is>
          <t>Holmen skog AB</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38930-2020</t>
        </is>
      </c>
      <c r="B3614" s="1" t="n">
        <v>44061</v>
      </c>
      <c r="C3614" s="1" t="n">
        <v>45357</v>
      </c>
      <c r="D3614" t="inlineStr">
        <is>
          <t>VÄSTERBOTTENS LÄN</t>
        </is>
      </c>
      <c r="E3614" t="inlineStr">
        <is>
          <t>ROBERTSFORS</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38944-2020</t>
        </is>
      </c>
      <c r="B3615" s="1" t="n">
        <v>44062</v>
      </c>
      <c r="C3615" s="1" t="n">
        <v>45357</v>
      </c>
      <c r="D3615" t="inlineStr">
        <is>
          <t>VÄSTERBOTTENS LÄN</t>
        </is>
      </c>
      <c r="E3615" t="inlineStr">
        <is>
          <t>LYCKSELE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38980-2020</t>
        </is>
      </c>
      <c r="B3616" s="1" t="n">
        <v>44062</v>
      </c>
      <c r="C3616" s="1" t="n">
        <v>45357</v>
      </c>
      <c r="D3616" t="inlineStr">
        <is>
          <t>VÄSTERBOTTENS LÄN</t>
        </is>
      </c>
      <c r="E3616" t="inlineStr">
        <is>
          <t>LYCKSELE</t>
        </is>
      </c>
      <c r="F3616" t="inlineStr">
        <is>
          <t>Holmen skog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39001-2020</t>
        </is>
      </c>
      <c r="B3617" s="1" t="n">
        <v>44062</v>
      </c>
      <c r="C3617" s="1" t="n">
        <v>45357</v>
      </c>
      <c r="D3617" t="inlineStr">
        <is>
          <t>VÄSTERBOTTENS LÄN</t>
        </is>
      </c>
      <c r="E3617" t="inlineStr">
        <is>
          <t>UMEÅ</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39131-2020</t>
        </is>
      </c>
      <c r="B3618" s="1" t="n">
        <v>44063</v>
      </c>
      <c r="C3618" s="1" t="n">
        <v>45357</v>
      </c>
      <c r="D3618" t="inlineStr">
        <is>
          <t>VÄSTERBOTTENS LÄN</t>
        </is>
      </c>
      <c r="E3618" t="inlineStr">
        <is>
          <t>STORUMAN</t>
        </is>
      </c>
      <c r="F3618" t="inlineStr">
        <is>
          <t>Sveaskog</t>
        </is>
      </c>
      <c r="G3618" t="n">
        <v>36.1</v>
      </c>
      <c r="H3618" t="n">
        <v>0</v>
      </c>
      <c r="I3618" t="n">
        <v>0</v>
      </c>
      <c r="J3618" t="n">
        <v>0</v>
      </c>
      <c r="K3618" t="n">
        <v>0</v>
      </c>
      <c r="L3618" t="n">
        <v>0</v>
      </c>
      <c r="M3618" t="n">
        <v>0</v>
      </c>
      <c r="N3618" t="n">
        <v>0</v>
      </c>
      <c r="O3618" t="n">
        <v>0</v>
      </c>
      <c r="P3618" t="n">
        <v>0</v>
      </c>
      <c r="Q3618" t="n">
        <v>0</v>
      </c>
      <c r="R3618" s="2" t="inlineStr"/>
    </row>
    <row r="3619" ht="15" customHeight="1">
      <c r="A3619" t="inlineStr">
        <is>
          <t>A 39129-2020</t>
        </is>
      </c>
      <c r="B3619" s="1" t="n">
        <v>44063</v>
      </c>
      <c r="C3619" s="1" t="n">
        <v>45357</v>
      </c>
      <c r="D3619" t="inlineStr">
        <is>
          <t>VÄSTERBOTTENS LÄN</t>
        </is>
      </c>
      <c r="E3619" t="inlineStr">
        <is>
          <t>VÄNNÄS</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39158-2020</t>
        </is>
      </c>
      <c r="B3620" s="1" t="n">
        <v>44063</v>
      </c>
      <c r="C3620" s="1" t="n">
        <v>45357</v>
      </c>
      <c r="D3620" t="inlineStr">
        <is>
          <t>VÄSTERBOTTENS LÄN</t>
        </is>
      </c>
      <c r="E3620" t="inlineStr">
        <is>
          <t>SORSELE</t>
        </is>
      </c>
      <c r="F3620" t="inlineStr">
        <is>
          <t>Sveaskog</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39230-2020</t>
        </is>
      </c>
      <c r="B3621" s="1" t="n">
        <v>44063</v>
      </c>
      <c r="C3621" s="1" t="n">
        <v>45357</v>
      </c>
      <c r="D3621" t="inlineStr">
        <is>
          <t>VÄSTERBOTTENS LÄN</t>
        </is>
      </c>
      <c r="E3621" t="inlineStr">
        <is>
          <t>SORSELE</t>
        </is>
      </c>
      <c r="F3621" t="inlineStr">
        <is>
          <t>Sveaskog</t>
        </is>
      </c>
      <c r="G3621" t="n">
        <v>33.2</v>
      </c>
      <c r="H3621" t="n">
        <v>0</v>
      </c>
      <c r="I3621" t="n">
        <v>0</v>
      </c>
      <c r="J3621" t="n">
        <v>0</v>
      </c>
      <c r="K3621" t="n">
        <v>0</v>
      </c>
      <c r="L3621" t="n">
        <v>0</v>
      </c>
      <c r="M3621" t="n">
        <v>0</v>
      </c>
      <c r="N3621" t="n">
        <v>0</v>
      </c>
      <c r="O3621" t="n">
        <v>0</v>
      </c>
      <c r="P3621" t="n">
        <v>0</v>
      </c>
      <c r="Q3621" t="n">
        <v>0</v>
      </c>
      <c r="R3621" s="2" t="inlineStr"/>
    </row>
    <row r="3622" ht="15" customHeight="1">
      <c r="A3622" t="inlineStr">
        <is>
          <t>A 39268-2020</t>
        </is>
      </c>
      <c r="B3622" s="1" t="n">
        <v>44063</v>
      </c>
      <c r="C3622" s="1" t="n">
        <v>45357</v>
      </c>
      <c r="D3622" t="inlineStr">
        <is>
          <t>VÄSTERBOTTENS LÄN</t>
        </is>
      </c>
      <c r="E3622" t="inlineStr">
        <is>
          <t>SKELLEFTEÅ</t>
        </is>
      </c>
      <c r="F3622" t="inlineStr">
        <is>
          <t>Holmen skog AB</t>
        </is>
      </c>
      <c r="G3622" t="n">
        <v>10.2</v>
      </c>
      <c r="H3622" t="n">
        <v>0</v>
      </c>
      <c r="I3622" t="n">
        <v>0</v>
      </c>
      <c r="J3622" t="n">
        <v>0</v>
      </c>
      <c r="K3622" t="n">
        <v>0</v>
      </c>
      <c r="L3622" t="n">
        <v>0</v>
      </c>
      <c r="M3622" t="n">
        <v>0</v>
      </c>
      <c r="N3622" t="n">
        <v>0</v>
      </c>
      <c r="O3622" t="n">
        <v>0</v>
      </c>
      <c r="P3622" t="n">
        <v>0</v>
      </c>
      <c r="Q3622" t="n">
        <v>0</v>
      </c>
      <c r="R3622" s="2" t="inlineStr"/>
    </row>
    <row r="3623" ht="15" customHeight="1">
      <c r="A3623" t="inlineStr">
        <is>
          <t>A 39623-2020</t>
        </is>
      </c>
      <c r="B3623" s="1" t="n">
        <v>44063</v>
      </c>
      <c r="C3623" s="1" t="n">
        <v>45357</v>
      </c>
      <c r="D3623" t="inlineStr">
        <is>
          <t>VÄSTERBOTTENS LÄN</t>
        </is>
      </c>
      <c r="E3623" t="inlineStr">
        <is>
          <t>NORDMALING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39151-2020</t>
        </is>
      </c>
      <c r="B3624" s="1" t="n">
        <v>44063</v>
      </c>
      <c r="C3624" s="1" t="n">
        <v>45357</v>
      </c>
      <c r="D3624" t="inlineStr">
        <is>
          <t>VÄSTERBOTTENS LÄN</t>
        </is>
      </c>
      <c r="E3624" t="inlineStr">
        <is>
          <t>NORSJÖ</t>
        </is>
      </c>
      <c r="F3624" t="inlineStr">
        <is>
          <t>Holmen skog AB</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39534-2020</t>
        </is>
      </c>
      <c r="B3625" s="1" t="n">
        <v>44064</v>
      </c>
      <c r="C3625" s="1" t="n">
        <v>45357</v>
      </c>
      <c r="D3625" t="inlineStr">
        <is>
          <t>VÄSTERBOTTENS LÄN</t>
        </is>
      </c>
      <c r="E3625" t="inlineStr">
        <is>
          <t>VINDELN</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40116-2020</t>
        </is>
      </c>
      <c r="B3626" s="1" t="n">
        <v>44064</v>
      </c>
      <c r="C3626" s="1" t="n">
        <v>45357</v>
      </c>
      <c r="D3626" t="inlineStr">
        <is>
          <t>VÄSTERBOTTENS LÄN</t>
        </is>
      </c>
      <c r="E3626" t="inlineStr">
        <is>
          <t>VILHELMINA</t>
        </is>
      </c>
      <c r="G3626" t="n">
        <v>19.8</v>
      </c>
      <c r="H3626" t="n">
        <v>0</v>
      </c>
      <c r="I3626" t="n">
        <v>0</v>
      </c>
      <c r="J3626" t="n">
        <v>0</v>
      </c>
      <c r="K3626" t="n">
        <v>0</v>
      </c>
      <c r="L3626" t="n">
        <v>0</v>
      </c>
      <c r="M3626" t="n">
        <v>0</v>
      </c>
      <c r="N3626" t="n">
        <v>0</v>
      </c>
      <c r="O3626" t="n">
        <v>0</v>
      </c>
      <c r="P3626" t="n">
        <v>0</v>
      </c>
      <c r="Q3626" t="n">
        <v>0</v>
      </c>
      <c r="R3626" s="2" t="inlineStr"/>
    </row>
    <row r="3627" ht="15" customHeight="1">
      <c r="A3627" t="inlineStr">
        <is>
          <t>A 39658-2020</t>
        </is>
      </c>
      <c r="B3627" s="1" t="n">
        <v>44064</v>
      </c>
      <c r="C3627" s="1" t="n">
        <v>45357</v>
      </c>
      <c r="D3627" t="inlineStr">
        <is>
          <t>VÄSTERBOTTENS LÄN</t>
        </is>
      </c>
      <c r="E3627" t="inlineStr">
        <is>
          <t>NORDMALING</t>
        </is>
      </c>
      <c r="F3627" t="inlineStr">
        <is>
          <t>SCA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40100-2020</t>
        </is>
      </c>
      <c r="B3628" s="1" t="n">
        <v>44064</v>
      </c>
      <c r="C3628" s="1" t="n">
        <v>45357</v>
      </c>
      <c r="D3628" t="inlineStr">
        <is>
          <t>VÄSTERBOTTENS LÄN</t>
        </is>
      </c>
      <c r="E3628" t="inlineStr">
        <is>
          <t>VILHELMINA</t>
        </is>
      </c>
      <c r="G3628" t="n">
        <v>22.5</v>
      </c>
      <c r="H3628" t="n">
        <v>0</v>
      </c>
      <c r="I3628" t="n">
        <v>0</v>
      </c>
      <c r="J3628" t="n">
        <v>0</v>
      </c>
      <c r="K3628" t="n">
        <v>0</v>
      </c>
      <c r="L3628" t="n">
        <v>0</v>
      </c>
      <c r="M3628" t="n">
        <v>0</v>
      </c>
      <c r="N3628" t="n">
        <v>0</v>
      </c>
      <c r="O3628" t="n">
        <v>0</v>
      </c>
      <c r="P3628" t="n">
        <v>0</v>
      </c>
      <c r="Q3628" t="n">
        <v>0</v>
      </c>
      <c r="R3628" s="2" t="inlineStr"/>
    </row>
    <row r="3629" ht="15" customHeight="1">
      <c r="A3629" t="inlineStr">
        <is>
          <t>A 40141-2020</t>
        </is>
      </c>
      <c r="B3629" s="1" t="n">
        <v>44064</v>
      </c>
      <c r="C3629" s="1" t="n">
        <v>45357</v>
      </c>
      <c r="D3629" t="inlineStr">
        <is>
          <t>VÄSTERBOTTENS LÄN</t>
        </is>
      </c>
      <c r="E3629" t="inlineStr">
        <is>
          <t>MALÅ</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40158-2020</t>
        </is>
      </c>
      <c r="B3630" s="1" t="n">
        <v>44064</v>
      </c>
      <c r="C3630" s="1" t="n">
        <v>45357</v>
      </c>
      <c r="D3630" t="inlineStr">
        <is>
          <t>VÄSTERBOTTENS LÄN</t>
        </is>
      </c>
      <c r="E3630" t="inlineStr">
        <is>
          <t>MALÅ</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40002-2020</t>
        </is>
      </c>
      <c r="B3631" s="1" t="n">
        <v>44067</v>
      </c>
      <c r="C3631" s="1" t="n">
        <v>45357</v>
      </c>
      <c r="D3631" t="inlineStr">
        <is>
          <t>VÄSTERBOTTENS LÄN</t>
        </is>
      </c>
      <c r="E3631" t="inlineStr">
        <is>
          <t>BJURHOLM</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39992-2020</t>
        </is>
      </c>
      <c r="B3632" s="1" t="n">
        <v>44067</v>
      </c>
      <c r="C3632" s="1" t="n">
        <v>45357</v>
      </c>
      <c r="D3632" t="inlineStr">
        <is>
          <t>VÄSTERBOTTENS LÄN</t>
        </is>
      </c>
      <c r="E3632" t="inlineStr">
        <is>
          <t>SKELLEFTEÅ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40843-2020</t>
        </is>
      </c>
      <c r="B3633" s="1" t="n">
        <v>44067</v>
      </c>
      <c r="C3633" s="1" t="n">
        <v>45357</v>
      </c>
      <c r="D3633" t="inlineStr">
        <is>
          <t>VÄSTERBOTTENS LÄN</t>
        </is>
      </c>
      <c r="E3633" t="inlineStr">
        <is>
          <t>NORDMALING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40846-2020</t>
        </is>
      </c>
      <c r="B3634" s="1" t="n">
        <v>44067</v>
      </c>
      <c r="C3634" s="1" t="n">
        <v>45357</v>
      </c>
      <c r="D3634" t="inlineStr">
        <is>
          <t>VÄSTERBOTTENS LÄN</t>
        </is>
      </c>
      <c r="E3634" t="inlineStr">
        <is>
          <t>NORDMALING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40355-2020</t>
        </is>
      </c>
      <c r="B3635" s="1" t="n">
        <v>44067</v>
      </c>
      <c r="C3635" s="1" t="n">
        <v>45357</v>
      </c>
      <c r="D3635" t="inlineStr">
        <is>
          <t>VÄSTERBOTTENS LÄN</t>
        </is>
      </c>
      <c r="E3635" t="inlineStr">
        <is>
          <t>LYCKSELE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40105-2020</t>
        </is>
      </c>
      <c r="B3636" s="1" t="n">
        <v>44068</v>
      </c>
      <c r="C3636" s="1" t="n">
        <v>45357</v>
      </c>
      <c r="D3636" t="inlineStr">
        <is>
          <t>VÄSTERBOTTENS LÄN</t>
        </is>
      </c>
      <c r="E3636" t="inlineStr">
        <is>
          <t>UMEÅ</t>
        </is>
      </c>
      <c r="F3636" t="inlineStr">
        <is>
          <t>Övriga Aktiebolag</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40196-2020</t>
        </is>
      </c>
      <c r="B3637" s="1" t="n">
        <v>44068</v>
      </c>
      <c r="C3637" s="1" t="n">
        <v>45357</v>
      </c>
      <c r="D3637" t="inlineStr">
        <is>
          <t>VÄSTERBOTTENS LÄN</t>
        </is>
      </c>
      <c r="E3637" t="inlineStr">
        <is>
          <t>SKELLEFTEÅ</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40277-2020</t>
        </is>
      </c>
      <c r="B3638" s="1" t="n">
        <v>44068</v>
      </c>
      <c r="C3638" s="1" t="n">
        <v>45357</v>
      </c>
      <c r="D3638" t="inlineStr">
        <is>
          <t>VÄSTERBOTTENS LÄN</t>
        </is>
      </c>
      <c r="E3638" t="inlineStr">
        <is>
          <t>SKELLEFTEÅ</t>
        </is>
      </c>
      <c r="F3638" t="inlineStr">
        <is>
          <t>Holmen skog AB</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40272-2020</t>
        </is>
      </c>
      <c r="B3639" s="1" t="n">
        <v>44068</v>
      </c>
      <c r="C3639" s="1" t="n">
        <v>45357</v>
      </c>
      <c r="D3639" t="inlineStr">
        <is>
          <t>VÄSTERBOTTENS LÄN</t>
        </is>
      </c>
      <c r="E3639" t="inlineStr">
        <is>
          <t>NORSJÖ</t>
        </is>
      </c>
      <c r="F3639" t="inlineStr">
        <is>
          <t>Holmen skog AB</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40419-2020</t>
        </is>
      </c>
      <c r="B3640" s="1" t="n">
        <v>44069</v>
      </c>
      <c r="C3640" s="1" t="n">
        <v>45357</v>
      </c>
      <c r="D3640" t="inlineStr">
        <is>
          <t>VÄSTERBOTTENS LÄN</t>
        </is>
      </c>
      <c r="E3640" t="inlineStr">
        <is>
          <t>UMEÅ</t>
        </is>
      </c>
      <c r="F3640" t="inlineStr">
        <is>
          <t>Kommuner</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40860-2020</t>
        </is>
      </c>
      <c r="B3641" s="1" t="n">
        <v>44068</v>
      </c>
      <c r="C3641" s="1" t="n">
        <v>45357</v>
      </c>
      <c r="D3641" t="inlineStr">
        <is>
          <t>VÄSTERBOTTENS LÄN</t>
        </is>
      </c>
      <c r="E3641" t="inlineStr">
        <is>
          <t>SKELLEFTEÅ</t>
        </is>
      </c>
      <c r="G3641" t="n">
        <v>8.9</v>
      </c>
      <c r="H3641" t="n">
        <v>0</v>
      </c>
      <c r="I3641" t="n">
        <v>0</v>
      </c>
      <c r="J3641" t="n">
        <v>0</v>
      </c>
      <c r="K3641" t="n">
        <v>0</v>
      </c>
      <c r="L3641" t="n">
        <v>0</v>
      </c>
      <c r="M3641" t="n">
        <v>0</v>
      </c>
      <c r="N3641" t="n">
        <v>0</v>
      </c>
      <c r="O3641" t="n">
        <v>0</v>
      </c>
      <c r="P3641" t="n">
        <v>0</v>
      </c>
      <c r="Q3641" t="n">
        <v>0</v>
      </c>
      <c r="R3641" s="2" t="inlineStr"/>
    </row>
    <row r="3642" ht="15" customHeight="1">
      <c r="A3642" t="inlineStr">
        <is>
          <t>A 41005-2020</t>
        </is>
      </c>
      <c r="B3642" s="1" t="n">
        <v>44068</v>
      </c>
      <c r="C3642" s="1" t="n">
        <v>45357</v>
      </c>
      <c r="D3642" t="inlineStr">
        <is>
          <t>VÄSTERBOTTENS LÄN</t>
        </is>
      </c>
      <c r="E3642" t="inlineStr">
        <is>
          <t>SKELLEFTEÅ</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40417-2020</t>
        </is>
      </c>
      <c r="B3643" s="1" t="n">
        <v>44068</v>
      </c>
      <c r="C3643" s="1" t="n">
        <v>45357</v>
      </c>
      <c r="D3643" t="inlineStr">
        <is>
          <t>VÄSTERBOTTENS LÄN</t>
        </is>
      </c>
      <c r="E3643" t="inlineStr">
        <is>
          <t>DOROTEA</t>
        </is>
      </c>
      <c r="F3643" t="inlineStr">
        <is>
          <t>SCA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40854-2020</t>
        </is>
      </c>
      <c r="B3644" s="1" t="n">
        <v>44068</v>
      </c>
      <c r="C3644" s="1" t="n">
        <v>45357</v>
      </c>
      <c r="D3644" t="inlineStr">
        <is>
          <t>VÄSTERBOTTENS LÄN</t>
        </is>
      </c>
      <c r="E3644" t="inlineStr">
        <is>
          <t>ROBERTSFORS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40469-2020</t>
        </is>
      </c>
      <c r="B3645" s="1" t="n">
        <v>44069</v>
      </c>
      <c r="C3645" s="1" t="n">
        <v>45357</v>
      </c>
      <c r="D3645" t="inlineStr">
        <is>
          <t>VÄSTERBOTTENS LÄN</t>
        </is>
      </c>
      <c r="E3645" t="inlineStr">
        <is>
          <t>SKELLEFTEÅ</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40566-2020</t>
        </is>
      </c>
      <c r="B3646" s="1" t="n">
        <v>44069</v>
      </c>
      <c r="C3646" s="1" t="n">
        <v>45357</v>
      </c>
      <c r="D3646" t="inlineStr">
        <is>
          <t>VÄSTERBOTTENS LÄN</t>
        </is>
      </c>
      <c r="E3646" t="inlineStr">
        <is>
          <t>SKELLEFTEÅ</t>
        </is>
      </c>
      <c r="F3646" t="inlineStr">
        <is>
          <t>Holmen skog AB</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40662-2020</t>
        </is>
      </c>
      <c r="B3647" s="1" t="n">
        <v>44069</v>
      </c>
      <c r="C3647" s="1" t="n">
        <v>45357</v>
      </c>
      <c r="D3647" t="inlineStr">
        <is>
          <t>VÄSTERBOTTENS LÄN</t>
        </is>
      </c>
      <c r="E3647" t="inlineStr">
        <is>
          <t>STORUMAN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40703-2020</t>
        </is>
      </c>
      <c r="B3648" s="1" t="n">
        <v>44069</v>
      </c>
      <c r="C3648" s="1" t="n">
        <v>45357</v>
      </c>
      <c r="D3648" t="inlineStr">
        <is>
          <t>VÄSTERBOTTENS LÄN</t>
        </is>
      </c>
      <c r="E3648" t="inlineStr">
        <is>
          <t>VINDELN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40842-2020</t>
        </is>
      </c>
      <c r="B3649" s="1" t="n">
        <v>44069</v>
      </c>
      <c r="C3649" s="1" t="n">
        <v>45357</v>
      </c>
      <c r="D3649" t="inlineStr">
        <is>
          <t>VÄSTERBOTTENS LÄN</t>
        </is>
      </c>
      <c r="E3649" t="inlineStr">
        <is>
          <t>VILHELMINA</t>
        </is>
      </c>
      <c r="G3649" t="n">
        <v>20.4</v>
      </c>
      <c r="H3649" t="n">
        <v>0</v>
      </c>
      <c r="I3649" t="n">
        <v>0</v>
      </c>
      <c r="J3649" t="n">
        <v>0</v>
      </c>
      <c r="K3649" t="n">
        <v>0</v>
      </c>
      <c r="L3649" t="n">
        <v>0</v>
      </c>
      <c r="M3649" t="n">
        <v>0</v>
      </c>
      <c r="N3649" t="n">
        <v>0</v>
      </c>
      <c r="O3649" t="n">
        <v>0</v>
      </c>
      <c r="P3649" t="n">
        <v>0</v>
      </c>
      <c r="Q3649" t="n">
        <v>0</v>
      </c>
      <c r="R3649" s="2" t="inlineStr"/>
    </row>
    <row r="3650" ht="15" customHeight="1">
      <c r="A3650" t="inlineStr">
        <is>
          <t>A 40756-2020</t>
        </is>
      </c>
      <c r="B3650" s="1" t="n">
        <v>44069</v>
      </c>
      <c r="C3650" s="1" t="n">
        <v>45357</v>
      </c>
      <c r="D3650" t="inlineStr">
        <is>
          <t>VÄSTERBOTTENS LÄN</t>
        </is>
      </c>
      <c r="E3650" t="inlineStr">
        <is>
          <t>SKELLEFTEÅ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40795-2020</t>
        </is>
      </c>
      <c r="B3651" s="1" t="n">
        <v>44070</v>
      </c>
      <c r="C3651" s="1" t="n">
        <v>45357</v>
      </c>
      <c r="D3651" t="inlineStr">
        <is>
          <t>VÄSTERBOTTENS LÄN</t>
        </is>
      </c>
      <c r="E3651" t="inlineStr">
        <is>
          <t>MALÅ</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40828-2020</t>
        </is>
      </c>
      <c r="B3652" s="1" t="n">
        <v>44070</v>
      </c>
      <c r="C3652" s="1" t="n">
        <v>45357</v>
      </c>
      <c r="D3652" t="inlineStr">
        <is>
          <t>VÄSTERBOTTENS LÄN</t>
        </is>
      </c>
      <c r="E3652" t="inlineStr">
        <is>
          <t>SKELLEFTEÅ</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40845-2020</t>
        </is>
      </c>
      <c r="B3653" s="1" t="n">
        <v>44070</v>
      </c>
      <c r="C3653" s="1" t="n">
        <v>45357</v>
      </c>
      <c r="D3653" t="inlineStr">
        <is>
          <t>VÄSTERBOTTENS LÄN</t>
        </is>
      </c>
      <c r="E3653" t="inlineStr">
        <is>
          <t>STORUMAN</t>
        </is>
      </c>
      <c r="G3653" t="n">
        <v>20.1</v>
      </c>
      <c r="H3653" t="n">
        <v>0</v>
      </c>
      <c r="I3653" t="n">
        <v>0</v>
      </c>
      <c r="J3653" t="n">
        <v>0</v>
      </c>
      <c r="K3653" t="n">
        <v>0</v>
      </c>
      <c r="L3653" t="n">
        <v>0</v>
      </c>
      <c r="M3653" t="n">
        <v>0</v>
      </c>
      <c r="N3653" t="n">
        <v>0</v>
      </c>
      <c r="O3653" t="n">
        <v>0</v>
      </c>
      <c r="P3653" t="n">
        <v>0</v>
      </c>
      <c r="Q3653" t="n">
        <v>0</v>
      </c>
      <c r="R3653" s="2" t="inlineStr"/>
    </row>
    <row r="3654" ht="15" customHeight="1">
      <c r="A3654" t="inlineStr">
        <is>
          <t>A 41246-2020</t>
        </is>
      </c>
      <c r="B3654" s="1" t="n">
        <v>44071</v>
      </c>
      <c r="C3654" s="1" t="n">
        <v>45357</v>
      </c>
      <c r="D3654" t="inlineStr">
        <is>
          <t>VÄSTERBOTTENS LÄN</t>
        </is>
      </c>
      <c r="E3654" t="inlineStr">
        <is>
          <t>ÅSELE</t>
        </is>
      </c>
      <c r="F3654" t="inlineStr">
        <is>
          <t>Kyrkan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41291-2020</t>
        </is>
      </c>
      <c r="B3655" s="1" t="n">
        <v>44071</v>
      </c>
      <c r="C3655" s="1" t="n">
        <v>45357</v>
      </c>
      <c r="D3655" t="inlineStr">
        <is>
          <t>VÄSTERBOTTENS LÄN</t>
        </is>
      </c>
      <c r="E3655" t="inlineStr">
        <is>
          <t>VINDELN</t>
        </is>
      </c>
      <c r="F3655" t="inlineStr">
        <is>
          <t>Holmen skog AB</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41267-2020</t>
        </is>
      </c>
      <c r="B3656" s="1" t="n">
        <v>44071</v>
      </c>
      <c r="C3656" s="1" t="n">
        <v>45357</v>
      </c>
      <c r="D3656" t="inlineStr">
        <is>
          <t>VÄSTERBOTTENS LÄN</t>
        </is>
      </c>
      <c r="E3656" t="inlineStr">
        <is>
          <t>VILHELMINA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41372-2020</t>
        </is>
      </c>
      <c r="B3657" s="1" t="n">
        <v>44071</v>
      </c>
      <c r="C3657" s="1" t="n">
        <v>45357</v>
      </c>
      <c r="D3657" t="inlineStr">
        <is>
          <t>VÄSTERBOTTENS LÄN</t>
        </is>
      </c>
      <c r="E3657" t="inlineStr">
        <is>
          <t>SKELLEFTEÅ</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42123-2020</t>
        </is>
      </c>
      <c r="B3658" s="1" t="n">
        <v>44071</v>
      </c>
      <c r="C3658" s="1" t="n">
        <v>45357</v>
      </c>
      <c r="D3658" t="inlineStr">
        <is>
          <t>VÄSTERBOTTENS LÄN</t>
        </is>
      </c>
      <c r="E3658" t="inlineStr">
        <is>
          <t>SKELLEFTEÅ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41428-2020</t>
        </is>
      </c>
      <c r="B3659" s="1" t="n">
        <v>44073</v>
      </c>
      <c r="C3659" s="1" t="n">
        <v>45357</v>
      </c>
      <c r="D3659" t="inlineStr">
        <is>
          <t>VÄSTERBOTTENS LÄN</t>
        </is>
      </c>
      <c r="E3659" t="inlineStr">
        <is>
          <t>SKELLEFTEÅ</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41440-2020</t>
        </is>
      </c>
      <c r="B3660" s="1" t="n">
        <v>44073</v>
      </c>
      <c r="C3660" s="1" t="n">
        <v>45357</v>
      </c>
      <c r="D3660" t="inlineStr">
        <is>
          <t>VÄSTERBOTTENS LÄN</t>
        </is>
      </c>
      <c r="E3660" t="inlineStr">
        <is>
          <t>UMEÅ</t>
        </is>
      </c>
      <c r="F3660" t="inlineStr">
        <is>
          <t>Holmen skog AB</t>
        </is>
      </c>
      <c r="G3660" t="n">
        <v>19.5</v>
      </c>
      <c r="H3660" t="n">
        <v>0</v>
      </c>
      <c r="I3660" t="n">
        <v>0</v>
      </c>
      <c r="J3660" t="n">
        <v>0</v>
      </c>
      <c r="K3660" t="n">
        <v>0</v>
      </c>
      <c r="L3660" t="n">
        <v>0</v>
      </c>
      <c r="M3660" t="n">
        <v>0</v>
      </c>
      <c r="N3660" t="n">
        <v>0</v>
      </c>
      <c r="O3660" t="n">
        <v>0</v>
      </c>
      <c r="P3660" t="n">
        <v>0</v>
      </c>
      <c r="Q3660" t="n">
        <v>0</v>
      </c>
      <c r="R3660" s="2" t="inlineStr"/>
    </row>
    <row r="3661" ht="15" customHeight="1">
      <c r="A3661" t="inlineStr">
        <is>
          <t>A 41674-2020</t>
        </is>
      </c>
      <c r="B3661" s="1" t="n">
        <v>44074</v>
      </c>
      <c r="C3661" s="1" t="n">
        <v>45357</v>
      </c>
      <c r="D3661" t="inlineStr">
        <is>
          <t>VÄSTERBOTTENS LÄN</t>
        </is>
      </c>
      <c r="E3661" t="inlineStr">
        <is>
          <t>NORSJÖ</t>
        </is>
      </c>
      <c r="F3661" t="inlineStr">
        <is>
          <t>Holmen skog AB</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41647-2020</t>
        </is>
      </c>
      <c r="B3662" s="1" t="n">
        <v>44074</v>
      </c>
      <c r="C3662" s="1" t="n">
        <v>45357</v>
      </c>
      <c r="D3662" t="inlineStr">
        <is>
          <t>VÄSTERBOTTENS LÄN</t>
        </is>
      </c>
      <c r="E3662" t="inlineStr">
        <is>
          <t>VINDELN</t>
        </is>
      </c>
      <c r="F3662" t="inlineStr">
        <is>
          <t>Sveaskog</t>
        </is>
      </c>
      <c r="G3662" t="n">
        <v>9.4</v>
      </c>
      <c r="H3662" t="n">
        <v>0</v>
      </c>
      <c r="I3662" t="n">
        <v>0</v>
      </c>
      <c r="J3662" t="n">
        <v>0</v>
      </c>
      <c r="K3662" t="n">
        <v>0</v>
      </c>
      <c r="L3662" t="n">
        <v>0</v>
      </c>
      <c r="M3662" t="n">
        <v>0</v>
      </c>
      <c r="N3662" t="n">
        <v>0</v>
      </c>
      <c r="O3662" t="n">
        <v>0</v>
      </c>
      <c r="P3662" t="n">
        <v>0</v>
      </c>
      <c r="Q3662" t="n">
        <v>0</v>
      </c>
      <c r="R3662" s="2" t="inlineStr"/>
    </row>
    <row r="3663" ht="15" customHeight="1">
      <c r="A3663" t="inlineStr">
        <is>
          <t>A 41664-2020</t>
        </is>
      </c>
      <c r="B3663" s="1" t="n">
        <v>44074</v>
      </c>
      <c r="C3663" s="1" t="n">
        <v>45357</v>
      </c>
      <c r="D3663" t="inlineStr">
        <is>
          <t>VÄSTERBOTTENS LÄN</t>
        </is>
      </c>
      <c r="E3663" t="inlineStr">
        <is>
          <t>NORSJÖ</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41696-2020</t>
        </is>
      </c>
      <c r="B3664" s="1" t="n">
        <v>44074</v>
      </c>
      <c r="C3664" s="1" t="n">
        <v>45357</v>
      </c>
      <c r="D3664" t="inlineStr">
        <is>
          <t>VÄSTERBOTTENS LÄN</t>
        </is>
      </c>
      <c r="E3664" t="inlineStr">
        <is>
          <t>UMEÅ</t>
        </is>
      </c>
      <c r="F3664" t="inlineStr">
        <is>
          <t>Kyrkan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41841-2020</t>
        </is>
      </c>
      <c r="B3665" s="1" t="n">
        <v>44074</v>
      </c>
      <c r="C3665" s="1" t="n">
        <v>45357</v>
      </c>
      <c r="D3665" t="inlineStr">
        <is>
          <t>VÄSTERBOTTENS LÄN</t>
        </is>
      </c>
      <c r="E3665" t="inlineStr">
        <is>
          <t>SKELLEFTEÅ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42049-2020</t>
        </is>
      </c>
      <c r="B3666" s="1" t="n">
        <v>44074</v>
      </c>
      <c r="C3666" s="1" t="n">
        <v>45357</v>
      </c>
      <c r="D3666" t="inlineStr">
        <is>
          <t>VÄSTERBOTTENS LÄN</t>
        </is>
      </c>
      <c r="E3666" t="inlineStr">
        <is>
          <t>SKELLEFTEÅ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41989-2020</t>
        </is>
      </c>
      <c r="B3667" s="1" t="n">
        <v>44075</v>
      </c>
      <c r="C3667" s="1" t="n">
        <v>45357</v>
      </c>
      <c r="D3667" t="inlineStr">
        <is>
          <t>VÄSTERBOTTENS LÄN</t>
        </is>
      </c>
      <c r="E3667" t="inlineStr">
        <is>
          <t>SKELLEFTEÅ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42083-2020</t>
        </is>
      </c>
      <c r="B3668" s="1" t="n">
        <v>44075</v>
      </c>
      <c r="C3668" s="1" t="n">
        <v>45357</v>
      </c>
      <c r="D3668" t="inlineStr">
        <is>
          <t>VÄSTERBOTTENS LÄN</t>
        </is>
      </c>
      <c r="E3668" t="inlineStr">
        <is>
          <t>ROBERTSFORS</t>
        </is>
      </c>
      <c r="F3668" t="inlineStr">
        <is>
          <t>Holmen skog AB</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42121-2020</t>
        </is>
      </c>
      <c r="B3669" s="1" t="n">
        <v>44075</v>
      </c>
      <c r="C3669" s="1" t="n">
        <v>45357</v>
      </c>
      <c r="D3669" t="inlineStr">
        <is>
          <t>VÄSTERBOTTENS LÄN</t>
        </is>
      </c>
      <c r="E3669" t="inlineStr">
        <is>
          <t>STORUMAN</t>
        </is>
      </c>
      <c r="F3669" t="inlineStr">
        <is>
          <t>Sveaskog</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42685-2020</t>
        </is>
      </c>
      <c r="B3670" s="1" t="n">
        <v>44075</v>
      </c>
      <c r="C3670" s="1" t="n">
        <v>45357</v>
      </c>
      <c r="D3670" t="inlineStr">
        <is>
          <t>VÄSTERBOTTENS LÄN</t>
        </is>
      </c>
      <c r="E3670" t="inlineStr">
        <is>
          <t>SKELLEFTEÅ</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42679-2020</t>
        </is>
      </c>
      <c r="B3671" s="1" t="n">
        <v>44075</v>
      </c>
      <c r="C3671" s="1" t="n">
        <v>45357</v>
      </c>
      <c r="D3671" t="inlineStr">
        <is>
          <t>VÄSTERBOTTENS LÄN</t>
        </is>
      </c>
      <c r="E3671" t="inlineStr">
        <is>
          <t>SKELLEFTEÅ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42124-2020</t>
        </is>
      </c>
      <c r="B3672" s="1" t="n">
        <v>44075</v>
      </c>
      <c r="C3672" s="1" t="n">
        <v>45357</v>
      </c>
      <c r="D3672" t="inlineStr">
        <is>
          <t>VÄSTERBOTTENS LÄN</t>
        </is>
      </c>
      <c r="E3672" t="inlineStr">
        <is>
          <t>STORUMAN</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42205-2020</t>
        </is>
      </c>
      <c r="B3673" s="1" t="n">
        <v>44075</v>
      </c>
      <c r="C3673" s="1" t="n">
        <v>45357</v>
      </c>
      <c r="D3673" t="inlineStr">
        <is>
          <t>VÄSTERBOTTENS LÄN</t>
        </is>
      </c>
      <c r="E3673" t="inlineStr">
        <is>
          <t>VILHELMINA</t>
        </is>
      </c>
      <c r="F3673" t="inlineStr">
        <is>
          <t>SCA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42406-2020</t>
        </is>
      </c>
      <c r="B3674" s="1" t="n">
        <v>44076</v>
      </c>
      <c r="C3674" s="1" t="n">
        <v>45357</v>
      </c>
      <c r="D3674" t="inlineStr">
        <is>
          <t>VÄSTERBOTTENS LÄN</t>
        </is>
      </c>
      <c r="E3674" t="inlineStr">
        <is>
          <t>VÄNNÄS</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43331-2020</t>
        </is>
      </c>
      <c r="B3675" s="1" t="n">
        <v>44076</v>
      </c>
      <c r="C3675" s="1" t="n">
        <v>45357</v>
      </c>
      <c r="D3675" t="inlineStr">
        <is>
          <t>VÄSTERBOTTENS LÄN</t>
        </is>
      </c>
      <c r="E3675" t="inlineStr">
        <is>
          <t>SKELLEFTEÅ</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42648-2020</t>
        </is>
      </c>
      <c r="B3676" s="1" t="n">
        <v>44077</v>
      </c>
      <c r="C3676" s="1" t="n">
        <v>45357</v>
      </c>
      <c r="D3676" t="inlineStr">
        <is>
          <t>VÄSTERBOTTENS LÄN</t>
        </is>
      </c>
      <c r="E3676" t="inlineStr">
        <is>
          <t>SKELLEFTEÅ</t>
        </is>
      </c>
      <c r="F3676" t="inlineStr">
        <is>
          <t>Holmen skog AB</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42808-2020</t>
        </is>
      </c>
      <c r="B3677" s="1" t="n">
        <v>44078</v>
      </c>
      <c r="C3677" s="1" t="n">
        <v>45357</v>
      </c>
      <c r="D3677" t="inlineStr">
        <is>
          <t>VÄSTERBOTTENS LÄN</t>
        </is>
      </c>
      <c r="E3677" t="inlineStr">
        <is>
          <t>SKELLEFTEÅ</t>
        </is>
      </c>
      <c r="F3677" t="inlineStr">
        <is>
          <t>Kommuner</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43607-2020</t>
        </is>
      </c>
      <c r="B3678" s="1" t="n">
        <v>44078</v>
      </c>
      <c r="C3678" s="1" t="n">
        <v>45357</v>
      </c>
      <c r="D3678" t="inlineStr">
        <is>
          <t>VÄSTERBOTTENS LÄN</t>
        </is>
      </c>
      <c r="E3678" t="inlineStr">
        <is>
          <t>UMEÅ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43695-2020</t>
        </is>
      </c>
      <c r="B3679" s="1" t="n">
        <v>44078</v>
      </c>
      <c r="C3679" s="1" t="n">
        <v>45357</v>
      </c>
      <c r="D3679" t="inlineStr">
        <is>
          <t>VÄSTERBOTTENS LÄN</t>
        </is>
      </c>
      <c r="E3679" t="inlineStr">
        <is>
          <t>STORUMAN</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43901-2020</t>
        </is>
      </c>
      <c r="B3680" s="1" t="n">
        <v>44078</v>
      </c>
      <c r="C3680" s="1" t="n">
        <v>45357</v>
      </c>
      <c r="D3680" t="inlineStr">
        <is>
          <t>VÄSTERBOTTENS LÄN</t>
        </is>
      </c>
      <c r="E3680" t="inlineStr">
        <is>
          <t>STORUMAN</t>
        </is>
      </c>
      <c r="F3680" t="inlineStr">
        <is>
          <t>Allmännings- och besparingsskogar</t>
        </is>
      </c>
      <c r="G3680" t="n">
        <v>89.59999999999999</v>
      </c>
      <c r="H3680" t="n">
        <v>0</v>
      </c>
      <c r="I3680" t="n">
        <v>0</v>
      </c>
      <c r="J3680" t="n">
        <v>0</v>
      </c>
      <c r="K3680" t="n">
        <v>0</v>
      </c>
      <c r="L3680" t="n">
        <v>0</v>
      </c>
      <c r="M3680" t="n">
        <v>0</v>
      </c>
      <c r="N3680" t="n">
        <v>0</v>
      </c>
      <c r="O3680" t="n">
        <v>0</v>
      </c>
      <c r="P3680" t="n">
        <v>0</v>
      </c>
      <c r="Q3680" t="n">
        <v>0</v>
      </c>
      <c r="R3680" s="2" t="inlineStr"/>
    </row>
    <row r="3681" ht="15" customHeight="1">
      <c r="A3681" t="inlineStr">
        <is>
          <t>A 42917-2020</t>
        </is>
      </c>
      <c r="B3681" s="1" t="n">
        <v>44078</v>
      </c>
      <c r="C3681" s="1" t="n">
        <v>45357</v>
      </c>
      <c r="D3681" t="inlineStr">
        <is>
          <t>VÄSTERBOTTENS LÄN</t>
        </is>
      </c>
      <c r="E3681" t="inlineStr">
        <is>
          <t>VINDELN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43066-2020</t>
        </is>
      </c>
      <c r="B3682" s="1" t="n">
        <v>44078</v>
      </c>
      <c r="C3682" s="1" t="n">
        <v>45357</v>
      </c>
      <c r="D3682" t="inlineStr">
        <is>
          <t>VÄSTERBOTTENS LÄN</t>
        </is>
      </c>
      <c r="E3682" t="inlineStr">
        <is>
          <t>MALÅ</t>
        </is>
      </c>
      <c r="F3682" t="inlineStr">
        <is>
          <t>SCA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43080-2020</t>
        </is>
      </c>
      <c r="B3683" s="1" t="n">
        <v>44078</v>
      </c>
      <c r="C3683" s="1" t="n">
        <v>45357</v>
      </c>
      <c r="D3683" t="inlineStr">
        <is>
          <t>VÄSTERBOTTENS LÄN</t>
        </is>
      </c>
      <c r="E3683" t="inlineStr">
        <is>
          <t>VILHELMINA</t>
        </is>
      </c>
      <c r="F3683" t="inlineStr">
        <is>
          <t>SCA</t>
        </is>
      </c>
      <c r="G3683" t="n">
        <v>15.4</v>
      </c>
      <c r="H3683" t="n">
        <v>0</v>
      </c>
      <c r="I3683" t="n">
        <v>0</v>
      </c>
      <c r="J3683" t="n">
        <v>0</v>
      </c>
      <c r="K3683" t="n">
        <v>0</v>
      </c>
      <c r="L3683" t="n">
        <v>0</v>
      </c>
      <c r="M3683" t="n">
        <v>0</v>
      </c>
      <c r="N3683" t="n">
        <v>0</v>
      </c>
      <c r="O3683" t="n">
        <v>0</v>
      </c>
      <c r="P3683" t="n">
        <v>0</v>
      </c>
      <c r="Q3683" t="n">
        <v>0</v>
      </c>
      <c r="R3683" s="2" t="inlineStr"/>
    </row>
    <row r="3684" ht="15" customHeight="1">
      <c r="A3684" t="inlineStr">
        <is>
          <t>A 43619-2020</t>
        </is>
      </c>
      <c r="B3684" s="1" t="n">
        <v>44078</v>
      </c>
      <c r="C3684" s="1" t="n">
        <v>45357</v>
      </c>
      <c r="D3684" t="inlineStr">
        <is>
          <t>VÄSTERBOTTENS LÄN</t>
        </is>
      </c>
      <c r="E3684" t="inlineStr">
        <is>
          <t>ÅSELE</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43714-2020</t>
        </is>
      </c>
      <c r="B3685" s="1" t="n">
        <v>44078</v>
      </c>
      <c r="C3685" s="1" t="n">
        <v>45357</v>
      </c>
      <c r="D3685" t="inlineStr">
        <is>
          <t>VÄSTERBOTTENS LÄN</t>
        </is>
      </c>
      <c r="E3685" t="inlineStr">
        <is>
          <t>ROBERTSFORS</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43922-2020</t>
        </is>
      </c>
      <c r="B3686" s="1" t="n">
        <v>44078</v>
      </c>
      <c r="C3686" s="1" t="n">
        <v>45357</v>
      </c>
      <c r="D3686" t="inlineStr">
        <is>
          <t>VÄSTERBOTTENS LÄN</t>
        </is>
      </c>
      <c r="E3686" t="inlineStr">
        <is>
          <t>STORUMAN</t>
        </is>
      </c>
      <c r="F3686" t="inlineStr">
        <is>
          <t>Allmännings- och besparingsskogar</t>
        </is>
      </c>
      <c r="G3686" t="n">
        <v>49.7</v>
      </c>
      <c r="H3686" t="n">
        <v>0</v>
      </c>
      <c r="I3686" t="n">
        <v>0</v>
      </c>
      <c r="J3686" t="n">
        <v>0</v>
      </c>
      <c r="K3686" t="n">
        <v>0</v>
      </c>
      <c r="L3686" t="n">
        <v>0</v>
      </c>
      <c r="M3686" t="n">
        <v>0</v>
      </c>
      <c r="N3686" t="n">
        <v>0</v>
      </c>
      <c r="O3686" t="n">
        <v>0</v>
      </c>
      <c r="P3686" t="n">
        <v>0</v>
      </c>
      <c r="Q3686" t="n">
        <v>0</v>
      </c>
      <c r="R3686" s="2" t="inlineStr"/>
    </row>
    <row r="3687" ht="15" customHeight="1">
      <c r="A3687" t="inlineStr">
        <is>
          <t>A 43063-2020</t>
        </is>
      </c>
      <c r="B3687" s="1" t="n">
        <v>44078</v>
      </c>
      <c r="C3687" s="1" t="n">
        <v>45357</v>
      </c>
      <c r="D3687" t="inlineStr">
        <is>
          <t>VÄSTERBOTTENS LÄN</t>
        </is>
      </c>
      <c r="E3687" t="inlineStr">
        <is>
          <t>LYCKSELE</t>
        </is>
      </c>
      <c r="F3687" t="inlineStr">
        <is>
          <t>SCA</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43616-2020</t>
        </is>
      </c>
      <c r="B3688" s="1" t="n">
        <v>44078</v>
      </c>
      <c r="C3688" s="1" t="n">
        <v>45357</v>
      </c>
      <c r="D3688" t="inlineStr">
        <is>
          <t>VÄSTERBOTTENS LÄN</t>
        </is>
      </c>
      <c r="E3688" t="inlineStr">
        <is>
          <t>DOROTEA</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43054-2020</t>
        </is>
      </c>
      <c r="B3689" s="1" t="n">
        <v>44078</v>
      </c>
      <c r="C3689" s="1" t="n">
        <v>45357</v>
      </c>
      <c r="D3689" t="inlineStr">
        <is>
          <t>VÄSTERBOTTENS LÄN</t>
        </is>
      </c>
      <c r="E3689" t="inlineStr">
        <is>
          <t>SKELLEFTEÅ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43068-2020</t>
        </is>
      </c>
      <c r="B3690" s="1" t="n">
        <v>44078</v>
      </c>
      <c r="C3690" s="1" t="n">
        <v>45357</v>
      </c>
      <c r="D3690" t="inlineStr">
        <is>
          <t>VÄSTERBOTTENS LÄN</t>
        </is>
      </c>
      <c r="E3690" t="inlineStr">
        <is>
          <t>BJURHOLM</t>
        </is>
      </c>
      <c r="F3690" t="inlineStr">
        <is>
          <t>SCA</t>
        </is>
      </c>
      <c r="G3690" t="n">
        <v>17.1</v>
      </c>
      <c r="H3690" t="n">
        <v>0</v>
      </c>
      <c r="I3690" t="n">
        <v>0</v>
      </c>
      <c r="J3690" t="n">
        <v>0</v>
      </c>
      <c r="K3690" t="n">
        <v>0</v>
      </c>
      <c r="L3690" t="n">
        <v>0</v>
      </c>
      <c r="M3690" t="n">
        <v>0</v>
      </c>
      <c r="N3690" t="n">
        <v>0</v>
      </c>
      <c r="O3690" t="n">
        <v>0</v>
      </c>
      <c r="P3690" t="n">
        <v>0</v>
      </c>
      <c r="Q3690" t="n">
        <v>0</v>
      </c>
      <c r="R3690" s="2" t="inlineStr"/>
    </row>
    <row r="3691" ht="15" customHeight="1">
      <c r="A3691" t="inlineStr">
        <is>
          <t>A 43604-2020</t>
        </is>
      </c>
      <c r="B3691" s="1" t="n">
        <v>44078</v>
      </c>
      <c r="C3691" s="1" t="n">
        <v>45357</v>
      </c>
      <c r="D3691" t="inlineStr">
        <is>
          <t>VÄSTERBOTTENS LÄN</t>
        </is>
      </c>
      <c r="E3691" t="inlineStr">
        <is>
          <t>VINDELN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43975-2020</t>
        </is>
      </c>
      <c r="B3692" s="1" t="n">
        <v>44078</v>
      </c>
      <c r="C3692" s="1" t="n">
        <v>45357</v>
      </c>
      <c r="D3692" t="inlineStr">
        <is>
          <t>VÄSTERBOTTENS LÄN</t>
        </is>
      </c>
      <c r="E3692" t="inlineStr">
        <is>
          <t>SORSELE</t>
        </is>
      </c>
      <c r="F3692" t="inlineStr">
        <is>
          <t>Allmännings- och besparingsskogar</t>
        </is>
      </c>
      <c r="G3692" t="n">
        <v>93.5</v>
      </c>
      <c r="H3692" t="n">
        <v>0</v>
      </c>
      <c r="I3692" t="n">
        <v>0</v>
      </c>
      <c r="J3692" t="n">
        <v>0</v>
      </c>
      <c r="K3692" t="n">
        <v>0</v>
      </c>
      <c r="L3692" t="n">
        <v>0</v>
      </c>
      <c r="M3692" t="n">
        <v>0</v>
      </c>
      <c r="N3692" t="n">
        <v>0</v>
      </c>
      <c r="O3692" t="n">
        <v>0</v>
      </c>
      <c r="P3692" t="n">
        <v>0</v>
      </c>
      <c r="Q3692" t="n">
        <v>0</v>
      </c>
      <c r="R3692" s="2" t="inlineStr"/>
    </row>
    <row r="3693" ht="15" customHeight="1">
      <c r="A3693" t="inlineStr">
        <is>
          <t>A 48533-2020</t>
        </is>
      </c>
      <c r="B3693" s="1" t="n">
        <v>44078</v>
      </c>
      <c r="C3693" s="1" t="n">
        <v>45357</v>
      </c>
      <c r="D3693" t="inlineStr">
        <is>
          <t>VÄSTERBOTTENS LÄN</t>
        </is>
      </c>
      <c r="E3693" t="inlineStr">
        <is>
          <t>SORSELE</t>
        </is>
      </c>
      <c r="F3693" t="inlineStr">
        <is>
          <t>Allmännings- och besparingsskogar</t>
        </is>
      </c>
      <c r="G3693" t="n">
        <v>115.4</v>
      </c>
      <c r="H3693" t="n">
        <v>0</v>
      </c>
      <c r="I3693" t="n">
        <v>0</v>
      </c>
      <c r="J3693" t="n">
        <v>0</v>
      </c>
      <c r="K3693" t="n">
        <v>0</v>
      </c>
      <c r="L3693" t="n">
        <v>0</v>
      </c>
      <c r="M3693" t="n">
        <v>0</v>
      </c>
      <c r="N3693" t="n">
        <v>0</v>
      </c>
      <c r="O3693" t="n">
        <v>0</v>
      </c>
      <c r="P3693" t="n">
        <v>0</v>
      </c>
      <c r="Q3693" t="n">
        <v>0</v>
      </c>
      <c r="R3693" s="2" t="inlineStr"/>
    </row>
    <row r="3694" ht="15" customHeight="1">
      <c r="A3694" t="inlineStr">
        <is>
          <t>A 47987-2020</t>
        </is>
      </c>
      <c r="B3694" s="1" t="n">
        <v>44078</v>
      </c>
      <c r="C3694" s="1" t="n">
        <v>45357</v>
      </c>
      <c r="D3694" t="inlineStr">
        <is>
          <t>VÄSTERBOTTENS LÄN</t>
        </is>
      </c>
      <c r="E3694" t="inlineStr">
        <is>
          <t>SORSELE</t>
        </is>
      </c>
      <c r="F3694" t="inlineStr">
        <is>
          <t>Allmännings- och besparingsskogar</t>
        </is>
      </c>
      <c r="G3694" t="n">
        <v>273.4</v>
      </c>
      <c r="H3694" t="n">
        <v>0</v>
      </c>
      <c r="I3694" t="n">
        <v>0</v>
      </c>
      <c r="J3694" t="n">
        <v>0</v>
      </c>
      <c r="K3694" t="n">
        <v>0</v>
      </c>
      <c r="L3694" t="n">
        <v>0</v>
      </c>
      <c r="M3694" t="n">
        <v>0</v>
      </c>
      <c r="N3694" t="n">
        <v>0</v>
      </c>
      <c r="O3694" t="n">
        <v>0</v>
      </c>
      <c r="P3694" t="n">
        <v>0</v>
      </c>
      <c r="Q3694" t="n">
        <v>0</v>
      </c>
      <c r="R3694" s="2" t="inlineStr"/>
    </row>
    <row r="3695" ht="15" customHeight="1">
      <c r="A3695" t="inlineStr">
        <is>
          <t>A 43926-2020</t>
        </is>
      </c>
      <c r="B3695" s="1" t="n">
        <v>44078</v>
      </c>
      <c r="C3695" s="1" t="n">
        <v>45357</v>
      </c>
      <c r="D3695" t="inlineStr">
        <is>
          <t>VÄSTERBOTTENS LÄN</t>
        </is>
      </c>
      <c r="E3695" t="inlineStr">
        <is>
          <t>STORUMAN</t>
        </is>
      </c>
      <c r="F3695" t="inlineStr">
        <is>
          <t>Allmännings- och besparingsskogar</t>
        </is>
      </c>
      <c r="G3695" t="n">
        <v>55.6</v>
      </c>
      <c r="H3695" t="n">
        <v>0</v>
      </c>
      <c r="I3695" t="n">
        <v>0</v>
      </c>
      <c r="J3695" t="n">
        <v>0</v>
      </c>
      <c r="K3695" t="n">
        <v>0</v>
      </c>
      <c r="L3695" t="n">
        <v>0</v>
      </c>
      <c r="M3695" t="n">
        <v>0</v>
      </c>
      <c r="N3695" t="n">
        <v>0</v>
      </c>
      <c r="O3695" t="n">
        <v>0</v>
      </c>
      <c r="P3695" t="n">
        <v>0</v>
      </c>
      <c r="Q3695" t="n">
        <v>0</v>
      </c>
      <c r="R3695" s="2" t="inlineStr"/>
    </row>
    <row r="3696" ht="15" customHeight="1">
      <c r="A3696" t="inlineStr">
        <is>
          <t>A 43977-2020</t>
        </is>
      </c>
      <c r="B3696" s="1" t="n">
        <v>44078</v>
      </c>
      <c r="C3696" s="1" t="n">
        <v>45357</v>
      </c>
      <c r="D3696" t="inlineStr">
        <is>
          <t>VÄSTERBOTTENS LÄN</t>
        </is>
      </c>
      <c r="E3696" t="inlineStr">
        <is>
          <t>SORSELE</t>
        </is>
      </c>
      <c r="F3696" t="inlineStr">
        <is>
          <t>Allmännings- och besparingsskogar</t>
        </is>
      </c>
      <c r="G3696" t="n">
        <v>149.4</v>
      </c>
      <c r="H3696" t="n">
        <v>0</v>
      </c>
      <c r="I3696" t="n">
        <v>0</v>
      </c>
      <c r="J3696" t="n">
        <v>0</v>
      </c>
      <c r="K3696" t="n">
        <v>0</v>
      </c>
      <c r="L3696" t="n">
        <v>0</v>
      </c>
      <c r="M3696" t="n">
        <v>0</v>
      </c>
      <c r="N3696" t="n">
        <v>0</v>
      </c>
      <c r="O3696" t="n">
        <v>0</v>
      </c>
      <c r="P3696" t="n">
        <v>0</v>
      </c>
      <c r="Q3696" t="n">
        <v>0</v>
      </c>
      <c r="R3696" s="2" t="inlineStr"/>
    </row>
    <row r="3697" ht="15" customHeight="1">
      <c r="A3697" t="inlineStr">
        <is>
          <t>A 43222-2020</t>
        </is>
      </c>
      <c r="B3697" s="1" t="n">
        <v>44081</v>
      </c>
      <c r="C3697" s="1" t="n">
        <v>45357</v>
      </c>
      <c r="D3697" t="inlineStr">
        <is>
          <t>VÄSTERBOTTENS LÄN</t>
        </is>
      </c>
      <c r="E3697" t="inlineStr">
        <is>
          <t>SKELLEFTEÅ</t>
        </is>
      </c>
      <c r="F3697" t="inlineStr">
        <is>
          <t>Sveaskog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43292-2020</t>
        </is>
      </c>
      <c r="B3698" s="1" t="n">
        <v>44081</v>
      </c>
      <c r="C3698" s="1" t="n">
        <v>45357</v>
      </c>
      <c r="D3698" t="inlineStr">
        <is>
          <t>VÄSTERBOTTENS LÄN</t>
        </is>
      </c>
      <c r="E3698" t="inlineStr">
        <is>
          <t>SKELLEFTEÅ</t>
        </is>
      </c>
      <c r="F3698" t="inlineStr">
        <is>
          <t>Sveaskog</t>
        </is>
      </c>
      <c r="G3698" t="n">
        <v>10.1</v>
      </c>
      <c r="H3698" t="n">
        <v>0</v>
      </c>
      <c r="I3698" t="n">
        <v>0</v>
      </c>
      <c r="J3698" t="n">
        <v>0</v>
      </c>
      <c r="K3698" t="n">
        <v>0</v>
      </c>
      <c r="L3698" t="n">
        <v>0</v>
      </c>
      <c r="M3698" t="n">
        <v>0</v>
      </c>
      <c r="N3698" t="n">
        <v>0</v>
      </c>
      <c r="O3698" t="n">
        <v>0</v>
      </c>
      <c r="P3698" t="n">
        <v>0</v>
      </c>
      <c r="Q3698" t="n">
        <v>0</v>
      </c>
      <c r="R3698" s="2" t="inlineStr"/>
    </row>
    <row r="3699" ht="15" customHeight="1">
      <c r="A3699" t="inlineStr">
        <is>
          <t>A 43344-2020</t>
        </is>
      </c>
      <c r="B3699" s="1" t="n">
        <v>44081</v>
      </c>
      <c r="C3699" s="1" t="n">
        <v>45357</v>
      </c>
      <c r="D3699" t="inlineStr">
        <is>
          <t>VÄSTERBOTTENS LÄN</t>
        </is>
      </c>
      <c r="E3699" t="inlineStr">
        <is>
          <t>SKELLEFTEÅ</t>
        </is>
      </c>
      <c r="F3699" t="inlineStr">
        <is>
          <t>Sveaskog</t>
        </is>
      </c>
      <c r="G3699" t="n">
        <v>11.4</v>
      </c>
      <c r="H3699" t="n">
        <v>0</v>
      </c>
      <c r="I3699" t="n">
        <v>0</v>
      </c>
      <c r="J3699" t="n">
        <v>0</v>
      </c>
      <c r="K3699" t="n">
        <v>0</v>
      </c>
      <c r="L3699" t="n">
        <v>0</v>
      </c>
      <c r="M3699" t="n">
        <v>0</v>
      </c>
      <c r="N3699" t="n">
        <v>0</v>
      </c>
      <c r="O3699" t="n">
        <v>0</v>
      </c>
      <c r="P3699" t="n">
        <v>0</v>
      </c>
      <c r="Q3699" t="n">
        <v>0</v>
      </c>
      <c r="R3699" s="2" t="inlineStr"/>
    </row>
    <row r="3700" ht="15" customHeight="1">
      <c r="A3700" t="inlineStr">
        <is>
          <t>A 43388-2020</t>
        </is>
      </c>
      <c r="B3700" s="1" t="n">
        <v>44081</v>
      </c>
      <c r="C3700" s="1" t="n">
        <v>45357</v>
      </c>
      <c r="D3700" t="inlineStr">
        <is>
          <t>VÄSTERBOTTENS LÄN</t>
        </is>
      </c>
      <c r="E3700" t="inlineStr">
        <is>
          <t>VINDELN</t>
        </is>
      </c>
      <c r="F3700" t="inlineStr">
        <is>
          <t>Holmen skog AB</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43327-2020</t>
        </is>
      </c>
      <c r="B3701" s="1" t="n">
        <v>44081</v>
      </c>
      <c r="C3701" s="1" t="n">
        <v>45357</v>
      </c>
      <c r="D3701" t="inlineStr">
        <is>
          <t>VÄSTERBOTTENS LÄN</t>
        </is>
      </c>
      <c r="E3701" t="inlineStr">
        <is>
          <t>SKELLEFTEÅ</t>
        </is>
      </c>
      <c r="F3701" t="inlineStr">
        <is>
          <t>Sveaskog</t>
        </is>
      </c>
      <c r="G3701" t="n">
        <v>23.3</v>
      </c>
      <c r="H3701" t="n">
        <v>0</v>
      </c>
      <c r="I3701" t="n">
        <v>0</v>
      </c>
      <c r="J3701" t="n">
        <v>0</v>
      </c>
      <c r="K3701" t="n">
        <v>0</v>
      </c>
      <c r="L3701" t="n">
        <v>0</v>
      </c>
      <c r="M3701" t="n">
        <v>0</v>
      </c>
      <c r="N3701" t="n">
        <v>0</v>
      </c>
      <c r="O3701" t="n">
        <v>0</v>
      </c>
      <c r="P3701" t="n">
        <v>0</v>
      </c>
      <c r="Q3701" t="n">
        <v>0</v>
      </c>
      <c r="R3701" s="2" t="inlineStr"/>
    </row>
    <row r="3702" ht="15" customHeight="1">
      <c r="A3702" t="inlineStr">
        <is>
          <t>A 44041-2020</t>
        </is>
      </c>
      <c r="B3702" s="1" t="n">
        <v>44081</v>
      </c>
      <c r="C3702" s="1" t="n">
        <v>45357</v>
      </c>
      <c r="D3702" t="inlineStr">
        <is>
          <t>VÄSTERBOTTENS LÄN</t>
        </is>
      </c>
      <c r="E3702" t="inlineStr">
        <is>
          <t>LYCKSELE</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43992-2020</t>
        </is>
      </c>
      <c r="B3703" s="1" t="n">
        <v>44081</v>
      </c>
      <c r="C3703" s="1" t="n">
        <v>45357</v>
      </c>
      <c r="D3703" t="inlineStr">
        <is>
          <t>VÄSTERBOTTENS LÄN</t>
        </is>
      </c>
      <c r="E3703" t="inlineStr">
        <is>
          <t>BJURHOLM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43505-2020</t>
        </is>
      </c>
      <c r="B3704" s="1" t="n">
        <v>44082</v>
      </c>
      <c r="C3704" s="1" t="n">
        <v>45357</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43800-2020</t>
        </is>
      </c>
      <c r="B3705" s="1" t="n">
        <v>44082</v>
      </c>
      <c r="C3705" s="1" t="n">
        <v>45357</v>
      </c>
      <c r="D3705" t="inlineStr">
        <is>
          <t>VÄSTERBOTTENS LÄN</t>
        </is>
      </c>
      <c r="E3705" t="inlineStr">
        <is>
          <t>ÅSELE</t>
        </is>
      </c>
      <c r="F3705" t="inlineStr">
        <is>
          <t>Sveaskog</t>
        </is>
      </c>
      <c r="G3705" t="n">
        <v>12.2</v>
      </c>
      <c r="H3705" t="n">
        <v>0</v>
      </c>
      <c r="I3705" t="n">
        <v>0</v>
      </c>
      <c r="J3705" t="n">
        <v>0</v>
      </c>
      <c r="K3705" t="n">
        <v>0</v>
      </c>
      <c r="L3705" t="n">
        <v>0</v>
      </c>
      <c r="M3705" t="n">
        <v>0</v>
      </c>
      <c r="N3705" t="n">
        <v>0</v>
      </c>
      <c r="O3705" t="n">
        <v>0</v>
      </c>
      <c r="P3705" t="n">
        <v>0</v>
      </c>
      <c r="Q3705" t="n">
        <v>0</v>
      </c>
      <c r="R3705" s="2" t="inlineStr"/>
    </row>
    <row r="3706" ht="15" customHeight="1">
      <c r="A3706" t="inlineStr">
        <is>
          <t>A 43811-2020</t>
        </is>
      </c>
      <c r="B3706" s="1" t="n">
        <v>44082</v>
      </c>
      <c r="C3706" s="1" t="n">
        <v>45357</v>
      </c>
      <c r="D3706" t="inlineStr">
        <is>
          <t>VÄSTERBOTTENS LÄN</t>
        </is>
      </c>
      <c r="E3706" t="inlineStr">
        <is>
          <t>ÅSELE</t>
        </is>
      </c>
      <c r="F3706" t="inlineStr">
        <is>
          <t>Sveaskog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43845-2020</t>
        </is>
      </c>
      <c r="B3707" s="1" t="n">
        <v>44082</v>
      </c>
      <c r="C3707" s="1" t="n">
        <v>45357</v>
      </c>
      <c r="D3707" t="inlineStr">
        <is>
          <t>VÄSTERBOTTENS LÄN</t>
        </is>
      </c>
      <c r="E3707" t="inlineStr">
        <is>
          <t>BJURHOLM</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43854-2020</t>
        </is>
      </c>
      <c r="B3708" s="1" t="n">
        <v>44082</v>
      </c>
      <c r="C3708" s="1" t="n">
        <v>45357</v>
      </c>
      <c r="D3708" t="inlineStr">
        <is>
          <t>VÄSTERBOTTENS LÄN</t>
        </is>
      </c>
      <c r="E3708" t="inlineStr">
        <is>
          <t>NORDMALING</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43830-2020</t>
        </is>
      </c>
      <c r="B3709" s="1" t="n">
        <v>44082</v>
      </c>
      <c r="C3709" s="1" t="n">
        <v>45357</v>
      </c>
      <c r="D3709" t="inlineStr">
        <is>
          <t>VÄSTERBOTTENS LÄN</t>
        </is>
      </c>
      <c r="E3709" t="inlineStr">
        <is>
          <t>VINDELN</t>
        </is>
      </c>
      <c r="F3709" t="inlineStr">
        <is>
          <t>SCA</t>
        </is>
      </c>
      <c r="G3709" t="n">
        <v>5.9</v>
      </c>
      <c r="H3709" t="n">
        <v>0</v>
      </c>
      <c r="I3709" t="n">
        <v>0</v>
      </c>
      <c r="J3709" t="n">
        <v>0</v>
      </c>
      <c r="K3709" t="n">
        <v>0</v>
      </c>
      <c r="L3709" t="n">
        <v>0</v>
      </c>
      <c r="M3709" t="n">
        <v>0</v>
      </c>
      <c r="N3709" t="n">
        <v>0</v>
      </c>
      <c r="O3709" t="n">
        <v>0</v>
      </c>
      <c r="P3709" t="n">
        <v>0</v>
      </c>
      <c r="Q3709" t="n">
        <v>0</v>
      </c>
      <c r="R3709" s="2" t="inlineStr"/>
    </row>
    <row r="3710" ht="15" customHeight="1">
      <c r="A3710" t="inlineStr">
        <is>
          <t>A 43850-2020</t>
        </is>
      </c>
      <c r="B3710" s="1" t="n">
        <v>44082</v>
      </c>
      <c r="C3710" s="1" t="n">
        <v>45357</v>
      </c>
      <c r="D3710" t="inlineStr">
        <is>
          <t>VÄSTERBOTTENS LÄN</t>
        </is>
      </c>
      <c r="E3710" t="inlineStr">
        <is>
          <t>VINDELN</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43826-2020</t>
        </is>
      </c>
      <c r="B3711" s="1" t="n">
        <v>44082</v>
      </c>
      <c r="C3711" s="1" t="n">
        <v>45357</v>
      </c>
      <c r="D3711" t="inlineStr">
        <is>
          <t>VÄSTERBOTTENS LÄN</t>
        </is>
      </c>
      <c r="E3711" t="inlineStr">
        <is>
          <t>VINDELN</t>
        </is>
      </c>
      <c r="F3711" t="inlineStr">
        <is>
          <t>SCA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43833-2020</t>
        </is>
      </c>
      <c r="B3712" s="1" t="n">
        <v>44082</v>
      </c>
      <c r="C3712" s="1" t="n">
        <v>45357</v>
      </c>
      <c r="D3712" t="inlineStr">
        <is>
          <t>VÄSTERBOTTENS LÄN</t>
        </is>
      </c>
      <c r="E3712" t="inlineStr">
        <is>
          <t>NORDMALING</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43852-2020</t>
        </is>
      </c>
      <c r="B3713" s="1" t="n">
        <v>44082</v>
      </c>
      <c r="C3713" s="1" t="n">
        <v>45357</v>
      </c>
      <c r="D3713" t="inlineStr">
        <is>
          <t>VÄSTERBOTTENS LÄN</t>
        </is>
      </c>
      <c r="E3713" t="inlineStr">
        <is>
          <t>VINDELN</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43831-2020</t>
        </is>
      </c>
      <c r="B3714" s="1" t="n">
        <v>44082</v>
      </c>
      <c r="C3714" s="1" t="n">
        <v>45357</v>
      </c>
      <c r="D3714" t="inlineStr">
        <is>
          <t>VÄSTERBOTTENS LÄN</t>
        </is>
      </c>
      <c r="E3714" t="inlineStr">
        <is>
          <t>NORDMALING</t>
        </is>
      </c>
      <c r="F3714" t="inlineStr">
        <is>
          <t>SCA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43840-2020</t>
        </is>
      </c>
      <c r="B3715" s="1" t="n">
        <v>44082</v>
      </c>
      <c r="C3715" s="1" t="n">
        <v>45357</v>
      </c>
      <c r="D3715" t="inlineStr">
        <is>
          <t>VÄSTERBOTTENS LÄN</t>
        </is>
      </c>
      <c r="E3715" t="inlineStr">
        <is>
          <t>VINDELN</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43851-2020</t>
        </is>
      </c>
      <c r="B3716" s="1" t="n">
        <v>44082</v>
      </c>
      <c r="C3716" s="1" t="n">
        <v>45357</v>
      </c>
      <c r="D3716" t="inlineStr">
        <is>
          <t>VÄSTERBOTTENS LÄN</t>
        </is>
      </c>
      <c r="E3716" t="inlineStr">
        <is>
          <t>NORDMALING</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43863-2020</t>
        </is>
      </c>
      <c r="B3717" s="1" t="n">
        <v>44082</v>
      </c>
      <c r="C3717" s="1" t="n">
        <v>45357</v>
      </c>
      <c r="D3717" t="inlineStr">
        <is>
          <t>VÄSTERBOTTENS LÄN</t>
        </is>
      </c>
      <c r="E3717" t="inlineStr">
        <is>
          <t>VINDELN</t>
        </is>
      </c>
      <c r="F3717" t="inlineStr">
        <is>
          <t>SCA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43861-2020</t>
        </is>
      </c>
      <c r="B3718" s="1" t="n">
        <v>44082</v>
      </c>
      <c r="C3718" s="1" t="n">
        <v>45357</v>
      </c>
      <c r="D3718" t="inlineStr">
        <is>
          <t>VÄSTERBOTTENS LÄN</t>
        </is>
      </c>
      <c r="E3718" t="inlineStr">
        <is>
          <t>VINDELN</t>
        </is>
      </c>
      <c r="F3718" t="inlineStr">
        <is>
          <t>SCA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44250-2020</t>
        </is>
      </c>
      <c r="B3719" s="1" t="n">
        <v>44082</v>
      </c>
      <c r="C3719" s="1" t="n">
        <v>45357</v>
      </c>
      <c r="D3719" t="inlineStr">
        <is>
          <t>VÄSTERBOTTENS LÄN</t>
        </is>
      </c>
      <c r="E3719" t="inlineStr">
        <is>
          <t>DOROTEA</t>
        </is>
      </c>
      <c r="F3719" t="inlineStr">
        <is>
          <t>Övriga statliga verk och myndigheter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44564-2020</t>
        </is>
      </c>
      <c r="B3720" s="1" t="n">
        <v>44082</v>
      </c>
      <c r="C3720" s="1" t="n">
        <v>45357</v>
      </c>
      <c r="D3720" t="inlineStr">
        <is>
          <t>VÄSTERBOTTENS LÄN</t>
        </is>
      </c>
      <c r="E3720" t="inlineStr">
        <is>
          <t>SKELLEFTEÅ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44721-2020</t>
        </is>
      </c>
      <c r="B3721" s="1" t="n">
        <v>44082</v>
      </c>
      <c r="C3721" s="1" t="n">
        <v>45357</v>
      </c>
      <c r="D3721" t="inlineStr">
        <is>
          <t>VÄSTERBOTTENS LÄN</t>
        </is>
      </c>
      <c r="E3721" t="inlineStr">
        <is>
          <t>SKELLEFTEÅ</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43928-2020</t>
        </is>
      </c>
      <c r="B3722" s="1" t="n">
        <v>44083</v>
      </c>
      <c r="C3722" s="1" t="n">
        <v>45357</v>
      </c>
      <c r="D3722" t="inlineStr">
        <is>
          <t>VÄSTERBOTTENS LÄN</t>
        </is>
      </c>
      <c r="E3722" t="inlineStr">
        <is>
          <t>SKELLEFTEÅ</t>
        </is>
      </c>
      <c r="F3722" t="inlineStr">
        <is>
          <t>Sveaskog</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43923-2020</t>
        </is>
      </c>
      <c r="B3723" s="1" t="n">
        <v>44083</v>
      </c>
      <c r="C3723" s="1" t="n">
        <v>45357</v>
      </c>
      <c r="D3723" t="inlineStr">
        <is>
          <t>VÄSTERBOTTENS LÄN</t>
        </is>
      </c>
      <c r="E3723" t="inlineStr">
        <is>
          <t>SKELLEFTEÅ</t>
        </is>
      </c>
      <c r="F3723" t="inlineStr">
        <is>
          <t>Sveaskog</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43933-2020</t>
        </is>
      </c>
      <c r="B3724" s="1" t="n">
        <v>44083</v>
      </c>
      <c r="C3724" s="1" t="n">
        <v>45357</v>
      </c>
      <c r="D3724" t="inlineStr">
        <is>
          <t>VÄSTERBOTTENS LÄN</t>
        </is>
      </c>
      <c r="E3724" t="inlineStr">
        <is>
          <t>SKELLEFTEÅ</t>
        </is>
      </c>
      <c r="F3724" t="inlineStr">
        <is>
          <t>Sveaskog</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44068-2020</t>
        </is>
      </c>
      <c r="B3725" s="1" t="n">
        <v>44083</v>
      </c>
      <c r="C3725" s="1" t="n">
        <v>45357</v>
      </c>
      <c r="D3725" t="inlineStr">
        <is>
          <t>VÄSTERBOTTENS LÄN</t>
        </is>
      </c>
      <c r="E3725" t="inlineStr">
        <is>
          <t>SKELLEFTEÅ</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43930-2020</t>
        </is>
      </c>
      <c r="B3726" s="1" t="n">
        <v>44083</v>
      </c>
      <c r="C3726" s="1" t="n">
        <v>45357</v>
      </c>
      <c r="D3726" t="inlineStr">
        <is>
          <t>VÄSTERBOTTENS LÄN</t>
        </is>
      </c>
      <c r="E3726" t="inlineStr">
        <is>
          <t>SKELLEFTEÅ</t>
        </is>
      </c>
      <c r="F3726" t="inlineStr">
        <is>
          <t>Sveaskog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43993-2020</t>
        </is>
      </c>
      <c r="B3727" s="1" t="n">
        <v>44083</v>
      </c>
      <c r="C3727" s="1" t="n">
        <v>45357</v>
      </c>
      <c r="D3727" t="inlineStr">
        <is>
          <t>VÄSTERBOTTENS LÄN</t>
        </is>
      </c>
      <c r="E3727" t="inlineStr">
        <is>
          <t>SKELLEFTEÅ</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44707-2020</t>
        </is>
      </c>
      <c r="B3728" s="1" t="n">
        <v>44083</v>
      </c>
      <c r="C3728" s="1" t="n">
        <v>45357</v>
      </c>
      <c r="D3728" t="inlineStr">
        <is>
          <t>VÄSTERBOTTENS LÄN</t>
        </is>
      </c>
      <c r="E3728" t="inlineStr">
        <is>
          <t>UMEÅ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45021-2020</t>
        </is>
      </c>
      <c r="B3729" s="1" t="n">
        <v>44083</v>
      </c>
      <c r="C3729" s="1" t="n">
        <v>45357</v>
      </c>
      <c r="D3729" t="inlineStr">
        <is>
          <t>VÄSTERBOTTENS LÄN</t>
        </is>
      </c>
      <c r="E3729" t="inlineStr">
        <is>
          <t>SORSELE</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18255-2021</t>
        </is>
      </c>
      <c r="B3730" s="1" t="n">
        <v>44083</v>
      </c>
      <c r="C3730" s="1" t="n">
        <v>45357</v>
      </c>
      <c r="D3730" t="inlineStr">
        <is>
          <t>VÄSTERBOTTENS LÄN</t>
        </is>
      </c>
      <c r="E3730" t="inlineStr">
        <is>
          <t>SKELLEFTEÅ</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44198-2020</t>
        </is>
      </c>
      <c r="B3731" s="1" t="n">
        <v>44083</v>
      </c>
      <c r="C3731" s="1" t="n">
        <v>45357</v>
      </c>
      <c r="D3731" t="inlineStr">
        <is>
          <t>VÄSTERBOTTENS LÄN</t>
        </is>
      </c>
      <c r="E3731" t="inlineStr">
        <is>
          <t>LYCKSELE</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18263-2021</t>
        </is>
      </c>
      <c r="B3732" s="1" t="n">
        <v>44083</v>
      </c>
      <c r="C3732" s="1" t="n">
        <v>45357</v>
      </c>
      <c r="D3732" t="inlineStr">
        <is>
          <t>VÄSTERBOTTENS LÄN</t>
        </is>
      </c>
      <c r="E3732" t="inlineStr">
        <is>
          <t>SKELLEFTEÅ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44323-2020</t>
        </is>
      </c>
      <c r="B3733" s="1" t="n">
        <v>44084</v>
      </c>
      <c r="C3733" s="1" t="n">
        <v>45357</v>
      </c>
      <c r="D3733" t="inlineStr">
        <is>
          <t>VÄSTERBOTTENS LÄN</t>
        </is>
      </c>
      <c r="E3733" t="inlineStr">
        <is>
          <t>ROBERTSFORS</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44367-2020</t>
        </is>
      </c>
      <c r="B3734" s="1" t="n">
        <v>44084</v>
      </c>
      <c r="C3734" s="1" t="n">
        <v>45357</v>
      </c>
      <c r="D3734" t="inlineStr">
        <is>
          <t>VÄSTERBOTTENS LÄN</t>
        </is>
      </c>
      <c r="E3734" t="inlineStr">
        <is>
          <t>UMEÅ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44436-2020</t>
        </is>
      </c>
      <c r="B3735" s="1" t="n">
        <v>44084</v>
      </c>
      <c r="C3735" s="1" t="n">
        <v>45357</v>
      </c>
      <c r="D3735" t="inlineStr">
        <is>
          <t>VÄSTERBOTTENS LÄN</t>
        </is>
      </c>
      <c r="E3735" t="inlineStr">
        <is>
          <t>SKELLEFTEÅ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44507-2020</t>
        </is>
      </c>
      <c r="B3736" s="1" t="n">
        <v>44084</v>
      </c>
      <c r="C3736" s="1" t="n">
        <v>45357</v>
      </c>
      <c r="D3736" t="inlineStr">
        <is>
          <t>VÄSTERBOTTENS LÄN</t>
        </is>
      </c>
      <c r="E3736" t="inlineStr">
        <is>
          <t>VILHELMINA</t>
        </is>
      </c>
      <c r="F3736" t="inlineStr">
        <is>
          <t>SCA</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44529-2020</t>
        </is>
      </c>
      <c r="B3737" s="1" t="n">
        <v>44085</v>
      </c>
      <c r="C3737" s="1" t="n">
        <v>45357</v>
      </c>
      <c r="D3737" t="inlineStr">
        <is>
          <t>VÄSTERBOTTENS LÄN</t>
        </is>
      </c>
      <c r="E3737" t="inlineStr">
        <is>
          <t>LYCKSELE</t>
        </is>
      </c>
      <c r="F3737" t="inlineStr">
        <is>
          <t>Sveaskog</t>
        </is>
      </c>
      <c r="G3737" t="n">
        <v>55.2</v>
      </c>
      <c r="H3737" t="n">
        <v>0</v>
      </c>
      <c r="I3737" t="n">
        <v>0</v>
      </c>
      <c r="J3737" t="n">
        <v>0</v>
      </c>
      <c r="K3737" t="n">
        <v>0</v>
      </c>
      <c r="L3737" t="n">
        <v>0</v>
      </c>
      <c r="M3737" t="n">
        <v>0</v>
      </c>
      <c r="N3737" t="n">
        <v>0</v>
      </c>
      <c r="O3737" t="n">
        <v>0</v>
      </c>
      <c r="P3737" t="n">
        <v>0</v>
      </c>
      <c r="Q3737" t="n">
        <v>0</v>
      </c>
      <c r="R3737" s="2" t="inlineStr"/>
    </row>
    <row r="3738" ht="15" customHeight="1">
      <c r="A3738" t="inlineStr">
        <is>
          <t>A 44587-2020</t>
        </is>
      </c>
      <c r="B3738" s="1" t="n">
        <v>44085</v>
      </c>
      <c r="C3738" s="1" t="n">
        <v>45357</v>
      </c>
      <c r="D3738" t="inlineStr">
        <is>
          <t>VÄSTERBOTTENS LÄN</t>
        </is>
      </c>
      <c r="E3738" t="inlineStr">
        <is>
          <t>SKELLEFTEÅ</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44572-2020</t>
        </is>
      </c>
      <c r="B3739" s="1" t="n">
        <v>44085</v>
      </c>
      <c r="C3739" s="1" t="n">
        <v>45357</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44592-2020</t>
        </is>
      </c>
      <c r="B3740" s="1" t="n">
        <v>44085</v>
      </c>
      <c r="C3740" s="1" t="n">
        <v>45357</v>
      </c>
      <c r="D3740" t="inlineStr">
        <is>
          <t>VÄSTERBOTTENS LÄN</t>
        </is>
      </c>
      <c r="E3740" t="inlineStr">
        <is>
          <t>SKELLEFTEÅ</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44667-2020</t>
        </is>
      </c>
      <c r="B3741" s="1" t="n">
        <v>44085</v>
      </c>
      <c r="C3741" s="1" t="n">
        <v>45357</v>
      </c>
      <c r="D3741" t="inlineStr">
        <is>
          <t>VÄSTERBOTTENS LÄN</t>
        </is>
      </c>
      <c r="E3741" t="inlineStr">
        <is>
          <t>SKELLEFTEÅ</t>
        </is>
      </c>
      <c r="F3741" t="inlineStr">
        <is>
          <t>Sveaskog</t>
        </is>
      </c>
      <c r="G3741" t="n">
        <v>15.6</v>
      </c>
      <c r="H3741" t="n">
        <v>0</v>
      </c>
      <c r="I3741" t="n">
        <v>0</v>
      </c>
      <c r="J3741" t="n">
        <v>0</v>
      </c>
      <c r="K3741" t="n">
        <v>0</v>
      </c>
      <c r="L3741" t="n">
        <v>0</v>
      </c>
      <c r="M3741" t="n">
        <v>0</v>
      </c>
      <c r="N3741" t="n">
        <v>0</v>
      </c>
      <c r="O3741" t="n">
        <v>0</v>
      </c>
      <c r="P3741" t="n">
        <v>0</v>
      </c>
      <c r="Q3741" t="n">
        <v>0</v>
      </c>
      <c r="R3741" s="2" t="inlineStr"/>
    </row>
    <row r="3742" ht="15" customHeight="1">
      <c r="A3742" t="inlineStr">
        <is>
          <t>A 44791-2020</t>
        </is>
      </c>
      <c r="B3742" s="1" t="n">
        <v>44085</v>
      </c>
      <c r="C3742" s="1" t="n">
        <v>45357</v>
      </c>
      <c r="D3742" t="inlineStr">
        <is>
          <t>VÄSTERBOTTENS LÄN</t>
        </is>
      </c>
      <c r="E3742" t="inlineStr">
        <is>
          <t>BJURHOLM</t>
        </is>
      </c>
      <c r="F3742" t="inlineStr">
        <is>
          <t>Holmen skog AB</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44927-2020</t>
        </is>
      </c>
      <c r="B3743" s="1" t="n">
        <v>44088</v>
      </c>
      <c r="C3743" s="1" t="n">
        <v>45357</v>
      </c>
      <c r="D3743" t="inlineStr">
        <is>
          <t>VÄSTERBOTTENS LÄN</t>
        </is>
      </c>
      <c r="E3743" t="inlineStr">
        <is>
          <t>MALÅ</t>
        </is>
      </c>
      <c r="F3743" t="inlineStr">
        <is>
          <t>Sveaskog</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44940-2020</t>
        </is>
      </c>
      <c r="B3744" s="1" t="n">
        <v>44088</v>
      </c>
      <c r="C3744" s="1" t="n">
        <v>45357</v>
      </c>
      <c r="D3744" t="inlineStr">
        <is>
          <t>VÄSTERBOTTENS LÄN</t>
        </is>
      </c>
      <c r="E3744" t="inlineStr">
        <is>
          <t>MALÅ</t>
        </is>
      </c>
      <c r="F3744" t="inlineStr">
        <is>
          <t>Sveaskog</t>
        </is>
      </c>
      <c r="G3744" t="n">
        <v>17.1</v>
      </c>
      <c r="H3744" t="n">
        <v>0</v>
      </c>
      <c r="I3744" t="n">
        <v>0</v>
      </c>
      <c r="J3744" t="n">
        <v>0</v>
      </c>
      <c r="K3744" t="n">
        <v>0</v>
      </c>
      <c r="L3744" t="n">
        <v>0</v>
      </c>
      <c r="M3744" t="n">
        <v>0</v>
      </c>
      <c r="N3744" t="n">
        <v>0</v>
      </c>
      <c r="O3744" t="n">
        <v>0</v>
      </c>
      <c r="P3744" t="n">
        <v>0</v>
      </c>
      <c r="Q3744" t="n">
        <v>0</v>
      </c>
      <c r="R3744" s="2" t="inlineStr"/>
    </row>
    <row r="3745" ht="15" customHeight="1">
      <c r="A3745" t="inlineStr">
        <is>
          <t>A 44932-2020</t>
        </is>
      </c>
      <c r="B3745" s="1" t="n">
        <v>44088</v>
      </c>
      <c r="C3745" s="1" t="n">
        <v>45357</v>
      </c>
      <c r="D3745" t="inlineStr">
        <is>
          <t>VÄSTERBOTTENS LÄN</t>
        </is>
      </c>
      <c r="E3745" t="inlineStr">
        <is>
          <t>MALÅ</t>
        </is>
      </c>
      <c r="F3745" t="inlineStr">
        <is>
          <t>Sveaskog</t>
        </is>
      </c>
      <c r="G3745" t="n">
        <v>54.6</v>
      </c>
      <c r="H3745" t="n">
        <v>0</v>
      </c>
      <c r="I3745" t="n">
        <v>0</v>
      </c>
      <c r="J3745" t="n">
        <v>0</v>
      </c>
      <c r="K3745" t="n">
        <v>0</v>
      </c>
      <c r="L3745" t="n">
        <v>0</v>
      </c>
      <c r="M3745" t="n">
        <v>0</v>
      </c>
      <c r="N3745" t="n">
        <v>0</v>
      </c>
      <c r="O3745" t="n">
        <v>0</v>
      </c>
      <c r="P3745" t="n">
        <v>0</v>
      </c>
      <c r="Q3745" t="n">
        <v>0</v>
      </c>
      <c r="R3745" s="2" t="inlineStr"/>
    </row>
    <row r="3746" ht="15" customHeight="1">
      <c r="A3746" t="inlineStr">
        <is>
          <t>A 45181-2020</t>
        </is>
      </c>
      <c r="B3746" s="1" t="n">
        <v>44088</v>
      </c>
      <c r="C3746" s="1" t="n">
        <v>45357</v>
      </c>
      <c r="D3746" t="inlineStr">
        <is>
          <t>VÄSTERBOTTENS LÄN</t>
        </is>
      </c>
      <c r="E3746" t="inlineStr">
        <is>
          <t>SKELLEFTEÅ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46509-2020</t>
        </is>
      </c>
      <c r="B3747" s="1" t="n">
        <v>44088</v>
      </c>
      <c r="C3747" s="1" t="n">
        <v>45357</v>
      </c>
      <c r="D3747" t="inlineStr">
        <is>
          <t>VÄSTERBOTTENS LÄN</t>
        </is>
      </c>
      <c r="E3747" t="inlineStr">
        <is>
          <t>VILHELMINA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45514-2020</t>
        </is>
      </c>
      <c r="B3748" s="1" t="n">
        <v>44089</v>
      </c>
      <c r="C3748" s="1" t="n">
        <v>45357</v>
      </c>
      <c r="D3748" t="inlineStr">
        <is>
          <t>VÄSTERBOTTENS LÄN</t>
        </is>
      </c>
      <c r="E3748" t="inlineStr">
        <is>
          <t>SKELLEFTEÅ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46883-2020</t>
        </is>
      </c>
      <c r="B3749" s="1" t="n">
        <v>44089</v>
      </c>
      <c r="C3749" s="1" t="n">
        <v>45357</v>
      </c>
      <c r="D3749" t="inlineStr">
        <is>
          <t>VÄSTERBOTTENS LÄN</t>
        </is>
      </c>
      <c r="E3749" t="inlineStr">
        <is>
          <t>ÅSELE</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46686-2020</t>
        </is>
      </c>
      <c r="B3750" s="1" t="n">
        <v>44089</v>
      </c>
      <c r="C3750" s="1" t="n">
        <v>45357</v>
      </c>
      <c r="D3750" t="inlineStr">
        <is>
          <t>VÄSTERBOTTENS LÄN</t>
        </is>
      </c>
      <c r="E3750" t="inlineStr">
        <is>
          <t>SKELLEFTEÅ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46856-2020</t>
        </is>
      </c>
      <c r="B3751" s="1" t="n">
        <v>44089</v>
      </c>
      <c r="C3751" s="1" t="n">
        <v>45357</v>
      </c>
      <c r="D3751" t="inlineStr">
        <is>
          <t>VÄSTERBOTTENS LÄN</t>
        </is>
      </c>
      <c r="E3751" t="inlineStr">
        <is>
          <t>ÅSELE</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46682-2020</t>
        </is>
      </c>
      <c r="B3752" s="1" t="n">
        <v>44089</v>
      </c>
      <c r="C3752" s="1" t="n">
        <v>45357</v>
      </c>
      <c r="D3752" t="inlineStr">
        <is>
          <t>VÄSTERBOTTENS LÄN</t>
        </is>
      </c>
      <c r="E3752" t="inlineStr">
        <is>
          <t>SKELLEFTEÅ</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46713-2020</t>
        </is>
      </c>
      <c r="B3753" s="1" t="n">
        <v>44089</v>
      </c>
      <c r="C3753" s="1" t="n">
        <v>45357</v>
      </c>
      <c r="D3753" t="inlineStr">
        <is>
          <t>VÄSTERBOTTENS LÄN</t>
        </is>
      </c>
      <c r="E3753" t="inlineStr">
        <is>
          <t>ROBERTSFORS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46835-2020</t>
        </is>
      </c>
      <c r="B3754" s="1" t="n">
        <v>44089</v>
      </c>
      <c r="C3754" s="1" t="n">
        <v>45357</v>
      </c>
      <c r="D3754" t="inlineStr">
        <is>
          <t>VÄSTERBOTTENS LÄN</t>
        </is>
      </c>
      <c r="E3754" t="inlineStr">
        <is>
          <t>ÅSELE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46862-2020</t>
        </is>
      </c>
      <c r="B3755" s="1" t="n">
        <v>44089</v>
      </c>
      <c r="C3755" s="1" t="n">
        <v>45357</v>
      </c>
      <c r="D3755" t="inlineStr">
        <is>
          <t>VÄSTERBOTTENS LÄN</t>
        </is>
      </c>
      <c r="E3755" t="inlineStr">
        <is>
          <t>ÅSELE</t>
        </is>
      </c>
      <c r="G3755" t="n">
        <v>16.3</v>
      </c>
      <c r="H3755" t="n">
        <v>0</v>
      </c>
      <c r="I3755" t="n">
        <v>0</v>
      </c>
      <c r="J3755" t="n">
        <v>0</v>
      </c>
      <c r="K3755" t="n">
        <v>0</v>
      </c>
      <c r="L3755" t="n">
        <v>0</v>
      </c>
      <c r="M3755" t="n">
        <v>0</v>
      </c>
      <c r="N3755" t="n">
        <v>0</v>
      </c>
      <c r="O3755" t="n">
        <v>0</v>
      </c>
      <c r="P3755" t="n">
        <v>0</v>
      </c>
      <c r="Q3755" t="n">
        <v>0</v>
      </c>
      <c r="R3755" s="2" t="inlineStr"/>
    </row>
    <row r="3756" ht="15" customHeight="1">
      <c r="A3756" t="inlineStr">
        <is>
          <t>A 45618-2020</t>
        </is>
      </c>
      <c r="B3756" s="1" t="n">
        <v>44090</v>
      </c>
      <c r="C3756" s="1" t="n">
        <v>45357</v>
      </c>
      <c r="D3756" t="inlineStr">
        <is>
          <t>VÄSTERBOTTENS LÄN</t>
        </is>
      </c>
      <c r="E3756" t="inlineStr">
        <is>
          <t>VINDELN</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45623-2020</t>
        </is>
      </c>
      <c r="B3757" s="1" t="n">
        <v>44090</v>
      </c>
      <c r="C3757" s="1" t="n">
        <v>45357</v>
      </c>
      <c r="D3757" t="inlineStr">
        <is>
          <t>VÄSTERBOTTENS LÄN</t>
        </is>
      </c>
      <c r="E3757" t="inlineStr">
        <is>
          <t>ÅSELE</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45628-2020</t>
        </is>
      </c>
      <c r="B3758" s="1" t="n">
        <v>44090</v>
      </c>
      <c r="C3758" s="1" t="n">
        <v>45357</v>
      </c>
      <c r="D3758" t="inlineStr">
        <is>
          <t>VÄSTERBOTTENS LÄN</t>
        </is>
      </c>
      <c r="E3758" t="inlineStr">
        <is>
          <t>SORSELE</t>
        </is>
      </c>
      <c r="F3758" t="inlineStr">
        <is>
          <t>Sveaskog</t>
        </is>
      </c>
      <c r="G3758" t="n">
        <v>23.9</v>
      </c>
      <c r="H3758" t="n">
        <v>0</v>
      </c>
      <c r="I3758" t="n">
        <v>0</v>
      </c>
      <c r="J3758" t="n">
        <v>0</v>
      </c>
      <c r="K3758" t="n">
        <v>0</v>
      </c>
      <c r="L3758" t="n">
        <v>0</v>
      </c>
      <c r="M3758" t="n">
        <v>0</v>
      </c>
      <c r="N3758" t="n">
        <v>0</v>
      </c>
      <c r="O3758" t="n">
        <v>0</v>
      </c>
      <c r="P3758" t="n">
        <v>0</v>
      </c>
      <c r="Q3758" t="n">
        <v>0</v>
      </c>
      <c r="R3758" s="2" t="inlineStr"/>
    </row>
    <row r="3759" ht="15" customHeight="1">
      <c r="A3759" t="inlineStr">
        <is>
          <t>A 45690-2020</t>
        </is>
      </c>
      <c r="B3759" s="1" t="n">
        <v>44090</v>
      </c>
      <c r="C3759" s="1" t="n">
        <v>45357</v>
      </c>
      <c r="D3759" t="inlineStr">
        <is>
          <t>VÄSTERBOTTENS LÄN</t>
        </is>
      </c>
      <c r="E3759" t="inlineStr">
        <is>
          <t>SKELLEFTEÅ</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46821-2020</t>
        </is>
      </c>
      <c r="B3760" s="1" t="n">
        <v>44090</v>
      </c>
      <c r="C3760" s="1" t="n">
        <v>45357</v>
      </c>
      <c r="D3760" t="inlineStr">
        <is>
          <t>VÄSTERBOTTENS LÄN</t>
        </is>
      </c>
      <c r="E3760" t="inlineStr">
        <is>
          <t>SKELLEFTEÅ</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45842-2020</t>
        </is>
      </c>
      <c r="B3761" s="1" t="n">
        <v>44090</v>
      </c>
      <c r="C3761" s="1" t="n">
        <v>45357</v>
      </c>
      <c r="D3761" t="inlineStr">
        <is>
          <t>VÄSTERBOTTENS LÄN</t>
        </is>
      </c>
      <c r="E3761" t="inlineStr">
        <is>
          <t>NORDMALING</t>
        </is>
      </c>
      <c r="F3761" t="inlineStr">
        <is>
          <t>SCA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46845-2020</t>
        </is>
      </c>
      <c r="B3762" s="1" t="n">
        <v>44090</v>
      </c>
      <c r="C3762" s="1" t="n">
        <v>45357</v>
      </c>
      <c r="D3762" t="inlineStr">
        <is>
          <t>VÄSTERBOTTENS LÄN</t>
        </is>
      </c>
      <c r="E3762" t="inlineStr">
        <is>
          <t>UMEÅ</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46917-2020</t>
        </is>
      </c>
      <c r="B3763" s="1" t="n">
        <v>44090</v>
      </c>
      <c r="C3763" s="1" t="n">
        <v>45357</v>
      </c>
      <c r="D3763" t="inlineStr">
        <is>
          <t>VÄSTERBOTTENS LÄN</t>
        </is>
      </c>
      <c r="E3763" t="inlineStr">
        <is>
          <t>ÅSELE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46911-2020</t>
        </is>
      </c>
      <c r="B3764" s="1" t="n">
        <v>44090</v>
      </c>
      <c r="C3764" s="1" t="n">
        <v>45357</v>
      </c>
      <c r="D3764" t="inlineStr">
        <is>
          <t>VÄSTERBOTTENS LÄN</t>
        </is>
      </c>
      <c r="E3764" t="inlineStr">
        <is>
          <t>ÅSELE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46913-2020</t>
        </is>
      </c>
      <c r="B3765" s="1" t="n">
        <v>44090</v>
      </c>
      <c r="C3765" s="1" t="n">
        <v>45357</v>
      </c>
      <c r="D3765" t="inlineStr">
        <is>
          <t>VÄSTERBOTTENS LÄN</t>
        </is>
      </c>
      <c r="E3765" t="inlineStr">
        <is>
          <t>ÅSELE</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46974-2020</t>
        </is>
      </c>
      <c r="B3766" s="1" t="n">
        <v>44090</v>
      </c>
      <c r="C3766" s="1" t="n">
        <v>45357</v>
      </c>
      <c r="D3766" t="inlineStr">
        <is>
          <t>VÄSTERBOTTENS LÄN</t>
        </is>
      </c>
      <c r="E3766" t="inlineStr">
        <is>
          <t>VINDELN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46041-2020</t>
        </is>
      </c>
      <c r="B3767" s="1" t="n">
        <v>44091</v>
      </c>
      <c r="C3767" s="1" t="n">
        <v>45357</v>
      </c>
      <c r="D3767" t="inlineStr">
        <is>
          <t>VÄSTERBOTTENS LÄN</t>
        </is>
      </c>
      <c r="E3767" t="inlineStr">
        <is>
          <t>NORDMALING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45974-2020</t>
        </is>
      </c>
      <c r="B3768" s="1" t="n">
        <v>44091</v>
      </c>
      <c r="C3768" s="1" t="n">
        <v>45357</v>
      </c>
      <c r="D3768" t="inlineStr">
        <is>
          <t>VÄSTERBOTTENS LÄN</t>
        </is>
      </c>
      <c r="E3768" t="inlineStr">
        <is>
          <t>LYCKSELE</t>
        </is>
      </c>
      <c r="G3768" t="n">
        <v>14.1</v>
      </c>
      <c r="H3768" t="n">
        <v>0</v>
      </c>
      <c r="I3768" t="n">
        <v>0</v>
      </c>
      <c r="J3768" t="n">
        <v>0</v>
      </c>
      <c r="K3768" t="n">
        <v>0</v>
      </c>
      <c r="L3768" t="n">
        <v>0</v>
      </c>
      <c r="M3768" t="n">
        <v>0</v>
      </c>
      <c r="N3768" t="n">
        <v>0</v>
      </c>
      <c r="O3768" t="n">
        <v>0</v>
      </c>
      <c r="P3768" t="n">
        <v>0</v>
      </c>
      <c r="Q3768" t="n">
        <v>0</v>
      </c>
      <c r="R3768" s="2" t="inlineStr"/>
    </row>
    <row r="3769" ht="15" customHeight="1">
      <c r="A3769" t="inlineStr">
        <is>
          <t>A 46205-2020</t>
        </is>
      </c>
      <c r="B3769" s="1" t="n">
        <v>44092</v>
      </c>
      <c r="C3769" s="1" t="n">
        <v>45357</v>
      </c>
      <c r="D3769" t="inlineStr">
        <is>
          <t>VÄSTERBOTTENS LÄN</t>
        </is>
      </c>
      <c r="E3769" t="inlineStr">
        <is>
          <t>SKELLEFTEÅ</t>
        </is>
      </c>
      <c r="F3769" t="inlineStr">
        <is>
          <t>Holmen skog AB</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46246-2020</t>
        </is>
      </c>
      <c r="B3770" s="1" t="n">
        <v>44092</v>
      </c>
      <c r="C3770" s="1" t="n">
        <v>45357</v>
      </c>
      <c r="D3770" t="inlineStr">
        <is>
          <t>VÄSTERBOTTENS LÄN</t>
        </is>
      </c>
      <c r="E3770" t="inlineStr">
        <is>
          <t>MALÅ</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46378-2020</t>
        </is>
      </c>
      <c r="B3771" s="1" t="n">
        <v>44092</v>
      </c>
      <c r="C3771" s="1" t="n">
        <v>45357</v>
      </c>
      <c r="D3771" t="inlineStr">
        <is>
          <t>VÄSTERBOTTENS LÄN</t>
        </is>
      </c>
      <c r="E3771" t="inlineStr">
        <is>
          <t>VILHELMINA</t>
        </is>
      </c>
      <c r="F3771" t="inlineStr">
        <is>
          <t>SCA</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46373-2020</t>
        </is>
      </c>
      <c r="B3772" s="1" t="n">
        <v>44092</v>
      </c>
      <c r="C3772" s="1" t="n">
        <v>45357</v>
      </c>
      <c r="D3772" t="inlineStr">
        <is>
          <t>VÄSTERBOTTENS LÄN</t>
        </is>
      </c>
      <c r="E3772" t="inlineStr">
        <is>
          <t>VILHELMINA</t>
        </is>
      </c>
      <c r="F3772" t="inlineStr">
        <is>
          <t>SCA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46380-2020</t>
        </is>
      </c>
      <c r="B3773" s="1" t="n">
        <v>44092</v>
      </c>
      <c r="C3773" s="1" t="n">
        <v>45357</v>
      </c>
      <c r="D3773" t="inlineStr">
        <is>
          <t>VÄSTERBOTTENS LÄN</t>
        </is>
      </c>
      <c r="E3773" t="inlineStr">
        <is>
          <t>UMEÅ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47308-2020</t>
        </is>
      </c>
      <c r="B3774" s="1" t="n">
        <v>44092</v>
      </c>
      <c r="C3774" s="1" t="n">
        <v>45357</v>
      </c>
      <c r="D3774" t="inlineStr">
        <is>
          <t>VÄSTERBOTTENS LÄN</t>
        </is>
      </c>
      <c r="E3774" t="inlineStr">
        <is>
          <t>VILHELMINA</t>
        </is>
      </c>
      <c r="F3774" t="inlineStr">
        <is>
          <t>Övriga statliga verk och myndigheter</t>
        </is>
      </c>
      <c r="G3774" t="n">
        <v>35.3</v>
      </c>
      <c r="H3774" t="n">
        <v>0</v>
      </c>
      <c r="I3774" t="n">
        <v>0</v>
      </c>
      <c r="J3774" t="n">
        <v>0</v>
      </c>
      <c r="K3774" t="n">
        <v>0</v>
      </c>
      <c r="L3774" t="n">
        <v>0</v>
      </c>
      <c r="M3774" t="n">
        <v>0</v>
      </c>
      <c r="N3774" t="n">
        <v>0</v>
      </c>
      <c r="O3774" t="n">
        <v>0</v>
      </c>
      <c r="P3774" t="n">
        <v>0</v>
      </c>
      <c r="Q3774" t="n">
        <v>0</v>
      </c>
      <c r="R3774" s="2" t="inlineStr"/>
    </row>
    <row r="3775" ht="15" customHeight="1">
      <c r="A3775" t="inlineStr">
        <is>
          <t>A 48256-2020</t>
        </is>
      </c>
      <c r="B3775" s="1" t="n">
        <v>44092</v>
      </c>
      <c r="C3775" s="1" t="n">
        <v>45357</v>
      </c>
      <c r="D3775" t="inlineStr">
        <is>
          <t>VÄSTERBOTTENS LÄN</t>
        </is>
      </c>
      <c r="E3775" t="inlineStr">
        <is>
          <t>VILHELMINA</t>
        </is>
      </c>
      <c r="F3775" t="inlineStr">
        <is>
          <t>Övriga statliga verk och myndigheter</t>
        </is>
      </c>
      <c r="G3775" t="n">
        <v>13.4</v>
      </c>
      <c r="H3775" t="n">
        <v>0</v>
      </c>
      <c r="I3775" t="n">
        <v>0</v>
      </c>
      <c r="J3775" t="n">
        <v>0</v>
      </c>
      <c r="K3775" t="n">
        <v>0</v>
      </c>
      <c r="L3775" t="n">
        <v>0</v>
      </c>
      <c r="M3775" t="n">
        <v>0</v>
      </c>
      <c r="N3775" t="n">
        <v>0</v>
      </c>
      <c r="O3775" t="n">
        <v>0</v>
      </c>
      <c r="P3775" t="n">
        <v>0</v>
      </c>
      <c r="Q3775" t="n">
        <v>0</v>
      </c>
      <c r="R3775" s="2" t="inlineStr"/>
    </row>
    <row r="3776" ht="15" customHeight="1">
      <c r="A3776" t="inlineStr">
        <is>
          <t>A 48019-2020</t>
        </is>
      </c>
      <c r="B3776" s="1" t="n">
        <v>44092</v>
      </c>
      <c r="C3776" s="1" t="n">
        <v>45357</v>
      </c>
      <c r="D3776" t="inlineStr">
        <is>
          <t>VÄSTERBOTTENS LÄN</t>
        </is>
      </c>
      <c r="E3776" t="inlineStr">
        <is>
          <t>VILHELMINA</t>
        </is>
      </c>
      <c r="F3776" t="inlineStr">
        <is>
          <t>Övriga statliga verk och myndigheter</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46638-2020</t>
        </is>
      </c>
      <c r="B3777" s="1" t="n">
        <v>44095</v>
      </c>
      <c r="C3777" s="1" t="n">
        <v>45357</v>
      </c>
      <c r="D3777" t="inlineStr">
        <is>
          <t>VÄSTERBOTTENS LÄN</t>
        </is>
      </c>
      <c r="E3777" t="inlineStr">
        <is>
          <t>SKELLEFTEÅ</t>
        </is>
      </c>
      <c r="F3777" t="inlineStr">
        <is>
          <t>Holmen skog AB</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46573-2020</t>
        </is>
      </c>
      <c r="B3778" s="1" t="n">
        <v>44095</v>
      </c>
      <c r="C3778" s="1" t="n">
        <v>45357</v>
      </c>
      <c r="D3778" t="inlineStr">
        <is>
          <t>VÄSTERBOTTENS LÄN</t>
        </is>
      </c>
      <c r="E3778" t="inlineStr">
        <is>
          <t>STORUMAN</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46595-2020</t>
        </is>
      </c>
      <c r="B3779" s="1" t="n">
        <v>44095</v>
      </c>
      <c r="C3779" s="1" t="n">
        <v>45357</v>
      </c>
      <c r="D3779" t="inlineStr">
        <is>
          <t>VÄSTERBOTTENS LÄN</t>
        </is>
      </c>
      <c r="E3779" t="inlineStr">
        <is>
          <t>LYCKSELE</t>
        </is>
      </c>
      <c r="F3779" t="inlineStr">
        <is>
          <t>Sveaskog</t>
        </is>
      </c>
      <c r="G3779" t="n">
        <v>56.3</v>
      </c>
      <c r="H3779" t="n">
        <v>0</v>
      </c>
      <c r="I3779" t="n">
        <v>0</v>
      </c>
      <c r="J3779" t="n">
        <v>0</v>
      </c>
      <c r="K3779" t="n">
        <v>0</v>
      </c>
      <c r="L3779" t="n">
        <v>0</v>
      </c>
      <c r="M3779" t="n">
        <v>0</v>
      </c>
      <c r="N3779" t="n">
        <v>0</v>
      </c>
      <c r="O3779" t="n">
        <v>0</v>
      </c>
      <c r="P3779" t="n">
        <v>0</v>
      </c>
      <c r="Q3779" t="n">
        <v>0</v>
      </c>
      <c r="R3779" s="2" t="inlineStr"/>
    </row>
    <row r="3780" ht="15" customHeight="1">
      <c r="A3780" t="inlineStr">
        <is>
          <t>A 46632-2020</t>
        </is>
      </c>
      <c r="B3780" s="1" t="n">
        <v>44095</v>
      </c>
      <c r="C3780" s="1" t="n">
        <v>45357</v>
      </c>
      <c r="D3780" t="inlineStr">
        <is>
          <t>VÄSTERBOTTENS LÄN</t>
        </is>
      </c>
      <c r="E3780" t="inlineStr">
        <is>
          <t>LYCKSELE</t>
        </is>
      </c>
      <c r="F3780" t="inlineStr">
        <is>
          <t>Holmen skog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46761-2020</t>
        </is>
      </c>
      <c r="B3781" s="1" t="n">
        <v>44095</v>
      </c>
      <c r="C3781" s="1" t="n">
        <v>45357</v>
      </c>
      <c r="D3781" t="inlineStr">
        <is>
          <t>VÄSTERBOTTENS LÄN</t>
        </is>
      </c>
      <c r="E3781" t="inlineStr">
        <is>
          <t>DOROTEA</t>
        </is>
      </c>
      <c r="F3781" t="inlineStr">
        <is>
          <t>SCA</t>
        </is>
      </c>
      <c r="G3781" t="n">
        <v>19.6</v>
      </c>
      <c r="H3781" t="n">
        <v>0</v>
      </c>
      <c r="I3781" t="n">
        <v>0</v>
      </c>
      <c r="J3781" t="n">
        <v>0</v>
      </c>
      <c r="K3781" t="n">
        <v>0</v>
      </c>
      <c r="L3781" t="n">
        <v>0</v>
      </c>
      <c r="M3781" t="n">
        <v>0</v>
      </c>
      <c r="N3781" t="n">
        <v>0</v>
      </c>
      <c r="O3781" t="n">
        <v>0</v>
      </c>
      <c r="P3781" t="n">
        <v>0</v>
      </c>
      <c r="Q3781" t="n">
        <v>0</v>
      </c>
      <c r="R3781" s="2" t="inlineStr"/>
    </row>
    <row r="3782" ht="15" customHeight="1">
      <c r="A3782" t="inlineStr">
        <is>
          <t>A 46764-2020</t>
        </is>
      </c>
      <c r="B3782" s="1" t="n">
        <v>44095</v>
      </c>
      <c r="C3782" s="1" t="n">
        <v>45357</v>
      </c>
      <c r="D3782" t="inlineStr">
        <is>
          <t>VÄSTERBOTTENS LÄN</t>
        </is>
      </c>
      <c r="E3782" t="inlineStr">
        <is>
          <t>LYCKSELE</t>
        </is>
      </c>
      <c r="F3782" t="inlineStr">
        <is>
          <t>SCA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46762-2020</t>
        </is>
      </c>
      <c r="B3783" s="1" t="n">
        <v>44095</v>
      </c>
      <c r="C3783" s="1" t="n">
        <v>45357</v>
      </c>
      <c r="D3783" t="inlineStr">
        <is>
          <t>VÄSTERBOTTENS LÄN</t>
        </is>
      </c>
      <c r="E3783" t="inlineStr">
        <is>
          <t>DOROTEA</t>
        </is>
      </c>
      <c r="F3783" t="inlineStr">
        <is>
          <t>SCA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46769-2020</t>
        </is>
      </c>
      <c r="B3784" s="1" t="n">
        <v>44095</v>
      </c>
      <c r="C3784" s="1" t="n">
        <v>45357</v>
      </c>
      <c r="D3784" t="inlineStr">
        <is>
          <t>VÄSTERBOTTENS LÄN</t>
        </is>
      </c>
      <c r="E3784" t="inlineStr">
        <is>
          <t>NORDMALING</t>
        </is>
      </c>
      <c r="F3784" t="inlineStr">
        <is>
          <t>SCA</t>
        </is>
      </c>
      <c r="G3784" t="n">
        <v>12.6</v>
      </c>
      <c r="H3784" t="n">
        <v>0</v>
      </c>
      <c r="I3784" t="n">
        <v>0</v>
      </c>
      <c r="J3784" t="n">
        <v>0</v>
      </c>
      <c r="K3784" t="n">
        <v>0</v>
      </c>
      <c r="L3784" t="n">
        <v>0</v>
      </c>
      <c r="M3784" t="n">
        <v>0</v>
      </c>
      <c r="N3784" t="n">
        <v>0</v>
      </c>
      <c r="O3784" t="n">
        <v>0</v>
      </c>
      <c r="P3784" t="n">
        <v>0</v>
      </c>
      <c r="Q3784" t="n">
        <v>0</v>
      </c>
      <c r="R3784" s="2" t="inlineStr"/>
    </row>
    <row r="3785" ht="15" customHeight="1">
      <c r="A3785" t="inlineStr">
        <is>
          <t>A 47496-2020</t>
        </is>
      </c>
      <c r="B3785" s="1" t="n">
        <v>44095</v>
      </c>
      <c r="C3785" s="1" t="n">
        <v>45357</v>
      </c>
      <c r="D3785" t="inlineStr">
        <is>
          <t>VÄSTERBOTTENS LÄN</t>
        </is>
      </c>
      <c r="E3785" t="inlineStr">
        <is>
          <t>NORDMALING</t>
        </is>
      </c>
      <c r="F3785" t="inlineStr">
        <is>
          <t>SCA</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47641-2020</t>
        </is>
      </c>
      <c r="B3786" s="1" t="n">
        <v>44095</v>
      </c>
      <c r="C3786" s="1" t="n">
        <v>45357</v>
      </c>
      <c r="D3786" t="inlineStr">
        <is>
          <t>VÄSTERBOTTENS LÄN</t>
        </is>
      </c>
      <c r="E3786" t="inlineStr">
        <is>
          <t>UMEÅ</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47405-2020</t>
        </is>
      </c>
      <c r="B3787" s="1" t="n">
        <v>44095</v>
      </c>
      <c r="C3787" s="1" t="n">
        <v>45357</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47491-2020</t>
        </is>
      </c>
      <c r="B3788" s="1" t="n">
        <v>44095</v>
      </c>
      <c r="C3788" s="1" t="n">
        <v>45357</v>
      </c>
      <c r="D3788" t="inlineStr">
        <is>
          <t>VÄSTERBOTTENS LÄN</t>
        </is>
      </c>
      <c r="E3788" t="inlineStr">
        <is>
          <t>STORUMAN</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47580-2020</t>
        </is>
      </c>
      <c r="B3789" s="1" t="n">
        <v>44095</v>
      </c>
      <c r="C3789" s="1" t="n">
        <v>45357</v>
      </c>
      <c r="D3789" t="inlineStr">
        <is>
          <t>VÄSTERBOTTENS LÄN</t>
        </is>
      </c>
      <c r="E3789" t="inlineStr">
        <is>
          <t>UMEÅ</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48870-2020</t>
        </is>
      </c>
      <c r="B3790" s="1" t="n">
        <v>44095</v>
      </c>
      <c r="C3790" s="1" t="n">
        <v>45357</v>
      </c>
      <c r="D3790" t="inlineStr">
        <is>
          <t>VÄSTERBOTTENS LÄN</t>
        </is>
      </c>
      <c r="E3790" t="inlineStr">
        <is>
          <t>VINDELN</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46819-2020</t>
        </is>
      </c>
      <c r="B3791" s="1" t="n">
        <v>44096</v>
      </c>
      <c r="C3791" s="1" t="n">
        <v>45357</v>
      </c>
      <c r="D3791" t="inlineStr">
        <is>
          <t>VÄSTERBOTTENS LÄN</t>
        </is>
      </c>
      <c r="E3791" t="inlineStr">
        <is>
          <t>SKELLEFTEÅ</t>
        </is>
      </c>
      <c r="F3791" t="inlineStr">
        <is>
          <t>Holmen skog AB</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46842-2020</t>
        </is>
      </c>
      <c r="B3792" s="1" t="n">
        <v>44096</v>
      </c>
      <c r="C3792" s="1" t="n">
        <v>45357</v>
      </c>
      <c r="D3792" t="inlineStr">
        <is>
          <t>VÄSTERBOTTENS LÄN</t>
        </is>
      </c>
      <c r="E3792" t="inlineStr">
        <is>
          <t>SKELLEFTEÅ</t>
        </is>
      </c>
      <c r="F3792" t="inlineStr">
        <is>
          <t>Holmen skog AB</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47103-2020</t>
        </is>
      </c>
      <c r="B3793" s="1" t="n">
        <v>44096</v>
      </c>
      <c r="C3793" s="1" t="n">
        <v>45357</v>
      </c>
      <c r="D3793" t="inlineStr">
        <is>
          <t>VÄSTERBOTTENS LÄN</t>
        </is>
      </c>
      <c r="E3793" t="inlineStr">
        <is>
          <t>ÅSELE</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46857-2020</t>
        </is>
      </c>
      <c r="B3794" s="1" t="n">
        <v>44096</v>
      </c>
      <c r="C3794" s="1" t="n">
        <v>45357</v>
      </c>
      <c r="D3794" t="inlineStr">
        <is>
          <t>VÄSTERBOTTENS LÄN</t>
        </is>
      </c>
      <c r="E3794" t="inlineStr">
        <is>
          <t>SKELLEFTEÅ</t>
        </is>
      </c>
      <c r="F3794" t="inlineStr">
        <is>
          <t>Holmen skog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47214-2020</t>
        </is>
      </c>
      <c r="B3795" s="1" t="n">
        <v>44097</v>
      </c>
      <c r="C3795" s="1" t="n">
        <v>45357</v>
      </c>
      <c r="D3795" t="inlineStr">
        <is>
          <t>VÄSTERBOTTENS LÄN</t>
        </is>
      </c>
      <c r="E3795" t="inlineStr">
        <is>
          <t>NORDMALING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47193-2020</t>
        </is>
      </c>
      <c r="B3796" s="1" t="n">
        <v>44097</v>
      </c>
      <c r="C3796" s="1" t="n">
        <v>45357</v>
      </c>
      <c r="D3796" t="inlineStr">
        <is>
          <t>VÄSTERBOTTENS LÄN</t>
        </is>
      </c>
      <c r="E3796" t="inlineStr">
        <is>
          <t>VILHELMINA</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47409-2020</t>
        </is>
      </c>
      <c r="B3797" s="1" t="n">
        <v>44097</v>
      </c>
      <c r="C3797" s="1" t="n">
        <v>45357</v>
      </c>
      <c r="D3797" t="inlineStr">
        <is>
          <t>VÄSTERBOTTENS LÄN</t>
        </is>
      </c>
      <c r="E3797" t="inlineStr">
        <is>
          <t>VINDELN</t>
        </is>
      </c>
      <c r="F3797" t="inlineStr">
        <is>
          <t>Holmen skog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47487-2020</t>
        </is>
      </c>
      <c r="B3798" s="1" t="n">
        <v>44098</v>
      </c>
      <c r="C3798" s="1" t="n">
        <v>45357</v>
      </c>
      <c r="D3798" t="inlineStr">
        <is>
          <t>VÄSTERBOTTENS LÄN</t>
        </is>
      </c>
      <c r="E3798" t="inlineStr">
        <is>
          <t>LYCKSELE</t>
        </is>
      </c>
      <c r="F3798" t="inlineStr">
        <is>
          <t>Holmen skog AB</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47476-2020</t>
        </is>
      </c>
      <c r="B3799" s="1" t="n">
        <v>44098</v>
      </c>
      <c r="C3799" s="1" t="n">
        <v>45357</v>
      </c>
      <c r="D3799" t="inlineStr">
        <is>
          <t>VÄSTERBOTTENS LÄN</t>
        </is>
      </c>
      <c r="E3799" t="inlineStr">
        <is>
          <t>NORDMALING</t>
        </is>
      </c>
      <c r="F3799" t="inlineStr">
        <is>
          <t>Kyrkan</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47637-2020</t>
        </is>
      </c>
      <c r="B3800" s="1" t="n">
        <v>44098</v>
      </c>
      <c r="C3800" s="1" t="n">
        <v>45357</v>
      </c>
      <c r="D3800" t="inlineStr">
        <is>
          <t>VÄSTERBOTTENS LÄN</t>
        </is>
      </c>
      <c r="E3800" t="inlineStr">
        <is>
          <t>VINDELN</t>
        </is>
      </c>
      <c r="F3800" t="inlineStr">
        <is>
          <t>Holmen skog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47562-2020</t>
        </is>
      </c>
      <c r="B3801" s="1" t="n">
        <v>44098</v>
      </c>
      <c r="C3801" s="1" t="n">
        <v>45357</v>
      </c>
      <c r="D3801" t="inlineStr">
        <is>
          <t>VÄSTERBOTTENS LÄN</t>
        </is>
      </c>
      <c r="E3801" t="inlineStr">
        <is>
          <t>VINDELN</t>
        </is>
      </c>
      <c r="F3801" t="inlineStr">
        <is>
          <t>Holmen skog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47855-2020</t>
        </is>
      </c>
      <c r="B3802" s="1" t="n">
        <v>44098</v>
      </c>
      <c r="C3802" s="1" t="n">
        <v>45357</v>
      </c>
      <c r="D3802" t="inlineStr">
        <is>
          <t>VÄSTERBOTTENS LÄN</t>
        </is>
      </c>
      <c r="E3802" t="inlineStr">
        <is>
          <t>MALÅ</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47831-2020</t>
        </is>
      </c>
      <c r="B3803" s="1" t="n">
        <v>44098</v>
      </c>
      <c r="C3803" s="1" t="n">
        <v>45357</v>
      </c>
      <c r="D3803" t="inlineStr">
        <is>
          <t>VÄSTERBOTTENS LÄN</t>
        </is>
      </c>
      <c r="E3803" t="inlineStr">
        <is>
          <t>VINDELN</t>
        </is>
      </c>
      <c r="F3803" t="inlineStr">
        <is>
          <t>SCA</t>
        </is>
      </c>
      <c r="G3803" t="n">
        <v>9.300000000000001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47848-2020</t>
        </is>
      </c>
      <c r="B3804" s="1" t="n">
        <v>44098</v>
      </c>
      <c r="C3804" s="1" t="n">
        <v>45357</v>
      </c>
      <c r="D3804" t="inlineStr">
        <is>
          <t>VÄSTERBOTTENS LÄN</t>
        </is>
      </c>
      <c r="E3804" t="inlineStr">
        <is>
          <t>SORSELE</t>
        </is>
      </c>
      <c r="F3804" t="inlineStr">
        <is>
          <t>SCA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48584-2020</t>
        </is>
      </c>
      <c r="B3805" s="1" t="n">
        <v>44098</v>
      </c>
      <c r="C3805" s="1" t="n">
        <v>45357</v>
      </c>
      <c r="D3805" t="inlineStr">
        <is>
          <t>VÄSTERBOTTENS LÄN</t>
        </is>
      </c>
      <c r="E3805" t="inlineStr">
        <is>
          <t>SKELLEFTEÅ</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47919-2020</t>
        </is>
      </c>
      <c r="B3806" s="1" t="n">
        <v>44099</v>
      </c>
      <c r="C3806" s="1" t="n">
        <v>45357</v>
      </c>
      <c r="D3806" t="inlineStr">
        <is>
          <t>VÄSTERBOTTENS LÄN</t>
        </is>
      </c>
      <c r="E3806" t="inlineStr">
        <is>
          <t>ROBERTSFORS</t>
        </is>
      </c>
      <c r="F3806" t="inlineStr">
        <is>
          <t>Holmen skog AB</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48058-2020</t>
        </is>
      </c>
      <c r="B3807" s="1" t="n">
        <v>44099</v>
      </c>
      <c r="C3807" s="1" t="n">
        <v>45357</v>
      </c>
      <c r="D3807" t="inlineStr">
        <is>
          <t>VÄSTERBOTTENS LÄN</t>
        </is>
      </c>
      <c r="E3807" t="inlineStr">
        <is>
          <t>NORDMALING</t>
        </is>
      </c>
      <c r="F3807" t="inlineStr">
        <is>
          <t>SCA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48113-2020</t>
        </is>
      </c>
      <c r="B3808" s="1" t="n">
        <v>44101</v>
      </c>
      <c r="C3808" s="1" t="n">
        <v>45357</v>
      </c>
      <c r="D3808" t="inlineStr">
        <is>
          <t>VÄSTERBOTTENS LÄN</t>
        </is>
      </c>
      <c r="E3808" t="inlineStr">
        <is>
          <t>NORDMALING</t>
        </is>
      </c>
      <c r="G3808" t="n">
        <v>24.5</v>
      </c>
      <c r="H3808" t="n">
        <v>0</v>
      </c>
      <c r="I3808" t="n">
        <v>0</v>
      </c>
      <c r="J3808" t="n">
        <v>0</v>
      </c>
      <c r="K3808" t="n">
        <v>0</v>
      </c>
      <c r="L3808" t="n">
        <v>0</v>
      </c>
      <c r="M3808" t="n">
        <v>0</v>
      </c>
      <c r="N3808" t="n">
        <v>0</v>
      </c>
      <c r="O3808" t="n">
        <v>0</v>
      </c>
      <c r="P3808" t="n">
        <v>0</v>
      </c>
      <c r="Q3808" t="n">
        <v>0</v>
      </c>
      <c r="R3808" s="2" t="inlineStr"/>
    </row>
    <row r="3809" ht="15" customHeight="1">
      <c r="A3809" t="inlineStr">
        <is>
          <t>A 48370-2020</t>
        </is>
      </c>
      <c r="B3809" s="1" t="n">
        <v>44102</v>
      </c>
      <c r="C3809" s="1" t="n">
        <v>45357</v>
      </c>
      <c r="D3809" t="inlineStr">
        <is>
          <t>VÄSTERBOTTENS LÄN</t>
        </is>
      </c>
      <c r="E3809" t="inlineStr">
        <is>
          <t>LYCKSELE</t>
        </is>
      </c>
      <c r="F3809" t="inlineStr">
        <is>
          <t>Sveaskog</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48414-2020</t>
        </is>
      </c>
      <c r="B3810" s="1" t="n">
        <v>44102</v>
      </c>
      <c r="C3810" s="1" t="n">
        <v>45357</v>
      </c>
      <c r="D3810" t="inlineStr">
        <is>
          <t>VÄSTERBOTTENS LÄN</t>
        </is>
      </c>
      <c r="E3810" t="inlineStr">
        <is>
          <t>SORSELE</t>
        </is>
      </c>
      <c r="F3810" t="inlineStr">
        <is>
          <t>Sveaskog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48192-2020</t>
        </is>
      </c>
      <c r="B3811" s="1" t="n">
        <v>44102</v>
      </c>
      <c r="C3811" s="1" t="n">
        <v>45357</v>
      </c>
      <c r="D3811" t="inlineStr">
        <is>
          <t>VÄSTERBOTTENS LÄN</t>
        </is>
      </c>
      <c r="E3811" t="inlineStr">
        <is>
          <t>VINDELN</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48428-2020</t>
        </is>
      </c>
      <c r="B3812" s="1" t="n">
        <v>44102</v>
      </c>
      <c r="C3812" s="1" t="n">
        <v>45357</v>
      </c>
      <c r="D3812" t="inlineStr">
        <is>
          <t>VÄSTERBOTTENS LÄN</t>
        </is>
      </c>
      <c r="E3812" t="inlineStr">
        <is>
          <t>ROBERTSFORS</t>
        </is>
      </c>
      <c r="F3812" t="inlineStr">
        <is>
          <t>Holmen skog AB</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48418-2020</t>
        </is>
      </c>
      <c r="B3813" s="1" t="n">
        <v>44102</v>
      </c>
      <c r="C3813" s="1" t="n">
        <v>45357</v>
      </c>
      <c r="D3813" t="inlineStr">
        <is>
          <t>VÄSTERBOTTENS LÄN</t>
        </is>
      </c>
      <c r="E3813" t="inlineStr">
        <is>
          <t>VINDELN</t>
        </is>
      </c>
      <c r="F3813" t="inlineStr">
        <is>
          <t>Holmen skog AB</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48440-2020</t>
        </is>
      </c>
      <c r="B3814" s="1" t="n">
        <v>44102</v>
      </c>
      <c r="C3814" s="1" t="n">
        <v>45357</v>
      </c>
      <c r="D3814" t="inlineStr">
        <is>
          <t>VÄSTERBOTTENS LÄN</t>
        </is>
      </c>
      <c r="E3814" t="inlineStr">
        <is>
          <t>SORSELE</t>
        </is>
      </c>
      <c r="F3814" t="inlineStr">
        <is>
          <t>Sveaskog</t>
        </is>
      </c>
      <c r="G3814" t="n">
        <v>16.5</v>
      </c>
      <c r="H3814" t="n">
        <v>0</v>
      </c>
      <c r="I3814" t="n">
        <v>0</v>
      </c>
      <c r="J3814" t="n">
        <v>0</v>
      </c>
      <c r="K3814" t="n">
        <v>0</v>
      </c>
      <c r="L3814" t="n">
        <v>0</v>
      </c>
      <c r="M3814" t="n">
        <v>0</v>
      </c>
      <c r="N3814" t="n">
        <v>0</v>
      </c>
      <c r="O3814" t="n">
        <v>0</v>
      </c>
      <c r="P3814" t="n">
        <v>0</v>
      </c>
      <c r="Q3814" t="n">
        <v>0</v>
      </c>
      <c r="R3814" s="2" t="inlineStr"/>
    </row>
    <row r="3815" ht="15" customHeight="1">
      <c r="A3815" t="inlineStr">
        <is>
          <t>A 48443-2020</t>
        </is>
      </c>
      <c r="B3815" s="1" t="n">
        <v>44102</v>
      </c>
      <c r="C3815" s="1" t="n">
        <v>45357</v>
      </c>
      <c r="D3815" t="inlineStr">
        <is>
          <t>VÄSTERBOTTENS LÄN</t>
        </is>
      </c>
      <c r="E3815" t="inlineStr">
        <is>
          <t>SORSELE</t>
        </is>
      </c>
      <c r="F3815" t="inlineStr">
        <is>
          <t>Sveaskog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48438-2020</t>
        </is>
      </c>
      <c r="B3816" s="1" t="n">
        <v>44102</v>
      </c>
      <c r="C3816" s="1" t="n">
        <v>45357</v>
      </c>
      <c r="D3816" t="inlineStr">
        <is>
          <t>VÄSTERBOTTENS LÄN</t>
        </is>
      </c>
      <c r="E3816" t="inlineStr">
        <is>
          <t>SORSELE</t>
        </is>
      </c>
      <c r="F3816" t="inlineStr">
        <is>
          <t>Sveaskog</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48946-2020</t>
        </is>
      </c>
      <c r="B3817" s="1" t="n">
        <v>44102</v>
      </c>
      <c r="C3817" s="1" t="n">
        <v>45357</v>
      </c>
      <c r="D3817" t="inlineStr">
        <is>
          <t>VÄSTERBOTTENS LÄN</t>
        </is>
      </c>
      <c r="E3817" t="inlineStr">
        <is>
          <t>UMEÅ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48481-2020</t>
        </is>
      </c>
      <c r="B3818" s="1" t="n">
        <v>44102</v>
      </c>
      <c r="C3818" s="1" t="n">
        <v>45357</v>
      </c>
      <c r="D3818" t="inlineStr">
        <is>
          <t>VÄSTERBOTTENS LÄN</t>
        </is>
      </c>
      <c r="E3818" t="inlineStr">
        <is>
          <t>BJURHOLM</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48948-2020</t>
        </is>
      </c>
      <c r="B3819" s="1" t="n">
        <v>44102</v>
      </c>
      <c r="C3819" s="1" t="n">
        <v>45357</v>
      </c>
      <c r="D3819" t="inlineStr">
        <is>
          <t>VÄSTERBOTTENS LÄN</t>
        </is>
      </c>
      <c r="E3819" t="inlineStr">
        <is>
          <t>UMEÅ</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49326-2020</t>
        </is>
      </c>
      <c r="B3820" s="1" t="n">
        <v>44102</v>
      </c>
      <c r="C3820" s="1" t="n">
        <v>45357</v>
      </c>
      <c r="D3820" t="inlineStr">
        <is>
          <t>VÄSTERBOTTENS LÄN</t>
        </is>
      </c>
      <c r="E3820" t="inlineStr">
        <is>
          <t>NORDMALING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49241-2020</t>
        </is>
      </c>
      <c r="B3821" s="1" t="n">
        <v>44102</v>
      </c>
      <c r="C3821" s="1" t="n">
        <v>45357</v>
      </c>
      <c r="D3821" t="inlineStr">
        <is>
          <t>VÄSTERBOTTENS LÄN</t>
        </is>
      </c>
      <c r="E3821" t="inlineStr">
        <is>
          <t>SKELLEFTEÅ</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48575-2020</t>
        </is>
      </c>
      <c r="B3822" s="1" t="n">
        <v>44103</v>
      </c>
      <c r="C3822" s="1" t="n">
        <v>45357</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48609-2020</t>
        </is>
      </c>
      <c r="B3823" s="1" t="n">
        <v>44103</v>
      </c>
      <c r="C3823" s="1" t="n">
        <v>45357</v>
      </c>
      <c r="D3823" t="inlineStr">
        <is>
          <t>VÄSTERBOTTENS LÄN</t>
        </is>
      </c>
      <c r="E3823" t="inlineStr">
        <is>
          <t>SKELLEFTEÅ</t>
        </is>
      </c>
      <c r="F3823" t="inlineStr">
        <is>
          <t>Holmen skog AB</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50348-2020</t>
        </is>
      </c>
      <c r="B3824" s="1" t="n">
        <v>44104</v>
      </c>
      <c r="C3824" s="1" t="n">
        <v>45357</v>
      </c>
      <c r="D3824" t="inlineStr">
        <is>
          <t>VÄSTERBOTTENS LÄN</t>
        </is>
      </c>
      <c r="E3824" t="inlineStr">
        <is>
          <t>MALÅ</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48990-2020</t>
        </is>
      </c>
      <c r="B3825" s="1" t="n">
        <v>44104</v>
      </c>
      <c r="C3825" s="1" t="n">
        <v>45357</v>
      </c>
      <c r="D3825" t="inlineStr">
        <is>
          <t>VÄSTERBOTTENS LÄN</t>
        </is>
      </c>
      <c r="E3825" t="inlineStr">
        <is>
          <t>NORDMALING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48893-2020</t>
        </is>
      </c>
      <c r="B3826" s="1" t="n">
        <v>44104</v>
      </c>
      <c r="C3826" s="1" t="n">
        <v>45357</v>
      </c>
      <c r="D3826" t="inlineStr">
        <is>
          <t>VÄSTERBOTTENS LÄN</t>
        </is>
      </c>
      <c r="E3826" t="inlineStr">
        <is>
          <t>SKELLEFTEÅ</t>
        </is>
      </c>
      <c r="F3826" t="inlineStr">
        <is>
          <t>Sveaskog</t>
        </is>
      </c>
      <c r="G3826" t="n">
        <v>42.8</v>
      </c>
      <c r="H3826" t="n">
        <v>0</v>
      </c>
      <c r="I3826" t="n">
        <v>0</v>
      </c>
      <c r="J3826" t="n">
        <v>0</v>
      </c>
      <c r="K3826" t="n">
        <v>0</v>
      </c>
      <c r="L3826" t="n">
        <v>0</v>
      </c>
      <c r="M3826" t="n">
        <v>0</v>
      </c>
      <c r="N3826" t="n">
        <v>0</v>
      </c>
      <c r="O3826" t="n">
        <v>0</v>
      </c>
      <c r="P3826" t="n">
        <v>0</v>
      </c>
      <c r="Q3826" t="n">
        <v>0</v>
      </c>
      <c r="R3826" s="2" t="inlineStr"/>
    </row>
    <row r="3827" ht="15" customHeight="1">
      <c r="A3827" t="inlineStr">
        <is>
          <t>A 48939-2020</t>
        </is>
      </c>
      <c r="B3827" s="1" t="n">
        <v>44104</v>
      </c>
      <c r="C3827" s="1" t="n">
        <v>45357</v>
      </c>
      <c r="D3827" t="inlineStr">
        <is>
          <t>VÄSTERBOTTENS LÄN</t>
        </is>
      </c>
      <c r="E3827" t="inlineStr">
        <is>
          <t>SKELLEFTEÅ</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50365-2020</t>
        </is>
      </c>
      <c r="B3828" s="1" t="n">
        <v>44104</v>
      </c>
      <c r="C3828" s="1" t="n">
        <v>45357</v>
      </c>
      <c r="D3828" t="inlineStr">
        <is>
          <t>VÄSTERBOTTENS LÄN</t>
        </is>
      </c>
      <c r="E3828" t="inlineStr">
        <is>
          <t>MALÅ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48906-2020</t>
        </is>
      </c>
      <c r="B3829" s="1" t="n">
        <v>44104</v>
      </c>
      <c r="C3829" s="1" t="n">
        <v>45357</v>
      </c>
      <c r="D3829" t="inlineStr">
        <is>
          <t>VÄSTERBOTTENS LÄN</t>
        </is>
      </c>
      <c r="E3829" t="inlineStr">
        <is>
          <t>UMEÅ</t>
        </is>
      </c>
      <c r="F3829" t="inlineStr">
        <is>
          <t>Holmen skog AB</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49150-2020</t>
        </is>
      </c>
      <c r="B3830" s="1" t="n">
        <v>44104</v>
      </c>
      <c r="C3830" s="1" t="n">
        <v>45357</v>
      </c>
      <c r="D3830" t="inlineStr">
        <is>
          <t>VÄSTERBOTTENS LÄN</t>
        </is>
      </c>
      <c r="E3830" t="inlineStr">
        <is>
          <t>DOROTEA</t>
        </is>
      </c>
      <c r="F3830" t="inlineStr">
        <is>
          <t>SCA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49675-2020</t>
        </is>
      </c>
      <c r="B3831" s="1" t="n">
        <v>44104</v>
      </c>
      <c r="C3831" s="1" t="n">
        <v>45357</v>
      </c>
      <c r="D3831" t="inlineStr">
        <is>
          <t>VÄSTERBOTTENS LÄN</t>
        </is>
      </c>
      <c r="E3831" t="inlineStr">
        <is>
          <t>DOROTEA</t>
        </is>
      </c>
      <c r="F3831" t="inlineStr">
        <is>
          <t>SCA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49986-2020</t>
        </is>
      </c>
      <c r="B3832" s="1" t="n">
        <v>44104</v>
      </c>
      <c r="C3832" s="1" t="n">
        <v>45357</v>
      </c>
      <c r="D3832" t="inlineStr">
        <is>
          <t>VÄSTERBOTTENS LÄN</t>
        </is>
      </c>
      <c r="E3832" t="inlineStr">
        <is>
          <t>SKELLEFTEÅ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50351-2020</t>
        </is>
      </c>
      <c r="B3833" s="1" t="n">
        <v>44104</v>
      </c>
      <c r="C3833" s="1" t="n">
        <v>45357</v>
      </c>
      <c r="D3833" t="inlineStr">
        <is>
          <t>VÄSTERBOTTENS LÄN</t>
        </is>
      </c>
      <c r="E3833" t="inlineStr">
        <is>
          <t>MALÅ</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49236-2020</t>
        </is>
      </c>
      <c r="B3834" s="1" t="n">
        <v>44105</v>
      </c>
      <c r="C3834" s="1" t="n">
        <v>45357</v>
      </c>
      <c r="D3834" t="inlineStr">
        <is>
          <t>VÄSTERBOTTENS LÄN</t>
        </is>
      </c>
      <c r="E3834" t="inlineStr">
        <is>
          <t>SKELLEFTEÅ</t>
        </is>
      </c>
      <c r="F3834" t="inlineStr">
        <is>
          <t>Holmen skog AB</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49183-2020</t>
        </is>
      </c>
      <c r="B3835" s="1" t="n">
        <v>44105</v>
      </c>
      <c r="C3835" s="1" t="n">
        <v>45357</v>
      </c>
      <c r="D3835" t="inlineStr">
        <is>
          <t>VÄSTERBOTTENS LÄN</t>
        </is>
      </c>
      <c r="E3835" t="inlineStr">
        <is>
          <t>SKELLEFTEÅ</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49341-2020</t>
        </is>
      </c>
      <c r="B3836" s="1" t="n">
        <v>44105</v>
      </c>
      <c r="C3836" s="1" t="n">
        <v>45357</v>
      </c>
      <c r="D3836" t="inlineStr">
        <is>
          <t>VÄSTERBOTTENS LÄN</t>
        </is>
      </c>
      <c r="E3836" t="inlineStr">
        <is>
          <t>VINDELN</t>
        </is>
      </c>
      <c r="F3836" t="inlineStr">
        <is>
          <t>Holmen skog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49356-2020</t>
        </is>
      </c>
      <c r="B3837" s="1" t="n">
        <v>44105</v>
      </c>
      <c r="C3837" s="1" t="n">
        <v>45357</v>
      </c>
      <c r="D3837" t="inlineStr">
        <is>
          <t>VÄSTERBOTTENS LÄN</t>
        </is>
      </c>
      <c r="E3837" t="inlineStr">
        <is>
          <t>UMEÅ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49378-2020</t>
        </is>
      </c>
      <c r="B3838" s="1" t="n">
        <v>44105</v>
      </c>
      <c r="C3838" s="1" t="n">
        <v>45357</v>
      </c>
      <c r="D3838" t="inlineStr">
        <is>
          <t>VÄSTERBOTTENS LÄN</t>
        </is>
      </c>
      <c r="E3838" t="inlineStr">
        <is>
          <t>LYCKSELE</t>
        </is>
      </c>
      <c r="F3838" t="inlineStr">
        <is>
          <t>Sveaskog</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50744-2020</t>
        </is>
      </c>
      <c r="B3839" s="1" t="n">
        <v>44105</v>
      </c>
      <c r="C3839" s="1" t="n">
        <v>45357</v>
      </c>
      <c r="D3839" t="inlineStr">
        <is>
          <t>VÄSTERBOTTENS LÄN</t>
        </is>
      </c>
      <c r="E3839" t="inlineStr">
        <is>
          <t>UMEÅ</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52165-2020</t>
        </is>
      </c>
      <c r="B3840" s="1" t="n">
        <v>44105</v>
      </c>
      <c r="C3840" s="1" t="n">
        <v>45357</v>
      </c>
      <c r="D3840" t="inlineStr">
        <is>
          <t>VÄSTERBOTTENS LÄN</t>
        </is>
      </c>
      <c r="E3840" t="inlineStr">
        <is>
          <t>VILHELMINA</t>
        </is>
      </c>
      <c r="G3840" t="n">
        <v>16.1</v>
      </c>
      <c r="H3840" t="n">
        <v>0</v>
      </c>
      <c r="I3840" t="n">
        <v>0</v>
      </c>
      <c r="J3840" t="n">
        <v>0</v>
      </c>
      <c r="K3840" t="n">
        <v>0</v>
      </c>
      <c r="L3840" t="n">
        <v>0</v>
      </c>
      <c r="M3840" t="n">
        <v>0</v>
      </c>
      <c r="N3840" t="n">
        <v>0</v>
      </c>
      <c r="O3840" t="n">
        <v>0</v>
      </c>
      <c r="P3840" t="n">
        <v>0</v>
      </c>
      <c r="Q3840" t="n">
        <v>0</v>
      </c>
      <c r="R3840" s="2" t="inlineStr"/>
    </row>
    <row r="3841" ht="15" customHeight="1">
      <c r="A3841" t="inlineStr">
        <is>
          <t>A 52174-2020</t>
        </is>
      </c>
      <c r="B3841" s="1" t="n">
        <v>44105</v>
      </c>
      <c r="C3841" s="1" t="n">
        <v>45357</v>
      </c>
      <c r="D3841" t="inlineStr">
        <is>
          <t>VÄSTERBOTTENS LÄN</t>
        </is>
      </c>
      <c r="E3841" t="inlineStr">
        <is>
          <t>VILHELMINA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49482-2020</t>
        </is>
      </c>
      <c r="B3842" s="1" t="n">
        <v>44105</v>
      </c>
      <c r="C3842" s="1" t="n">
        <v>45357</v>
      </c>
      <c r="D3842" t="inlineStr">
        <is>
          <t>VÄSTERBOTTENS LÄN</t>
        </is>
      </c>
      <c r="E3842" t="inlineStr">
        <is>
          <t>LYCKSELE</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50723-2020</t>
        </is>
      </c>
      <c r="B3843" s="1" t="n">
        <v>44105</v>
      </c>
      <c r="C3843" s="1" t="n">
        <v>45357</v>
      </c>
      <c r="D3843" t="inlineStr">
        <is>
          <t>VÄSTERBOTTENS LÄN</t>
        </is>
      </c>
      <c r="E3843" t="inlineStr">
        <is>
          <t>UMEÅ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49716-2020</t>
        </is>
      </c>
      <c r="B3844" s="1" t="n">
        <v>44106</v>
      </c>
      <c r="C3844" s="1" t="n">
        <v>45357</v>
      </c>
      <c r="D3844" t="inlineStr">
        <is>
          <t>VÄSTERBOTTENS LÄN</t>
        </is>
      </c>
      <c r="E3844" t="inlineStr">
        <is>
          <t>VINDELN</t>
        </is>
      </c>
      <c r="F3844" t="inlineStr">
        <is>
          <t>Holmen skog AB</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49689-2020</t>
        </is>
      </c>
      <c r="B3845" s="1" t="n">
        <v>44106</v>
      </c>
      <c r="C3845" s="1" t="n">
        <v>45357</v>
      </c>
      <c r="D3845" t="inlineStr">
        <is>
          <t>VÄSTERBOTTENS LÄN</t>
        </is>
      </c>
      <c r="E3845" t="inlineStr">
        <is>
          <t>VINDELN</t>
        </is>
      </c>
      <c r="F3845" t="inlineStr">
        <is>
          <t>Holmen skog AB</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49802-2020</t>
        </is>
      </c>
      <c r="B3846" s="1" t="n">
        <v>44106</v>
      </c>
      <c r="C3846" s="1" t="n">
        <v>45357</v>
      </c>
      <c r="D3846" t="inlineStr">
        <is>
          <t>VÄSTERBOTTENS LÄN</t>
        </is>
      </c>
      <c r="E3846" t="inlineStr">
        <is>
          <t>ROBERTSFORS</t>
        </is>
      </c>
      <c r="F3846" t="inlineStr">
        <is>
          <t>Holmen skog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49836-2020</t>
        </is>
      </c>
      <c r="B3847" s="1" t="n">
        <v>44106</v>
      </c>
      <c r="C3847" s="1" t="n">
        <v>45357</v>
      </c>
      <c r="D3847" t="inlineStr">
        <is>
          <t>VÄSTERBOTTENS LÄN</t>
        </is>
      </c>
      <c r="E3847" t="inlineStr">
        <is>
          <t>ÅSELE</t>
        </is>
      </c>
      <c r="F3847" t="inlineStr">
        <is>
          <t>Kommuner</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51412-2020</t>
        </is>
      </c>
      <c r="B3848" s="1" t="n">
        <v>44106</v>
      </c>
      <c r="C3848" s="1" t="n">
        <v>45357</v>
      </c>
      <c r="D3848" t="inlineStr">
        <is>
          <t>VÄSTERBOTTENS LÄN</t>
        </is>
      </c>
      <c r="E3848" t="inlineStr">
        <is>
          <t>UMEÅ</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51472-2020</t>
        </is>
      </c>
      <c r="B3849" s="1" t="n">
        <v>44106</v>
      </c>
      <c r="C3849" s="1" t="n">
        <v>45357</v>
      </c>
      <c r="D3849" t="inlineStr">
        <is>
          <t>VÄSTERBOTTENS LÄN</t>
        </is>
      </c>
      <c r="E3849" t="inlineStr">
        <is>
          <t>VÄNNÄS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49841-2020</t>
        </is>
      </c>
      <c r="B3850" s="1" t="n">
        <v>44106</v>
      </c>
      <c r="C3850" s="1" t="n">
        <v>45357</v>
      </c>
      <c r="D3850" t="inlineStr">
        <is>
          <t>VÄSTERBOTTENS LÄN</t>
        </is>
      </c>
      <c r="E3850" t="inlineStr">
        <is>
          <t>ÅSELE</t>
        </is>
      </c>
      <c r="F3850" t="inlineStr">
        <is>
          <t>SCA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49840-2020</t>
        </is>
      </c>
      <c r="B3851" s="1" t="n">
        <v>44106</v>
      </c>
      <c r="C3851" s="1" t="n">
        <v>45357</v>
      </c>
      <c r="D3851" t="inlineStr">
        <is>
          <t>VÄSTERBOTTENS LÄN</t>
        </is>
      </c>
      <c r="E3851" t="inlineStr">
        <is>
          <t>ÅSELE</t>
        </is>
      </c>
      <c r="F3851" t="inlineStr">
        <is>
          <t>SCA</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49880-2020</t>
        </is>
      </c>
      <c r="B3852" s="1" t="n">
        <v>44108</v>
      </c>
      <c r="C3852" s="1" t="n">
        <v>45357</v>
      </c>
      <c r="D3852" t="inlineStr">
        <is>
          <t>VÄSTERBOTTENS LÄN</t>
        </is>
      </c>
      <c r="E3852" t="inlineStr">
        <is>
          <t>MALÅ</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50005-2020</t>
        </is>
      </c>
      <c r="B3853" s="1" t="n">
        <v>44109</v>
      </c>
      <c r="C3853" s="1" t="n">
        <v>45357</v>
      </c>
      <c r="D3853" t="inlineStr">
        <is>
          <t>VÄSTERBOTTENS LÄN</t>
        </is>
      </c>
      <c r="E3853" t="inlineStr">
        <is>
          <t>STORUMAN</t>
        </is>
      </c>
      <c r="F3853" t="inlineStr">
        <is>
          <t>Sveaskog</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50139-2020</t>
        </is>
      </c>
      <c r="B3854" s="1" t="n">
        <v>44109</v>
      </c>
      <c r="C3854" s="1" t="n">
        <v>45357</v>
      </c>
      <c r="D3854" t="inlineStr">
        <is>
          <t>VÄSTERBOTTENS LÄN</t>
        </is>
      </c>
      <c r="E3854" t="inlineStr">
        <is>
          <t>VILHELMINA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50218-2020</t>
        </is>
      </c>
      <c r="B3855" s="1" t="n">
        <v>44109</v>
      </c>
      <c r="C3855" s="1" t="n">
        <v>45357</v>
      </c>
      <c r="D3855" t="inlineStr">
        <is>
          <t>VÄSTERBOTTENS LÄN</t>
        </is>
      </c>
      <c r="E3855" t="inlineStr">
        <is>
          <t>LYCKSELE</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50012-2020</t>
        </is>
      </c>
      <c r="B3856" s="1" t="n">
        <v>44109</v>
      </c>
      <c r="C3856" s="1" t="n">
        <v>45357</v>
      </c>
      <c r="D3856" t="inlineStr">
        <is>
          <t>VÄSTERBOTTENS LÄN</t>
        </is>
      </c>
      <c r="E3856" t="inlineStr">
        <is>
          <t>LYCKSELE</t>
        </is>
      </c>
      <c r="F3856" t="inlineStr">
        <is>
          <t>Sveaskog</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50083-2020</t>
        </is>
      </c>
      <c r="B3857" s="1" t="n">
        <v>44109</v>
      </c>
      <c r="C3857" s="1" t="n">
        <v>45357</v>
      </c>
      <c r="D3857" t="inlineStr">
        <is>
          <t>VÄSTERBOTTENS LÄN</t>
        </is>
      </c>
      <c r="E3857" t="inlineStr">
        <is>
          <t>VINDELN</t>
        </is>
      </c>
      <c r="F3857" t="inlineStr">
        <is>
          <t>Sveaskog</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50097-2020</t>
        </is>
      </c>
      <c r="B3858" s="1" t="n">
        <v>44109</v>
      </c>
      <c r="C3858" s="1" t="n">
        <v>45357</v>
      </c>
      <c r="D3858" t="inlineStr">
        <is>
          <t>VÄSTERBOTTENS LÄN</t>
        </is>
      </c>
      <c r="E3858" t="inlineStr">
        <is>
          <t>UMEÅ</t>
        </is>
      </c>
      <c r="F3858" t="inlineStr">
        <is>
          <t>Holmen skog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50217-2020</t>
        </is>
      </c>
      <c r="B3859" s="1" t="n">
        <v>44109</v>
      </c>
      <c r="C3859" s="1" t="n">
        <v>45357</v>
      </c>
      <c r="D3859" t="inlineStr">
        <is>
          <t>VÄSTERBOTTENS LÄN</t>
        </is>
      </c>
      <c r="E3859" t="inlineStr">
        <is>
          <t>LYCKSELE</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50086-2020</t>
        </is>
      </c>
      <c r="B3860" s="1" t="n">
        <v>44109</v>
      </c>
      <c r="C3860" s="1" t="n">
        <v>45357</v>
      </c>
      <c r="D3860" t="inlineStr">
        <is>
          <t>VÄSTERBOTTENS LÄN</t>
        </is>
      </c>
      <c r="E3860" t="inlineStr">
        <is>
          <t>VINDELN</t>
        </is>
      </c>
      <c r="F3860" t="inlineStr">
        <is>
          <t>Sveaskog</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51654-2020</t>
        </is>
      </c>
      <c r="B3861" s="1" t="n">
        <v>44109</v>
      </c>
      <c r="C3861" s="1" t="n">
        <v>45357</v>
      </c>
      <c r="D3861" t="inlineStr">
        <is>
          <t>VÄSTERBOTTENS LÄN</t>
        </is>
      </c>
      <c r="E3861" t="inlineStr">
        <is>
          <t>SKELLEFTEÅ</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50275-2020</t>
        </is>
      </c>
      <c r="B3862" s="1" t="n">
        <v>44109</v>
      </c>
      <c r="C3862" s="1" t="n">
        <v>45357</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51890-2020</t>
        </is>
      </c>
      <c r="B3863" s="1" t="n">
        <v>44109</v>
      </c>
      <c r="C3863" s="1" t="n">
        <v>45357</v>
      </c>
      <c r="D3863" t="inlineStr">
        <is>
          <t>VÄSTERBOTTENS LÄN</t>
        </is>
      </c>
      <c r="E3863" t="inlineStr">
        <is>
          <t>NORDMALING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49952-2020</t>
        </is>
      </c>
      <c r="B3864" s="1" t="n">
        <v>44109</v>
      </c>
      <c r="C3864" s="1" t="n">
        <v>45357</v>
      </c>
      <c r="D3864" t="inlineStr">
        <is>
          <t>VÄSTERBOTTENS LÄN</t>
        </is>
      </c>
      <c r="E3864" t="inlineStr">
        <is>
          <t>SKELLEFTEÅ</t>
        </is>
      </c>
      <c r="F3864" t="inlineStr">
        <is>
          <t>Holmen skog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49981-2020</t>
        </is>
      </c>
      <c r="B3865" s="1" t="n">
        <v>44109</v>
      </c>
      <c r="C3865" s="1" t="n">
        <v>45357</v>
      </c>
      <c r="D3865" t="inlineStr">
        <is>
          <t>VÄSTERBOTTENS LÄN</t>
        </is>
      </c>
      <c r="E3865" t="inlineStr">
        <is>
          <t>STORUMAN</t>
        </is>
      </c>
      <c r="F3865" t="inlineStr">
        <is>
          <t>Sveaskog</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49948-2020</t>
        </is>
      </c>
      <c r="B3866" s="1" t="n">
        <v>44109</v>
      </c>
      <c r="C3866" s="1" t="n">
        <v>45357</v>
      </c>
      <c r="D3866" t="inlineStr">
        <is>
          <t>VÄSTERBOTTENS LÄN</t>
        </is>
      </c>
      <c r="E3866" t="inlineStr">
        <is>
          <t>STORUMAN</t>
        </is>
      </c>
      <c r="F3866" t="inlineStr">
        <is>
          <t>Sveaskog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49974-2020</t>
        </is>
      </c>
      <c r="B3867" s="1" t="n">
        <v>44109</v>
      </c>
      <c r="C3867" s="1" t="n">
        <v>45357</v>
      </c>
      <c r="D3867" t="inlineStr">
        <is>
          <t>VÄSTERBOTTENS LÄN</t>
        </is>
      </c>
      <c r="E3867" t="inlineStr">
        <is>
          <t>SKELLEFTEÅ</t>
        </is>
      </c>
      <c r="F3867" t="inlineStr">
        <is>
          <t>Holmen skog AB</t>
        </is>
      </c>
      <c r="G3867" t="n">
        <v>15.8</v>
      </c>
      <c r="H3867" t="n">
        <v>0</v>
      </c>
      <c r="I3867" t="n">
        <v>0</v>
      </c>
      <c r="J3867" t="n">
        <v>0</v>
      </c>
      <c r="K3867" t="n">
        <v>0</v>
      </c>
      <c r="L3867" t="n">
        <v>0</v>
      </c>
      <c r="M3867" t="n">
        <v>0</v>
      </c>
      <c r="N3867" t="n">
        <v>0</v>
      </c>
      <c r="O3867" t="n">
        <v>0</v>
      </c>
      <c r="P3867" t="n">
        <v>0</v>
      </c>
      <c r="Q3867" t="n">
        <v>0</v>
      </c>
      <c r="R3867" s="2" t="inlineStr"/>
    </row>
    <row r="3868" ht="15" customHeight="1">
      <c r="A3868" t="inlineStr">
        <is>
          <t>A 50014-2020</t>
        </is>
      </c>
      <c r="B3868" s="1" t="n">
        <v>44109</v>
      </c>
      <c r="C3868" s="1" t="n">
        <v>45357</v>
      </c>
      <c r="D3868" t="inlineStr">
        <is>
          <t>VÄSTERBOTTENS LÄN</t>
        </is>
      </c>
      <c r="E3868" t="inlineStr">
        <is>
          <t>STORUMAN</t>
        </is>
      </c>
      <c r="F3868" t="inlineStr">
        <is>
          <t>Sveaskog</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50303-2020</t>
        </is>
      </c>
      <c r="B3869" s="1" t="n">
        <v>44110</v>
      </c>
      <c r="C3869" s="1" t="n">
        <v>45357</v>
      </c>
      <c r="D3869" t="inlineStr">
        <is>
          <t>VÄSTERBOTTENS LÄN</t>
        </is>
      </c>
      <c r="E3869" t="inlineStr">
        <is>
          <t>ROBERTSFORS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50323-2020</t>
        </is>
      </c>
      <c r="B3870" s="1" t="n">
        <v>44110</v>
      </c>
      <c r="C3870" s="1" t="n">
        <v>45357</v>
      </c>
      <c r="D3870" t="inlineStr">
        <is>
          <t>VÄSTERBOTTENS LÄN</t>
        </is>
      </c>
      <c r="E3870" t="inlineStr">
        <is>
          <t>UMEÅ</t>
        </is>
      </c>
      <c r="F3870" t="inlineStr">
        <is>
          <t>Holmen skog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52119-2020</t>
        </is>
      </c>
      <c r="B3871" s="1" t="n">
        <v>44110</v>
      </c>
      <c r="C3871" s="1" t="n">
        <v>45357</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50431-2020</t>
        </is>
      </c>
      <c r="B3872" s="1" t="n">
        <v>44110</v>
      </c>
      <c r="C3872" s="1" t="n">
        <v>45357</v>
      </c>
      <c r="D3872" t="inlineStr">
        <is>
          <t>VÄSTERBOTTENS LÄN</t>
        </is>
      </c>
      <c r="E3872" t="inlineStr">
        <is>
          <t>SKELLEFTEÅ</t>
        </is>
      </c>
      <c r="F3872" t="inlineStr">
        <is>
          <t>Holmen skog AB</t>
        </is>
      </c>
      <c r="G3872" t="n">
        <v>9.4</v>
      </c>
      <c r="H3872" t="n">
        <v>0</v>
      </c>
      <c r="I3872" t="n">
        <v>0</v>
      </c>
      <c r="J3872" t="n">
        <v>0</v>
      </c>
      <c r="K3872" t="n">
        <v>0</v>
      </c>
      <c r="L3872" t="n">
        <v>0</v>
      </c>
      <c r="M3872" t="n">
        <v>0</v>
      </c>
      <c r="N3872" t="n">
        <v>0</v>
      </c>
      <c r="O3872" t="n">
        <v>0</v>
      </c>
      <c r="P3872" t="n">
        <v>0</v>
      </c>
      <c r="Q3872" t="n">
        <v>0</v>
      </c>
      <c r="R3872" s="2" t="inlineStr"/>
    </row>
    <row r="3873" ht="15" customHeight="1">
      <c r="A3873" t="inlineStr">
        <is>
          <t>A 50701-2020</t>
        </is>
      </c>
      <c r="B3873" s="1" t="n">
        <v>44111</v>
      </c>
      <c r="C3873" s="1" t="n">
        <v>45357</v>
      </c>
      <c r="D3873" t="inlineStr">
        <is>
          <t>VÄSTERBOTTENS LÄN</t>
        </is>
      </c>
      <c r="E3873" t="inlineStr">
        <is>
          <t>SKELLEFTEÅ</t>
        </is>
      </c>
      <c r="F3873" t="inlineStr">
        <is>
          <t>Holmen skog AB</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50986-2020</t>
        </is>
      </c>
      <c r="B3874" s="1" t="n">
        <v>44111</v>
      </c>
      <c r="C3874" s="1" t="n">
        <v>45357</v>
      </c>
      <c r="D3874" t="inlineStr">
        <is>
          <t>VÄSTERBOTTENS LÄN</t>
        </is>
      </c>
      <c r="E3874" t="inlineStr">
        <is>
          <t>NORSJÖ</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51001-2020</t>
        </is>
      </c>
      <c r="B3875" s="1" t="n">
        <v>44111</v>
      </c>
      <c r="C3875" s="1" t="n">
        <v>45357</v>
      </c>
      <c r="D3875" t="inlineStr">
        <is>
          <t>VÄSTERBOTTENS LÄN</t>
        </is>
      </c>
      <c r="E3875" t="inlineStr">
        <is>
          <t>STORUMAN</t>
        </is>
      </c>
      <c r="F3875" t="inlineStr">
        <is>
          <t>SCA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50998-2020</t>
        </is>
      </c>
      <c r="B3876" s="1" t="n">
        <v>44111</v>
      </c>
      <c r="C3876" s="1" t="n">
        <v>45357</v>
      </c>
      <c r="D3876" t="inlineStr">
        <is>
          <t>VÄSTERBOTTENS LÄN</t>
        </is>
      </c>
      <c r="E3876" t="inlineStr">
        <is>
          <t>VINDELN</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51283-2020</t>
        </is>
      </c>
      <c r="B3877" s="1" t="n">
        <v>44112</v>
      </c>
      <c r="C3877" s="1" t="n">
        <v>45357</v>
      </c>
      <c r="D3877" t="inlineStr">
        <is>
          <t>VÄSTERBOTTENS LÄN</t>
        </is>
      </c>
      <c r="E3877" t="inlineStr">
        <is>
          <t>SKELLEFTEÅ</t>
        </is>
      </c>
      <c r="F3877" t="inlineStr">
        <is>
          <t>Sveaskog</t>
        </is>
      </c>
      <c r="G3877" t="n">
        <v>14.1</v>
      </c>
      <c r="H3877" t="n">
        <v>0</v>
      </c>
      <c r="I3877" t="n">
        <v>0</v>
      </c>
      <c r="J3877" t="n">
        <v>0</v>
      </c>
      <c r="K3877" t="n">
        <v>0</v>
      </c>
      <c r="L3877" t="n">
        <v>0</v>
      </c>
      <c r="M3877" t="n">
        <v>0</v>
      </c>
      <c r="N3877" t="n">
        <v>0</v>
      </c>
      <c r="O3877" t="n">
        <v>0</v>
      </c>
      <c r="P3877" t="n">
        <v>0</v>
      </c>
      <c r="Q3877" t="n">
        <v>0</v>
      </c>
      <c r="R3877" s="2" t="inlineStr"/>
    </row>
    <row r="3878" ht="15" customHeight="1">
      <c r="A3878" t="inlineStr">
        <is>
          <t>A 51371-2020</t>
        </is>
      </c>
      <c r="B3878" s="1" t="n">
        <v>44112</v>
      </c>
      <c r="C3878" s="1" t="n">
        <v>45357</v>
      </c>
      <c r="D3878" t="inlineStr">
        <is>
          <t>VÄSTERBOTTENS LÄN</t>
        </is>
      </c>
      <c r="E3878" t="inlineStr">
        <is>
          <t>ROBERTSFORS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51547-2020</t>
        </is>
      </c>
      <c r="B3879" s="1" t="n">
        <v>44113</v>
      </c>
      <c r="C3879" s="1" t="n">
        <v>45357</v>
      </c>
      <c r="D3879" t="inlineStr">
        <is>
          <t>VÄSTERBOTTENS LÄN</t>
        </is>
      </c>
      <c r="E3879" t="inlineStr">
        <is>
          <t>SKELLEFTEÅ</t>
        </is>
      </c>
      <c r="F3879" t="inlineStr">
        <is>
          <t>Holmen skog AB</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51536-2020</t>
        </is>
      </c>
      <c r="B3880" s="1" t="n">
        <v>44113</v>
      </c>
      <c r="C3880" s="1" t="n">
        <v>45357</v>
      </c>
      <c r="D3880" t="inlineStr">
        <is>
          <t>VÄSTERBOTTENS LÄN</t>
        </is>
      </c>
      <c r="E3880" t="inlineStr">
        <is>
          <t>SKELLEFTEÅ</t>
        </is>
      </c>
      <c r="F3880" t="inlineStr">
        <is>
          <t>Holmen skog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51565-2020</t>
        </is>
      </c>
      <c r="B3881" s="1" t="n">
        <v>44113</v>
      </c>
      <c r="C3881" s="1" t="n">
        <v>45357</v>
      </c>
      <c r="D3881" t="inlineStr">
        <is>
          <t>VÄSTERBOTTENS LÄN</t>
        </is>
      </c>
      <c r="E3881" t="inlineStr">
        <is>
          <t>SKELLEFTEÅ</t>
        </is>
      </c>
      <c r="F3881" t="inlineStr">
        <is>
          <t>Holmen skog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51530-2020</t>
        </is>
      </c>
      <c r="B3882" s="1" t="n">
        <v>44113</v>
      </c>
      <c r="C3882" s="1" t="n">
        <v>45357</v>
      </c>
      <c r="D3882" t="inlineStr">
        <is>
          <t>VÄSTERBOTTENS LÄN</t>
        </is>
      </c>
      <c r="E3882" t="inlineStr">
        <is>
          <t>SKELLEFTEÅ</t>
        </is>
      </c>
      <c r="F3882" t="inlineStr">
        <is>
          <t>Holmen skog AB</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52451-2020</t>
        </is>
      </c>
      <c r="B3883" s="1" t="n">
        <v>44113</v>
      </c>
      <c r="C3883" s="1" t="n">
        <v>45357</v>
      </c>
      <c r="D3883" t="inlineStr">
        <is>
          <t>VÄSTERBOTTENS LÄN</t>
        </is>
      </c>
      <c r="E3883" t="inlineStr">
        <is>
          <t>UMEÅ</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52500-2020</t>
        </is>
      </c>
      <c r="B3884" s="1" t="n">
        <v>44113</v>
      </c>
      <c r="C3884" s="1" t="n">
        <v>45357</v>
      </c>
      <c r="D3884" t="inlineStr">
        <is>
          <t>VÄSTERBOTTENS LÄN</t>
        </is>
      </c>
      <c r="E3884" t="inlineStr">
        <is>
          <t>SORSELE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51762-2020</t>
        </is>
      </c>
      <c r="B3885" s="1" t="n">
        <v>44115</v>
      </c>
      <c r="C3885" s="1" t="n">
        <v>45357</v>
      </c>
      <c r="D3885" t="inlineStr">
        <is>
          <t>VÄSTERBOTTENS LÄN</t>
        </is>
      </c>
      <c r="E3885" t="inlineStr">
        <is>
          <t>ÅSELE</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51783-2020</t>
        </is>
      </c>
      <c r="B3886" s="1" t="n">
        <v>44116</v>
      </c>
      <c r="C3886" s="1" t="n">
        <v>45357</v>
      </c>
      <c r="D3886" t="inlineStr">
        <is>
          <t>VÄSTERBOTTENS LÄN</t>
        </is>
      </c>
      <c r="E3886" t="inlineStr">
        <is>
          <t>ROBERTSFORS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51907-2020</t>
        </is>
      </c>
      <c r="B3887" s="1" t="n">
        <v>44116</v>
      </c>
      <c r="C3887" s="1" t="n">
        <v>45357</v>
      </c>
      <c r="D3887" t="inlineStr">
        <is>
          <t>VÄSTERBOTTENS LÄN</t>
        </is>
      </c>
      <c r="E3887" t="inlineStr">
        <is>
          <t>SKELLEFTEÅ</t>
        </is>
      </c>
      <c r="F3887" t="inlineStr">
        <is>
          <t>Kommuner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51958-2020</t>
        </is>
      </c>
      <c r="B3888" s="1" t="n">
        <v>44116</v>
      </c>
      <c r="C3888" s="1" t="n">
        <v>45357</v>
      </c>
      <c r="D3888" t="inlineStr">
        <is>
          <t>VÄSTERBOTTENS LÄN</t>
        </is>
      </c>
      <c r="E3888" t="inlineStr">
        <is>
          <t>ÅSELE</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52579-2020</t>
        </is>
      </c>
      <c r="B3889" s="1" t="n">
        <v>44116</v>
      </c>
      <c r="C3889" s="1" t="n">
        <v>45357</v>
      </c>
      <c r="D3889" t="inlineStr">
        <is>
          <t>VÄSTERBOTTENS LÄN</t>
        </is>
      </c>
      <c r="E3889" t="inlineStr">
        <is>
          <t>ROBERTSFORS</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52171-2020</t>
        </is>
      </c>
      <c r="B3890" s="1" t="n">
        <v>44117</v>
      </c>
      <c r="C3890" s="1" t="n">
        <v>45357</v>
      </c>
      <c r="D3890" t="inlineStr">
        <is>
          <t>VÄSTERBOTTENS LÄN</t>
        </is>
      </c>
      <c r="E3890" t="inlineStr">
        <is>
          <t>ÅSELE</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52340-2020</t>
        </is>
      </c>
      <c r="B3891" s="1" t="n">
        <v>44117</v>
      </c>
      <c r="C3891" s="1" t="n">
        <v>45357</v>
      </c>
      <c r="D3891" t="inlineStr">
        <is>
          <t>VÄSTERBOTTENS LÄN</t>
        </is>
      </c>
      <c r="E3891" t="inlineStr">
        <is>
          <t>NORSJÖ</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52292-2020</t>
        </is>
      </c>
      <c r="B3892" s="1" t="n">
        <v>44117</v>
      </c>
      <c r="C3892" s="1" t="n">
        <v>45357</v>
      </c>
      <c r="D3892" t="inlineStr">
        <is>
          <t>VÄSTERBOTTENS LÄN</t>
        </is>
      </c>
      <c r="E3892" t="inlineStr">
        <is>
          <t>SKELLEFTEÅ</t>
        </is>
      </c>
      <c r="F3892" t="inlineStr">
        <is>
          <t>Holmen skog AB</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52509-2020</t>
        </is>
      </c>
      <c r="B3893" s="1" t="n">
        <v>44118</v>
      </c>
      <c r="C3893" s="1" t="n">
        <v>45357</v>
      </c>
      <c r="D3893" t="inlineStr">
        <is>
          <t>VÄSTERBOTTENS LÄN</t>
        </is>
      </c>
      <c r="E3893" t="inlineStr">
        <is>
          <t>VINDELN</t>
        </is>
      </c>
      <c r="F3893" t="inlineStr">
        <is>
          <t>Sveaskog</t>
        </is>
      </c>
      <c r="G3893" t="n">
        <v>12.6</v>
      </c>
      <c r="H3893" t="n">
        <v>0</v>
      </c>
      <c r="I3893" t="n">
        <v>0</v>
      </c>
      <c r="J3893" t="n">
        <v>0</v>
      </c>
      <c r="K3893" t="n">
        <v>0</v>
      </c>
      <c r="L3893" t="n">
        <v>0</v>
      </c>
      <c r="M3893" t="n">
        <v>0</v>
      </c>
      <c r="N3893" t="n">
        <v>0</v>
      </c>
      <c r="O3893" t="n">
        <v>0</v>
      </c>
      <c r="P3893" t="n">
        <v>0</v>
      </c>
      <c r="Q3893" t="n">
        <v>0</v>
      </c>
      <c r="R3893" s="2" t="inlineStr"/>
    </row>
    <row r="3894" ht="15" customHeight="1">
      <c r="A3894" t="inlineStr">
        <is>
          <t>A 52575-2020</t>
        </is>
      </c>
      <c r="B3894" s="1" t="n">
        <v>44118</v>
      </c>
      <c r="C3894" s="1" t="n">
        <v>45357</v>
      </c>
      <c r="D3894" t="inlineStr">
        <is>
          <t>VÄSTERBOTTENS LÄN</t>
        </is>
      </c>
      <c r="E3894" t="inlineStr">
        <is>
          <t>DOROTEA</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52517-2020</t>
        </is>
      </c>
      <c r="B3895" s="1" t="n">
        <v>44118</v>
      </c>
      <c r="C3895" s="1" t="n">
        <v>45357</v>
      </c>
      <c r="D3895" t="inlineStr">
        <is>
          <t>VÄSTERBOTTENS LÄN</t>
        </is>
      </c>
      <c r="E3895" t="inlineStr">
        <is>
          <t>VINDELN</t>
        </is>
      </c>
      <c r="F3895" t="inlineStr">
        <is>
          <t>Sveaskog</t>
        </is>
      </c>
      <c r="G3895" t="n">
        <v>10.6</v>
      </c>
      <c r="H3895" t="n">
        <v>0</v>
      </c>
      <c r="I3895" t="n">
        <v>0</v>
      </c>
      <c r="J3895" t="n">
        <v>0</v>
      </c>
      <c r="K3895" t="n">
        <v>0</v>
      </c>
      <c r="L3895" t="n">
        <v>0</v>
      </c>
      <c r="M3895" t="n">
        <v>0</v>
      </c>
      <c r="N3895" t="n">
        <v>0</v>
      </c>
      <c r="O3895" t="n">
        <v>0</v>
      </c>
      <c r="P3895" t="n">
        <v>0</v>
      </c>
      <c r="Q3895" t="n">
        <v>0</v>
      </c>
      <c r="R3895" s="2" t="inlineStr"/>
    </row>
    <row r="3896" ht="15" customHeight="1">
      <c r="A3896" t="inlineStr">
        <is>
          <t>A 52525-2020</t>
        </is>
      </c>
      <c r="B3896" s="1" t="n">
        <v>44118</v>
      </c>
      <c r="C3896" s="1" t="n">
        <v>45357</v>
      </c>
      <c r="D3896" t="inlineStr">
        <is>
          <t>VÄSTERBOTTENS LÄN</t>
        </is>
      </c>
      <c r="E3896" t="inlineStr">
        <is>
          <t>NORDMALING</t>
        </is>
      </c>
      <c r="G3896" t="n">
        <v>16.3</v>
      </c>
      <c r="H3896" t="n">
        <v>0</v>
      </c>
      <c r="I3896" t="n">
        <v>0</v>
      </c>
      <c r="J3896" t="n">
        <v>0</v>
      </c>
      <c r="K3896" t="n">
        <v>0</v>
      </c>
      <c r="L3896" t="n">
        <v>0</v>
      </c>
      <c r="M3896" t="n">
        <v>0</v>
      </c>
      <c r="N3896" t="n">
        <v>0</v>
      </c>
      <c r="O3896" t="n">
        <v>0</v>
      </c>
      <c r="P3896" t="n">
        <v>0</v>
      </c>
      <c r="Q3896" t="n">
        <v>0</v>
      </c>
      <c r="R3896" s="2" t="inlineStr"/>
    </row>
    <row r="3897" ht="15" customHeight="1">
      <c r="A3897" t="inlineStr">
        <is>
          <t>A 52669-2020</t>
        </is>
      </c>
      <c r="B3897" s="1" t="n">
        <v>44118</v>
      </c>
      <c r="C3897" s="1" t="n">
        <v>45357</v>
      </c>
      <c r="D3897" t="inlineStr">
        <is>
          <t>VÄSTERBOTTENS LÄN</t>
        </is>
      </c>
      <c r="E3897" t="inlineStr">
        <is>
          <t>VILHELMINA</t>
        </is>
      </c>
      <c r="F3897" t="inlineStr">
        <is>
          <t>Allmännings- och besparingsskogar</t>
        </is>
      </c>
      <c r="G3897" t="n">
        <v>22.6</v>
      </c>
      <c r="H3897" t="n">
        <v>0</v>
      </c>
      <c r="I3897" t="n">
        <v>0</v>
      </c>
      <c r="J3897" t="n">
        <v>0</v>
      </c>
      <c r="K3897" t="n">
        <v>0</v>
      </c>
      <c r="L3897" t="n">
        <v>0</v>
      </c>
      <c r="M3897" t="n">
        <v>0</v>
      </c>
      <c r="N3897" t="n">
        <v>0</v>
      </c>
      <c r="O3897" t="n">
        <v>0</v>
      </c>
      <c r="P3897" t="n">
        <v>0</v>
      </c>
      <c r="Q3897" t="n">
        <v>0</v>
      </c>
      <c r="R3897" s="2" t="inlineStr"/>
    </row>
    <row r="3898" ht="15" customHeight="1">
      <c r="A3898" t="inlineStr">
        <is>
          <t>A 55069-2020</t>
        </is>
      </c>
      <c r="B3898" s="1" t="n">
        <v>44118</v>
      </c>
      <c r="C3898" s="1" t="n">
        <v>45357</v>
      </c>
      <c r="D3898" t="inlineStr">
        <is>
          <t>VÄSTERBOTTENS LÄN</t>
        </is>
      </c>
      <c r="E3898" t="inlineStr">
        <is>
          <t>VINDELN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52640-2020</t>
        </is>
      </c>
      <c r="B3899" s="1" t="n">
        <v>44118</v>
      </c>
      <c r="C3899" s="1" t="n">
        <v>45357</v>
      </c>
      <c r="D3899" t="inlineStr">
        <is>
          <t>VÄSTERBOTTENS LÄN</t>
        </is>
      </c>
      <c r="E3899" t="inlineStr">
        <is>
          <t>SKELLEFTEÅ</t>
        </is>
      </c>
      <c r="G3899" t="n">
        <v>11.5</v>
      </c>
      <c r="H3899" t="n">
        <v>0</v>
      </c>
      <c r="I3899" t="n">
        <v>0</v>
      </c>
      <c r="J3899" t="n">
        <v>0</v>
      </c>
      <c r="K3899" t="n">
        <v>0</v>
      </c>
      <c r="L3899" t="n">
        <v>0</v>
      </c>
      <c r="M3899" t="n">
        <v>0</v>
      </c>
      <c r="N3899" t="n">
        <v>0</v>
      </c>
      <c r="O3899" t="n">
        <v>0</v>
      </c>
      <c r="P3899" t="n">
        <v>0</v>
      </c>
      <c r="Q3899" t="n">
        <v>0</v>
      </c>
      <c r="R3899" s="2" t="inlineStr"/>
    </row>
    <row r="3900" ht="15" customHeight="1">
      <c r="A3900" t="inlineStr">
        <is>
          <t>A 52714-2020</t>
        </is>
      </c>
      <c r="B3900" s="1" t="n">
        <v>44119</v>
      </c>
      <c r="C3900" s="1" t="n">
        <v>45357</v>
      </c>
      <c r="D3900" t="inlineStr">
        <is>
          <t>VÄSTERBOTTENS LÄN</t>
        </is>
      </c>
      <c r="E3900" t="inlineStr">
        <is>
          <t>SKELLEFTEÅ</t>
        </is>
      </c>
      <c r="F3900" t="inlineStr">
        <is>
          <t>Holmen skog AB</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52833-2020</t>
        </is>
      </c>
      <c r="B3901" s="1" t="n">
        <v>44119</v>
      </c>
      <c r="C3901" s="1" t="n">
        <v>45357</v>
      </c>
      <c r="D3901" t="inlineStr">
        <is>
          <t>VÄSTERBOTTENS LÄN</t>
        </is>
      </c>
      <c r="E3901" t="inlineStr">
        <is>
          <t>ROBERTSFORS</t>
        </is>
      </c>
      <c r="F3901" t="inlineStr">
        <is>
          <t>Holmen skog AB</t>
        </is>
      </c>
      <c r="G3901" t="n">
        <v>11.6</v>
      </c>
      <c r="H3901" t="n">
        <v>0</v>
      </c>
      <c r="I3901" t="n">
        <v>0</v>
      </c>
      <c r="J3901" t="n">
        <v>0</v>
      </c>
      <c r="K3901" t="n">
        <v>0</v>
      </c>
      <c r="L3901" t="n">
        <v>0</v>
      </c>
      <c r="M3901" t="n">
        <v>0</v>
      </c>
      <c r="N3901" t="n">
        <v>0</v>
      </c>
      <c r="O3901" t="n">
        <v>0</v>
      </c>
      <c r="P3901" t="n">
        <v>0</v>
      </c>
      <c r="Q3901" t="n">
        <v>0</v>
      </c>
      <c r="R3901" s="2" t="inlineStr"/>
    </row>
    <row r="3902" ht="15" customHeight="1">
      <c r="A3902" t="inlineStr">
        <is>
          <t>A 52864-2020</t>
        </is>
      </c>
      <c r="B3902" s="1" t="n">
        <v>44119</v>
      </c>
      <c r="C3902" s="1" t="n">
        <v>45357</v>
      </c>
      <c r="D3902" t="inlineStr">
        <is>
          <t>VÄSTERBOTTENS LÄN</t>
        </is>
      </c>
      <c r="E3902" t="inlineStr">
        <is>
          <t>MALÅ</t>
        </is>
      </c>
      <c r="F3902" t="inlineStr">
        <is>
          <t>Sveaskog</t>
        </is>
      </c>
      <c r="G3902" t="n">
        <v>26.4</v>
      </c>
      <c r="H3902" t="n">
        <v>0</v>
      </c>
      <c r="I3902" t="n">
        <v>0</v>
      </c>
      <c r="J3902" t="n">
        <v>0</v>
      </c>
      <c r="K3902" t="n">
        <v>0</v>
      </c>
      <c r="L3902" t="n">
        <v>0</v>
      </c>
      <c r="M3902" t="n">
        <v>0</v>
      </c>
      <c r="N3902" t="n">
        <v>0</v>
      </c>
      <c r="O3902" t="n">
        <v>0</v>
      </c>
      <c r="P3902" t="n">
        <v>0</v>
      </c>
      <c r="Q3902" t="n">
        <v>0</v>
      </c>
      <c r="R3902" s="2" t="inlineStr"/>
    </row>
    <row r="3903" ht="15" customHeight="1">
      <c r="A3903" t="inlineStr">
        <is>
          <t>A 52939-2020</t>
        </is>
      </c>
      <c r="B3903" s="1" t="n">
        <v>44119</v>
      </c>
      <c r="C3903" s="1" t="n">
        <v>45357</v>
      </c>
      <c r="D3903" t="inlineStr">
        <is>
          <t>VÄSTERBOTTENS LÄN</t>
        </is>
      </c>
      <c r="E3903" t="inlineStr">
        <is>
          <t>NORSJÖ</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52969-2020</t>
        </is>
      </c>
      <c r="B3904" s="1" t="n">
        <v>44120</v>
      </c>
      <c r="C3904" s="1" t="n">
        <v>45357</v>
      </c>
      <c r="D3904" t="inlineStr">
        <is>
          <t>VÄSTERBOTTENS LÄN</t>
        </is>
      </c>
      <c r="E3904" t="inlineStr">
        <is>
          <t>DOROTEA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53053-2020</t>
        </is>
      </c>
      <c r="B3905" s="1" t="n">
        <v>44120</v>
      </c>
      <c r="C3905" s="1" t="n">
        <v>45357</v>
      </c>
      <c r="D3905" t="inlineStr">
        <is>
          <t>VÄSTERBOTTENS LÄN</t>
        </is>
      </c>
      <c r="E3905" t="inlineStr">
        <is>
          <t>LYCKSELE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53083-2020</t>
        </is>
      </c>
      <c r="B3906" s="1" t="n">
        <v>44120</v>
      </c>
      <c r="C3906" s="1" t="n">
        <v>45357</v>
      </c>
      <c r="D3906" t="inlineStr">
        <is>
          <t>VÄSTERBOTTENS LÄN</t>
        </is>
      </c>
      <c r="E3906" t="inlineStr">
        <is>
          <t>LYCKSELE</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53074-2020</t>
        </is>
      </c>
      <c r="B3907" s="1" t="n">
        <v>44120</v>
      </c>
      <c r="C3907" s="1" t="n">
        <v>45357</v>
      </c>
      <c r="D3907" t="inlineStr">
        <is>
          <t>VÄSTERBOTTENS LÄN</t>
        </is>
      </c>
      <c r="E3907" t="inlineStr">
        <is>
          <t>LYCKSELE</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53114-2020</t>
        </is>
      </c>
      <c r="B3908" s="1" t="n">
        <v>44120</v>
      </c>
      <c r="C3908" s="1" t="n">
        <v>45357</v>
      </c>
      <c r="D3908" t="inlineStr">
        <is>
          <t>VÄSTERBOTTENS LÄN</t>
        </is>
      </c>
      <c r="E3908" t="inlineStr">
        <is>
          <t>SKELLEFTEÅ</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53146-2020</t>
        </is>
      </c>
      <c r="B3909" s="1" t="n">
        <v>44120</v>
      </c>
      <c r="C3909" s="1" t="n">
        <v>45357</v>
      </c>
      <c r="D3909" t="inlineStr">
        <is>
          <t>VÄSTERBOTTENS LÄN</t>
        </is>
      </c>
      <c r="E3909" t="inlineStr">
        <is>
          <t>LYCKSELE</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53180-2020</t>
        </is>
      </c>
      <c r="B3910" s="1" t="n">
        <v>44120</v>
      </c>
      <c r="C3910" s="1" t="n">
        <v>45357</v>
      </c>
      <c r="D3910" t="inlineStr">
        <is>
          <t>VÄSTERBOTTENS LÄN</t>
        </is>
      </c>
      <c r="E3910" t="inlineStr">
        <is>
          <t>LYCKSELE</t>
        </is>
      </c>
      <c r="F3910" t="inlineStr">
        <is>
          <t>SCA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53181-2020</t>
        </is>
      </c>
      <c r="B3911" s="1" t="n">
        <v>44120</v>
      </c>
      <c r="C3911" s="1" t="n">
        <v>45357</v>
      </c>
      <c r="D3911" t="inlineStr">
        <is>
          <t>VÄSTERBOTTENS LÄN</t>
        </is>
      </c>
      <c r="E3911" t="inlineStr">
        <is>
          <t>VINDELN</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53425-2020</t>
        </is>
      </c>
      <c r="B3912" s="1" t="n">
        <v>44122</v>
      </c>
      <c r="C3912" s="1" t="n">
        <v>45357</v>
      </c>
      <c r="D3912" t="inlineStr">
        <is>
          <t>VÄSTERBOTTENS LÄN</t>
        </is>
      </c>
      <c r="E3912" t="inlineStr">
        <is>
          <t>ROBERTSFORS</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53433-2020</t>
        </is>
      </c>
      <c r="B3913" s="1" t="n">
        <v>44122</v>
      </c>
      <c r="C3913" s="1" t="n">
        <v>45357</v>
      </c>
      <c r="D3913" t="inlineStr">
        <is>
          <t>VÄSTERBOTTENS LÄN</t>
        </is>
      </c>
      <c r="E3913" t="inlineStr">
        <is>
          <t>ROBERTSFORS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53294-2020</t>
        </is>
      </c>
      <c r="B3914" s="1" t="n">
        <v>44123</v>
      </c>
      <c r="C3914" s="1" t="n">
        <v>45357</v>
      </c>
      <c r="D3914" t="inlineStr">
        <is>
          <t>VÄSTERBOTTENS LÄN</t>
        </is>
      </c>
      <c r="E3914" t="inlineStr">
        <is>
          <t>UMEÅ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53469-2020</t>
        </is>
      </c>
      <c r="B3915" s="1" t="n">
        <v>44123</v>
      </c>
      <c r="C3915" s="1" t="n">
        <v>45357</v>
      </c>
      <c r="D3915" t="inlineStr">
        <is>
          <t>VÄSTERBOTTENS LÄN</t>
        </is>
      </c>
      <c r="E3915" t="inlineStr">
        <is>
          <t>LYCKSELE</t>
        </is>
      </c>
      <c r="F3915" t="inlineStr">
        <is>
          <t>Holmen skog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53373-2020</t>
        </is>
      </c>
      <c r="B3916" s="1" t="n">
        <v>44123</v>
      </c>
      <c r="C3916" s="1" t="n">
        <v>45357</v>
      </c>
      <c r="D3916" t="inlineStr">
        <is>
          <t>VÄSTERBOTTENS LÄN</t>
        </is>
      </c>
      <c r="E3916" t="inlineStr">
        <is>
          <t>SKELLEFTEÅ</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53965-2020</t>
        </is>
      </c>
      <c r="B3917" s="1" t="n">
        <v>44123</v>
      </c>
      <c r="C3917" s="1" t="n">
        <v>45357</v>
      </c>
      <c r="D3917" t="inlineStr">
        <is>
          <t>VÄSTERBOTTENS LÄN</t>
        </is>
      </c>
      <c r="E3917" t="inlineStr">
        <is>
          <t>VINDELN</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54045-2020</t>
        </is>
      </c>
      <c r="B3918" s="1" t="n">
        <v>44123</v>
      </c>
      <c r="C3918" s="1" t="n">
        <v>45357</v>
      </c>
      <c r="D3918" t="inlineStr">
        <is>
          <t>VÄSTERBOTTENS LÄN</t>
        </is>
      </c>
      <c r="E3918" t="inlineStr">
        <is>
          <t>BJURHOLM</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54708-2020</t>
        </is>
      </c>
      <c r="B3919" s="1" t="n">
        <v>44123</v>
      </c>
      <c r="C3919" s="1" t="n">
        <v>45357</v>
      </c>
      <c r="D3919" t="inlineStr">
        <is>
          <t>VÄSTERBOTTENS LÄN</t>
        </is>
      </c>
      <c r="E3919" t="inlineStr">
        <is>
          <t>VINDELN</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53446-2020</t>
        </is>
      </c>
      <c r="B3920" s="1" t="n">
        <v>44123</v>
      </c>
      <c r="C3920" s="1" t="n">
        <v>45357</v>
      </c>
      <c r="D3920" t="inlineStr">
        <is>
          <t>VÄSTERBOTTENS LÄN</t>
        </is>
      </c>
      <c r="E3920" t="inlineStr">
        <is>
          <t>LYCKSELE</t>
        </is>
      </c>
      <c r="F3920" t="inlineStr">
        <is>
          <t>Holmen skog AB</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54038-2020</t>
        </is>
      </c>
      <c r="B3921" s="1" t="n">
        <v>44123</v>
      </c>
      <c r="C3921" s="1" t="n">
        <v>45357</v>
      </c>
      <c r="D3921" t="inlineStr">
        <is>
          <t>VÄSTERBOTTENS LÄN</t>
        </is>
      </c>
      <c r="E3921" t="inlineStr">
        <is>
          <t>VINDELN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54144-2020</t>
        </is>
      </c>
      <c r="B3922" s="1" t="n">
        <v>44123</v>
      </c>
      <c r="C3922" s="1" t="n">
        <v>45357</v>
      </c>
      <c r="D3922" t="inlineStr">
        <is>
          <t>VÄSTERBOTTENS LÄN</t>
        </is>
      </c>
      <c r="E3922" t="inlineStr">
        <is>
          <t>ROBERTSFORS</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53758-2020</t>
        </is>
      </c>
      <c r="B3923" s="1" t="n">
        <v>44123</v>
      </c>
      <c r="C3923" s="1" t="n">
        <v>45357</v>
      </c>
      <c r="D3923" t="inlineStr">
        <is>
          <t>VÄSTERBOTTENS LÄN</t>
        </is>
      </c>
      <c r="E3923" t="inlineStr">
        <is>
          <t>VÄNNÄS</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53782-2020</t>
        </is>
      </c>
      <c r="B3924" s="1" t="n">
        <v>44123</v>
      </c>
      <c r="C3924" s="1" t="n">
        <v>45357</v>
      </c>
      <c r="D3924" t="inlineStr">
        <is>
          <t>VÄSTERBOTTENS LÄN</t>
        </is>
      </c>
      <c r="E3924" t="inlineStr">
        <is>
          <t>UMEÅ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53448-2020</t>
        </is>
      </c>
      <c r="B3925" s="1" t="n">
        <v>44123</v>
      </c>
      <c r="C3925" s="1" t="n">
        <v>45357</v>
      </c>
      <c r="D3925" t="inlineStr">
        <is>
          <t>VÄSTERBOTTENS LÄN</t>
        </is>
      </c>
      <c r="E3925" t="inlineStr">
        <is>
          <t>UMEÅ</t>
        </is>
      </c>
      <c r="F3925" t="inlineStr">
        <is>
          <t>Holmen skog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53531-2020</t>
        </is>
      </c>
      <c r="B3926" s="1" t="n">
        <v>44124</v>
      </c>
      <c r="C3926" s="1" t="n">
        <v>45357</v>
      </c>
      <c r="D3926" t="inlineStr">
        <is>
          <t>VÄSTERBOTTENS LÄN</t>
        </is>
      </c>
      <c r="E3926" t="inlineStr">
        <is>
          <t>VINDELN</t>
        </is>
      </c>
      <c r="F3926" t="inlineStr">
        <is>
          <t>Sveaskog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53562-2020</t>
        </is>
      </c>
      <c r="B3927" s="1" t="n">
        <v>44124</v>
      </c>
      <c r="C3927" s="1" t="n">
        <v>45357</v>
      </c>
      <c r="D3927" t="inlineStr">
        <is>
          <t>VÄSTERBOTTENS LÄN</t>
        </is>
      </c>
      <c r="E3927" t="inlineStr">
        <is>
          <t>ROBERTSFORS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53559-2020</t>
        </is>
      </c>
      <c r="B3928" s="1" t="n">
        <v>44124</v>
      </c>
      <c r="C3928" s="1" t="n">
        <v>45357</v>
      </c>
      <c r="D3928" t="inlineStr">
        <is>
          <t>VÄSTERBOTTENS LÄN</t>
        </is>
      </c>
      <c r="E3928" t="inlineStr">
        <is>
          <t>ROBERTSFORS</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53585-2020</t>
        </is>
      </c>
      <c r="B3929" s="1" t="n">
        <v>44124</v>
      </c>
      <c r="C3929" s="1" t="n">
        <v>45357</v>
      </c>
      <c r="D3929" t="inlineStr">
        <is>
          <t>VÄSTERBOTTENS LÄN</t>
        </is>
      </c>
      <c r="E3929" t="inlineStr">
        <is>
          <t>VINDELN</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53836-2020</t>
        </is>
      </c>
      <c r="B3930" s="1" t="n">
        <v>44124</v>
      </c>
      <c r="C3930" s="1" t="n">
        <v>45357</v>
      </c>
      <c r="D3930" t="inlineStr">
        <is>
          <t>VÄSTERBOTTENS LÄN</t>
        </is>
      </c>
      <c r="E3930" t="inlineStr">
        <is>
          <t>UMEÅ</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54265-2020</t>
        </is>
      </c>
      <c r="B3931" s="1" t="n">
        <v>44124</v>
      </c>
      <c r="C3931" s="1" t="n">
        <v>45357</v>
      </c>
      <c r="D3931" t="inlineStr">
        <is>
          <t>VÄSTERBOTTENS LÄN</t>
        </is>
      </c>
      <c r="E3931" t="inlineStr">
        <is>
          <t>VINDELN</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54436-2020</t>
        </is>
      </c>
      <c r="B3932" s="1" t="n">
        <v>44124</v>
      </c>
      <c r="C3932" s="1" t="n">
        <v>45357</v>
      </c>
      <c r="D3932" t="inlineStr">
        <is>
          <t>VÄSTERBOTTENS LÄN</t>
        </is>
      </c>
      <c r="E3932" t="inlineStr">
        <is>
          <t>UMEÅ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54030-2020</t>
        </is>
      </c>
      <c r="B3933" s="1" t="n">
        <v>44125</v>
      </c>
      <c r="C3933" s="1" t="n">
        <v>45357</v>
      </c>
      <c r="D3933" t="inlineStr">
        <is>
          <t>VÄSTERBOTTENS LÄN</t>
        </is>
      </c>
      <c r="E3933" t="inlineStr">
        <is>
          <t>VINDELN</t>
        </is>
      </c>
      <c r="F3933" t="inlineStr">
        <is>
          <t>Sveaskog</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54032-2020</t>
        </is>
      </c>
      <c r="B3934" s="1" t="n">
        <v>44125</v>
      </c>
      <c r="C3934" s="1" t="n">
        <v>45357</v>
      </c>
      <c r="D3934" t="inlineStr">
        <is>
          <t>VÄSTERBOTTENS LÄN</t>
        </is>
      </c>
      <c r="E3934" t="inlineStr">
        <is>
          <t>VINDELN</t>
        </is>
      </c>
      <c r="F3934" t="inlineStr">
        <is>
          <t>Sveaskog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54459-2020</t>
        </is>
      </c>
      <c r="B3935" s="1" t="n">
        <v>44125</v>
      </c>
      <c r="C3935" s="1" t="n">
        <v>45357</v>
      </c>
      <c r="D3935" t="inlineStr">
        <is>
          <t>VÄSTERBOTTENS LÄN</t>
        </is>
      </c>
      <c r="E3935" t="inlineStr">
        <is>
          <t>NORDMALING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54653-2020</t>
        </is>
      </c>
      <c r="B3936" s="1" t="n">
        <v>44125</v>
      </c>
      <c r="C3936" s="1" t="n">
        <v>45357</v>
      </c>
      <c r="D3936" t="inlineStr">
        <is>
          <t>VÄSTERBOTTENS LÄN</t>
        </is>
      </c>
      <c r="E3936" t="inlineStr">
        <is>
          <t>ÅSELE</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54356-2020</t>
        </is>
      </c>
      <c r="B3937" s="1" t="n">
        <v>44125</v>
      </c>
      <c r="C3937" s="1" t="n">
        <v>45357</v>
      </c>
      <c r="D3937" t="inlineStr">
        <is>
          <t>VÄSTERBOTTENS LÄN</t>
        </is>
      </c>
      <c r="E3937" t="inlineStr">
        <is>
          <t>SKELLEFTEÅ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53937-2020</t>
        </is>
      </c>
      <c r="B3938" s="1" t="n">
        <v>44125</v>
      </c>
      <c r="C3938" s="1" t="n">
        <v>45357</v>
      </c>
      <c r="D3938" t="inlineStr">
        <is>
          <t>VÄSTERBOTTENS LÄN</t>
        </is>
      </c>
      <c r="E3938" t="inlineStr">
        <is>
          <t>VINDELN</t>
        </is>
      </c>
      <c r="F3938" t="inlineStr">
        <is>
          <t>Holmen skog AB</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54438-2020</t>
        </is>
      </c>
      <c r="B3939" s="1" t="n">
        <v>44126</v>
      </c>
      <c r="C3939" s="1" t="n">
        <v>45357</v>
      </c>
      <c r="D3939" t="inlineStr">
        <is>
          <t>VÄSTERBOTTENS LÄN</t>
        </is>
      </c>
      <c r="E3939" t="inlineStr">
        <is>
          <t>ROBERTSFORS</t>
        </is>
      </c>
      <c r="F3939" t="inlineStr">
        <is>
          <t>Holmen skog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54510-2020</t>
        </is>
      </c>
      <c r="B3940" s="1" t="n">
        <v>44126</v>
      </c>
      <c r="C3940" s="1" t="n">
        <v>45357</v>
      </c>
      <c r="D3940" t="inlineStr">
        <is>
          <t>VÄSTERBOTTENS LÄN</t>
        </is>
      </c>
      <c r="E3940" t="inlineStr">
        <is>
          <t>MALÅ</t>
        </is>
      </c>
      <c r="F3940" t="inlineStr">
        <is>
          <t>Sveaskog</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54519-2020</t>
        </is>
      </c>
      <c r="B3941" s="1" t="n">
        <v>44126</v>
      </c>
      <c r="C3941" s="1" t="n">
        <v>45357</v>
      </c>
      <c r="D3941" t="inlineStr">
        <is>
          <t>VÄSTERBOTTENS LÄN</t>
        </is>
      </c>
      <c r="E3941" t="inlineStr">
        <is>
          <t>MALÅ</t>
        </is>
      </c>
      <c r="F3941" t="inlineStr">
        <is>
          <t>Sveaskog</t>
        </is>
      </c>
      <c r="G3941" t="n">
        <v>9.300000000000001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54850-2020</t>
        </is>
      </c>
      <c r="B3942" s="1" t="n">
        <v>44126</v>
      </c>
      <c r="C3942" s="1" t="n">
        <v>45357</v>
      </c>
      <c r="D3942" t="inlineStr">
        <is>
          <t>VÄSTERBOTTENS LÄN</t>
        </is>
      </c>
      <c r="E3942" t="inlineStr">
        <is>
          <t>SKELLEFTEÅ</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54879-2020</t>
        </is>
      </c>
      <c r="B3943" s="1" t="n">
        <v>44126</v>
      </c>
      <c r="C3943" s="1" t="n">
        <v>45357</v>
      </c>
      <c r="D3943" t="inlineStr">
        <is>
          <t>VÄSTERBOTTENS LÄN</t>
        </is>
      </c>
      <c r="E3943" t="inlineStr">
        <is>
          <t>VINDELN</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54896-2020</t>
        </is>
      </c>
      <c r="B3944" s="1" t="n">
        <v>44126</v>
      </c>
      <c r="C3944" s="1" t="n">
        <v>45357</v>
      </c>
      <c r="D3944" t="inlineStr">
        <is>
          <t>VÄSTERBOTTENS LÄN</t>
        </is>
      </c>
      <c r="E3944" t="inlineStr">
        <is>
          <t>MALÅ</t>
        </is>
      </c>
      <c r="G3944" t="n">
        <v>18.3</v>
      </c>
      <c r="H3944" t="n">
        <v>0</v>
      </c>
      <c r="I3944" t="n">
        <v>0</v>
      </c>
      <c r="J3944" t="n">
        <v>0</v>
      </c>
      <c r="K3944" t="n">
        <v>0</v>
      </c>
      <c r="L3944" t="n">
        <v>0</v>
      </c>
      <c r="M3944" t="n">
        <v>0</v>
      </c>
      <c r="N3944" t="n">
        <v>0</v>
      </c>
      <c r="O3944" t="n">
        <v>0</v>
      </c>
      <c r="P3944" t="n">
        <v>0</v>
      </c>
      <c r="Q3944" t="n">
        <v>0</v>
      </c>
      <c r="R3944" s="2" t="inlineStr"/>
    </row>
    <row r="3945" ht="15" customHeight="1">
      <c r="A3945" t="inlineStr">
        <is>
          <t>A 54872-2020</t>
        </is>
      </c>
      <c r="B3945" s="1" t="n">
        <v>44126</v>
      </c>
      <c r="C3945" s="1" t="n">
        <v>45357</v>
      </c>
      <c r="D3945" t="inlineStr">
        <is>
          <t>VÄSTERBOTTENS LÄN</t>
        </is>
      </c>
      <c r="E3945" t="inlineStr">
        <is>
          <t>SKELLEFTEÅ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54734-2020</t>
        </is>
      </c>
      <c r="B3946" s="1" t="n">
        <v>44127</v>
      </c>
      <c r="C3946" s="1" t="n">
        <v>45357</v>
      </c>
      <c r="D3946" t="inlineStr">
        <is>
          <t>VÄSTERBOTTENS LÄN</t>
        </is>
      </c>
      <c r="E3946" t="inlineStr">
        <is>
          <t>VÄNNÄS</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54662-2020</t>
        </is>
      </c>
      <c r="B3947" s="1" t="n">
        <v>44127</v>
      </c>
      <c r="C3947" s="1" t="n">
        <v>45357</v>
      </c>
      <c r="D3947" t="inlineStr">
        <is>
          <t>VÄSTERBOTTENS LÄN</t>
        </is>
      </c>
      <c r="E3947" t="inlineStr">
        <is>
          <t>SKELLEFTEÅ</t>
        </is>
      </c>
      <c r="F3947" t="inlineStr">
        <is>
          <t>Holmen skog AB</t>
        </is>
      </c>
      <c r="G3947" t="n">
        <v>13.4</v>
      </c>
      <c r="H3947" t="n">
        <v>0</v>
      </c>
      <c r="I3947" t="n">
        <v>0</v>
      </c>
      <c r="J3947" t="n">
        <v>0</v>
      </c>
      <c r="K3947" t="n">
        <v>0</v>
      </c>
      <c r="L3947" t="n">
        <v>0</v>
      </c>
      <c r="M3947" t="n">
        <v>0</v>
      </c>
      <c r="N3947" t="n">
        <v>0</v>
      </c>
      <c r="O3947" t="n">
        <v>0</v>
      </c>
      <c r="P3947" t="n">
        <v>0</v>
      </c>
      <c r="Q3947" t="n">
        <v>0</v>
      </c>
      <c r="R3947" s="2" t="inlineStr"/>
    </row>
    <row r="3948" ht="15" customHeight="1">
      <c r="A3948" t="inlineStr">
        <is>
          <t>A 54603-2020</t>
        </is>
      </c>
      <c r="B3948" s="1" t="n">
        <v>44127</v>
      </c>
      <c r="C3948" s="1" t="n">
        <v>45357</v>
      </c>
      <c r="D3948" t="inlineStr">
        <is>
          <t>VÄSTERBOTTENS LÄN</t>
        </is>
      </c>
      <c r="E3948" t="inlineStr">
        <is>
          <t>ROBERTSFORS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54674-2020</t>
        </is>
      </c>
      <c r="B3949" s="1" t="n">
        <v>44127</v>
      </c>
      <c r="C3949" s="1" t="n">
        <v>45357</v>
      </c>
      <c r="D3949" t="inlineStr">
        <is>
          <t>VÄSTERBOTTENS LÄN</t>
        </is>
      </c>
      <c r="E3949" t="inlineStr">
        <is>
          <t>NORDMALING</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54805-2020</t>
        </is>
      </c>
      <c r="B3950" s="1" t="n">
        <v>44127</v>
      </c>
      <c r="C3950" s="1" t="n">
        <v>45357</v>
      </c>
      <c r="D3950" t="inlineStr">
        <is>
          <t>VÄSTERBOTTENS LÄN</t>
        </is>
      </c>
      <c r="E3950" t="inlineStr">
        <is>
          <t>LYCKSELE</t>
        </is>
      </c>
      <c r="F3950" t="inlineStr">
        <is>
          <t>Sveaskog</t>
        </is>
      </c>
      <c r="G3950" t="n">
        <v>13.2</v>
      </c>
      <c r="H3950" t="n">
        <v>0</v>
      </c>
      <c r="I3950" t="n">
        <v>0</v>
      </c>
      <c r="J3950" t="n">
        <v>0</v>
      </c>
      <c r="K3950" t="n">
        <v>0</v>
      </c>
      <c r="L3950" t="n">
        <v>0</v>
      </c>
      <c r="M3950" t="n">
        <v>0</v>
      </c>
      <c r="N3950" t="n">
        <v>0</v>
      </c>
      <c r="O3950" t="n">
        <v>0</v>
      </c>
      <c r="P3950" t="n">
        <v>0</v>
      </c>
      <c r="Q3950" t="n">
        <v>0</v>
      </c>
      <c r="R3950" s="2" t="inlineStr"/>
    </row>
    <row r="3951" ht="15" customHeight="1">
      <c r="A3951" t="inlineStr">
        <is>
          <t>A 54921-2020</t>
        </is>
      </c>
      <c r="B3951" s="1" t="n">
        <v>44127</v>
      </c>
      <c r="C3951" s="1" t="n">
        <v>45357</v>
      </c>
      <c r="D3951" t="inlineStr">
        <is>
          <t>VÄSTERBOTTENS LÄN</t>
        </is>
      </c>
      <c r="E3951" t="inlineStr">
        <is>
          <t>SKELLEFTEÅ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54913-2020</t>
        </is>
      </c>
      <c r="B3952" s="1" t="n">
        <v>44127</v>
      </c>
      <c r="C3952" s="1" t="n">
        <v>45357</v>
      </c>
      <c r="D3952" t="inlineStr">
        <is>
          <t>VÄSTERBOTTENS LÄN</t>
        </is>
      </c>
      <c r="E3952" t="inlineStr">
        <is>
          <t>SKELLEFTEÅ</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54942-2020</t>
        </is>
      </c>
      <c r="B3953" s="1" t="n">
        <v>44129</v>
      </c>
      <c r="C3953" s="1" t="n">
        <v>45357</v>
      </c>
      <c r="D3953" t="inlineStr">
        <is>
          <t>VÄSTERBOTTENS LÄN</t>
        </is>
      </c>
      <c r="E3953" t="inlineStr">
        <is>
          <t>SKELLEFTEÅ</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54947-2020</t>
        </is>
      </c>
      <c r="B3954" s="1" t="n">
        <v>44129</v>
      </c>
      <c r="C3954" s="1" t="n">
        <v>45357</v>
      </c>
      <c r="D3954" t="inlineStr">
        <is>
          <t>VÄSTERBOTTENS LÄN</t>
        </is>
      </c>
      <c r="E3954" t="inlineStr">
        <is>
          <t>VILHELMINA</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55289-2020</t>
        </is>
      </c>
      <c r="B3955" s="1" t="n">
        <v>44130</v>
      </c>
      <c r="C3955" s="1" t="n">
        <v>45357</v>
      </c>
      <c r="D3955" t="inlineStr">
        <is>
          <t>VÄSTERBOTTENS LÄN</t>
        </is>
      </c>
      <c r="E3955" t="inlineStr">
        <is>
          <t>VINDELN</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55440-2020</t>
        </is>
      </c>
      <c r="B3956" s="1" t="n">
        <v>44131</v>
      </c>
      <c r="C3956" s="1" t="n">
        <v>45357</v>
      </c>
      <c r="D3956" t="inlineStr">
        <is>
          <t>VÄSTERBOTTENS LÄN</t>
        </is>
      </c>
      <c r="E3956" t="inlineStr">
        <is>
          <t>VILHELMINA</t>
        </is>
      </c>
      <c r="G3956" t="n">
        <v>18.3</v>
      </c>
      <c r="H3956" t="n">
        <v>0</v>
      </c>
      <c r="I3956" t="n">
        <v>0</v>
      </c>
      <c r="J3956" t="n">
        <v>0</v>
      </c>
      <c r="K3956" t="n">
        <v>0</v>
      </c>
      <c r="L3956" t="n">
        <v>0</v>
      </c>
      <c r="M3956" t="n">
        <v>0</v>
      </c>
      <c r="N3956" t="n">
        <v>0</v>
      </c>
      <c r="O3956" t="n">
        <v>0</v>
      </c>
      <c r="P3956" t="n">
        <v>0</v>
      </c>
      <c r="Q3956" t="n">
        <v>0</v>
      </c>
      <c r="R3956" s="2" t="inlineStr"/>
    </row>
    <row r="3957" ht="15" customHeight="1">
      <c r="A3957" t="inlineStr">
        <is>
          <t>A 55628-2020</t>
        </is>
      </c>
      <c r="B3957" s="1" t="n">
        <v>44131</v>
      </c>
      <c r="C3957" s="1" t="n">
        <v>45357</v>
      </c>
      <c r="D3957" t="inlineStr">
        <is>
          <t>VÄSTERBOTTENS LÄN</t>
        </is>
      </c>
      <c r="E3957" t="inlineStr">
        <is>
          <t>SKELLEFTEÅ</t>
        </is>
      </c>
      <c r="F3957" t="inlineStr">
        <is>
          <t>Sveaskog</t>
        </is>
      </c>
      <c r="G3957" t="n">
        <v>25.9</v>
      </c>
      <c r="H3957" t="n">
        <v>0</v>
      </c>
      <c r="I3957" t="n">
        <v>0</v>
      </c>
      <c r="J3957" t="n">
        <v>0</v>
      </c>
      <c r="K3957" t="n">
        <v>0</v>
      </c>
      <c r="L3957" t="n">
        <v>0</v>
      </c>
      <c r="M3957" t="n">
        <v>0</v>
      </c>
      <c r="N3957" t="n">
        <v>0</v>
      </c>
      <c r="O3957" t="n">
        <v>0</v>
      </c>
      <c r="P3957" t="n">
        <v>0</v>
      </c>
      <c r="Q3957" t="n">
        <v>0</v>
      </c>
      <c r="R3957" s="2" t="inlineStr"/>
    </row>
    <row r="3958" ht="15" customHeight="1">
      <c r="A3958" t="inlineStr">
        <is>
          <t>A 55486-2020</t>
        </is>
      </c>
      <c r="B3958" s="1" t="n">
        <v>44131</v>
      </c>
      <c r="C3958" s="1" t="n">
        <v>45357</v>
      </c>
      <c r="D3958" t="inlineStr">
        <is>
          <t>VÄSTERBOTTENS LÄN</t>
        </is>
      </c>
      <c r="E3958" t="inlineStr">
        <is>
          <t>STORUMAN</t>
        </is>
      </c>
      <c r="G3958" t="n">
        <v>62.4</v>
      </c>
      <c r="H3958" t="n">
        <v>0</v>
      </c>
      <c r="I3958" t="n">
        <v>0</v>
      </c>
      <c r="J3958" t="n">
        <v>0</v>
      </c>
      <c r="K3958" t="n">
        <v>0</v>
      </c>
      <c r="L3958" t="n">
        <v>0</v>
      </c>
      <c r="M3958" t="n">
        <v>0</v>
      </c>
      <c r="N3958" t="n">
        <v>0</v>
      </c>
      <c r="O3958" t="n">
        <v>0</v>
      </c>
      <c r="P3958" t="n">
        <v>0</v>
      </c>
      <c r="Q3958" t="n">
        <v>0</v>
      </c>
      <c r="R3958" s="2" t="inlineStr"/>
    </row>
    <row r="3959" ht="15" customHeight="1">
      <c r="A3959" t="inlineStr">
        <is>
          <t>A 55602-2020</t>
        </is>
      </c>
      <c r="B3959" s="1" t="n">
        <v>44131</v>
      </c>
      <c r="C3959" s="1" t="n">
        <v>45357</v>
      </c>
      <c r="D3959" t="inlineStr">
        <is>
          <t>VÄSTERBOTTENS LÄN</t>
        </is>
      </c>
      <c r="E3959" t="inlineStr">
        <is>
          <t>ROBERTSFORS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55633-2020</t>
        </is>
      </c>
      <c r="B3960" s="1" t="n">
        <v>44131</v>
      </c>
      <c r="C3960" s="1" t="n">
        <v>45357</v>
      </c>
      <c r="D3960" t="inlineStr">
        <is>
          <t>VÄSTERBOTTENS LÄN</t>
        </is>
      </c>
      <c r="E3960" t="inlineStr">
        <is>
          <t>SKELLEFTEÅ</t>
        </is>
      </c>
      <c r="F3960" t="inlineStr">
        <is>
          <t>Sveaskog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55411-2020</t>
        </is>
      </c>
      <c r="B3961" s="1" t="n">
        <v>44131</v>
      </c>
      <c r="C3961" s="1" t="n">
        <v>45357</v>
      </c>
      <c r="D3961" t="inlineStr">
        <is>
          <t>VÄSTERBOTTENS LÄN</t>
        </is>
      </c>
      <c r="E3961" t="inlineStr">
        <is>
          <t>UMEÅ</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55572-2020</t>
        </is>
      </c>
      <c r="B3962" s="1" t="n">
        <v>44131</v>
      </c>
      <c r="C3962" s="1" t="n">
        <v>45357</v>
      </c>
      <c r="D3962" t="inlineStr">
        <is>
          <t>VÄSTERBOTTENS LÄN</t>
        </is>
      </c>
      <c r="E3962" t="inlineStr">
        <is>
          <t>SKELLEFTEÅ</t>
        </is>
      </c>
      <c r="F3962" t="inlineStr">
        <is>
          <t>Sveaskog</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55626-2020</t>
        </is>
      </c>
      <c r="B3963" s="1" t="n">
        <v>44131</v>
      </c>
      <c r="C3963" s="1" t="n">
        <v>45357</v>
      </c>
      <c r="D3963" t="inlineStr">
        <is>
          <t>VÄSTERBOTTENS LÄN</t>
        </is>
      </c>
      <c r="E3963" t="inlineStr">
        <is>
          <t>SKELLEFTEÅ</t>
        </is>
      </c>
      <c r="F3963" t="inlineStr">
        <is>
          <t>Sveaskog</t>
        </is>
      </c>
      <c r="G3963" t="n">
        <v>14.2</v>
      </c>
      <c r="H3963" t="n">
        <v>0</v>
      </c>
      <c r="I3963" t="n">
        <v>0</v>
      </c>
      <c r="J3963" t="n">
        <v>0</v>
      </c>
      <c r="K3963" t="n">
        <v>0</v>
      </c>
      <c r="L3963" t="n">
        <v>0</v>
      </c>
      <c r="M3963" t="n">
        <v>0</v>
      </c>
      <c r="N3963" t="n">
        <v>0</v>
      </c>
      <c r="O3963" t="n">
        <v>0</v>
      </c>
      <c r="P3963" t="n">
        <v>0</v>
      </c>
      <c r="Q3963" t="n">
        <v>0</v>
      </c>
      <c r="R3963" s="2" t="inlineStr"/>
    </row>
    <row r="3964" ht="15" customHeight="1">
      <c r="A3964" t="inlineStr">
        <is>
          <t>A 55668-2020</t>
        </is>
      </c>
      <c r="B3964" s="1" t="n">
        <v>44131</v>
      </c>
      <c r="C3964" s="1" t="n">
        <v>45357</v>
      </c>
      <c r="D3964" t="inlineStr">
        <is>
          <t>VÄSTERBOTTENS LÄN</t>
        </is>
      </c>
      <c r="E3964" t="inlineStr">
        <is>
          <t>NORDMALING</t>
        </is>
      </c>
      <c r="F3964" t="inlineStr">
        <is>
          <t>SCA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55667-2020</t>
        </is>
      </c>
      <c r="B3965" s="1" t="n">
        <v>44131</v>
      </c>
      <c r="C3965" s="1" t="n">
        <v>45357</v>
      </c>
      <c r="D3965" t="inlineStr">
        <is>
          <t>VÄSTERBOTTENS LÄN</t>
        </is>
      </c>
      <c r="E3965" t="inlineStr">
        <is>
          <t>VINDELN</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55671-2020</t>
        </is>
      </c>
      <c r="B3966" s="1" t="n">
        <v>44131</v>
      </c>
      <c r="C3966" s="1" t="n">
        <v>45357</v>
      </c>
      <c r="D3966" t="inlineStr">
        <is>
          <t>VÄSTERBOTTENS LÄN</t>
        </is>
      </c>
      <c r="E3966" t="inlineStr">
        <is>
          <t>VINDELN</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55773-2020</t>
        </is>
      </c>
      <c r="B3967" s="1" t="n">
        <v>44132</v>
      </c>
      <c r="C3967" s="1" t="n">
        <v>45357</v>
      </c>
      <c r="D3967" t="inlineStr">
        <is>
          <t>VÄSTERBOTTENS LÄN</t>
        </is>
      </c>
      <c r="E3967" t="inlineStr">
        <is>
          <t>UMEÅ</t>
        </is>
      </c>
      <c r="F3967" t="inlineStr">
        <is>
          <t>Holmen skog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55697-2020</t>
        </is>
      </c>
      <c r="B3968" s="1" t="n">
        <v>44132</v>
      </c>
      <c r="C3968" s="1" t="n">
        <v>45357</v>
      </c>
      <c r="D3968" t="inlineStr">
        <is>
          <t>VÄSTERBOTTENS LÄN</t>
        </is>
      </c>
      <c r="E3968" t="inlineStr">
        <is>
          <t>ROBERTSFORS</t>
        </is>
      </c>
      <c r="F3968" t="inlineStr">
        <is>
          <t>Holmen skog AB</t>
        </is>
      </c>
      <c r="G3968" t="n">
        <v>22.3</v>
      </c>
      <c r="H3968" t="n">
        <v>0</v>
      </c>
      <c r="I3968" t="n">
        <v>0</v>
      </c>
      <c r="J3968" t="n">
        <v>0</v>
      </c>
      <c r="K3968" t="n">
        <v>0</v>
      </c>
      <c r="L3968" t="n">
        <v>0</v>
      </c>
      <c r="M3968" t="n">
        <v>0</v>
      </c>
      <c r="N3968" t="n">
        <v>0</v>
      </c>
      <c r="O3968" t="n">
        <v>0</v>
      </c>
      <c r="P3968" t="n">
        <v>0</v>
      </c>
      <c r="Q3968" t="n">
        <v>0</v>
      </c>
      <c r="R3968" s="2" t="inlineStr"/>
    </row>
    <row r="3969" ht="15" customHeight="1">
      <c r="A3969" t="inlineStr">
        <is>
          <t>A 55843-2020</t>
        </is>
      </c>
      <c r="B3969" s="1" t="n">
        <v>44132</v>
      </c>
      <c r="C3969" s="1" t="n">
        <v>45357</v>
      </c>
      <c r="D3969" t="inlineStr">
        <is>
          <t>VÄSTERBOTTENS LÄN</t>
        </is>
      </c>
      <c r="E3969" t="inlineStr">
        <is>
          <t>ROBERTSFORS</t>
        </is>
      </c>
      <c r="F3969" t="inlineStr">
        <is>
          <t>Holmen skog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55882-2020</t>
        </is>
      </c>
      <c r="B3970" s="1" t="n">
        <v>44132</v>
      </c>
      <c r="C3970" s="1" t="n">
        <v>45357</v>
      </c>
      <c r="D3970" t="inlineStr">
        <is>
          <t>VÄSTERBOTTENS LÄN</t>
        </is>
      </c>
      <c r="E3970" t="inlineStr">
        <is>
          <t>ÅSELE</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55782-2020</t>
        </is>
      </c>
      <c r="B3971" s="1" t="n">
        <v>44132</v>
      </c>
      <c r="C3971" s="1" t="n">
        <v>45357</v>
      </c>
      <c r="D3971" t="inlineStr">
        <is>
          <t>VÄSTERBOTTENS LÄN</t>
        </is>
      </c>
      <c r="E3971" t="inlineStr">
        <is>
          <t>LYCKSELE</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55927-2020</t>
        </is>
      </c>
      <c r="B3972" s="1" t="n">
        <v>44132</v>
      </c>
      <c r="C3972" s="1" t="n">
        <v>45357</v>
      </c>
      <c r="D3972" t="inlineStr">
        <is>
          <t>VÄSTERBOTTENS LÄN</t>
        </is>
      </c>
      <c r="E3972" t="inlineStr">
        <is>
          <t>ÅSELE</t>
        </is>
      </c>
      <c r="F3972" t="inlineStr">
        <is>
          <t>SCA</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55929-2020</t>
        </is>
      </c>
      <c r="B3973" s="1" t="n">
        <v>44132</v>
      </c>
      <c r="C3973" s="1" t="n">
        <v>45357</v>
      </c>
      <c r="D3973" t="inlineStr">
        <is>
          <t>VÄSTERBOTTENS LÄN</t>
        </is>
      </c>
      <c r="E3973" t="inlineStr">
        <is>
          <t>ÅSELE</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55930-2020</t>
        </is>
      </c>
      <c r="B3974" s="1" t="n">
        <v>44132</v>
      </c>
      <c r="C3974" s="1" t="n">
        <v>45357</v>
      </c>
      <c r="D3974" t="inlineStr">
        <is>
          <t>VÄSTERBOTTENS LÄN</t>
        </is>
      </c>
      <c r="E3974" t="inlineStr">
        <is>
          <t>DOROTEA</t>
        </is>
      </c>
      <c r="F3974" t="inlineStr">
        <is>
          <t>SCA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56029-2020</t>
        </is>
      </c>
      <c r="B3975" s="1" t="n">
        <v>44133</v>
      </c>
      <c r="C3975" s="1" t="n">
        <v>45357</v>
      </c>
      <c r="D3975" t="inlineStr">
        <is>
          <t>VÄSTERBOTTENS LÄN</t>
        </is>
      </c>
      <c r="E3975" t="inlineStr">
        <is>
          <t>SKELLEFTEÅ</t>
        </is>
      </c>
      <c r="F3975" t="inlineStr">
        <is>
          <t>Holmen skog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56208-2020</t>
        </is>
      </c>
      <c r="B3976" s="1" t="n">
        <v>44133</v>
      </c>
      <c r="C3976" s="1" t="n">
        <v>45357</v>
      </c>
      <c r="D3976" t="inlineStr">
        <is>
          <t>VÄSTERBOTTENS LÄN</t>
        </is>
      </c>
      <c r="E3976" t="inlineStr">
        <is>
          <t>UMEÅ</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56560-2020</t>
        </is>
      </c>
      <c r="B3977" s="1" t="n">
        <v>44133</v>
      </c>
      <c r="C3977" s="1" t="n">
        <v>45357</v>
      </c>
      <c r="D3977" t="inlineStr">
        <is>
          <t>VÄSTERBOTTENS LÄN</t>
        </is>
      </c>
      <c r="E3977" t="inlineStr">
        <is>
          <t>DOROTEA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56209-2020</t>
        </is>
      </c>
      <c r="B3978" s="1" t="n">
        <v>44133</v>
      </c>
      <c r="C3978" s="1" t="n">
        <v>45357</v>
      </c>
      <c r="D3978" t="inlineStr">
        <is>
          <t>VÄSTERBOTTENS LÄN</t>
        </is>
      </c>
      <c r="E3978" t="inlineStr">
        <is>
          <t>VINDELN</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56145-2020</t>
        </is>
      </c>
      <c r="B3979" s="1" t="n">
        <v>44133</v>
      </c>
      <c r="C3979" s="1" t="n">
        <v>45357</v>
      </c>
      <c r="D3979" t="inlineStr">
        <is>
          <t>VÄSTERBOTTENS LÄN</t>
        </is>
      </c>
      <c r="E3979" t="inlineStr">
        <is>
          <t>ÅSELE</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56683-2020</t>
        </is>
      </c>
      <c r="B3980" s="1" t="n">
        <v>44133</v>
      </c>
      <c r="C3980" s="1" t="n">
        <v>45357</v>
      </c>
      <c r="D3980" t="inlineStr">
        <is>
          <t>VÄSTERBOTTENS LÄN</t>
        </is>
      </c>
      <c r="E3980" t="inlineStr">
        <is>
          <t>SKELLEFTEÅ</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56883-2020</t>
        </is>
      </c>
      <c r="B3981" s="1" t="n">
        <v>44134</v>
      </c>
      <c r="C3981" s="1" t="n">
        <v>45357</v>
      </c>
      <c r="D3981" t="inlineStr">
        <is>
          <t>VÄSTERBOTTENS LÄN</t>
        </is>
      </c>
      <c r="E3981" t="inlineStr">
        <is>
          <t>NORDMALING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56887-2020</t>
        </is>
      </c>
      <c r="B3982" s="1" t="n">
        <v>44134</v>
      </c>
      <c r="C3982" s="1" t="n">
        <v>45357</v>
      </c>
      <c r="D3982" t="inlineStr">
        <is>
          <t>VÄSTERBOTTENS LÄN</t>
        </is>
      </c>
      <c r="E3982" t="inlineStr">
        <is>
          <t>NORDMALING</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56827-2020</t>
        </is>
      </c>
      <c r="B3983" s="1" t="n">
        <v>44134</v>
      </c>
      <c r="C3983" s="1" t="n">
        <v>45357</v>
      </c>
      <c r="D3983" t="inlineStr">
        <is>
          <t>VÄSTERBOTTENS LÄN</t>
        </is>
      </c>
      <c r="E3983" t="inlineStr">
        <is>
          <t>ÅSELE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56879-2020</t>
        </is>
      </c>
      <c r="B3984" s="1" t="n">
        <v>44134</v>
      </c>
      <c r="C3984" s="1" t="n">
        <v>45357</v>
      </c>
      <c r="D3984" t="inlineStr">
        <is>
          <t>VÄSTERBOTTENS LÄN</t>
        </is>
      </c>
      <c r="E3984" t="inlineStr">
        <is>
          <t>SKELLEFTEÅ</t>
        </is>
      </c>
      <c r="G3984" t="n">
        <v>8.5</v>
      </c>
      <c r="H3984" t="n">
        <v>0</v>
      </c>
      <c r="I3984" t="n">
        <v>0</v>
      </c>
      <c r="J3984" t="n">
        <v>0</v>
      </c>
      <c r="K3984" t="n">
        <v>0</v>
      </c>
      <c r="L3984" t="n">
        <v>0</v>
      </c>
      <c r="M3984" t="n">
        <v>0</v>
      </c>
      <c r="N3984" t="n">
        <v>0</v>
      </c>
      <c r="O3984" t="n">
        <v>0</v>
      </c>
      <c r="P3984" t="n">
        <v>0</v>
      </c>
      <c r="Q3984" t="n">
        <v>0</v>
      </c>
      <c r="R3984" s="2" t="inlineStr"/>
    </row>
    <row r="3985" ht="15" customHeight="1">
      <c r="A3985" t="inlineStr">
        <is>
          <t>A 56375-2020</t>
        </is>
      </c>
      <c r="B3985" s="1" t="n">
        <v>44136</v>
      </c>
      <c r="C3985" s="1" t="n">
        <v>45357</v>
      </c>
      <c r="D3985" t="inlineStr">
        <is>
          <t>VÄSTERBOTTENS LÄN</t>
        </is>
      </c>
      <c r="E3985" t="inlineStr">
        <is>
          <t>SORSELE</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56604-2020</t>
        </is>
      </c>
      <c r="B3986" s="1" t="n">
        <v>44137</v>
      </c>
      <c r="C3986" s="1" t="n">
        <v>45357</v>
      </c>
      <c r="D3986" t="inlineStr">
        <is>
          <t>VÄSTERBOTTENS LÄN</t>
        </is>
      </c>
      <c r="E3986" t="inlineStr">
        <is>
          <t>SKELLEFTEÅ</t>
        </is>
      </c>
      <c r="F3986" t="inlineStr">
        <is>
          <t>Holmen skog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56720-2020</t>
        </is>
      </c>
      <c r="B3987" s="1" t="n">
        <v>44137</v>
      </c>
      <c r="C3987" s="1" t="n">
        <v>45357</v>
      </c>
      <c r="D3987" t="inlineStr">
        <is>
          <t>VÄSTERBOTTENS LÄN</t>
        </is>
      </c>
      <c r="E3987" t="inlineStr">
        <is>
          <t>SKELLEFTEÅ</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56764-2020</t>
        </is>
      </c>
      <c r="B3988" s="1" t="n">
        <v>44137</v>
      </c>
      <c r="C3988" s="1" t="n">
        <v>45357</v>
      </c>
      <c r="D3988" t="inlineStr">
        <is>
          <t>VÄSTERBOTTENS LÄN</t>
        </is>
      </c>
      <c r="E3988" t="inlineStr">
        <is>
          <t>VINDELN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56692-2020</t>
        </is>
      </c>
      <c r="B3989" s="1" t="n">
        <v>44137</v>
      </c>
      <c r="C3989" s="1" t="n">
        <v>45357</v>
      </c>
      <c r="D3989" t="inlineStr">
        <is>
          <t>VÄSTERBOTTENS LÄN</t>
        </is>
      </c>
      <c r="E3989" t="inlineStr">
        <is>
          <t>SKELLEFTEÅ</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56718-2020</t>
        </is>
      </c>
      <c r="B3990" s="1" t="n">
        <v>44137</v>
      </c>
      <c r="C3990" s="1" t="n">
        <v>45357</v>
      </c>
      <c r="D3990" t="inlineStr">
        <is>
          <t>VÄSTERBOTTENS LÄN</t>
        </is>
      </c>
      <c r="E3990" t="inlineStr">
        <is>
          <t>SKELLEFTEÅ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56951-2020</t>
        </is>
      </c>
      <c r="B3991" s="1" t="n">
        <v>44137</v>
      </c>
      <c r="C3991" s="1" t="n">
        <v>45357</v>
      </c>
      <c r="D3991" t="inlineStr">
        <is>
          <t>VÄSTERBOTTENS LÄN</t>
        </is>
      </c>
      <c r="E3991" t="inlineStr">
        <is>
          <t>ROBERTSFORS</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56950-2020</t>
        </is>
      </c>
      <c r="B3992" s="1" t="n">
        <v>44137</v>
      </c>
      <c r="C3992" s="1" t="n">
        <v>45357</v>
      </c>
      <c r="D3992" t="inlineStr">
        <is>
          <t>VÄSTERBOTTENS LÄN</t>
        </is>
      </c>
      <c r="E3992" t="inlineStr">
        <is>
          <t>ROBERTSFORS</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57033-2020</t>
        </is>
      </c>
      <c r="B3993" s="1" t="n">
        <v>44137</v>
      </c>
      <c r="C3993" s="1" t="n">
        <v>45357</v>
      </c>
      <c r="D3993" t="inlineStr">
        <is>
          <t>VÄSTERBOTTENS LÄN</t>
        </is>
      </c>
      <c r="E3993" t="inlineStr">
        <is>
          <t>NORDMALING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56945-2020</t>
        </is>
      </c>
      <c r="B3994" s="1" t="n">
        <v>44138</v>
      </c>
      <c r="C3994" s="1" t="n">
        <v>45357</v>
      </c>
      <c r="D3994" t="inlineStr">
        <is>
          <t>VÄSTERBOTTENS LÄN</t>
        </is>
      </c>
      <c r="E3994" t="inlineStr">
        <is>
          <t>SKELLEFTEÅ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57159-2020</t>
        </is>
      </c>
      <c r="B3995" s="1" t="n">
        <v>44138</v>
      </c>
      <c r="C3995" s="1" t="n">
        <v>45357</v>
      </c>
      <c r="D3995" t="inlineStr">
        <is>
          <t>VÄSTERBOTTENS LÄN</t>
        </is>
      </c>
      <c r="E3995" t="inlineStr">
        <is>
          <t>NORDMALING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57236-2020</t>
        </is>
      </c>
      <c r="B3996" s="1" t="n">
        <v>44138</v>
      </c>
      <c r="C3996" s="1" t="n">
        <v>45357</v>
      </c>
      <c r="D3996" t="inlineStr">
        <is>
          <t>VÄSTERBOTTENS LÄN</t>
        </is>
      </c>
      <c r="E3996" t="inlineStr">
        <is>
          <t>VINDELN</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57186-2020</t>
        </is>
      </c>
      <c r="B3997" s="1" t="n">
        <v>44138</v>
      </c>
      <c r="C3997" s="1" t="n">
        <v>45357</v>
      </c>
      <c r="D3997" t="inlineStr">
        <is>
          <t>VÄSTERBOTTENS LÄN</t>
        </is>
      </c>
      <c r="E3997" t="inlineStr">
        <is>
          <t>NORDMALING</t>
        </is>
      </c>
      <c r="F3997" t="inlineStr">
        <is>
          <t>Kommuner</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57085-2020</t>
        </is>
      </c>
      <c r="B3998" s="1" t="n">
        <v>44138</v>
      </c>
      <c r="C3998" s="1" t="n">
        <v>45357</v>
      </c>
      <c r="D3998" t="inlineStr">
        <is>
          <t>VÄSTERBOTTENS LÄN</t>
        </is>
      </c>
      <c r="E3998" t="inlineStr">
        <is>
          <t>LYCKSELE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57410-2020</t>
        </is>
      </c>
      <c r="B3999" s="1" t="n">
        <v>44139</v>
      </c>
      <c r="C3999" s="1" t="n">
        <v>45357</v>
      </c>
      <c r="D3999" t="inlineStr">
        <is>
          <t>VÄSTERBOTTENS LÄN</t>
        </is>
      </c>
      <c r="E3999" t="inlineStr">
        <is>
          <t>NORDMALING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57498-2020</t>
        </is>
      </c>
      <c r="B4000" s="1" t="n">
        <v>44139</v>
      </c>
      <c r="C4000" s="1" t="n">
        <v>45357</v>
      </c>
      <c r="D4000" t="inlineStr">
        <is>
          <t>VÄSTERBOTTENS LÄN</t>
        </is>
      </c>
      <c r="E4000" t="inlineStr">
        <is>
          <t>MALÅ</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57564-2020</t>
        </is>
      </c>
      <c r="B4001" s="1" t="n">
        <v>44140</v>
      </c>
      <c r="C4001" s="1" t="n">
        <v>45357</v>
      </c>
      <c r="D4001" t="inlineStr">
        <is>
          <t>VÄSTERBOTTENS LÄN</t>
        </is>
      </c>
      <c r="E4001" t="inlineStr">
        <is>
          <t>ROBERTSFORS</t>
        </is>
      </c>
      <c r="F4001" t="inlineStr">
        <is>
          <t>Holmen skog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57620-2020</t>
        </is>
      </c>
      <c r="B4002" s="1" t="n">
        <v>44140</v>
      </c>
      <c r="C4002" s="1" t="n">
        <v>45357</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58213-2020</t>
        </is>
      </c>
      <c r="B4003" s="1" t="n">
        <v>44140</v>
      </c>
      <c r="C4003" s="1" t="n">
        <v>45357</v>
      </c>
      <c r="D4003" t="inlineStr">
        <is>
          <t>VÄSTERBOTTENS LÄN</t>
        </is>
      </c>
      <c r="E4003" t="inlineStr">
        <is>
          <t>UMEÅ</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57770-2020</t>
        </is>
      </c>
      <c r="B4004" s="1" t="n">
        <v>44141</v>
      </c>
      <c r="C4004" s="1" t="n">
        <v>45357</v>
      </c>
      <c r="D4004" t="inlineStr">
        <is>
          <t>VÄSTERBOTTENS LÄN</t>
        </is>
      </c>
      <c r="E4004" t="inlineStr">
        <is>
          <t>SKELLEFTEÅ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57865-2020</t>
        </is>
      </c>
      <c r="B4005" s="1" t="n">
        <v>44141</v>
      </c>
      <c r="C4005" s="1" t="n">
        <v>45357</v>
      </c>
      <c r="D4005" t="inlineStr">
        <is>
          <t>VÄSTERBOTTENS LÄN</t>
        </is>
      </c>
      <c r="E4005" t="inlineStr">
        <is>
          <t>ÅSELE</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58427-2020</t>
        </is>
      </c>
      <c r="B4006" s="1" t="n">
        <v>44141</v>
      </c>
      <c r="C4006" s="1" t="n">
        <v>45357</v>
      </c>
      <c r="D4006" t="inlineStr">
        <is>
          <t>VÄSTERBOTTENS LÄN</t>
        </is>
      </c>
      <c r="E4006" t="inlineStr">
        <is>
          <t>SKELLEFTEÅ</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57786-2020</t>
        </is>
      </c>
      <c r="B4007" s="1" t="n">
        <v>44141</v>
      </c>
      <c r="C4007" s="1" t="n">
        <v>45357</v>
      </c>
      <c r="D4007" t="inlineStr">
        <is>
          <t>VÄSTERBOTTENS LÄN</t>
        </is>
      </c>
      <c r="E4007" t="inlineStr">
        <is>
          <t>UMEÅ</t>
        </is>
      </c>
      <c r="F4007" t="inlineStr">
        <is>
          <t>Holmen skog AB</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57774-2020</t>
        </is>
      </c>
      <c r="B4008" s="1" t="n">
        <v>44141</v>
      </c>
      <c r="C4008" s="1" t="n">
        <v>45357</v>
      </c>
      <c r="D4008" t="inlineStr">
        <is>
          <t>VÄSTERBOTTENS LÄN</t>
        </is>
      </c>
      <c r="E4008" t="inlineStr">
        <is>
          <t>SORSELE</t>
        </is>
      </c>
      <c r="G4008" t="n">
        <v>20</v>
      </c>
      <c r="H4008" t="n">
        <v>0</v>
      </c>
      <c r="I4008" t="n">
        <v>0</v>
      </c>
      <c r="J4008" t="n">
        <v>0</v>
      </c>
      <c r="K4008" t="n">
        <v>0</v>
      </c>
      <c r="L4008" t="n">
        <v>0</v>
      </c>
      <c r="M4008" t="n">
        <v>0</v>
      </c>
      <c r="N4008" t="n">
        <v>0</v>
      </c>
      <c r="O4008" t="n">
        <v>0</v>
      </c>
      <c r="P4008" t="n">
        <v>0</v>
      </c>
      <c r="Q4008" t="n">
        <v>0</v>
      </c>
      <c r="R4008" s="2" t="inlineStr"/>
    </row>
    <row r="4009" ht="15" customHeight="1">
      <c r="A4009" t="inlineStr">
        <is>
          <t>A 57958-2020</t>
        </is>
      </c>
      <c r="B4009" s="1" t="n">
        <v>44143</v>
      </c>
      <c r="C4009" s="1" t="n">
        <v>45357</v>
      </c>
      <c r="D4009" t="inlineStr">
        <is>
          <t>VÄSTERBOTTENS LÄN</t>
        </is>
      </c>
      <c r="E4009" t="inlineStr">
        <is>
          <t>UMEÅ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58263-2020</t>
        </is>
      </c>
      <c r="B4010" s="1" t="n">
        <v>44144</v>
      </c>
      <c r="C4010" s="1" t="n">
        <v>45357</v>
      </c>
      <c r="D4010" t="inlineStr">
        <is>
          <t>VÄSTERBOTTENS LÄN</t>
        </is>
      </c>
      <c r="E4010" t="inlineStr">
        <is>
          <t>UMEÅ</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58441-2020</t>
        </is>
      </c>
      <c r="B4011" s="1" t="n">
        <v>44144</v>
      </c>
      <c r="C4011" s="1" t="n">
        <v>45357</v>
      </c>
      <c r="D4011" t="inlineStr">
        <is>
          <t>VÄSTERBOTTENS LÄN</t>
        </is>
      </c>
      <c r="E4011" t="inlineStr">
        <is>
          <t>NORDMALING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58584-2020</t>
        </is>
      </c>
      <c r="B4012" s="1" t="n">
        <v>44144</v>
      </c>
      <c r="C4012" s="1" t="n">
        <v>45357</v>
      </c>
      <c r="D4012" t="inlineStr">
        <is>
          <t>VÄSTERBOTTENS LÄN</t>
        </is>
      </c>
      <c r="E4012" t="inlineStr">
        <is>
          <t>VILHELMINA</t>
        </is>
      </c>
      <c r="F4012" t="inlineStr">
        <is>
          <t>Övriga statliga verk och myndigheter</t>
        </is>
      </c>
      <c r="G4012" t="n">
        <v>20.8</v>
      </c>
      <c r="H4012" t="n">
        <v>0</v>
      </c>
      <c r="I4012" t="n">
        <v>0</v>
      </c>
      <c r="J4012" t="n">
        <v>0</v>
      </c>
      <c r="K4012" t="n">
        <v>0</v>
      </c>
      <c r="L4012" t="n">
        <v>0</v>
      </c>
      <c r="M4012" t="n">
        <v>0</v>
      </c>
      <c r="N4012" t="n">
        <v>0</v>
      </c>
      <c r="O4012" t="n">
        <v>0</v>
      </c>
      <c r="P4012" t="n">
        <v>0</v>
      </c>
      <c r="Q4012" t="n">
        <v>0</v>
      </c>
      <c r="R4012" s="2" t="inlineStr"/>
    </row>
    <row r="4013" ht="15" customHeight="1">
      <c r="A4013" t="inlineStr">
        <is>
          <t>A 58520-2020</t>
        </is>
      </c>
      <c r="B4013" s="1" t="n">
        <v>44144</v>
      </c>
      <c r="C4013" s="1" t="n">
        <v>45357</v>
      </c>
      <c r="D4013" t="inlineStr">
        <is>
          <t>VÄSTERBOTTENS LÄN</t>
        </is>
      </c>
      <c r="E4013" t="inlineStr">
        <is>
          <t>SKELLEFTEÅ</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58544-2020</t>
        </is>
      </c>
      <c r="B4014" s="1" t="n">
        <v>44145</v>
      </c>
      <c r="C4014" s="1" t="n">
        <v>45357</v>
      </c>
      <c r="D4014" t="inlineStr">
        <is>
          <t>VÄSTERBOTTENS LÄN</t>
        </is>
      </c>
      <c r="E4014" t="inlineStr">
        <is>
          <t>SKELLEFTEÅ</t>
        </is>
      </c>
      <c r="F4014" t="inlineStr">
        <is>
          <t>Holmen skog AB</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58614-2020</t>
        </is>
      </c>
      <c r="B4015" s="1" t="n">
        <v>44145</v>
      </c>
      <c r="C4015" s="1" t="n">
        <v>45357</v>
      </c>
      <c r="D4015" t="inlineStr">
        <is>
          <t>VÄSTERBOTTENS LÄN</t>
        </is>
      </c>
      <c r="E4015" t="inlineStr">
        <is>
          <t>VÄNNÄS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58597-2020</t>
        </is>
      </c>
      <c r="B4016" s="1" t="n">
        <v>44145</v>
      </c>
      <c r="C4016" s="1" t="n">
        <v>45357</v>
      </c>
      <c r="D4016" t="inlineStr">
        <is>
          <t>VÄSTERBOTTENS LÄN</t>
        </is>
      </c>
      <c r="E4016" t="inlineStr">
        <is>
          <t>SORSELE</t>
        </is>
      </c>
      <c r="G4016" t="n">
        <v>30.2</v>
      </c>
      <c r="H4016" t="n">
        <v>0</v>
      </c>
      <c r="I4016" t="n">
        <v>0</v>
      </c>
      <c r="J4016" t="n">
        <v>0</v>
      </c>
      <c r="K4016" t="n">
        <v>0</v>
      </c>
      <c r="L4016" t="n">
        <v>0</v>
      </c>
      <c r="M4016" t="n">
        <v>0</v>
      </c>
      <c r="N4016" t="n">
        <v>0</v>
      </c>
      <c r="O4016" t="n">
        <v>0</v>
      </c>
      <c r="P4016" t="n">
        <v>0</v>
      </c>
      <c r="Q4016" t="n">
        <v>0</v>
      </c>
      <c r="R4016" s="2" t="inlineStr"/>
    </row>
    <row r="4017" ht="15" customHeight="1">
      <c r="A4017" t="inlineStr">
        <is>
          <t>A 58611-2020</t>
        </is>
      </c>
      <c r="B4017" s="1" t="n">
        <v>44145</v>
      </c>
      <c r="C4017" s="1" t="n">
        <v>45357</v>
      </c>
      <c r="D4017" t="inlineStr">
        <is>
          <t>VÄSTERBOTTENS LÄN</t>
        </is>
      </c>
      <c r="E4017" t="inlineStr">
        <is>
          <t>SORSELE</t>
        </is>
      </c>
      <c r="G4017" t="n">
        <v>47.9</v>
      </c>
      <c r="H4017" t="n">
        <v>0</v>
      </c>
      <c r="I4017" t="n">
        <v>0</v>
      </c>
      <c r="J4017" t="n">
        <v>0</v>
      </c>
      <c r="K4017" t="n">
        <v>0</v>
      </c>
      <c r="L4017" t="n">
        <v>0</v>
      </c>
      <c r="M4017" t="n">
        <v>0</v>
      </c>
      <c r="N4017" t="n">
        <v>0</v>
      </c>
      <c r="O4017" t="n">
        <v>0</v>
      </c>
      <c r="P4017" t="n">
        <v>0</v>
      </c>
      <c r="Q4017" t="n">
        <v>0</v>
      </c>
      <c r="R4017" s="2" t="inlineStr"/>
    </row>
    <row r="4018" ht="15" customHeight="1">
      <c r="A4018" t="inlineStr">
        <is>
          <t>A 58769-2020</t>
        </is>
      </c>
      <c r="B4018" s="1" t="n">
        <v>44145</v>
      </c>
      <c r="C4018" s="1" t="n">
        <v>45357</v>
      </c>
      <c r="D4018" t="inlineStr">
        <is>
          <t>VÄSTERBOTTENS LÄN</t>
        </is>
      </c>
      <c r="E4018" t="inlineStr">
        <is>
          <t>SKELLEFTEÅ</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58607-2020</t>
        </is>
      </c>
      <c r="B4019" s="1" t="n">
        <v>44145</v>
      </c>
      <c r="C4019" s="1" t="n">
        <v>45357</v>
      </c>
      <c r="D4019" t="inlineStr">
        <is>
          <t>VÄSTERBOTTENS LÄN</t>
        </is>
      </c>
      <c r="E4019" t="inlineStr">
        <is>
          <t>SORSELE</t>
        </is>
      </c>
      <c r="G4019" t="n">
        <v>48.4</v>
      </c>
      <c r="H4019" t="n">
        <v>0</v>
      </c>
      <c r="I4019" t="n">
        <v>0</v>
      </c>
      <c r="J4019" t="n">
        <v>0</v>
      </c>
      <c r="K4019" t="n">
        <v>0</v>
      </c>
      <c r="L4019" t="n">
        <v>0</v>
      </c>
      <c r="M4019" t="n">
        <v>0</v>
      </c>
      <c r="N4019" t="n">
        <v>0</v>
      </c>
      <c r="O4019" t="n">
        <v>0</v>
      </c>
      <c r="P4019" t="n">
        <v>0</v>
      </c>
      <c r="Q4019" t="n">
        <v>0</v>
      </c>
      <c r="R4019" s="2" t="inlineStr"/>
    </row>
    <row r="4020" ht="15" customHeight="1">
      <c r="A4020" t="inlineStr">
        <is>
          <t>A 58700-2020</t>
        </is>
      </c>
      <c r="B4020" s="1" t="n">
        <v>44146</v>
      </c>
      <c r="C4020" s="1" t="n">
        <v>45357</v>
      </c>
      <c r="D4020" t="inlineStr">
        <is>
          <t>VÄSTERBOTTENS LÄN</t>
        </is>
      </c>
      <c r="E4020" t="inlineStr">
        <is>
          <t>VINDELN</t>
        </is>
      </c>
      <c r="F4020" t="inlineStr">
        <is>
          <t>Holmen skog AB</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58796-2020</t>
        </is>
      </c>
      <c r="B4021" s="1" t="n">
        <v>44146</v>
      </c>
      <c r="C4021" s="1" t="n">
        <v>45357</v>
      </c>
      <c r="D4021" t="inlineStr">
        <is>
          <t>VÄSTERBOTTENS LÄN</t>
        </is>
      </c>
      <c r="E4021" t="inlineStr">
        <is>
          <t>MALÅ</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58710-2020</t>
        </is>
      </c>
      <c r="B4022" s="1" t="n">
        <v>44146</v>
      </c>
      <c r="C4022" s="1" t="n">
        <v>45357</v>
      </c>
      <c r="D4022" t="inlineStr">
        <is>
          <t>VÄSTERBOTTENS LÄN</t>
        </is>
      </c>
      <c r="E4022" t="inlineStr">
        <is>
          <t>UMEÅ</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58794-2020</t>
        </is>
      </c>
      <c r="B4023" s="1" t="n">
        <v>44146</v>
      </c>
      <c r="C4023" s="1" t="n">
        <v>45357</v>
      </c>
      <c r="D4023" t="inlineStr">
        <is>
          <t>VÄSTERBOTTENS LÄN</t>
        </is>
      </c>
      <c r="E4023" t="inlineStr">
        <is>
          <t>MALÅ</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58799-2020</t>
        </is>
      </c>
      <c r="B4024" s="1" t="n">
        <v>44146</v>
      </c>
      <c r="C4024" s="1" t="n">
        <v>45357</v>
      </c>
      <c r="D4024" t="inlineStr">
        <is>
          <t>VÄSTERBOTTENS LÄN</t>
        </is>
      </c>
      <c r="E4024" t="inlineStr">
        <is>
          <t>MALÅ</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58861-2020</t>
        </is>
      </c>
      <c r="B4025" s="1" t="n">
        <v>44146</v>
      </c>
      <c r="C4025" s="1" t="n">
        <v>45357</v>
      </c>
      <c r="D4025" t="inlineStr">
        <is>
          <t>VÄSTERBOTTENS LÄN</t>
        </is>
      </c>
      <c r="E4025" t="inlineStr">
        <is>
          <t>SKELLEFTEÅ</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58787-2020</t>
        </is>
      </c>
      <c r="B4026" s="1" t="n">
        <v>44146</v>
      </c>
      <c r="C4026" s="1" t="n">
        <v>45357</v>
      </c>
      <c r="D4026" t="inlineStr">
        <is>
          <t>VÄSTERBOTTENS LÄN</t>
        </is>
      </c>
      <c r="E4026" t="inlineStr">
        <is>
          <t>MALÅ</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58797-2020</t>
        </is>
      </c>
      <c r="B4027" s="1" t="n">
        <v>44146</v>
      </c>
      <c r="C4027" s="1" t="n">
        <v>45357</v>
      </c>
      <c r="D4027" t="inlineStr">
        <is>
          <t>VÄSTERBOTTENS LÄN</t>
        </is>
      </c>
      <c r="E4027" t="inlineStr">
        <is>
          <t>MALÅ</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58869-2020</t>
        </is>
      </c>
      <c r="B4028" s="1" t="n">
        <v>44146</v>
      </c>
      <c r="C4028" s="1" t="n">
        <v>45357</v>
      </c>
      <c r="D4028" t="inlineStr">
        <is>
          <t>VÄSTERBOTTENS LÄN</t>
        </is>
      </c>
      <c r="E4028" t="inlineStr">
        <is>
          <t>VINDELN</t>
        </is>
      </c>
      <c r="F4028" t="inlineStr">
        <is>
          <t>Holmen skog AB</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58913-2020</t>
        </is>
      </c>
      <c r="B4029" s="1" t="n">
        <v>44146</v>
      </c>
      <c r="C4029" s="1" t="n">
        <v>45357</v>
      </c>
      <c r="D4029" t="inlineStr">
        <is>
          <t>VÄSTERBOTTENS LÄN</t>
        </is>
      </c>
      <c r="E4029" t="inlineStr">
        <is>
          <t>UMEÅ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58916-2020</t>
        </is>
      </c>
      <c r="B4030" s="1" t="n">
        <v>44146</v>
      </c>
      <c r="C4030" s="1" t="n">
        <v>45357</v>
      </c>
      <c r="D4030" t="inlineStr">
        <is>
          <t>VÄSTERBOTTENS LÄN</t>
        </is>
      </c>
      <c r="E4030" t="inlineStr">
        <is>
          <t>UMEÅ</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58980-2020</t>
        </is>
      </c>
      <c r="B4031" s="1" t="n">
        <v>44146</v>
      </c>
      <c r="C4031" s="1" t="n">
        <v>45357</v>
      </c>
      <c r="D4031" t="inlineStr">
        <is>
          <t>VÄSTERBOTTENS LÄN</t>
        </is>
      </c>
      <c r="E4031" t="inlineStr">
        <is>
          <t>VINDELN</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59031-2020</t>
        </is>
      </c>
      <c r="B4032" s="1" t="n">
        <v>44147</v>
      </c>
      <c r="C4032" s="1" t="n">
        <v>45357</v>
      </c>
      <c r="D4032" t="inlineStr">
        <is>
          <t>VÄSTERBOTTENS LÄN</t>
        </is>
      </c>
      <c r="E4032" t="inlineStr">
        <is>
          <t>NORSJÖ</t>
        </is>
      </c>
      <c r="F4032" t="inlineStr">
        <is>
          <t>Sveaskog</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59029-2020</t>
        </is>
      </c>
      <c r="B4033" s="1" t="n">
        <v>44147</v>
      </c>
      <c r="C4033" s="1" t="n">
        <v>45357</v>
      </c>
      <c r="D4033" t="inlineStr">
        <is>
          <t>VÄSTERBOTTENS LÄN</t>
        </is>
      </c>
      <c r="E4033" t="inlineStr">
        <is>
          <t>LYCKSELE</t>
        </is>
      </c>
      <c r="F4033" t="inlineStr">
        <is>
          <t>Sveaskog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59253-2020</t>
        </is>
      </c>
      <c r="B4034" s="1" t="n">
        <v>44147</v>
      </c>
      <c r="C4034" s="1" t="n">
        <v>45357</v>
      </c>
      <c r="D4034" t="inlineStr">
        <is>
          <t>VÄSTERBOTTENS LÄN</t>
        </is>
      </c>
      <c r="E4034" t="inlineStr">
        <is>
          <t>ROBERTSFORS</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59264-2020</t>
        </is>
      </c>
      <c r="B4035" s="1" t="n">
        <v>44147</v>
      </c>
      <c r="C4035" s="1" t="n">
        <v>45357</v>
      </c>
      <c r="D4035" t="inlineStr">
        <is>
          <t>VÄSTERBOTTENS LÄN</t>
        </is>
      </c>
      <c r="E4035" t="inlineStr">
        <is>
          <t>LYCKSELE</t>
        </is>
      </c>
      <c r="F4035" t="inlineStr">
        <is>
          <t>Sveaskog</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59196-2020</t>
        </is>
      </c>
      <c r="B4036" s="1" t="n">
        <v>44147</v>
      </c>
      <c r="C4036" s="1" t="n">
        <v>45357</v>
      </c>
      <c r="D4036" t="inlineStr">
        <is>
          <t>VÄSTERBOTTENS LÄN</t>
        </is>
      </c>
      <c r="E4036" t="inlineStr">
        <is>
          <t>UMEÅ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59261-2020</t>
        </is>
      </c>
      <c r="B4037" s="1" t="n">
        <v>44147</v>
      </c>
      <c r="C4037" s="1" t="n">
        <v>45357</v>
      </c>
      <c r="D4037" t="inlineStr">
        <is>
          <t>VÄSTERBOTTENS LÄN</t>
        </is>
      </c>
      <c r="E4037" t="inlineStr">
        <is>
          <t>LYCKSELE</t>
        </is>
      </c>
      <c r="F4037" t="inlineStr">
        <is>
          <t>Sveaskog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59309-2020</t>
        </is>
      </c>
      <c r="B4038" s="1" t="n">
        <v>44147</v>
      </c>
      <c r="C4038" s="1" t="n">
        <v>45357</v>
      </c>
      <c r="D4038" t="inlineStr">
        <is>
          <t>VÄSTERBOTTENS LÄN</t>
        </is>
      </c>
      <c r="E4038" t="inlineStr">
        <is>
          <t>ÅSELE</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59358-2020</t>
        </is>
      </c>
      <c r="B4039" s="1" t="n">
        <v>44147</v>
      </c>
      <c r="C4039" s="1" t="n">
        <v>45357</v>
      </c>
      <c r="D4039" t="inlineStr">
        <is>
          <t>VÄSTERBOTTENS LÄN</t>
        </is>
      </c>
      <c r="E4039" t="inlineStr">
        <is>
          <t>NORDMALING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59408-2020</t>
        </is>
      </c>
      <c r="B4040" s="1" t="n">
        <v>44147</v>
      </c>
      <c r="C4040" s="1" t="n">
        <v>45357</v>
      </c>
      <c r="D4040" t="inlineStr">
        <is>
          <t>VÄSTERBOTTENS LÄN</t>
        </is>
      </c>
      <c r="E4040" t="inlineStr">
        <is>
          <t>SKELLEFTEÅ</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59307-2020</t>
        </is>
      </c>
      <c r="B4041" s="1" t="n">
        <v>44147</v>
      </c>
      <c r="C4041" s="1" t="n">
        <v>45357</v>
      </c>
      <c r="D4041" t="inlineStr">
        <is>
          <t>VÄSTERBOTTENS LÄN</t>
        </is>
      </c>
      <c r="E4041" t="inlineStr">
        <is>
          <t>ÅSELE</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59406-2020</t>
        </is>
      </c>
      <c r="B4042" s="1" t="n">
        <v>44147</v>
      </c>
      <c r="C4042" s="1" t="n">
        <v>45357</v>
      </c>
      <c r="D4042" t="inlineStr">
        <is>
          <t>VÄSTERBOTTENS LÄN</t>
        </is>
      </c>
      <c r="E4042" t="inlineStr">
        <is>
          <t>SKELLEFTEÅ</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59386-2020</t>
        </is>
      </c>
      <c r="B4043" s="1" t="n">
        <v>44148</v>
      </c>
      <c r="C4043" s="1" t="n">
        <v>45357</v>
      </c>
      <c r="D4043" t="inlineStr">
        <is>
          <t>VÄSTERBOTTENS LÄN</t>
        </is>
      </c>
      <c r="E4043" t="inlineStr">
        <is>
          <t>UMEÅ</t>
        </is>
      </c>
      <c r="F4043" t="inlineStr">
        <is>
          <t>Holmen skog AB</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59546-2020</t>
        </is>
      </c>
      <c r="B4044" s="1" t="n">
        <v>44148</v>
      </c>
      <c r="C4044" s="1" t="n">
        <v>45357</v>
      </c>
      <c r="D4044" t="inlineStr">
        <is>
          <t>VÄSTERBOTTENS LÄN</t>
        </is>
      </c>
      <c r="E4044" t="inlineStr">
        <is>
          <t>LYCKSELE</t>
        </is>
      </c>
      <c r="F4044" t="inlineStr">
        <is>
          <t>Holmen skog AB</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59518-2020</t>
        </is>
      </c>
      <c r="B4045" s="1" t="n">
        <v>44148</v>
      </c>
      <c r="C4045" s="1" t="n">
        <v>45357</v>
      </c>
      <c r="D4045" t="inlineStr">
        <is>
          <t>VÄSTERBOTTENS LÄN</t>
        </is>
      </c>
      <c r="E4045" t="inlineStr">
        <is>
          <t>SKELLEFTEÅ</t>
        </is>
      </c>
      <c r="F4045" t="inlineStr">
        <is>
          <t>Holmen skog AB</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59585-2020</t>
        </is>
      </c>
      <c r="B4046" s="1" t="n">
        <v>44148</v>
      </c>
      <c r="C4046" s="1" t="n">
        <v>45357</v>
      </c>
      <c r="D4046" t="inlineStr">
        <is>
          <t>VÄSTERBOTTENS LÄN</t>
        </is>
      </c>
      <c r="E4046" t="inlineStr">
        <is>
          <t>ÅSELE</t>
        </is>
      </c>
      <c r="F4046" t="inlineStr">
        <is>
          <t>Kommuner</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59917-2020</t>
        </is>
      </c>
      <c r="B4047" s="1" t="n">
        <v>44148</v>
      </c>
      <c r="C4047" s="1" t="n">
        <v>45357</v>
      </c>
      <c r="D4047" t="inlineStr">
        <is>
          <t>VÄSTERBOTTENS LÄN</t>
        </is>
      </c>
      <c r="E4047" t="inlineStr">
        <is>
          <t>SORSELE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59587-2020</t>
        </is>
      </c>
      <c r="B4048" s="1" t="n">
        <v>44148</v>
      </c>
      <c r="C4048" s="1" t="n">
        <v>45357</v>
      </c>
      <c r="D4048" t="inlineStr">
        <is>
          <t>VÄSTERBOTTENS LÄN</t>
        </is>
      </c>
      <c r="E4048" t="inlineStr">
        <is>
          <t>VILHELMINA</t>
        </is>
      </c>
      <c r="F4048" t="inlineStr">
        <is>
          <t>SCA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59911-2020</t>
        </is>
      </c>
      <c r="B4049" s="1" t="n">
        <v>44148</v>
      </c>
      <c r="C4049" s="1" t="n">
        <v>45357</v>
      </c>
      <c r="D4049" t="inlineStr">
        <is>
          <t>VÄSTERBOTTENS LÄN</t>
        </is>
      </c>
      <c r="E4049" t="inlineStr">
        <is>
          <t>SORSELE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59595-2020</t>
        </is>
      </c>
      <c r="B4050" s="1" t="n">
        <v>44148</v>
      </c>
      <c r="C4050" s="1" t="n">
        <v>45357</v>
      </c>
      <c r="D4050" t="inlineStr">
        <is>
          <t>VÄSTERBOTTENS LÄN</t>
        </is>
      </c>
      <c r="E4050" t="inlineStr">
        <is>
          <t>NORDMALING</t>
        </is>
      </c>
      <c r="F4050" t="inlineStr">
        <is>
          <t>SCA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59621-2020</t>
        </is>
      </c>
      <c r="B4051" s="1" t="n">
        <v>44150</v>
      </c>
      <c r="C4051" s="1" t="n">
        <v>45357</v>
      </c>
      <c r="D4051" t="inlineStr">
        <is>
          <t>VÄSTERBOTTENS LÄN</t>
        </is>
      </c>
      <c r="E4051" t="inlineStr">
        <is>
          <t>SORSELE</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59811-2020</t>
        </is>
      </c>
      <c r="B4052" s="1" t="n">
        <v>44151</v>
      </c>
      <c r="C4052" s="1" t="n">
        <v>45357</v>
      </c>
      <c r="D4052" t="inlineStr">
        <is>
          <t>VÄSTERBOTTENS LÄN</t>
        </is>
      </c>
      <c r="E4052" t="inlineStr">
        <is>
          <t>VINDELN</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59870-2020</t>
        </is>
      </c>
      <c r="B4053" s="1" t="n">
        <v>44151</v>
      </c>
      <c r="C4053" s="1" t="n">
        <v>45357</v>
      </c>
      <c r="D4053" t="inlineStr">
        <is>
          <t>VÄSTERBOTTENS LÄN</t>
        </is>
      </c>
      <c r="E4053" t="inlineStr">
        <is>
          <t>SKELLEFTEÅ</t>
        </is>
      </c>
      <c r="F4053" t="inlineStr">
        <is>
          <t>Kommuner</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60033-2020</t>
        </is>
      </c>
      <c r="B4054" s="1" t="n">
        <v>44151</v>
      </c>
      <c r="C4054" s="1" t="n">
        <v>45357</v>
      </c>
      <c r="D4054" t="inlineStr">
        <is>
          <t>VÄSTERBOTTENS LÄN</t>
        </is>
      </c>
      <c r="E4054" t="inlineStr">
        <is>
          <t>ÅSELE</t>
        </is>
      </c>
      <c r="F4054" t="inlineStr">
        <is>
          <t>SCA</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60090-2020</t>
        </is>
      </c>
      <c r="B4055" s="1" t="n">
        <v>44151</v>
      </c>
      <c r="C4055" s="1" t="n">
        <v>45357</v>
      </c>
      <c r="D4055" t="inlineStr">
        <is>
          <t>VÄSTERBOTTENS LÄN</t>
        </is>
      </c>
      <c r="E4055" t="inlineStr">
        <is>
          <t>VILHELMINA</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59904-2020</t>
        </is>
      </c>
      <c r="B4056" s="1" t="n">
        <v>44151</v>
      </c>
      <c r="C4056" s="1" t="n">
        <v>45357</v>
      </c>
      <c r="D4056" t="inlineStr">
        <is>
          <t>VÄSTERBOTTENS LÄN</t>
        </is>
      </c>
      <c r="E4056" t="inlineStr">
        <is>
          <t>NORDMALING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60041-2020</t>
        </is>
      </c>
      <c r="B4057" s="1" t="n">
        <v>44151</v>
      </c>
      <c r="C4057" s="1" t="n">
        <v>45357</v>
      </c>
      <c r="D4057" t="inlineStr">
        <is>
          <t>VÄSTERBOTTENS LÄN</t>
        </is>
      </c>
      <c r="E4057" t="inlineStr">
        <is>
          <t>DOROTEA</t>
        </is>
      </c>
      <c r="F4057" t="inlineStr">
        <is>
          <t>SCA</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60157-2020</t>
        </is>
      </c>
      <c r="B4058" s="1" t="n">
        <v>44151</v>
      </c>
      <c r="C4058" s="1" t="n">
        <v>45357</v>
      </c>
      <c r="D4058" t="inlineStr">
        <is>
          <t>VÄSTERBOTTENS LÄN</t>
        </is>
      </c>
      <c r="E4058" t="inlineStr">
        <is>
          <t>UMEÅ</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60337-2020</t>
        </is>
      </c>
      <c r="B4059" s="1" t="n">
        <v>44151</v>
      </c>
      <c r="C4059" s="1" t="n">
        <v>45357</v>
      </c>
      <c r="D4059" t="inlineStr">
        <is>
          <t>VÄSTERBOTTENS LÄN</t>
        </is>
      </c>
      <c r="E4059" t="inlineStr">
        <is>
          <t>VINDELN</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60032-2020</t>
        </is>
      </c>
      <c r="B4060" s="1" t="n">
        <v>44151</v>
      </c>
      <c r="C4060" s="1" t="n">
        <v>45357</v>
      </c>
      <c r="D4060" t="inlineStr">
        <is>
          <t>VÄSTERBOTTENS LÄN</t>
        </is>
      </c>
      <c r="E4060" t="inlineStr">
        <is>
          <t>ÅSELE</t>
        </is>
      </c>
      <c r="F4060" t="inlineStr">
        <is>
          <t>SCA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60152-2020</t>
        </is>
      </c>
      <c r="B4061" s="1" t="n">
        <v>44151</v>
      </c>
      <c r="C4061" s="1" t="n">
        <v>45357</v>
      </c>
      <c r="D4061" t="inlineStr">
        <is>
          <t>VÄSTERBOTTENS LÄN</t>
        </is>
      </c>
      <c r="E4061" t="inlineStr">
        <is>
          <t>SKELLEFTEÅ</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60287-2020</t>
        </is>
      </c>
      <c r="B4062" s="1" t="n">
        <v>44151</v>
      </c>
      <c r="C4062" s="1" t="n">
        <v>45357</v>
      </c>
      <c r="D4062" t="inlineStr">
        <is>
          <t>VÄSTERBOTTENS LÄN</t>
        </is>
      </c>
      <c r="E4062" t="inlineStr">
        <is>
          <t>VINDELN</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60038-2020</t>
        </is>
      </c>
      <c r="B4063" s="1" t="n">
        <v>44151</v>
      </c>
      <c r="C4063" s="1" t="n">
        <v>45357</v>
      </c>
      <c r="D4063" t="inlineStr">
        <is>
          <t>VÄSTERBOTTENS LÄN</t>
        </is>
      </c>
      <c r="E4063" t="inlineStr">
        <is>
          <t>ÅSELE</t>
        </is>
      </c>
      <c r="F4063" t="inlineStr">
        <is>
          <t>SCA</t>
        </is>
      </c>
      <c r="G4063" t="n">
        <v>9.6</v>
      </c>
      <c r="H4063" t="n">
        <v>0</v>
      </c>
      <c r="I4063" t="n">
        <v>0</v>
      </c>
      <c r="J4063" t="n">
        <v>0</v>
      </c>
      <c r="K4063" t="n">
        <v>0</v>
      </c>
      <c r="L4063" t="n">
        <v>0</v>
      </c>
      <c r="M4063" t="n">
        <v>0</v>
      </c>
      <c r="N4063" t="n">
        <v>0</v>
      </c>
      <c r="O4063" t="n">
        <v>0</v>
      </c>
      <c r="P4063" t="n">
        <v>0</v>
      </c>
      <c r="Q4063" t="n">
        <v>0</v>
      </c>
      <c r="R4063" s="2" t="inlineStr"/>
    </row>
    <row r="4064" ht="15" customHeight="1">
      <c r="A4064" t="inlineStr">
        <is>
          <t>A 60088-2020</t>
        </is>
      </c>
      <c r="B4064" s="1" t="n">
        <v>44152</v>
      </c>
      <c r="C4064" s="1" t="n">
        <v>45357</v>
      </c>
      <c r="D4064" t="inlineStr">
        <is>
          <t>VÄSTERBOTTENS LÄN</t>
        </is>
      </c>
      <c r="E4064" t="inlineStr">
        <is>
          <t>ROBERTSFORS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60216-2020</t>
        </is>
      </c>
      <c r="B4065" s="1" t="n">
        <v>44152</v>
      </c>
      <c r="C4065" s="1" t="n">
        <v>45357</v>
      </c>
      <c r="D4065" t="inlineStr">
        <is>
          <t>VÄSTERBOTTENS LÄN</t>
        </is>
      </c>
      <c r="E4065" t="inlineStr">
        <is>
          <t>NORSJÖ</t>
        </is>
      </c>
      <c r="F4065" t="inlineStr">
        <is>
          <t>Sveaskog</t>
        </is>
      </c>
      <c r="G4065" t="n">
        <v>11.3</v>
      </c>
      <c r="H4065" t="n">
        <v>0</v>
      </c>
      <c r="I4065" t="n">
        <v>0</v>
      </c>
      <c r="J4065" t="n">
        <v>0</v>
      </c>
      <c r="K4065" t="n">
        <v>0</v>
      </c>
      <c r="L4065" t="n">
        <v>0</v>
      </c>
      <c r="M4065" t="n">
        <v>0</v>
      </c>
      <c r="N4065" t="n">
        <v>0</v>
      </c>
      <c r="O4065" t="n">
        <v>0</v>
      </c>
      <c r="P4065" t="n">
        <v>0</v>
      </c>
      <c r="Q4065" t="n">
        <v>0</v>
      </c>
      <c r="R4065" s="2" t="inlineStr"/>
    </row>
    <row r="4066" ht="15" customHeight="1">
      <c r="A4066" t="inlineStr">
        <is>
          <t>A 60117-2020</t>
        </is>
      </c>
      <c r="B4066" s="1" t="n">
        <v>44152</v>
      </c>
      <c r="C4066" s="1" t="n">
        <v>45357</v>
      </c>
      <c r="D4066" t="inlineStr">
        <is>
          <t>VÄSTERBOTTENS LÄN</t>
        </is>
      </c>
      <c r="E4066" t="inlineStr">
        <is>
          <t>BJURHOLM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60114-2020</t>
        </is>
      </c>
      <c r="B4067" s="1" t="n">
        <v>44152</v>
      </c>
      <c r="C4067" s="1" t="n">
        <v>45357</v>
      </c>
      <c r="D4067" t="inlineStr">
        <is>
          <t>VÄSTERBOTTENS LÄN</t>
        </is>
      </c>
      <c r="E4067" t="inlineStr">
        <is>
          <t>BJURHOLM</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60226-2020</t>
        </is>
      </c>
      <c r="B4068" s="1" t="n">
        <v>44152</v>
      </c>
      <c r="C4068" s="1" t="n">
        <v>45357</v>
      </c>
      <c r="D4068" t="inlineStr">
        <is>
          <t>VÄSTERBOTTENS LÄN</t>
        </is>
      </c>
      <c r="E4068" t="inlineStr">
        <is>
          <t>NORSJÖ</t>
        </is>
      </c>
      <c r="F4068" t="inlineStr">
        <is>
          <t>Sveaskog</t>
        </is>
      </c>
      <c r="G4068" t="n">
        <v>17.4</v>
      </c>
      <c r="H4068" t="n">
        <v>0</v>
      </c>
      <c r="I4068" t="n">
        <v>0</v>
      </c>
      <c r="J4068" t="n">
        <v>0</v>
      </c>
      <c r="K4068" t="n">
        <v>0</v>
      </c>
      <c r="L4068" t="n">
        <v>0</v>
      </c>
      <c r="M4068" t="n">
        <v>0</v>
      </c>
      <c r="N4068" t="n">
        <v>0</v>
      </c>
      <c r="O4068" t="n">
        <v>0</v>
      </c>
      <c r="P4068" t="n">
        <v>0</v>
      </c>
      <c r="Q4068" t="n">
        <v>0</v>
      </c>
      <c r="R4068" s="2" t="inlineStr"/>
    </row>
    <row r="4069" ht="15" customHeight="1">
      <c r="A4069" t="inlineStr">
        <is>
          <t>A 60402-2020</t>
        </is>
      </c>
      <c r="B4069" s="1" t="n">
        <v>44152</v>
      </c>
      <c r="C4069" s="1" t="n">
        <v>45357</v>
      </c>
      <c r="D4069" t="inlineStr">
        <is>
          <t>VÄSTERBOTTENS LÄN</t>
        </is>
      </c>
      <c r="E4069" t="inlineStr">
        <is>
          <t>NORDMALING</t>
        </is>
      </c>
      <c r="F4069" t="inlineStr">
        <is>
          <t>SCA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60399-2020</t>
        </is>
      </c>
      <c r="B4070" s="1" t="n">
        <v>44152</v>
      </c>
      <c r="C4070" s="1" t="n">
        <v>45357</v>
      </c>
      <c r="D4070" t="inlineStr">
        <is>
          <t>VÄSTERBOTTENS LÄN</t>
        </is>
      </c>
      <c r="E4070" t="inlineStr">
        <is>
          <t>DOROTEA</t>
        </is>
      </c>
      <c r="F4070" t="inlineStr">
        <is>
          <t>SCA</t>
        </is>
      </c>
      <c r="G4070" t="n">
        <v>9.9</v>
      </c>
      <c r="H4070" t="n">
        <v>0</v>
      </c>
      <c r="I4070" t="n">
        <v>0</v>
      </c>
      <c r="J4070" t="n">
        <v>0</v>
      </c>
      <c r="K4070" t="n">
        <v>0</v>
      </c>
      <c r="L4070" t="n">
        <v>0</v>
      </c>
      <c r="M4070" t="n">
        <v>0</v>
      </c>
      <c r="N4070" t="n">
        <v>0</v>
      </c>
      <c r="O4070" t="n">
        <v>0</v>
      </c>
      <c r="P4070" t="n">
        <v>0</v>
      </c>
      <c r="Q4070" t="n">
        <v>0</v>
      </c>
      <c r="R4070" s="2" t="inlineStr"/>
    </row>
    <row r="4071" ht="15" customHeight="1">
      <c r="A4071" t="inlineStr">
        <is>
          <t>A 60489-2020</t>
        </is>
      </c>
      <c r="B4071" s="1" t="n">
        <v>44152</v>
      </c>
      <c r="C4071" s="1" t="n">
        <v>45357</v>
      </c>
      <c r="D4071" t="inlineStr">
        <is>
          <t>VÄSTERBOTTENS LÄN</t>
        </is>
      </c>
      <c r="E4071" t="inlineStr">
        <is>
          <t>SKELLEFTEÅ</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60596-2020</t>
        </is>
      </c>
      <c r="B4072" s="1" t="n">
        <v>44152</v>
      </c>
      <c r="C4072" s="1" t="n">
        <v>45357</v>
      </c>
      <c r="D4072" t="inlineStr">
        <is>
          <t>VÄSTERBOTTENS LÄN</t>
        </is>
      </c>
      <c r="E4072" t="inlineStr">
        <is>
          <t>ÅSELE</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60469-2020</t>
        </is>
      </c>
      <c r="B4073" s="1" t="n">
        <v>44152</v>
      </c>
      <c r="C4073" s="1" t="n">
        <v>45357</v>
      </c>
      <c r="D4073" t="inlineStr">
        <is>
          <t>VÄSTERBOTTENS LÄN</t>
        </is>
      </c>
      <c r="E4073" t="inlineStr">
        <is>
          <t>VÄNNÄS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60398-2020</t>
        </is>
      </c>
      <c r="B4074" s="1" t="n">
        <v>44152</v>
      </c>
      <c r="C4074" s="1" t="n">
        <v>45357</v>
      </c>
      <c r="D4074" t="inlineStr">
        <is>
          <t>VÄSTERBOTTENS LÄN</t>
        </is>
      </c>
      <c r="E4074" t="inlineStr">
        <is>
          <t>DOROTEA</t>
        </is>
      </c>
      <c r="F4074" t="inlineStr">
        <is>
          <t>SCA</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60403-2020</t>
        </is>
      </c>
      <c r="B4075" s="1" t="n">
        <v>44152</v>
      </c>
      <c r="C4075" s="1" t="n">
        <v>45357</v>
      </c>
      <c r="D4075" t="inlineStr">
        <is>
          <t>VÄSTERBOTTENS LÄN</t>
        </is>
      </c>
      <c r="E4075" t="inlineStr">
        <is>
          <t>NORDMALING</t>
        </is>
      </c>
      <c r="F4075" t="inlineStr">
        <is>
          <t>SCA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60502-2020</t>
        </is>
      </c>
      <c r="B4076" s="1" t="n">
        <v>44152</v>
      </c>
      <c r="C4076" s="1" t="n">
        <v>45357</v>
      </c>
      <c r="D4076" t="inlineStr">
        <is>
          <t>VÄSTERBOTTENS LÄN</t>
        </is>
      </c>
      <c r="E4076" t="inlineStr">
        <is>
          <t>VÄNNÄS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60111-2020</t>
        </is>
      </c>
      <c r="B4077" s="1" t="n">
        <v>44152</v>
      </c>
      <c r="C4077" s="1" t="n">
        <v>45357</v>
      </c>
      <c r="D4077" t="inlineStr">
        <is>
          <t>VÄSTERBOTTENS LÄN</t>
        </is>
      </c>
      <c r="E4077" t="inlineStr">
        <is>
          <t>BJURHOLM</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60747-2020</t>
        </is>
      </c>
      <c r="B4078" s="1" t="n">
        <v>44153</v>
      </c>
      <c r="C4078" s="1" t="n">
        <v>45357</v>
      </c>
      <c r="D4078" t="inlineStr">
        <is>
          <t>VÄSTERBOTTENS LÄN</t>
        </is>
      </c>
      <c r="E4078" t="inlineStr">
        <is>
          <t>VINDELN</t>
        </is>
      </c>
      <c r="F4078" t="inlineStr">
        <is>
          <t>SCA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60812-2020</t>
        </is>
      </c>
      <c r="B4079" s="1" t="n">
        <v>44153</v>
      </c>
      <c r="C4079" s="1" t="n">
        <v>45357</v>
      </c>
      <c r="D4079" t="inlineStr">
        <is>
          <t>VÄSTERBOTTENS LÄN</t>
        </is>
      </c>
      <c r="E4079" t="inlineStr">
        <is>
          <t>VILHELMINA</t>
        </is>
      </c>
      <c r="F4079" t="inlineStr">
        <is>
          <t>Allmännings- och besparingsskogar</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60754-2020</t>
        </is>
      </c>
      <c r="B4080" s="1" t="n">
        <v>44153</v>
      </c>
      <c r="C4080" s="1" t="n">
        <v>45357</v>
      </c>
      <c r="D4080" t="inlineStr">
        <is>
          <t>VÄSTERBOTTENS LÄN</t>
        </is>
      </c>
      <c r="E4080" t="inlineStr">
        <is>
          <t>VINDELN</t>
        </is>
      </c>
      <c r="F4080" t="inlineStr">
        <is>
          <t>SCA</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61260-2020</t>
        </is>
      </c>
      <c r="B4081" s="1" t="n">
        <v>44153</v>
      </c>
      <c r="C4081" s="1" t="n">
        <v>45357</v>
      </c>
      <c r="D4081" t="inlineStr">
        <is>
          <t>VÄSTERBOTTENS LÄN</t>
        </is>
      </c>
      <c r="E4081" t="inlineStr">
        <is>
          <t>SKELLEFTEÅ</t>
        </is>
      </c>
      <c r="G4081" t="n">
        <v>16.1</v>
      </c>
      <c r="H4081" t="n">
        <v>0</v>
      </c>
      <c r="I4081" t="n">
        <v>0</v>
      </c>
      <c r="J4081" t="n">
        <v>0</v>
      </c>
      <c r="K4081" t="n">
        <v>0</v>
      </c>
      <c r="L4081" t="n">
        <v>0</v>
      </c>
      <c r="M4081" t="n">
        <v>0</v>
      </c>
      <c r="N4081" t="n">
        <v>0</v>
      </c>
      <c r="O4081" t="n">
        <v>0</v>
      </c>
      <c r="P4081" t="n">
        <v>0</v>
      </c>
      <c r="Q4081" t="n">
        <v>0</v>
      </c>
      <c r="R4081" s="2" t="inlineStr"/>
    </row>
    <row r="4082" ht="15" customHeight="1">
      <c r="A4082" t="inlineStr">
        <is>
          <t>A 61241-2020</t>
        </is>
      </c>
      <c r="B4082" s="1" t="n">
        <v>44153</v>
      </c>
      <c r="C4082" s="1" t="n">
        <v>45357</v>
      </c>
      <c r="D4082" t="inlineStr">
        <is>
          <t>VÄSTERBOTTENS LÄN</t>
        </is>
      </c>
      <c r="E4082" t="inlineStr">
        <is>
          <t>UMEÅ</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61018-2020</t>
        </is>
      </c>
      <c r="B4083" s="1" t="n">
        <v>44154</v>
      </c>
      <c r="C4083" s="1" t="n">
        <v>45357</v>
      </c>
      <c r="D4083" t="inlineStr">
        <is>
          <t>VÄSTERBOTTENS LÄN</t>
        </is>
      </c>
      <c r="E4083" t="inlineStr">
        <is>
          <t>VINDELN</t>
        </is>
      </c>
      <c r="F4083" t="inlineStr">
        <is>
          <t>Holmen skog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61129-2020</t>
        </is>
      </c>
      <c r="B4084" s="1" t="n">
        <v>44154</v>
      </c>
      <c r="C4084" s="1" t="n">
        <v>45357</v>
      </c>
      <c r="D4084" t="inlineStr">
        <is>
          <t>VÄSTERBOTTENS LÄN</t>
        </is>
      </c>
      <c r="E4084" t="inlineStr">
        <is>
          <t>VILHELMINA</t>
        </is>
      </c>
      <c r="F4084" t="inlineStr">
        <is>
          <t>SCA</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61585-2020</t>
        </is>
      </c>
      <c r="B4085" s="1" t="n">
        <v>44154</v>
      </c>
      <c r="C4085" s="1" t="n">
        <v>45357</v>
      </c>
      <c r="D4085" t="inlineStr">
        <is>
          <t>VÄSTERBOTTENS LÄN</t>
        </is>
      </c>
      <c r="E4085" t="inlineStr">
        <is>
          <t>BJURHOLM</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61672-2020</t>
        </is>
      </c>
      <c r="B4086" s="1" t="n">
        <v>44155</v>
      </c>
      <c r="C4086" s="1" t="n">
        <v>45357</v>
      </c>
      <c r="D4086" t="inlineStr">
        <is>
          <t>VÄSTERBOTTENS LÄN</t>
        </is>
      </c>
      <c r="E4086" t="inlineStr">
        <is>
          <t>STORUMAN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61920-2020</t>
        </is>
      </c>
      <c r="B4087" s="1" t="n">
        <v>44155</v>
      </c>
      <c r="C4087" s="1" t="n">
        <v>45357</v>
      </c>
      <c r="D4087" t="inlineStr">
        <is>
          <t>VÄSTERBOTTENS LÄN</t>
        </is>
      </c>
      <c r="E4087" t="inlineStr">
        <is>
          <t>VILHELMINA</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61196-2020</t>
        </is>
      </c>
      <c r="B4088" s="1" t="n">
        <v>44155</v>
      </c>
      <c r="C4088" s="1" t="n">
        <v>45357</v>
      </c>
      <c r="D4088" t="inlineStr">
        <is>
          <t>VÄSTERBOTTENS LÄN</t>
        </is>
      </c>
      <c r="E4088" t="inlineStr">
        <is>
          <t>NORSJÖ</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61351-2020</t>
        </is>
      </c>
      <c r="B4089" s="1" t="n">
        <v>44155</v>
      </c>
      <c r="C4089" s="1" t="n">
        <v>45357</v>
      </c>
      <c r="D4089" t="inlineStr">
        <is>
          <t>VÄSTERBOTTENS LÄN</t>
        </is>
      </c>
      <c r="E4089" t="inlineStr">
        <is>
          <t>UMEÅ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61937-2020</t>
        </is>
      </c>
      <c r="B4090" s="1" t="n">
        <v>44155</v>
      </c>
      <c r="C4090" s="1" t="n">
        <v>45357</v>
      </c>
      <c r="D4090" t="inlineStr">
        <is>
          <t>VÄSTERBOTTENS LÄN</t>
        </is>
      </c>
      <c r="E4090" t="inlineStr">
        <is>
          <t>SKELLEFTEÅ</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61958-2020</t>
        </is>
      </c>
      <c r="B4091" s="1" t="n">
        <v>44155</v>
      </c>
      <c r="C4091" s="1" t="n">
        <v>45357</v>
      </c>
      <c r="D4091" t="inlineStr">
        <is>
          <t>VÄSTERBOTTENS LÄN</t>
        </is>
      </c>
      <c r="E4091" t="inlineStr">
        <is>
          <t>SKELLEFTEÅ</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61412-2020</t>
        </is>
      </c>
      <c r="B4092" s="1" t="n">
        <v>44156</v>
      </c>
      <c r="C4092" s="1" t="n">
        <v>45357</v>
      </c>
      <c r="D4092" t="inlineStr">
        <is>
          <t>VÄSTERBOTTENS LÄN</t>
        </is>
      </c>
      <c r="E4092" t="inlineStr">
        <is>
          <t>BJURHOLM</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61444-2020</t>
        </is>
      </c>
      <c r="B4093" s="1" t="n">
        <v>44157</v>
      </c>
      <c r="C4093" s="1" t="n">
        <v>45357</v>
      </c>
      <c r="D4093" t="inlineStr">
        <is>
          <t>VÄSTERBOTTENS LÄN</t>
        </is>
      </c>
      <c r="E4093" t="inlineStr">
        <is>
          <t>NORDMALING</t>
        </is>
      </c>
      <c r="F4093" t="inlineStr">
        <is>
          <t>SCA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61445-2020</t>
        </is>
      </c>
      <c r="B4094" s="1" t="n">
        <v>44157</v>
      </c>
      <c r="C4094" s="1" t="n">
        <v>45357</v>
      </c>
      <c r="D4094" t="inlineStr">
        <is>
          <t>VÄSTERBOTTENS LÄN</t>
        </is>
      </c>
      <c r="E4094" t="inlineStr">
        <is>
          <t>NORDMALING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61451-2020</t>
        </is>
      </c>
      <c r="B4095" s="1" t="n">
        <v>44158</v>
      </c>
      <c r="C4095" s="1" t="n">
        <v>45357</v>
      </c>
      <c r="D4095" t="inlineStr">
        <is>
          <t>VÄSTERBOTTENS LÄN</t>
        </is>
      </c>
      <c r="E4095" t="inlineStr">
        <is>
          <t>UMEÅ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61634-2020</t>
        </is>
      </c>
      <c r="B4096" s="1" t="n">
        <v>44158</v>
      </c>
      <c r="C4096" s="1" t="n">
        <v>45357</v>
      </c>
      <c r="D4096" t="inlineStr">
        <is>
          <t>VÄSTERBOTTENS LÄN</t>
        </is>
      </c>
      <c r="E4096" t="inlineStr">
        <is>
          <t>LYCKSELE</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61450-2020</t>
        </is>
      </c>
      <c r="B4097" s="1" t="n">
        <v>44158</v>
      </c>
      <c r="C4097" s="1" t="n">
        <v>45357</v>
      </c>
      <c r="D4097" t="inlineStr">
        <is>
          <t>VÄSTERBOTTENS LÄN</t>
        </is>
      </c>
      <c r="E4097" t="inlineStr">
        <is>
          <t>UMEÅ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61630-2020</t>
        </is>
      </c>
      <c r="B4098" s="1" t="n">
        <v>44158</v>
      </c>
      <c r="C4098" s="1" t="n">
        <v>45357</v>
      </c>
      <c r="D4098" t="inlineStr">
        <is>
          <t>VÄSTERBOTTENS LÄN</t>
        </is>
      </c>
      <c r="E4098" t="inlineStr">
        <is>
          <t>LYCKSELE</t>
        </is>
      </c>
      <c r="F4098" t="inlineStr">
        <is>
          <t>Sveaskog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61714-2020</t>
        </is>
      </c>
      <c r="B4099" s="1" t="n">
        <v>44158</v>
      </c>
      <c r="C4099" s="1" t="n">
        <v>45357</v>
      </c>
      <c r="D4099" t="inlineStr">
        <is>
          <t>VÄSTERBOTTENS LÄN</t>
        </is>
      </c>
      <c r="E4099" t="inlineStr">
        <is>
          <t>VINDELN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61918-2020</t>
        </is>
      </c>
      <c r="B4100" s="1" t="n">
        <v>44158</v>
      </c>
      <c r="C4100" s="1" t="n">
        <v>45357</v>
      </c>
      <c r="D4100" t="inlineStr">
        <is>
          <t>VÄSTERBOTTENS LÄN</t>
        </is>
      </c>
      <c r="E4100" t="inlineStr">
        <is>
          <t>UMEÅ</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62332-2020</t>
        </is>
      </c>
      <c r="B4101" s="1" t="n">
        <v>44158</v>
      </c>
      <c r="C4101" s="1" t="n">
        <v>45357</v>
      </c>
      <c r="D4101" t="inlineStr">
        <is>
          <t>VÄSTERBOTTENS LÄN</t>
        </is>
      </c>
      <c r="E4101" t="inlineStr">
        <is>
          <t>UMEÅ</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62476-2020</t>
        </is>
      </c>
      <c r="B4102" s="1" t="n">
        <v>44158</v>
      </c>
      <c r="C4102" s="1" t="n">
        <v>45357</v>
      </c>
      <c r="D4102" t="inlineStr">
        <is>
          <t>VÄSTERBOTTENS LÄN</t>
        </is>
      </c>
      <c r="E4102" t="inlineStr">
        <is>
          <t>VÄNNÄS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62100-2020</t>
        </is>
      </c>
      <c r="B4103" s="1" t="n">
        <v>44159</v>
      </c>
      <c r="C4103" s="1" t="n">
        <v>45357</v>
      </c>
      <c r="D4103" t="inlineStr">
        <is>
          <t>VÄSTERBOTTENS LÄN</t>
        </is>
      </c>
      <c r="E4103" t="inlineStr">
        <is>
          <t>NORSJÖ</t>
        </is>
      </c>
      <c r="F4103" t="inlineStr">
        <is>
          <t>Sveaskog</t>
        </is>
      </c>
      <c r="G4103" t="n">
        <v>21.3</v>
      </c>
      <c r="H4103" t="n">
        <v>0</v>
      </c>
      <c r="I4103" t="n">
        <v>0</v>
      </c>
      <c r="J4103" t="n">
        <v>0</v>
      </c>
      <c r="K4103" t="n">
        <v>0</v>
      </c>
      <c r="L4103" t="n">
        <v>0</v>
      </c>
      <c r="M4103" t="n">
        <v>0</v>
      </c>
      <c r="N4103" t="n">
        <v>0</v>
      </c>
      <c r="O4103" t="n">
        <v>0</v>
      </c>
      <c r="P4103" t="n">
        <v>0</v>
      </c>
      <c r="Q4103" t="n">
        <v>0</v>
      </c>
      <c r="R4103" s="2" t="inlineStr"/>
    </row>
    <row r="4104" ht="15" customHeight="1">
      <c r="A4104" t="inlineStr">
        <is>
          <t>A 62037-2020</t>
        </is>
      </c>
      <c r="B4104" s="1" t="n">
        <v>44159</v>
      </c>
      <c r="C4104" s="1" t="n">
        <v>45357</v>
      </c>
      <c r="D4104" t="inlineStr">
        <is>
          <t>VÄSTERBOTTENS LÄN</t>
        </is>
      </c>
      <c r="E4104" t="inlineStr">
        <is>
          <t>NORSJÖ</t>
        </is>
      </c>
      <c r="F4104" t="inlineStr">
        <is>
          <t>Sveaskog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62158-2020</t>
        </is>
      </c>
      <c r="B4105" s="1" t="n">
        <v>44159</v>
      </c>
      <c r="C4105" s="1" t="n">
        <v>45357</v>
      </c>
      <c r="D4105" t="inlineStr">
        <is>
          <t>VÄSTERBOTTENS LÄN</t>
        </is>
      </c>
      <c r="E4105" t="inlineStr">
        <is>
          <t>SKELLEFTEÅ</t>
        </is>
      </c>
      <c r="F4105" t="inlineStr">
        <is>
          <t>Sveaskog</t>
        </is>
      </c>
      <c r="G4105" t="n">
        <v>14.7</v>
      </c>
      <c r="H4105" t="n">
        <v>0</v>
      </c>
      <c r="I4105" t="n">
        <v>0</v>
      </c>
      <c r="J4105" t="n">
        <v>0</v>
      </c>
      <c r="K4105" t="n">
        <v>0</v>
      </c>
      <c r="L4105" t="n">
        <v>0</v>
      </c>
      <c r="M4105" t="n">
        <v>0</v>
      </c>
      <c r="N4105" t="n">
        <v>0</v>
      </c>
      <c r="O4105" t="n">
        <v>0</v>
      </c>
      <c r="P4105" t="n">
        <v>0</v>
      </c>
      <c r="Q4105" t="n">
        <v>0</v>
      </c>
      <c r="R4105" s="2" t="inlineStr"/>
    </row>
    <row r="4106" ht="15" customHeight="1">
      <c r="A4106" t="inlineStr">
        <is>
          <t>A 62466-2020</t>
        </is>
      </c>
      <c r="B4106" s="1" t="n">
        <v>44160</v>
      </c>
      <c r="C4106" s="1" t="n">
        <v>45357</v>
      </c>
      <c r="D4106" t="inlineStr">
        <is>
          <t>VÄSTERBOTTENS LÄN</t>
        </is>
      </c>
      <c r="E4106" t="inlineStr">
        <is>
          <t>SKELLEFTEÅ</t>
        </is>
      </c>
      <c r="F4106" t="inlineStr">
        <is>
          <t>Sveaskog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62289-2020</t>
        </is>
      </c>
      <c r="B4107" s="1" t="n">
        <v>44160</v>
      </c>
      <c r="C4107" s="1" t="n">
        <v>45357</v>
      </c>
      <c r="D4107" t="inlineStr">
        <is>
          <t>VÄSTERBOTTENS LÄN</t>
        </is>
      </c>
      <c r="E4107" t="inlineStr">
        <is>
          <t>ROBERTSFORS</t>
        </is>
      </c>
      <c r="F4107" t="inlineStr">
        <is>
          <t>Holmen skog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62467-2020</t>
        </is>
      </c>
      <c r="B4108" s="1" t="n">
        <v>44160</v>
      </c>
      <c r="C4108" s="1" t="n">
        <v>45357</v>
      </c>
      <c r="D4108" t="inlineStr">
        <is>
          <t>VÄSTERBOTTENS LÄN</t>
        </is>
      </c>
      <c r="E4108" t="inlineStr">
        <is>
          <t>SKELLEFTEÅ</t>
        </is>
      </c>
      <c r="F4108" t="inlineStr">
        <is>
          <t>Sveaskog</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62937-2020</t>
        </is>
      </c>
      <c r="B4109" s="1" t="n">
        <v>44160</v>
      </c>
      <c r="C4109" s="1" t="n">
        <v>45357</v>
      </c>
      <c r="D4109" t="inlineStr">
        <is>
          <t>VÄSTERBOTTENS LÄN</t>
        </is>
      </c>
      <c r="E4109" t="inlineStr">
        <is>
          <t>UMEÅ</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62581-2020</t>
        </is>
      </c>
      <c r="B4110" s="1" t="n">
        <v>44160</v>
      </c>
      <c r="C4110" s="1" t="n">
        <v>45357</v>
      </c>
      <c r="D4110" t="inlineStr">
        <is>
          <t>VÄSTERBOTTENS LÄN</t>
        </is>
      </c>
      <c r="E4110" t="inlineStr">
        <is>
          <t>UMEÅ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62763-2020</t>
        </is>
      </c>
      <c r="B4111" s="1" t="n">
        <v>44160</v>
      </c>
      <c r="C4111" s="1" t="n">
        <v>45357</v>
      </c>
      <c r="D4111" t="inlineStr">
        <is>
          <t>VÄSTERBOTTENS LÄN</t>
        </is>
      </c>
      <c r="E4111" t="inlineStr">
        <is>
          <t>SKELLEFTEÅ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62592-2020</t>
        </is>
      </c>
      <c r="B4112" s="1" t="n">
        <v>44161</v>
      </c>
      <c r="C4112" s="1" t="n">
        <v>45357</v>
      </c>
      <c r="D4112" t="inlineStr">
        <is>
          <t>VÄSTERBOTTENS LÄN</t>
        </is>
      </c>
      <c r="E4112" t="inlineStr">
        <is>
          <t>SKELLEFTEÅ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62701-2020</t>
        </is>
      </c>
      <c r="B4113" s="1" t="n">
        <v>44161</v>
      </c>
      <c r="C4113" s="1" t="n">
        <v>45357</v>
      </c>
      <c r="D4113" t="inlineStr">
        <is>
          <t>VÄSTERBOTTENS LÄN</t>
        </is>
      </c>
      <c r="E4113" t="inlineStr">
        <is>
          <t>NORSJÖ</t>
        </is>
      </c>
      <c r="F4113" t="inlineStr">
        <is>
          <t>Sveaskog</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62884-2020</t>
        </is>
      </c>
      <c r="B4114" s="1" t="n">
        <v>44161</v>
      </c>
      <c r="C4114" s="1" t="n">
        <v>45357</v>
      </c>
      <c r="D4114" t="inlineStr">
        <is>
          <t>VÄSTERBOTTENS LÄN</t>
        </is>
      </c>
      <c r="E4114" t="inlineStr">
        <is>
          <t>ROBERTSFORS</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62886-2020</t>
        </is>
      </c>
      <c r="B4115" s="1" t="n">
        <v>44161</v>
      </c>
      <c r="C4115" s="1" t="n">
        <v>45357</v>
      </c>
      <c r="D4115" t="inlineStr">
        <is>
          <t>VÄSTERBOTTENS LÄN</t>
        </is>
      </c>
      <c r="E4115" t="inlineStr">
        <is>
          <t>ÅSELE</t>
        </is>
      </c>
      <c r="F4115" t="inlineStr">
        <is>
          <t>SCA</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63438-2020</t>
        </is>
      </c>
      <c r="B4116" s="1" t="n">
        <v>44161</v>
      </c>
      <c r="C4116" s="1" t="n">
        <v>45357</v>
      </c>
      <c r="D4116" t="inlineStr">
        <is>
          <t>VÄSTERBOTTENS LÄN</t>
        </is>
      </c>
      <c r="E4116" t="inlineStr">
        <is>
          <t>VINDELN</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62874-2020</t>
        </is>
      </c>
      <c r="B4117" s="1" t="n">
        <v>44161</v>
      </c>
      <c r="C4117" s="1" t="n">
        <v>45357</v>
      </c>
      <c r="D4117" t="inlineStr">
        <is>
          <t>VÄSTERBOTTENS LÄN</t>
        </is>
      </c>
      <c r="E4117" t="inlineStr">
        <is>
          <t>VILHELMINA</t>
        </is>
      </c>
      <c r="F4117" t="inlineStr">
        <is>
          <t>SCA</t>
        </is>
      </c>
      <c r="G4117" t="n">
        <v>10.7</v>
      </c>
      <c r="H4117" t="n">
        <v>0</v>
      </c>
      <c r="I4117" t="n">
        <v>0</v>
      </c>
      <c r="J4117" t="n">
        <v>0</v>
      </c>
      <c r="K4117" t="n">
        <v>0</v>
      </c>
      <c r="L4117" t="n">
        <v>0</v>
      </c>
      <c r="M4117" t="n">
        <v>0</v>
      </c>
      <c r="N4117" t="n">
        <v>0</v>
      </c>
      <c r="O4117" t="n">
        <v>0</v>
      </c>
      <c r="P4117" t="n">
        <v>0</v>
      </c>
      <c r="Q4117" t="n">
        <v>0</v>
      </c>
      <c r="R4117" s="2" t="inlineStr"/>
    </row>
    <row r="4118" ht="15" customHeight="1">
      <c r="A4118" t="inlineStr">
        <is>
          <t>A 62955-2020</t>
        </is>
      </c>
      <c r="B4118" s="1" t="n">
        <v>44162</v>
      </c>
      <c r="C4118" s="1" t="n">
        <v>45357</v>
      </c>
      <c r="D4118" t="inlineStr">
        <is>
          <t>VÄSTERBOTTENS LÄN</t>
        </is>
      </c>
      <c r="E4118" t="inlineStr">
        <is>
          <t>UMEÅ</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63037-2020</t>
        </is>
      </c>
      <c r="B4119" s="1" t="n">
        <v>44162</v>
      </c>
      <c r="C4119" s="1" t="n">
        <v>45357</v>
      </c>
      <c r="D4119" t="inlineStr">
        <is>
          <t>VÄSTERBOTTENS LÄN</t>
        </is>
      </c>
      <c r="E4119" t="inlineStr">
        <is>
          <t>LYCKSELE</t>
        </is>
      </c>
      <c r="F4119" t="inlineStr">
        <is>
          <t>Sveaskog</t>
        </is>
      </c>
      <c r="G4119" t="n">
        <v>20.8</v>
      </c>
      <c r="H4119" t="n">
        <v>0</v>
      </c>
      <c r="I4119" t="n">
        <v>0</v>
      </c>
      <c r="J4119" t="n">
        <v>0</v>
      </c>
      <c r="K4119" t="n">
        <v>0</v>
      </c>
      <c r="L4119" t="n">
        <v>0</v>
      </c>
      <c r="M4119" t="n">
        <v>0</v>
      </c>
      <c r="N4119" t="n">
        <v>0</v>
      </c>
      <c r="O4119" t="n">
        <v>0</v>
      </c>
      <c r="P4119" t="n">
        <v>0</v>
      </c>
      <c r="Q4119" t="n">
        <v>0</v>
      </c>
      <c r="R4119" s="2" t="inlineStr"/>
    </row>
    <row r="4120" ht="15" customHeight="1">
      <c r="A4120" t="inlineStr">
        <is>
          <t>A 63119-2020</t>
        </is>
      </c>
      <c r="B4120" s="1" t="n">
        <v>44162</v>
      </c>
      <c r="C4120" s="1" t="n">
        <v>45357</v>
      </c>
      <c r="D4120" t="inlineStr">
        <is>
          <t>VÄSTERBOTTENS LÄN</t>
        </is>
      </c>
      <c r="E4120" t="inlineStr">
        <is>
          <t>VINDELN</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63165-2020</t>
        </is>
      </c>
      <c r="B4121" s="1" t="n">
        <v>44162</v>
      </c>
      <c r="C4121" s="1" t="n">
        <v>45357</v>
      </c>
      <c r="D4121" t="inlineStr">
        <is>
          <t>VÄSTERBOTTENS LÄN</t>
        </is>
      </c>
      <c r="E4121" t="inlineStr">
        <is>
          <t>VILHELMINA</t>
        </is>
      </c>
      <c r="F4121" t="inlineStr">
        <is>
          <t>SCA</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63164-2020</t>
        </is>
      </c>
      <c r="B4122" s="1" t="n">
        <v>44162</v>
      </c>
      <c r="C4122" s="1" t="n">
        <v>45357</v>
      </c>
      <c r="D4122" t="inlineStr">
        <is>
          <t>VÄSTERBOTTENS LÄN</t>
        </is>
      </c>
      <c r="E4122" t="inlineStr">
        <is>
          <t>VILHELMINA</t>
        </is>
      </c>
      <c r="F4122" t="inlineStr">
        <is>
          <t>SCA</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63241-2020</t>
        </is>
      </c>
      <c r="B4123" s="1" t="n">
        <v>44163</v>
      </c>
      <c r="C4123" s="1" t="n">
        <v>45357</v>
      </c>
      <c r="D4123" t="inlineStr">
        <is>
          <t>VÄSTERBOTTENS LÄN</t>
        </is>
      </c>
      <c r="E4123" t="inlineStr">
        <is>
          <t>SKELLEFTEÅ</t>
        </is>
      </c>
      <c r="F4123" t="inlineStr">
        <is>
          <t>Sveaskog</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63238-2020</t>
        </is>
      </c>
      <c r="B4124" s="1" t="n">
        <v>44163</v>
      </c>
      <c r="C4124" s="1" t="n">
        <v>45357</v>
      </c>
      <c r="D4124" t="inlineStr">
        <is>
          <t>VÄSTERBOTTENS LÄN</t>
        </is>
      </c>
      <c r="E4124" t="inlineStr">
        <is>
          <t>ROBERTSFORS</t>
        </is>
      </c>
      <c r="F4124" t="inlineStr">
        <is>
          <t>Sveaskog</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63244-2020</t>
        </is>
      </c>
      <c r="B4125" s="1" t="n">
        <v>44163</v>
      </c>
      <c r="C4125" s="1" t="n">
        <v>45357</v>
      </c>
      <c r="D4125" t="inlineStr">
        <is>
          <t>VÄSTERBOTTENS LÄN</t>
        </is>
      </c>
      <c r="E4125" t="inlineStr">
        <is>
          <t>ÅSELE</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63293-2020</t>
        </is>
      </c>
      <c r="B4126" s="1" t="n">
        <v>44165</v>
      </c>
      <c r="C4126" s="1" t="n">
        <v>45357</v>
      </c>
      <c r="D4126" t="inlineStr">
        <is>
          <t>VÄSTERBOTTENS LÄN</t>
        </is>
      </c>
      <c r="E4126" t="inlineStr">
        <is>
          <t>ROBERTSFORS</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63377-2020</t>
        </is>
      </c>
      <c r="B4127" s="1" t="n">
        <v>44165</v>
      </c>
      <c r="C4127" s="1" t="n">
        <v>45357</v>
      </c>
      <c r="D4127" t="inlineStr">
        <is>
          <t>VÄSTERBOTTENS LÄN</t>
        </is>
      </c>
      <c r="E4127" t="inlineStr">
        <is>
          <t>UMEÅ</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63484-2020</t>
        </is>
      </c>
      <c r="B4128" s="1" t="n">
        <v>44165</v>
      </c>
      <c r="C4128" s="1" t="n">
        <v>45357</v>
      </c>
      <c r="D4128" t="inlineStr">
        <is>
          <t>VÄSTERBOTTENS LÄN</t>
        </is>
      </c>
      <c r="E4128" t="inlineStr">
        <is>
          <t>VINDELN</t>
        </is>
      </c>
      <c r="F4128" t="inlineStr">
        <is>
          <t>Holmen skog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63499-2020</t>
        </is>
      </c>
      <c r="B4129" s="1" t="n">
        <v>44165</v>
      </c>
      <c r="C4129" s="1" t="n">
        <v>45357</v>
      </c>
      <c r="D4129" t="inlineStr">
        <is>
          <t>VÄSTERBOTTENS LÄN</t>
        </is>
      </c>
      <c r="E4129" t="inlineStr">
        <is>
          <t>NORSJÖ</t>
        </is>
      </c>
      <c r="F4129" t="inlineStr">
        <is>
          <t>Sveaskog</t>
        </is>
      </c>
      <c r="G4129" t="n">
        <v>18.9</v>
      </c>
      <c r="H4129" t="n">
        <v>0</v>
      </c>
      <c r="I4129" t="n">
        <v>0</v>
      </c>
      <c r="J4129" t="n">
        <v>0</v>
      </c>
      <c r="K4129" t="n">
        <v>0</v>
      </c>
      <c r="L4129" t="n">
        <v>0</v>
      </c>
      <c r="M4129" t="n">
        <v>0</v>
      </c>
      <c r="N4129" t="n">
        <v>0</v>
      </c>
      <c r="O4129" t="n">
        <v>0</v>
      </c>
      <c r="P4129" t="n">
        <v>0</v>
      </c>
      <c r="Q4129" t="n">
        <v>0</v>
      </c>
      <c r="R4129" s="2" t="inlineStr"/>
    </row>
    <row r="4130" ht="15" customHeight="1">
      <c r="A4130" t="inlineStr">
        <is>
          <t>A 63839-2020</t>
        </is>
      </c>
      <c r="B4130" s="1" t="n">
        <v>44165</v>
      </c>
      <c r="C4130" s="1" t="n">
        <v>45357</v>
      </c>
      <c r="D4130" t="inlineStr">
        <is>
          <t>VÄSTERBOTTENS LÄN</t>
        </is>
      </c>
      <c r="E4130" t="inlineStr">
        <is>
          <t>SKELLEFTEÅ</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64035-2020</t>
        </is>
      </c>
      <c r="B4131" s="1" t="n">
        <v>44165</v>
      </c>
      <c r="C4131" s="1" t="n">
        <v>45357</v>
      </c>
      <c r="D4131" t="inlineStr">
        <is>
          <t>VÄSTERBOTTENS LÄN</t>
        </is>
      </c>
      <c r="E4131" t="inlineStr">
        <is>
          <t>ROBERTSFORS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64065-2020</t>
        </is>
      </c>
      <c r="B4132" s="1" t="n">
        <v>44165</v>
      </c>
      <c r="C4132" s="1" t="n">
        <v>45357</v>
      </c>
      <c r="D4132" t="inlineStr">
        <is>
          <t>VÄSTERBOTTENS LÄN</t>
        </is>
      </c>
      <c r="E4132" t="inlineStr">
        <is>
          <t>VILHELMINA</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63721-2020</t>
        </is>
      </c>
      <c r="B4133" s="1" t="n">
        <v>44166</v>
      </c>
      <c r="C4133" s="1" t="n">
        <v>45357</v>
      </c>
      <c r="D4133" t="inlineStr">
        <is>
          <t>VÄSTERBOTTENS LÄN</t>
        </is>
      </c>
      <c r="E4133" t="inlineStr">
        <is>
          <t>VINDELN</t>
        </is>
      </c>
      <c r="F4133" t="inlineStr">
        <is>
          <t>Holmen skog AB</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63727-2020</t>
        </is>
      </c>
      <c r="B4134" s="1" t="n">
        <v>44166</v>
      </c>
      <c r="C4134" s="1" t="n">
        <v>45357</v>
      </c>
      <c r="D4134" t="inlineStr">
        <is>
          <t>VÄSTERBOTTENS LÄN</t>
        </is>
      </c>
      <c r="E4134" t="inlineStr">
        <is>
          <t>VÄNNÄS</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63826-2020</t>
        </is>
      </c>
      <c r="B4135" s="1" t="n">
        <v>44166</v>
      </c>
      <c r="C4135" s="1" t="n">
        <v>45357</v>
      </c>
      <c r="D4135" t="inlineStr">
        <is>
          <t>VÄSTERBOTTENS LÄN</t>
        </is>
      </c>
      <c r="E4135" t="inlineStr">
        <is>
          <t>ÅSELE</t>
        </is>
      </c>
      <c r="F4135" t="inlineStr">
        <is>
          <t>Sveaskog</t>
        </is>
      </c>
      <c r="G4135" t="n">
        <v>12.5</v>
      </c>
      <c r="H4135" t="n">
        <v>0</v>
      </c>
      <c r="I4135" t="n">
        <v>0</v>
      </c>
      <c r="J4135" t="n">
        <v>0</v>
      </c>
      <c r="K4135" t="n">
        <v>0</v>
      </c>
      <c r="L4135" t="n">
        <v>0</v>
      </c>
      <c r="M4135" t="n">
        <v>0</v>
      </c>
      <c r="N4135" t="n">
        <v>0</v>
      </c>
      <c r="O4135" t="n">
        <v>0</v>
      </c>
      <c r="P4135" t="n">
        <v>0</v>
      </c>
      <c r="Q4135" t="n">
        <v>0</v>
      </c>
      <c r="R4135" s="2" t="inlineStr"/>
    </row>
    <row r="4136" ht="15" customHeight="1">
      <c r="A4136" t="inlineStr">
        <is>
          <t>A 63871-2020</t>
        </is>
      </c>
      <c r="B4136" s="1" t="n">
        <v>44166</v>
      </c>
      <c r="C4136" s="1" t="n">
        <v>45357</v>
      </c>
      <c r="D4136" t="inlineStr">
        <is>
          <t>VÄSTERBOTTENS LÄN</t>
        </is>
      </c>
      <c r="E4136" t="inlineStr">
        <is>
          <t>LYCKSELE</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63878-2020</t>
        </is>
      </c>
      <c r="B4137" s="1" t="n">
        <v>44166</v>
      </c>
      <c r="C4137" s="1" t="n">
        <v>45357</v>
      </c>
      <c r="D4137" t="inlineStr">
        <is>
          <t>VÄSTERBOTTENS LÄN</t>
        </is>
      </c>
      <c r="E4137" t="inlineStr">
        <is>
          <t>LYCKSELE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63874-2020</t>
        </is>
      </c>
      <c r="B4138" s="1" t="n">
        <v>44166</v>
      </c>
      <c r="C4138" s="1" t="n">
        <v>45357</v>
      </c>
      <c r="D4138" t="inlineStr">
        <is>
          <t>VÄSTERBOTTENS LÄN</t>
        </is>
      </c>
      <c r="E4138" t="inlineStr">
        <is>
          <t>STORUMAN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64650-2020</t>
        </is>
      </c>
      <c r="B4139" s="1" t="n">
        <v>44166</v>
      </c>
      <c r="C4139" s="1" t="n">
        <v>45357</v>
      </c>
      <c r="D4139" t="inlineStr">
        <is>
          <t>VÄSTERBOTTENS LÄN</t>
        </is>
      </c>
      <c r="E4139" t="inlineStr">
        <is>
          <t>SKELLEFTEÅ</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64045-2020</t>
        </is>
      </c>
      <c r="B4140" s="1" t="n">
        <v>44167</v>
      </c>
      <c r="C4140" s="1" t="n">
        <v>45357</v>
      </c>
      <c r="D4140" t="inlineStr">
        <is>
          <t>VÄSTERBOTTENS LÄN</t>
        </is>
      </c>
      <c r="E4140" t="inlineStr">
        <is>
          <t>VINDELN</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64073-2020</t>
        </is>
      </c>
      <c r="B4141" s="1" t="n">
        <v>44167</v>
      </c>
      <c r="C4141" s="1" t="n">
        <v>45357</v>
      </c>
      <c r="D4141" t="inlineStr">
        <is>
          <t>VÄSTERBOTTENS LÄN</t>
        </is>
      </c>
      <c r="E4141" t="inlineStr">
        <is>
          <t>VINDELN</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64070-2020</t>
        </is>
      </c>
      <c r="B4142" s="1" t="n">
        <v>44167</v>
      </c>
      <c r="C4142" s="1" t="n">
        <v>45357</v>
      </c>
      <c r="D4142" t="inlineStr">
        <is>
          <t>VÄSTERBOTTENS LÄN</t>
        </is>
      </c>
      <c r="E4142" t="inlineStr">
        <is>
          <t>VINDELN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64158-2020</t>
        </is>
      </c>
      <c r="B4143" s="1" t="n">
        <v>44167</v>
      </c>
      <c r="C4143" s="1" t="n">
        <v>45357</v>
      </c>
      <c r="D4143" t="inlineStr">
        <is>
          <t>VÄSTERBOTTENS LÄN</t>
        </is>
      </c>
      <c r="E4143" t="inlineStr">
        <is>
          <t>ROBERTSFORS</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64034-2020</t>
        </is>
      </c>
      <c r="B4144" s="1" t="n">
        <v>44167</v>
      </c>
      <c r="C4144" s="1" t="n">
        <v>45357</v>
      </c>
      <c r="D4144" t="inlineStr">
        <is>
          <t>VÄSTERBOTTENS LÄN</t>
        </is>
      </c>
      <c r="E4144" t="inlineStr">
        <is>
          <t>VINDELN</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64156-2020</t>
        </is>
      </c>
      <c r="B4145" s="1" t="n">
        <v>44167</v>
      </c>
      <c r="C4145" s="1" t="n">
        <v>45357</v>
      </c>
      <c r="D4145" t="inlineStr">
        <is>
          <t>VÄSTERBOTTENS LÄN</t>
        </is>
      </c>
      <c r="E4145" t="inlineStr">
        <is>
          <t>VINDELN</t>
        </is>
      </c>
      <c r="F4145" t="inlineStr">
        <is>
          <t>Sveaskog</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64159-2020</t>
        </is>
      </c>
      <c r="B4146" s="1" t="n">
        <v>44167</v>
      </c>
      <c r="C4146" s="1" t="n">
        <v>45357</v>
      </c>
      <c r="D4146" t="inlineStr">
        <is>
          <t>VÄSTERBOTTENS LÄN</t>
        </is>
      </c>
      <c r="E4146" t="inlineStr">
        <is>
          <t>ROBERTSFORS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64198-2020</t>
        </is>
      </c>
      <c r="B4147" s="1" t="n">
        <v>44167</v>
      </c>
      <c r="C4147" s="1" t="n">
        <v>45357</v>
      </c>
      <c r="D4147" t="inlineStr">
        <is>
          <t>VÄSTERBOTTENS LÄN</t>
        </is>
      </c>
      <c r="E4147" t="inlineStr">
        <is>
          <t>SKELLEFTEÅ</t>
        </is>
      </c>
      <c r="F4147" t="inlineStr">
        <is>
          <t>SCA</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64190-2020</t>
        </is>
      </c>
      <c r="B4148" s="1" t="n">
        <v>44167</v>
      </c>
      <c r="C4148" s="1" t="n">
        <v>45357</v>
      </c>
      <c r="D4148" t="inlineStr">
        <is>
          <t>VÄSTERBOTTENS LÄN</t>
        </is>
      </c>
      <c r="E4148" t="inlineStr">
        <is>
          <t>VINDELN</t>
        </is>
      </c>
      <c r="F4148" t="inlineStr">
        <is>
          <t>SCA</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64956-2020</t>
        </is>
      </c>
      <c r="B4149" s="1" t="n">
        <v>44167</v>
      </c>
      <c r="C4149" s="1" t="n">
        <v>45357</v>
      </c>
      <c r="D4149" t="inlineStr">
        <is>
          <t>VÄSTERBOTTENS LÄN</t>
        </is>
      </c>
      <c r="E4149" t="inlineStr">
        <is>
          <t>VINDELN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64537-2020</t>
        </is>
      </c>
      <c r="B4150" s="1" t="n">
        <v>44167</v>
      </c>
      <c r="C4150" s="1" t="n">
        <v>45357</v>
      </c>
      <c r="D4150" t="inlineStr">
        <is>
          <t>VÄSTERBOTTENS LÄN</t>
        </is>
      </c>
      <c r="E4150" t="inlineStr">
        <is>
          <t>BJURHOLM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64977-2020</t>
        </is>
      </c>
      <c r="B4151" s="1" t="n">
        <v>44167</v>
      </c>
      <c r="C4151" s="1" t="n">
        <v>45357</v>
      </c>
      <c r="D4151" t="inlineStr">
        <is>
          <t>VÄSTERBOTTENS LÄN</t>
        </is>
      </c>
      <c r="E4151" t="inlineStr">
        <is>
          <t>SKELLEFTEÅ</t>
        </is>
      </c>
      <c r="G4151" t="n">
        <v>9</v>
      </c>
      <c r="H4151" t="n">
        <v>0</v>
      </c>
      <c r="I4151" t="n">
        <v>0</v>
      </c>
      <c r="J4151" t="n">
        <v>0</v>
      </c>
      <c r="K4151" t="n">
        <v>0</v>
      </c>
      <c r="L4151" t="n">
        <v>0</v>
      </c>
      <c r="M4151" t="n">
        <v>0</v>
      </c>
      <c r="N4151" t="n">
        <v>0</v>
      </c>
      <c r="O4151" t="n">
        <v>0</v>
      </c>
      <c r="P4151" t="n">
        <v>0</v>
      </c>
      <c r="Q4151" t="n">
        <v>0</v>
      </c>
      <c r="R4151" s="2" t="inlineStr"/>
    </row>
    <row r="4152" ht="15" customHeight="1">
      <c r="A4152" t="inlineStr">
        <is>
          <t>A 65096-2020</t>
        </is>
      </c>
      <c r="B4152" s="1" t="n">
        <v>44167</v>
      </c>
      <c r="C4152" s="1" t="n">
        <v>45357</v>
      </c>
      <c r="D4152" t="inlineStr">
        <is>
          <t>VÄSTERBOTTENS LÄN</t>
        </is>
      </c>
      <c r="E4152" t="inlineStr">
        <is>
          <t>SKELLEFTEÅ</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65053-2020</t>
        </is>
      </c>
      <c r="B4153" s="1" t="n">
        <v>44167</v>
      </c>
      <c r="C4153" s="1" t="n">
        <v>45357</v>
      </c>
      <c r="D4153" t="inlineStr">
        <is>
          <t>VÄSTERBOTTENS LÄN</t>
        </is>
      </c>
      <c r="E4153" t="inlineStr">
        <is>
          <t>SKELLEFTEÅ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65103-2020</t>
        </is>
      </c>
      <c r="B4154" s="1" t="n">
        <v>44167</v>
      </c>
      <c r="C4154" s="1" t="n">
        <v>45357</v>
      </c>
      <c r="D4154" t="inlineStr">
        <is>
          <t>VÄSTERBOTTENS LÄN</t>
        </is>
      </c>
      <c r="E4154" t="inlineStr">
        <is>
          <t>SKELLEFTEÅ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64268-2020</t>
        </is>
      </c>
      <c r="B4155" s="1" t="n">
        <v>44168</v>
      </c>
      <c r="C4155" s="1" t="n">
        <v>45357</v>
      </c>
      <c r="D4155" t="inlineStr">
        <is>
          <t>VÄSTERBOTTENS LÄN</t>
        </is>
      </c>
      <c r="E4155" t="inlineStr">
        <is>
          <t>VINDELN</t>
        </is>
      </c>
      <c r="F4155" t="inlineStr">
        <is>
          <t>Sveaskog</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64254-2020</t>
        </is>
      </c>
      <c r="B4156" s="1" t="n">
        <v>44168</v>
      </c>
      <c r="C4156" s="1" t="n">
        <v>45357</v>
      </c>
      <c r="D4156" t="inlineStr">
        <is>
          <t>VÄSTERBOTTENS LÄN</t>
        </is>
      </c>
      <c r="E4156" t="inlineStr">
        <is>
          <t>VILHELMINA</t>
        </is>
      </c>
      <c r="G4156" t="n">
        <v>17.6</v>
      </c>
      <c r="H4156" t="n">
        <v>0</v>
      </c>
      <c r="I4156" t="n">
        <v>0</v>
      </c>
      <c r="J4156" t="n">
        <v>0</v>
      </c>
      <c r="K4156" t="n">
        <v>0</v>
      </c>
      <c r="L4156" t="n">
        <v>0</v>
      </c>
      <c r="M4156" t="n">
        <v>0</v>
      </c>
      <c r="N4156" t="n">
        <v>0</v>
      </c>
      <c r="O4156" t="n">
        <v>0</v>
      </c>
      <c r="P4156" t="n">
        <v>0</v>
      </c>
      <c r="Q4156" t="n">
        <v>0</v>
      </c>
      <c r="R4156" s="2" t="inlineStr"/>
    </row>
    <row r="4157" ht="15" customHeight="1">
      <c r="A4157" t="inlineStr">
        <is>
          <t>A 64296-2020</t>
        </is>
      </c>
      <c r="B4157" s="1" t="n">
        <v>44168</v>
      </c>
      <c r="C4157" s="1" t="n">
        <v>45357</v>
      </c>
      <c r="D4157" t="inlineStr">
        <is>
          <t>VÄSTERBOTTENS LÄN</t>
        </is>
      </c>
      <c r="E4157" t="inlineStr">
        <is>
          <t>SKELLEFTEÅ</t>
        </is>
      </c>
      <c r="F4157" t="inlineStr">
        <is>
          <t>Sveaskog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64473-2020</t>
        </is>
      </c>
      <c r="B4158" s="1" t="n">
        <v>44168</v>
      </c>
      <c r="C4158" s="1" t="n">
        <v>45357</v>
      </c>
      <c r="D4158" t="inlineStr">
        <is>
          <t>VÄSTERBOTTENS LÄN</t>
        </is>
      </c>
      <c r="E4158" t="inlineStr">
        <is>
          <t>DOROTEA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64481-2020</t>
        </is>
      </c>
      <c r="B4159" s="1" t="n">
        <v>44168</v>
      </c>
      <c r="C4159" s="1" t="n">
        <v>45357</v>
      </c>
      <c r="D4159" t="inlineStr">
        <is>
          <t>VÄSTERBOTTENS LÄN</t>
        </is>
      </c>
      <c r="E4159" t="inlineStr">
        <is>
          <t>SKELLEFTEÅ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64507-2020</t>
        </is>
      </c>
      <c r="B4160" s="1" t="n">
        <v>44168</v>
      </c>
      <c r="C4160" s="1" t="n">
        <v>45357</v>
      </c>
      <c r="D4160" t="inlineStr">
        <is>
          <t>VÄSTERBOTTENS LÄN</t>
        </is>
      </c>
      <c r="E4160" t="inlineStr">
        <is>
          <t>SKELLEFTEÅ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64460-2020</t>
        </is>
      </c>
      <c r="B4161" s="1" t="n">
        <v>44168</v>
      </c>
      <c r="C4161" s="1" t="n">
        <v>45357</v>
      </c>
      <c r="D4161" t="inlineStr">
        <is>
          <t>VÄSTERBOTTENS LÄN</t>
        </is>
      </c>
      <c r="E4161" t="inlineStr">
        <is>
          <t>VINDELN</t>
        </is>
      </c>
      <c r="F4161" t="inlineStr">
        <is>
          <t>Sveaskog</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64485-2020</t>
        </is>
      </c>
      <c r="B4162" s="1" t="n">
        <v>44168</v>
      </c>
      <c r="C4162" s="1" t="n">
        <v>45357</v>
      </c>
      <c r="D4162" t="inlineStr">
        <is>
          <t>VÄSTERBOTTENS LÄN</t>
        </is>
      </c>
      <c r="E4162" t="inlineStr">
        <is>
          <t>SKELLEFTEÅ</t>
        </is>
      </c>
      <c r="G4162" t="n">
        <v>35.4</v>
      </c>
      <c r="H4162" t="n">
        <v>0</v>
      </c>
      <c r="I4162" t="n">
        <v>0</v>
      </c>
      <c r="J4162" t="n">
        <v>0</v>
      </c>
      <c r="K4162" t="n">
        <v>0</v>
      </c>
      <c r="L4162" t="n">
        <v>0</v>
      </c>
      <c r="M4162" t="n">
        <v>0</v>
      </c>
      <c r="N4162" t="n">
        <v>0</v>
      </c>
      <c r="O4162" t="n">
        <v>0</v>
      </c>
      <c r="P4162" t="n">
        <v>0</v>
      </c>
      <c r="Q4162" t="n">
        <v>0</v>
      </c>
      <c r="R4162" s="2" t="inlineStr"/>
    </row>
    <row r="4163" ht="15" customHeight="1">
      <c r="A4163" t="inlineStr">
        <is>
          <t>A 64497-2020</t>
        </is>
      </c>
      <c r="B4163" s="1" t="n">
        <v>44168</v>
      </c>
      <c r="C4163" s="1" t="n">
        <v>45357</v>
      </c>
      <c r="D4163" t="inlineStr">
        <is>
          <t>VÄSTERBOTTENS LÄN</t>
        </is>
      </c>
      <c r="E4163" t="inlineStr">
        <is>
          <t>DOROTEA</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64478-2020</t>
        </is>
      </c>
      <c r="B4164" s="1" t="n">
        <v>44168</v>
      </c>
      <c r="C4164" s="1" t="n">
        <v>45357</v>
      </c>
      <c r="D4164" t="inlineStr">
        <is>
          <t>VÄSTERBOTTENS LÄN</t>
        </is>
      </c>
      <c r="E4164" t="inlineStr">
        <is>
          <t>ÅSELE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64496-2020</t>
        </is>
      </c>
      <c r="B4165" s="1" t="n">
        <v>44168</v>
      </c>
      <c r="C4165" s="1" t="n">
        <v>45357</v>
      </c>
      <c r="D4165" t="inlineStr">
        <is>
          <t>VÄSTERBOTTENS LÄN</t>
        </is>
      </c>
      <c r="E4165" t="inlineStr">
        <is>
          <t>DOROTEA</t>
        </is>
      </c>
      <c r="F4165" t="inlineStr">
        <is>
          <t>SCA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64759-2020</t>
        </is>
      </c>
      <c r="B4166" s="1" t="n">
        <v>44169</v>
      </c>
      <c r="C4166" s="1" t="n">
        <v>45357</v>
      </c>
      <c r="D4166" t="inlineStr">
        <is>
          <t>VÄSTERBOTTENS LÄN</t>
        </is>
      </c>
      <c r="E4166" t="inlineStr">
        <is>
          <t>VILHELMINA</t>
        </is>
      </c>
      <c r="G4166" t="n">
        <v>24.6</v>
      </c>
      <c r="H4166" t="n">
        <v>0</v>
      </c>
      <c r="I4166" t="n">
        <v>0</v>
      </c>
      <c r="J4166" t="n">
        <v>0</v>
      </c>
      <c r="K4166" t="n">
        <v>0</v>
      </c>
      <c r="L4166" t="n">
        <v>0</v>
      </c>
      <c r="M4166" t="n">
        <v>0</v>
      </c>
      <c r="N4166" t="n">
        <v>0</v>
      </c>
      <c r="O4166" t="n">
        <v>0</v>
      </c>
      <c r="P4166" t="n">
        <v>0</v>
      </c>
      <c r="Q4166" t="n">
        <v>0</v>
      </c>
      <c r="R4166" s="2" t="inlineStr"/>
    </row>
    <row r="4167" ht="15" customHeight="1">
      <c r="A4167" t="inlineStr">
        <is>
          <t>A 64811-2020</t>
        </is>
      </c>
      <c r="B4167" s="1" t="n">
        <v>44169</v>
      </c>
      <c r="C4167" s="1" t="n">
        <v>45357</v>
      </c>
      <c r="D4167" t="inlineStr">
        <is>
          <t>VÄSTERBOTTENS LÄN</t>
        </is>
      </c>
      <c r="E4167" t="inlineStr">
        <is>
          <t>NORDMALING</t>
        </is>
      </c>
      <c r="F4167" t="inlineStr">
        <is>
          <t>SCA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65441-2020</t>
        </is>
      </c>
      <c r="B4168" s="1" t="n">
        <v>44169</v>
      </c>
      <c r="C4168" s="1" t="n">
        <v>45357</v>
      </c>
      <c r="D4168" t="inlineStr">
        <is>
          <t>VÄSTERBOTTENS LÄN</t>
        </is>
      </c>
      <c r="E4168" t="inlineStr">
        <is>
          <t>DOROTEA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65321-2020</t>
        </is>
      </c>
      <c r="B4169" s="1" t="n">
        <v>44169</v>
      </c>
      <c r="C4169" s="1" t="n">
        <v>45357</v>
      </c>
      <c r="D4169" t="inlineStr">
        <is>
          <t>VÄSTERBOTTENS LÄN</t>
        </is>
      </c>
      <c r="E4169" t="inlineStr">
        <is>
          <t>STORUMAN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65392-2020</t>
        </is>
      </c>
      <c r="B4170" s="1" t="n">
        <v>44169</v>
      </c>
      <c r="C4170" s="1" t="n">
        <v>45357</v>
      </c>
      <c r="D4170" t="inlineStr">
        <is>
          <t>VÄSTERBOTTENS LÄN</t>
        </is>
      </c>
      <c r="E4170" t="inlineStr">
        <is>
          <t>NORSJÖ</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64835-2020</t>
        </is>
      </c>
      <c r="B4171" s="1" t="n">
        <v>44170</v>
      </c>
      <c r="C4171" s="1" t="n">
        <v>45357</v>
      </c>
      <c r="D4171" t="inlineStr">
        <is>
          <t>VÄSTERBOTTENS LÄN</t>
        </is>
      </c>
      <c r="E4171" t="inlineStr">
        <is>
          <t>ÅSELE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64834-2020</t>
        </is>
      </c>
      <c r="B4172" s="1" t="n">
        <v>44170</v>
      </c>
      <c r="C4172" s="1" t="n">
        <v>45357</v>
      </c>
      <c r="D4172" t="inlineStr">
        <is>
          <t>VÄSTERBOTTENS LÄN</t>
        </is>
      </c>
      <c r="E4172" t="inlineStr">
        <is>
          <t>ÅSELE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64875-2020</t>
        </is>
      </c>
      <c r="B4173" s="1" t="n">
        <v>44171</v>
      </c>
      <c r="C4173" s="1" t="n">
        <v>45357</v>
      </c>
      <c r="D4173" t="inlineStr">
        <is>
          <t>VÄSTERBOTTENS LÄN</t>
        </is>
      </c>
      <c r="E4173" t="inlineStr">
        <is>
          <t>ÅSELE</t>
        </is>
      </c>
      <c r="G4173" t="n">
        <v>13.2</v>
      </c>
      <c r="H4173" t="n">
        <v>0</v>
      </c>
      <c r="I4173" t="n">
        <v>0</v>
      </c>
      <c r="J4173" t="n">
        <v>0</v>
      </c>
      <c r="K4173" t="n">
        <v>0</v>
      </c>
      <c r="L4173" t="n">
        <v>0</v>
      </c>
      <c r="M4173" t="n">
        <v>0</v>
      </c>
      <c r="N4173" t="n">
        <v>0</v>
      </c>
      <c r="O4173" t="n">
        <v>0</v>
      </c>
      <c r="P4173" t="n">
        <v>0</v>
      </c>
      <c r="Q4173" t="n">
        <v>0</v>
      </c>
      <c r="R4173" s="2" t="inlineStr"/>
    </row>
    <row r="4174" ht="15" customHeight="1">
      <c r="A4174" t="inlineStr">
        <is>
          <t>A 64881-2020</t>
        </is>
      </c>
      <c r="B4174" s="1" t="n">
        <v>44171</v>
      </c>
      <c r="C4174" s="1" t="n">
        <v>45357</v>
      </c>
      <c r="D4174" t="inlineStr">
        <is>
          <t>VÄSTERBOTTENS LÄN</t>
        </is>
      </c>
      <c r="E4174" t="inlineStr">
        <is>
          <t>ÅSELE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65254-2020</t>
        </is>
      </c>
      <c r="B4175" s="1" t="n">
        <v>44172</v>
      </c>
      <c r="C4175" s="1" t="n">
        <v>45357</v>
      </c>
      <c r="D4175" t="inlineStr">
        <is>
          <t>VÄSTERBOTTENS LÄN</t>
        </is>
      </c>
      <c r="E4175" t="inlineStr">
        <is>
          <t>SKELLEFTEÅ</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65582-2020</t>
        </is>
      </c>
      <c r="B4176" s="1" t="n">
        <v>44172</v>
      </c>
      <c r="C4176" s="1" t="n">
        <v>45357</v>
      </c>
      <c r="D4176" t="inlineStr">
        <is>
          <t>VÄSTERBOTTENS LÄN</t>
        </is>
      </c>
      <c r="E4176" t="inlineStr">
        <is>
          <t>SKELLEFTEÅ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65486-2020</t>
        </is>
      </c>
      <c r="B4177" s="1" t="n">
        <v>44172</v>
      </c>
      <c r="C4177" s="1" t="n">
        <v>45357</v>
      </c>
      <c r="D4177" t="inlineStr">
        <is>
          <t>VÄSTERBOTTENS LÄN</t>
        </is>
      </c>
      <c r="E4177" t="inlineStr">
        <is>
          <t>SKELLEFTEÅ</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65830-2020</t>
        </is>
      </c>
      <c r="B4178" s="1" t="n">
        <v>44172</v>
      </c>
      <c r="C4178" s="1" t="n">
        <v>45357</v>
      </c>
      <c r="D4178" t="inlineStr">
        <is>
          <t>VÄSTERBOTTENS LÄN</t>
        </is>
      </c>
      <c r="E4178" t="inlineStr">
        <is>
          <t>ROBERTSFORS</t>
        </is>
      </c>
      <c r="G4178" t="n">
        <v>18.8</v>
      </c>
      <c r="H4178" t="n">
        <v>0</v>
      </c>
      <c r="I4178" t="n">
        <v>0</v>
      </c>
      <c r="J4178" t="n">
        <v>0</v>
      </c>
      <c r="K4178" t="n">
        <v>0</v>
      </c>
      <c r="L4178" t="n">
        <v>0</v>
      </c>
      <c r="M4178" t="n">
        <v>0</v>
      </c>
      <c r="N4178" t="n">
        <v>0</v>
      </c>
      <c r="O4178" t="n">
        <v>0</v>
      </c>
      <c r="P4178" t="n">
        <v>0</v>
      </c>
      <c r="Q4178" t="n">
        <v>0</v>
      </c>
      <c r="R4178" s="2" t="inlineStr"/>
    </row>
    <row r="4179" ht="15" customHeight="1">
      <c r="A4179" t="inlineStr">
        <is>
          <t>A 65663-2020</t>
        </is>
      </c>
      <c r="B4179" s="1" t="n">
        <v>44172</v>
      </c>
      <c r="C4179" s="1" t="n">
        <v>45357</v>
      </c>
      <c r="D4179" t="inlineStr">
        <is>
          <t>VÄSTERBOTTENS LÄN</t>
        </is>
      </c>
      <c r="E4179" t="inlineStr">
        <is>
          <t>VILHELMINA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65799-2020</t>
        </is>
      </c>
      <c r="B4180" s="1" t="n">
        <v>44172</v>
      </c>
      <c r="C4180" s="1" t="n">
        <v>45357</v>
      </c>
      <c r="D4180" t="inlineStr">
        <is>
          <t>VÄSTERBOTTENS LÄN</t>
        </is>
      </c>
      <c r="E4180" t="inlineStr">
        <is>
          <t>BJURHOLM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65379-2020</t>
        </is>
      </c>
      <c r="B4181" s="1" t="n">
        <v>44173</v>
      </c>
      <c r="C4181" s="1" t="n">
        <v>45357</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65419-2020</t>
        </is>
      </c>
      <c r="B4182" s="1" t="n">
        <v>44173</v>
      </c>
      <c r="C4182" s="1" t="n">
        <v>45357</v>
      </c>
      <c r="D4182" t="inlineStr">
        <is>
          <t>VÄSTERBOTTENS LÄN</t>
        </is>
      </c>
      <c r="E4182" t="inlineStr">
        <is>
          <t>VÄNNÄS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65384-2020</t>
        </is>
      </c>
      <c r="B4183" s="1" t="n">
        <v>44173</v>
      </c>
      <c r="C4183" s="1" t="n">
        <v>45357</v>
      </c>
      <c r="D4183" t="inlineStr">
        <is>
          <t>VÄSTERBOTTENS LÄN</t>
        </is>
      </c>
      <c r="E4183" t="inlineStr">
        <is>
          <t>SKELLEFTEÅ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65567-2020</t>
        </is>
      </c>
      <c r="B4184" s="1" t="n">
        <v>44173</v>
      </c>
      <c r="C4184" s="1" t="n">
        <v>45357</v>
      </c>
      <c r="D4184" t="inlineStr">
        <is>
          <t>VÄSTERBOTTENS LÄN</t>
        </is>
      </c>
      <c r="E4184" t="inlineStr">
        <is>
          <t>SKELLEFTEÅ</t>
        </is>
      </c>
      <c r="F4184" t="inlineStr">
        <is>
          <t>Sveaskog</t>
        </is>
      </c>
      <c r="G4184" t="n">
        <v>17.7</v>
      </c>
      <c r="H4184" t="n">
        <v>0</v>
      </c>
      <c r="I4184" t="n">
        <v>0</v>
      </c>
      <c r="J4184" t="n">
        <v>0</v>
      </c>
      <c r="K4184" t="n">
        <v>0</v>
      </c>
      <c r="L4184" t="n">
        <v>0</v>
      </c>
      <c r="M4184" t="n">
        <v>0</v>
      </c>
      <c r="N4184" t="n">
        <v>0</v>
      </c>
      <c r="O4184" t="n">
        <v>0</v>
      </c>
      <c r="P4184" t="n">
        <v>0</v>
      </c>
      <c r="Q4184" t="n">
        <v>0</v>
      </c>
      <c r="R4184" s="2" t="inlineStr"/>
    </row>
    <row r="4185" ht="15" customHeight="1">
      <c r="A4185" t="inlineStr">
        <is>
          <t>A 65382-2020</t>
        </is>
      </c>
      <c r="B4185" s="1" t="n">
        <v>44173</v>
      </c>
      <c r="C4185" s="1" t="n">
        <v>45357</v>
      </c>
      <c r="D4185" t="inlineStr">
        <is>
          <t>VÄSTERBOTTENS LÄN</t>
        </is>
      </c>
      <c r="E4185" t="inlineStr">
        <is>
          <t>SKELLEFTEÅ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65597-2020</t>
        </is>
      </c>
      <c r="B4186" s="1" t="n">
        <v>44173</v>
      </c>
      <c r="C4186" s="1" t="n">
        <v>45357</v>
      </c>
      <c r="D4186" t="inlineStr">
        <is>
          <t>VÄSTERBOTTENS LÄN</t>
        </is>
      </c>
      <c r="E4186" t="inlineStr">
        <is>
          <t>SORSELE</t>
        </is>
      </c>
      <c r="G4186" t="n">
        <v>16.5</v>
      </c>
      <c r="H4186" t="n">
        <v>0</v>
      </c>
      <c r="I4186" t="n">
        <v>0</v>
      </c>
      <c r="J4186" t="n">
        <v>0</v>
      </c>
      <c r="K4186" t="n">
        <v>0</v>
      </c>
      <c r="L4186" t="n">
        <v>0</v>
      </c>
      <c r="M4186" t="n">
        <v>0</v>
      </c>
      <c r="N4186" t="n">
        <v>0</v>
      </c>
      <c r="O4186" t="n">
        <v>0</v>
      </c>
      <c r="P4186" t="n">
        <v>0</v>
      </c>
      <c r="Q4186" t="n">
        <v>0</v>
      </c>
      <c r="R4186" s="2" t="inlineStr"/>
    </row>
    <row r="4187" ht="15" customHeight="1">
      <c r="A4187" t="inlineStr">
        <is>
          <t>A 66061-2020</t>
        </is>
      </c>
      <c r="B4187" s="1" t="n">
        <v>44173</v>
      </c>
      <c r="C4187" s="1" t="n">
        <v>45357</v>
      </c>
      <c r="D4187" t="inlineStr">
        <is>
          <t>VÄSTERBOTTENS LÄN</t>
        </is>
      </c>
      <c r="E4187" t="inlineStr">
        <is>
          <t>SKELLEFTEÅ</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66036-2020</t>
        </is>
      </c>
      <c r="B4188" s="1" t="n">
        <v>44175</v>
      </c>
      <c r="C4188" s="1" t="n">
        <v>45357</v>
      </c>
      <c r="D4188" t="inlineStr">
        <is>
          <t>VÄSTERBOTTENS LÄN</t>
        </is>
      </c>
      <c r="E4188" t="inlineStr">
        <is>
          <t>ROBERTSFORS</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66039-2020</t>
        </is>
      </c>
      <c r="B4189" s="1" t="n">
        <v>44175</v>
      </c>
      <c r="C4189" s="1" t="n">
        <v>45357</v>
      </c>
      <c r="D4189" t="inlineStr">
        <is>
          <t>VÄSTERBOTTENS LÄN</t>
        </is>
      </c>
      <c r="E4189" t="inlineStr">
        <is>
          <t>ROBERTSFORS</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66079-2020</t>
        </is>
      </c>
      <c r="B4190" s="1" t="n">
        <v>44175</v>
      </c>
      <c r="C4190" s="1" t="n">
        <v>45357</v>
      </c>
      <c r="D4190" t="inlineStr">
        <is>
          <t>VÄSTERBOTTENS LÄN</t>
        </is>
      </c>
      <c r="E4190" t="inlineStr">
        <is>
          <t>ÅSELE</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66232-2020</t>
        </is>
      </c>
      <c r="B4191" s="1" t="n">
        <v>44175</v>
      </c>
      <c r="C4191" s="1" t="n">
        <v>45357</v>
      </c>
      <c r="D4191" t="inlineStr">
        <is>
          <t>VÄSTERBOTTENS LÄN</t>
        </is>
      </c>
      <c r="E4191" t="inlineStr">
        <is>
          <t>STORUMAN</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66786-2020</t>
        </is>
      </c>
      <c r="B4192" s="1" t="n">
        <v>44175</v>
      </c>
      <c r="C4192" s="1" t="n">
        <v>45357</v>
      </c>
      <c r="D4192" t="inlineStr">
        <is>
          <t>VÄSTERBOTTENS LÄN</t>
        </is>
      </c>
      <c r="E4192" t="inlineStr">
        <is>
          <t>STORUMAN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66480-2020</t>
        </is>
      </c>
      <c r="B4193" s="1" t="n">
        <v>44177</v>
      </c>
      <c r="C4193" s="1" t="n">
        <v>45357</v>
      </c>
      <c r="D4193" t="inlineStr">
        <is>
          <t>VÄSTERBOTTENS LÄN</t>
        </is>
      </c>
      <c r="E4193" t="inlineStr">
        <is>
          <t>SKELLEFTEÅ</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66839-2020</t>
        </is>
      </c>
      <c r="B4194" s="1" t="n">
        <v>44179</v>
      </c>
      <c r="C4194" s="1" t="n">
        <v>45357</v>
      </c>
      <c r="D4194" t="inlineStr">
        <is>
          <t>VÄSTERBOTTENS LÄN</t>
        </is>
      </c>
      <c r="E4194" t="inlineStr">
        <is>
          <t>NORDMALING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66820-2020</t>
        </is>
      </c>
      <c r="B4195" s="1" t="n">
        <v>44179</v>
      </c>
      <c r="C4195" s="1" t="n">
        <v>45357</v>
      </c>
      <c r="D4195" t="inlineStr">
        <is>
          <t>VÄSTERBOTTENS LÄN</t>
        </is>
      </c>
      <c r="E4195" t="inlineStr">
        <is>
          <t>SKELLEFTEÅ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66841-2020</t>
        </is>
      </c>
      <c r="B4196" s="1" t="n">
        <v>44179</v>
      </c>
      <c r="C4196" s="1" t="n">
        <v>45357</v>
      </c>
      <c r="D4196" t="inlineStr">
        <is>
          <t>VÄSTERBOTTENS LÄN</t>
        </is>
      </c>
      <c r="E4196" t="inlineStr">
        <is>
          <t>NORDMALING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67421-2020</t>
        </is>
      </c>
      <c r="B4197" s="1" t="n">
        <v>44179</v>
      </c>
      <c r="C4197" s="1" t="n">
        <v>45357</v>
      </c>
      <c r="D4197" t="inlineStr">
        <is>
          <t>VÄSTERBOTTENS LÄN</t>
        </is>
      </c>
      <c r="E4197" t="inlineStr">
        <is>
          <t>VÄNNÄS</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66833-2020</t>
        </is>
      </c>
      <c r="B4198" s="1" t="n">
        <v>44179</v>
      </c>
      <c r="C4198" s="1" t="n">
        <v>45357</v>
      </c>
      <c r="D4198" t="inlineStr">
        <is>
          <t>VÄSTERBOTTENS LÄN</t>
        </is>
      </c>
      <c r="E4198" t="inlineStr">
        <is>
          <t>NORDMALING</t>
        </is>
      </c>
      <c r="F4198" t="inlineStr">
        <is>
          <t>SCA</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67392-2020</t>
        </is>
      </c>
      <c r="B4199" s="1" t="n">
        <v>44179</v>
      </c>
      <c r="C4199" s="1" t="n">
        <v>45357</v>
      </c>
      <c r="D4199" t="inlineStr">
        <is>
          <t>VÄSTERBOTTENS LÄN</t>
        </is>
      </c>
      <c r="E4199" t="inlineStr">
        <is>
          <t>SORSELE</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67444-2020</t>
        </is>
      </c>
      <c r="B4200" s="1" t="n">
        <v>44179</v>
      </c>
      <c r="C4200" s="1" t="n">
        <v>45357</v>
      </c>
      <c r="D4200" t="inlineStr">
        <is>
          <t>VÄSTERBOTTENS LÄN</t>
        </is>
      </c>
      <c r="E4200" t="inlineStr">
        <is>
          <t>UMEÅ</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67007-2020</t>
        </is>
      </c>
      <c r="B4201" s="1" t="n">
        <v>44180</v>
      </c>
      <c r="C4201" s="1" t="n">
        <v>45357</v>
      </c>
      <c r="D4201" t="inlineStr">
        <is>
          <t>VÄSTERBOTTENS LÄN</t>
        </is>
      </c>
      <c r="E4201" t="inlineStr">
        <is>
          <t>UMEÅ</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67032-2020</t>
        </is>
      </c>
      <c r="B4202" s="1" t="n">
        <v>44180</v>
      </c>
      <c r="C4202" s="1" t="n">
        <v>45357</v>
      </c>
      <c r="D4202" t="inlineStr">
        <is>
          <t>VÄSTERBOTTENS LÄN</t>
        </is>
      </c>
      <c r="E4202" t="inlineStr">
        <is>
          <t>VINDELN</t>
        </is>
      </c>
      <c r="G4202" t="n">
        <v>18.8</v>
      </c>
      <c r="H4202" t="n">
        <v>0</v>
      </c>
      <c r="I4202" t="n">
        <v>0</v>
      </c>
      <c r="J4202" t="n">
        <v>0</v>
      </c>
      <c r="K4202" t="n">
        <v>0</v>
      </c>
      <c r="L4202" t="n">
        <v>0</v>
      </c>
      <c r="M4202" t="n">
        <v>0</v>
      </c>
      <c r="N4202" t="n">
        <v>0</v>
      </c>
      <c r="O4202" t="n">
        <v>0</v>
      </c>
      <c r="P4202" t="n">
        <v>0</v>
      </c>
      <c r="Q4202" t="n">
        <v>0</v>
      </c>
      <c r="R4202" s="2" t="inlineStr"/>
    </row>
    <row r="4203" ht="15" customHeight="1">
      <c r="A4203" t="inlineStr">
        <is>
          <t>A 67226-2020</t>
        </is>
      </c>
      <c r="B4203" s="1" t="n">
        <v>44180</v>
      </c>
      <c r="C4203" s="1" t="n">
        <v>45357</v>
      </c>
      <c r="D4203" t="inlineStr">
        <is>
          <t>VÄSTERBOTTENS LÄN</t>
        </is>
      </c>
      <c r="E4203" t="inlineStr">
        <is>
          <t>NORSJÖ</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67497-2020</t>
        </is>
      </c>
      <c r="B4204" s="1" t="n">
        <v>44180</v>
      </c>
      <c r="C4204" s="1" t="n">
        <v>45357</v>
      </c>
      <c r="D4204" t="inlineStr">
        <is>
          <t>VÄSTERBOTTENS LÄN</t>
        </is>
      </c>
      <c r="E4204" t="inlineStr">
        <is>
          <t>SORSELE</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67227-2020</t>
        </is>
      </c>
      <c r="B4205" s="1" t="n">
        <v>44180</v>
      </c>
      <c r="C4205" s="1" t="n">
        <v>45357</v>
      </c>
      <c r="D4205" t="inlineStr">
        <is>
          <t>VÄSTERBOTTENS LÄN</t>
        </is>
      </c>
      <c r="E4205" t="inlineStr">
        <is>
          <t>NORSJÖ</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67663-2020</t>
        </is>
      </c>
      <c r="B4206" s="1" t="n">
        <v>44180</v>
      </c>
      <c r="C4206" s="1" t="n">
        <v>45357</v>
      </c>
      <c r="D4206" t="inlineStr">
        <is>
          <t>VÄSTERBOTTENS LÄN</t>
        </is>
      </c>
      <c r="E4206" t="inlineStr">
        <is>
          <t>BJURHOLM</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67297-2020</t>
        </is>
      </c>
      <c r="B4207" s="1" t="n">
        <v>44181</v>
      </c>
      <c r="C4207" s="1" t="n">
        <v>45357</v>
      </c>
      <c r="D4207" t="inlineStr">
        <is>
          <t>VÄSTERBOTTENS LÄN</t>
        </is>
      </c>
      <c r="E4207" t="inlineStr">
        <is>
          <t>SKELLEFTEÅ</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67587-2020</t>
        </is>
      </c>
      <c r="B4208" s="1" t="n">
        <v>44181</v>
      </c>
      <c r="C4208" s="1" t="n">
        <v>45357</v>
      </c>
      <c r="D4208" t="inlineStr">
        <is>
          <t>VÄSTERBOTTENS LÄN</t>
        </is>
      </c>
      <c r="E4208" t="inlineStr">
        <is>
          <t>STORUMAN</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67624-2020</t>
        </is>
      </c>
      <c r="B4209" s="1" t="n">
        <v>44181</v>
      </c>
      <c r="C4209" s="1" t="n">
        <v>45357</v>
      </c>
      <c r="D4209" t="inlineStr">
        <is>
          <t>VÄSTERBOTTENS LÄN</t>
        </is>
      </c>
      <c r="E4209" t="inlineStr">
        <is>
          <t>SKELLEFTEÅ</t>
        </is>
      </c>
      <c r="F4209" t="inlineStr">
        <is>
          <t>Sveaskog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67684-2020</t>
        </is>
      </c>
      <c r="B4210" s="1" t="n">
        <v>44182</v>
      </c>
      <c r="C4210" s="1" t="n">
        <v>45357</v>
      </c>
      <c r="D4210" t="inlineStr">
        <is>
          <t>VÄSTERBOTTENS LÄN</t>
        </is>
      </c>
      <c r="E4210" t="inlineStr">
        <is>
          <t>BJURHOLM</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67678-2020</t>
        </is>
      </c>
      <c r="B4211" s="1" t="n">
        <v>44182</v>
      </c>
      <c r="C4211" s="1" t="n">
        <v>45357</v>
      </c>
      <c r="D4211" t="inlineStr">
        <is>
          <t>VÄSTERBOTTENS LÄN</t>
        </is>
      </c>
      <c r="E4211" t="inlineStr">
        <is>
          <t>SKELLEFTEÅ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67854-2020</t>
        </is>
      </c>
      <c r="B4212" s="1" t="n">
        <v>44182</v>
      </c>
      <c r="C4212" s="1" t="n">
        <v>45357</v>
      </c>
      <c r="D4212" t="inlineStr">
        <is>
          <t>VÄSTERBOTTENS LÄN</t>
        </is>
      </c>
      <c r="E4212" t="inlineStr">
        <is>
          <t>UMEÅ</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67993-2020</t>
        </is>
      </c>
      <c r="B4213" s="1" t="n">
        <v>44182</v>
      </c>
      <c r="C4213" s="1" t="n">
        <v>45357</v>
      </c>
      <c r="D4213" t="inlineStr">
        <is>
          <t>VÄSTERBOTTENS LÄN</t>
        </is>
      </c>
      <c r="E4213" t="inlineStr">
        <is>
          <t>NORDMALING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68253-2020</t>
        </is>
      </c>
      <c r="B4214" s="1" t="n">
        <v>44182</v>
      </c>
      <c r="C4214" s="1" t="n">
        <v>45357</v>
      </c>
      <c r="D4214" t="inlineStr">
        <is>
          <t>VÄSTERBOTTENS LÄN</t>
        </is>
      </c>
      <c r="E4214" t="inlineStr">
        <is>
          <t>LYCKSELE</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68042-2020</t>
        </is>
      </c>
      <c r="B4215" s="1" t="n">
        <v>44182</v>
      </c>
      <c r="C4215" s="1" t="n">
        <v>45357</v>
      </c>
      <c r="D4215" t="inlineStr">
        <is>
          <t>VÄSTERBOTTENS LÄN</t>
        </is>
      </c>
      <c r="E4215" t="inlineStr">
        <is>
          <t>NORDMALING</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68405-2020</t>
        </is>
      </c>
      <c r="B4216" s="1" t="n">
        <v>44182</v>
      </c>
      <c r="C4216" s="1" t="n">
        <v>45357</v>
      </c>
      <c r="D4216" t="inlineStr">
        <is>
          <t>VÄSTERBOTTENS LÄN</t>
        </is>
      </c>
      <c r="E4216" t="inlineStr">
        <is>
          <t>LYCKSELE</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68409-2020</t>
        </is>
      </c>
      <c r="B4217" s="1" t="n">
        <v>44182</v>
      </c>
      <c r="C4217" s="1" t="n">
        <v>45357</v>
      </c>
      <c r="D4217" t="inlineStr">
        <is>
          <t>VÄSTERBOTTENS LÄN</t>
        </is>
      </c>
      <c r="E4217" t="inlineStr">
        <is>
          <t>LYCKSELE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67976-2020</t>
        </is>
      </c>
      <c r="B4218" s="1" t="n">
        <v>44182</v>
      </c>
      <c r="C4218" s="1" t="n">
        <v>45357</v>
      </c>
      <c r="D4218" t="inlineStr">
        <is>
          <t>VÄSTERBOTTENS LÄN</t>
        </is>
      </c>
      <c r="E4218" t="inlineStr">
        <is>
          <t>SKELLEFTEÅ</t>
        </is>
      </c>
      <c r="F4218" t="inlineStr">
        <is>
          <t>Holmen skog AB</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68116-2020</t>
        </is>
      </c>
      <c r="B4219" s="1" t="n">
        <v>44183</v>
      </c>
      <c r="C4219" s="1" t="n">
        <v>45357</v>
      </c>
      <c r="D4219" t="inlineStr">
        <is>
          <t>VÄSTERBOTTENS LÄN</t>
        </is>
      </c>
      <c r="E4219" t="inlineStr">
        <is>
          <t>SKELLEFTEÅ</t>
        </is>
      </c>
      <c r="F4219" t="inlineStr">
        <is>
          <t>Sveaskog</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68289-2020</t>
        </is>
      </c>
      <c r="B4220" s="1" t="n">
        <v>44183</v>
      </c>
      <c r="C4220" s="1" t="n">
        <v>45357</v>
      </c>
      <c r="D4220" t="inlineStr">
        <is>
          <t>VÄSTERBOTTENS LÄN</t>
        </is>
      </c>
      <c r="E4220" t="inlineStr">
        <is>
          <t>ROBERTSFORS</t>
        </is>
      </c>
      <c r="F4220" t="inlineStr">
        <is>
          <t>SCA</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68203-2020</t>
        </is>
      </c>
      <c r="B4221" s="1" t="n">
        <v>44183</v>
      </c>
      <c r="C4221" s="1" t="n">
        <v>45357</v>
      </c>
      <c r="D4221" t="inlineStr">
        <is>
          <t>VÄSTERBOTTENS LÄN</t>
        </is>
      </c>
      <c r="E4221" t="inlineStr">
        <is>
          <t>SKELLEFTEÅ</t>
        </is>
      </c>
      <c r="F4221" t="inlineStr">
        <is>
          <t>Sveaskog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68240-2020</t>
        </is>
      </c>
      <c r="B4222" s="1" t="n">
        <v>44183</v>
      </c>
      <c r="C4222" s="1" t="n">
        <v>45357</v>
      </c>
      <c r="D4222" t="inlineStr">
        <is>
          <t>VÄSTERBOTTENS LÄN</t>
        </is>
      </c>
      <c r="E4222" t="inlineStr">
        <is>
          <t>VINDELN</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68510-2020</t>
        </is>
      </c>
      <c r="B4223" s="1" t="n">
        <v>44183</v>
      </c>
      <c r="C4223" s="1" t="n">
        <v>45357</v>
      </c>
      <c r="D4223" t="inlineStr">
        <is>
          <t>VÄSTERBOTTENS LÄN</t>
        </is>
      </c>
      <c r="E4223" t="inlineStr">
        <is>
          <t>LYCKSELE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68055-2020</t>
        </is>
      </c>
      <c r="B4224" s="1" t="n">
        <v>44183</v>
      </c>
      <c r="C4224" s="1" t="n">
        <v>45357</v>
      </c>
      <c r="D4224" t="inlineStr">
        <is>
          <t>VÄSTERBOTTENS LÄN</t>
        </is>
      </c>
      <c r="E4224" t="inlineStr">
        <is>
          <t>SKELLEFTEÅ</t>
        </is>
      </c>
      <c r="F4224" t="inlineStr">
        <is>
          <t>Sveaskog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68373-2020</t>
        </is>
      </c>
      <c r="B4225" s="1" t="n">
        <v>44186</v>
      </c>
      <c r="C4225" s="1" t="n">
        <v>45357</v>
      </c>
      <c r="D4225" t="inlineStr">
        <is>
          <t>VÄSTERBOTTENS LÄN</t>
        </is>
      </c>
      <c r="E4225" t="inlineStr">
        <is>
          <t>ROBERTSFORS</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68499-2020</t>
        </is>
      </c>
      <c r="B4226" s="1" t="n">
        <v>44186</v>
      </c>
      <c r="C4226" s="1" t="n">
        <v>45357</v>
      </c>
      <c r="D4226" t="inlineStr">
        <is>
          <t>VÄSTERBOTTENS LÄN</t>
        </is>
      </c>
      <c r="E4226" t="inlineStr">
        <is>
          <t>STORUMAN</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68385-2020</t>
        </is>
      </c>
      <c r="B4227" s="1" t="n">
        <v>44186</v>
      </c>
      <c r="C4227" s="1" t="n">
        <v>45357</v>
      </c>
      <c r="D4227" t="inlineStr">
        <is>
          <t>VÄSTERBOTTENS LÄN</t>
        </is>
      </c>
      <c r="E4227" t="inlineStr">
        <is>
          <t>ROBERTSFORS</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68564-2020</t>
        </is>
      </c>
      <c r="B4228" s="1" t="n">
        <v>44186</v>
      </c>
      <c r="C4228" s="1" t="n">
        <v>45357</v>
      </c>
      <c r="D4228" t="inlineStr">
        <is>
          <t>VÄSTERBOTTENS LÄN</t>
        </is>
      </c>
      <c r="E4228" t="inlineStr">
        <is>
          <t>SKELLEFTEÅ</t>
        </is>
      </c>
      <c r="G4228" t="n">
        <v>11.4</v>
      </c>
      <c r="H4228" t="n">
        <v>0</v>
      </c>
      <c r="I4228" t="n">
        <v>0</v>
      </c>
      <c r="J4228" t="n">
        <v>0</v>
      </c>
      <c r="K4228" t="n">
        <v>0</v>
      </c>
      <c r="L4228" t="n">
        <v>0</v>
      </c>
      <c r="M4228" t="n">
        <v>0</v>
      </c>
      <c r="N4228" t="n">
        <v>0</v>
      </c>
      <c r="O4228" t="n">
        <v>0</v>
      </c>
      <c r="P4228" t="n">
        <v>0</v>
      </c>
      <c r="Q4228" t="n">
        <v>0</v>
      </c>
      <c r="R4228" s="2" t="inlineStr"/>
    </row>
    <row r="4229" ht="15" customHeight="1">
      <c r="A4229" t="inlineStr">
        <is>
          <t>A 68371-2020</t>
        </is>
      </c>
      <c r="B4229" s="1" t="n">
        <v>44186</v>
      </c>
      <c r="C4229" s="1" t="n">
        <v>45357</v>
      </c>
      <c r="D4229" t="inlineStr">
        <is>
          <t>VÄSTERBOTTENS LÄN</t>
        </is>
      </c>
      <c r="E4229" t="inlineStr">
        <is>
          <t>ROBERTSFORS</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68494-2020</t>
        </is>
      </c>
      <c r="B4230" s="1" t="n">
        <v>44186</v>
      </c>
      <c r="C4230" s="1" t="n">
        <v>45357</v>
      </c>
      <c r="D4230" t="inlineStr">
        <is>
          <t>VÄSTERBOTTENS LÄN</t>
        </is>
      </c>
      <c r="E4230" t="inlineStr">
        <is>
          <t>STORUMAN</t>
        </is>
      </c>
      <c r="F4230" t="inlineStr">
        <is>
          <t>Sveaskog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68505-2020</t>
        </is>
      </c>
      <c r="B4231" s="1" t="n">
        <v>44186</v>
      </c>
      <c r="C4231" s="1" t="n">
        <v>45357</v>
      </c>
      <c r="D4231" t="inlineStr">
        <is>
          <t>VÄSTERBOTTENS LÄN</t>
        </is>
      </c>
      <c r="E4231" t="inlineStr">
        <is>
          <t>STORUMAN</t>
        </is>
      </c>
      <c r="F4231" t="inlineStr">
        <is>
          <t>Sveaskog</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68383-2020</t>
        </is>
      </c>
      <c r="B4232" s="1" t="n">
        <v>44186</v>
      </c>
      <c r="C4232" s="1" t="n">
        <v>45357</v>
      </c>
      <c r="D4232" t="inlineStr">
        <is>
          <t>VÄSTERBOTTENS LÄN</t>
        </is>
      </c>
      <c r="E4232" t="inlineStr">
        <is>
          <t>ROBERTSFORS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68641-2020</t>
        </is>
      </c>
      <c r="B4233" s="1" t="n">
        <v>44186</v>
      </c>
      <c r="C4233" s="1" t="n">
        <v>45357</v>
      </c>
      <c r="D4233" t="inlineStr">
        <is>
          <t>VÄSTERBOTTENS LÄN</t>
        </is>
      </c>
      <c r="E4233" t="inlineStr">
        <is>
          <t>VILHELMINA</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68640-2020</t>
        </is>
      </c>
      <c r="B4234" s="1" t="n">
        <v>44186</v>
      </c>
      <c r="C4234" s="1" t="n">
        <v>45357</v>
      </c>
      <c r="D4234" t="inlineStr">
        <is>
          <t>VÄSTERBOTTENS LÄN</t>
        </is>
      </c>
      <c r="E4234" t="inlineStr">
        <is>
          <t>VILHELMINA</t>
        </is>
      </c>
      <c r="F4234" t="inlineStr">
        <is>
          <t>SCA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68765-2020</t>
        </is>
      </c>
      <c r="B4235" s="1" t="n">
        <v>44186</v>
      </c>
      <c r="C4235" s="1" t="n">
        <v>45357</v>
      </c>
      <c r="D4235" t="inlineStr">
        <is>
          <t>VÄSTERBOTTENS LÄN</t>
        </is>
      </c>
      <c r="E4235" t="inlineStr">
        <is>
          <t>ROBERTSFORS</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68798-2020</t>
        </is>
      </c>
      <c r="B4236" s="1" t="n">
        <v>44186</v>
      </c>
      <c r="C4236" s="1" t="n">
        <v>45357</v>
      </c>
      <c r="D4236" t="inlineStr">
        <is>
          <t>VÄSTERBOTTENS LÄN</t>
        </is>
      </c>
      <c r="E4236" t="inlineStr">
        <is>
          <t>ÅSELE</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352-2021</t>
        </is>
      </c>
      <c r="B4237" s="1" t="n">
        <v>44186</v>
      </c>
      <c r="C4237" s="1" t="n">
        <v>45357</v>
      </c>
      <c r="D4237" t="inlineStr">
        <is>
          <t>VÄSTERBOTTENS LÄN</t>
        </is>
      </c>
      <c r="E4237" t="inlineStr">
        <is>
          <t>UMEÅ</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68705-2020</t>
        </is>
      </c>
      <c r="B4238" s="1" t="n">
        <v>44186</v>
      </c>
      <c r="C4238" s="1" t="n">
        <v>45357</v>
      </c>
      <c r="D4238" t="inlineStr">
        <is>
          <t>VÄSTERBOTTENS LÄN</t>
        </is>
      </c>
      <c r="E4238" t="inlineStr">
        <is>
          <t>UMEÅ</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68823-2020</t>
        </is>
      </c>
      <c r="B4239" s="1" t="n">
        <v>44186</v>
      </c>
      <c r="C4239" s="1" t="n">
        <v>45357</v>
      </c>
      <c r="D4239" t="inlineStr">
        <is>
          <t>VÄSTERBOTTENS LÄN</t>
        </is>
      </c>
      <c r="E4239" t="inlineStr">
        <is>
          <t>UMEÅ</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338-2021</t>
        </is>
      </c>
      <c r="B4240" s="1" t="n">
        <v>44186</v>
      </c>
      <c r="C4240" s="1" t="n">
        <v>45357</v>
      </c>
      <c r="D4240" t="inlineStr">
        <is>
          <t>VÄSTERBOTTENS LÄN</t>
        </is>
      </c>
      <c r="E4240" t="inlineStr">
        <is>
          <t>UMEÅ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68662-2020</t>
        </is>
      </c>
      <c r="B4241" s="1" t="n">
        <v>44187</v>
      </c>
      <c r="C4241" s="1" t="n">
        <v>45357</v>
      </c>
      <c r="D4241" t="inlineStr">
        <is>
          <t>VÄSTERBOTTENS LÄN</t>
        </is>
      </c>
      <c r="E4241" t="inlineStr">
        <is>
          <t>UMEÅ</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68827-2020</t>
        </is>
      </c>
      <c r="B4242" s="1" t="n">
        <v>44187</v>
      </c>
      <c r="C4242" s="1" t="n">
        <v>45357</v>
      </c>
      <c r="D4242" t="inlineStr">
        <is>
          <t>VÄSTERBOTTENS LÄN</t>
        </is>
      </c>
      <c r="E4242" t="inlineStr">
        <is>
          <t>STORUMAN</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69008-2020</t>
        </is>
      </c>
      <c r="B4243" s="1" t="n">
        <v>44187</v>
      </c>
      <c r="C4243" s="1" t="n">
        <v>45357</v>
      </c>
      <c r="D4243" t="inlineStr">
        <is>
          <t>VÄSTERBOTTENS LÄN</t>
        </is>
      </c>
      <c r="E4243" t="inlineStr">
        <is>
          <t>BJURHOLM</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68957-2020</t>
        </is>
      </c>
      <c r="B4244" s="1" t="n">
        <v>44187</v>
      </c>
      <c r="C4244" s="1" t="n">
        <v>45357</v>
      </c>
      <c r="D4244" t="inlineStr">
        <is>
          <t>VÄSTERBOTTENS LÄN</t>
        </is>
      </c>
      <c r="E4244" t="inlineStr">
        <is>
          <t>ROBERTSFORS</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69038-2020</t>
        </is>
      </c>
      <c r="B4245" s="1" t="n">
        <v>44187</v>
      </c>
      <c r="C4245" s="1" t="n">
        <v>45357</v>
      </c>
      <c r="D4245" t="inlineStr">
        <is>
          <t>VÄSTERBOTTENS LÄN</t>
        </is>
      </c>
      <c r="E4245" t="inlineStr">
        <is>
          <t>VINDELN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69423-2020</t>
        </is>
      </c>
      <c r="B4246" s="1" t="n">
        <v>44193</v>
      </c>
      <c r="C4246" s="1" t="n">
        <v>45357</v>
      </c>
      <c r="D4246" t="inlineStr">
        <is>
          <t>VÄSTERBOTTENS LÄN</t>
        </is>
      </c>
      <c r="E4246" t="inlineStr">
        <is>
          <t>ÅSELE</t>
        </is>
      </c>
      <c r="F4246" t="inlineStr">
        <is>
          <t>SCA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69502-2020</t>
        </is>
      </c>
      <c r="B4247" s="1" t="n">
        <v>44193</v>
      </c>
      <c r="C4247" s="1" t="n">
        <v>45357</v>
      </c>
      <c r="D4247" t="inlineStr">
        <is>
          <t>VÄSTERBOTTENS LÄN</t>
        </is>
      </c>
      <c r="E4247" t="inlineStr">
        <is>
          <t>VILHELMINA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69596-2020</t>
        </is>
      </c>
      <c r="B4248" s="1" t="n">
        <v>44194</v>
      </c>
      <c r="C4248" s="1" t="n">
        <v>45357</v>
      </c>
      <c r="D4248" t="inlineStr">
        <is>
          <t>VÄSTERBOTTENS LÄN</t>
        </is>
      </c>
      <c r="E4248" t="inlineStr">
        <is>
          <t>UMEÅ</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69574-2020</t>
        </is>
      </c>
      <c r="B4249" s="1" t="n">
        <v>44194</v>
      </c>
      <c r="C4249" s="1" t="n">
        <v>45357</v>
      </c>
      <c r="D4249" t="inlineStr">
        <is>
          <t>VÄSTERBOTTENS LÄN</t>
        </is>
      </c>
      <c r="E4249" t="inlineStr">
        <is>
          <t>ROBERTSFORS</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69583-2020</t>
        </is>
      </c>
      <c r="B4250" s="1" t="n">
        <v>44195</v>
      </c>
      <c r="C4250" s="1" t="n">
        <v>45357</v>
      </c>
      <c r="D4250" t="inlineStr">
        <is>
          <t>VÄSTERBOTTENS LÄN</t>
        </is>
      </c>
      <c r="E4250" t="inlineStr">
        <is>
          <t>SKELLEFTEÅ</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69585-2020</t>
        </is>
      </c>
      <c r="B4251" s="1" t="n">
        <v>44195</v>
      </c>
      <c r="C4251" s="1" t="n">
        <v>45357</v>
      </c>
      <c r="D4251" t="inlineStr">
        <is>
          <t>VÄSTERBOTTENS LÄN</t>
        </is>
      </c>
      <c r="E4251" t="inlineStr">
        <is>
          <t>SKELLEFTEÅ</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69581-2020</t>
        </is>
      </c>
      <c r="B4252" s="1" t="n">
        <v>44195</v>
      </c>
      <c r="C4252" s="1" t="n">
        <v>45357</v>
      </c>
      <c r="D4252" t="inlineStr">
        <is>
          <t>VÄSTERBOTTENS LÄN</t>
        </is>
      </c>
      <c r="E4252" t="inlineStr">
        <is>
          <t>SKELLEFTEÅ</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69621-2020</t>
        </is>
      </c>
      <c r="B4253" s="1" t="n">
        <v>44195</v>
      </c>
      <c r="C4253" s="1" t="n">
        <v>45357</v>
      </c>
      <c r="D4253" t="inlineStr">
        <is>
          <t>VÄSTERBOTTENS LÄN</t>
        </is>
      </c>
      <c r="E4253" t="inlineStr">
        <is>
          <t>VILHELMINA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169-2021</t>
        </is>
      </c>
      <c r="B4254" s="1" t="n">
        <v>44200</v>
      </c>
      <c r="C4254" s="1" t="n">
        <v>45357</v>
      </c>
      <c r="D4254" t="inlineStr">
        <is>
          <t>VÄSTERBOTTENS LÄN</t>
        </is>
      </c>
      <c r="E4254" t="inlineStr">
        <is>
          <t>ROBERTSFORS</t>
        </is>
      </c>
      <c r="F4254" t="inlineStr">
        <is>
          <t>Holmen skog AB</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316-2021</t>
        </is>
      </c>
      <c r="B4255" s="1" t="n">
        <v>44201</v>
      </c>
      <c r="C4255" s="1" t="n">
        <v>45357</v>
      </c>
      <c r="D4255" t="inlineStr">
        <is>
          <t>VÄSTERBOTTENS LÄN</t>
        </is>
      </c>
      <c r="E4255" t="inlineStr">
        <is>
          <t>VINDELN</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353-2021</t>
        </is>
      </c>
      <c r="B4256" s="1" t="n">
        <v>44201</v>
      </c>
      <c r="C4256" s="1" t="n">
        <v>45357</v>
      </c>
      <c r="D4256" t="inlineStr">
        <is>
          <t>VÄSTERBOTTENS LÄN</t>
        </is>
      </c>
      <c r="E4256" t="inlineStr">
        <is>
          <t>SKELLEFTEÅ</t>
        </is>
      </c>
      <c r="G4256" t="n">
        <v>37.7</v>
      </c>
      <c r="H4256" t="n">
        <v>0</v>
      </c>
      <c r="I4256" t="n">
        <v>0</v>
      </c>
      <c r="J4256" t="n">
        <v>0</v>
      </c>
      <c r="K4256" t="n">
        <v>0</v>
      </c>
      <c r="L4256" t="n">
        <v>0</v>
      </c>
      <c r="M4256" t="n">
        <v>0</v>
      </c>
      <c r="N4256" t="n">
        <v>0</v>
      </c>
      <c r="O4256" t="n">
        <v>0</v>
      </c>
      <c r="P4256" t="n">
        <v>0</v>
      </c>
      <c r="Q4256" t="n">
        <v>0</v>
      </c>
      <c r="R4256" s="2" t="inlineStr"/>
    </row>
    <row r="4257" ht="15" customHeight="1">
      <c r="A4257" t="inlineStr">
        <is>
          <t>A 441-2021</t>
        </is>
      </c>
      <c r="B4257" s="1" t="n">
        <v>44201</v>
      </c>
      <c r="C4257" s="1" t="n">
        <v>45357</v>
      </c>
      <c r="D4257" t="inlineStr">
        <is>
          <t>VÄSTERBOTTENS LÄN</t>
        </is>
      </c>
      <c r="E4257" t="inlineStr">
        <is>
          <t>LYCKSELE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617-2021</t>
        </is>
      </c>
      <c r="B4258" s="1" t="n">
        <v>44203</v>
      </c>
      <c r="C4258" s="1" t="n">
        <v>45357</v>
      </c>
      <c r="D4258" t="inlineStr">
        <is>
          <t>VÄSTERBOTTENS LÄN</t>
        </is>
      </c>
      <c r="E4258" t="inlineStr">
        <is>
          <t>SORSELE</t>
        </is>
      </c>
      <c r="G4258" t="n">
        <v>51.8</v>
      </c>
      <c r="H4258" t="n">
        <v>0</v>
      </c>
      <c r="I4258" t="n">
        <v>0</v>
      </c>
      <c r="J4258" t="n">
        <v>0</v>
      </c>
      <c r="K4258" t="n">
        <v>0</v>
      </c>
      <c r="L4258" t="n">
        <v>0</v>
      </c>
      <c r="M4258" t="n">
        <v>0</v>
      </c>
      <c r="N4258" t="n">
        <v>0</v>
      </c>
      <c r="O4258" t="n">
        <v>0</v>
      </c>
      <c r="P4258" t="n">
        <v>0</v>
      </c>
      <c r="Q4258" t="n">
        <v>0</v>
      </c>
      <c r="R4258" s="2" t="inlineStr"/>
    </row>
    <row r="4259" ht="15" customHeight="1">
      <c r="A4259" t="inlineStr">
        <is>
          <t>A 664-2021</t>
        </is>
      </c>
      <c r="B4259" s="1" t="n">
        <v>44203</v>
      </c>
      <c r="C4259" s="1" t="n">
        <v>45357</v>
      </c>
      <c r="D4259" t="inlineStr">
        <is>
          <t>VÄSTERBOTTENS LÄN</t>
        </is>
      </c>
      <c r="E4259" t="inlineStr">
        <is>
          <t>VINDELN</t>
        </is>
      </c>
      <c r="G4259" t="n">
        <v>7.1</v>
      </c>
      <c r="H4259" t="n">
        <v>0</v>
      </c>
      <c r="I4259" t="n">
        <v>0</v>
      </c>
      <c r="J4259" t="n">
        <v>0</v>
      </c>
      <c r="K4259" t="n">
        <v>0</v>
      </c>
      <c r="L4259" t="n">
        <v>0</v>
      </c>
      <c r="M4259" t="n">
        <v>0</v>
      </c>
      <c r="N4259" t="n">
        <v>0</v>
      </c>
      <c r="O4259" t="n">
        <v>0</v>
      </c>
      <c r="P4259" t="n">
        <v>0</v>
      </c>
      <c r="Q4259" t="n">
        <v>0</v>
      </c>
      <c r="R4259" s="2" t="inlineStr"/>
    </row>
    <row r="4260" ht="15" customHeight="1">
      <c r="A4260" t="inlineStr">
        <is>
          <t>A 933-2021</t>
        </is>
      </c>
      <c r="B4260" s="1" t="n">
        <v>44207</v>
      </c>
      <c r="C4260" s="1" t="n">
        <v>45357</v>
      </c>
      <c r="D4260" t="inlineStr">
        <is>
          <t>VÄSTERBOTTENS LÄN</t>
        </is>
      </c>
      <c r="E4260" t="inlineStr">
        <is>
          <t>SORSELE</t>
        </is>
      </c>
      <c r="F4260" t="inlineStr">
        <is>
          <t>Sveaskog</t>
        </is>
      </c>
      <c r="G4260" t="n">
        <v>12.4</v>
      </c>
      <c r="H4260" t="n">
        <v>0</v>
      </c>
      <c r="I4260" t="n">
        <v>0</v>
      </c>
      <c r="J4260" t="n">
        <v>0</v>
      </c>
      <c r="K4260" t="n">
        <v>0</v>
      </c>
      <c r="L4260" t="n">
        <v>0</v>
      </c>
      <c r="M4260" t="n">
        <v>0</v>
      </c>
      <c r="N4260" t="n">
        <v>0</v>
      </c>
      <c r="O4260" t="n">
        <v>0</v>
      </c>
      <c r="P4260" t="n">
        <v>0</v>
      </c>
      <c r="Q4260" t="n">
        <v>0</v>
      </c>
      <c r="R4260" s="2" t="inlineStr"/>
    </row>
    <row r="4261" ht="15" customHeight="1">
      <c r="A4261" t="inlineStr">
        <is>
          <t>A 974-2021</t>
        </is>
      </c>
      <c r="B4261" s="1" t="n">
        <v>44207</v>
      </c>
      <c r="C4261" s="1" t="n">
        <v>45357</v>
      </c>
      <c r="D4261" t="inlineStr">
        <is>
          <t>VÄSTERBOTTENS LÄN</t>
        </is>
      </c>
      <c r="E4261" t="inlineStr">
        <is>
          <t>ÅSELE</t>
        </is>
      </c>
      <c r="F4261" t="inlineStr">
        <is>
          <t>Sveaskog</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1076-2021</t>
        </is>
      </c>
      <c r="B4262" s="1" t="n">
        <v>44207</v>
      </c>
      <c r="C4262" s="1" t="n">
        <v>45357</v>
      </c>
      <c r="D4262" t="inlineStr">
        <is>
          <t>VÄSTERBOTTENS LÄN</t>
        </is>
      </c>
      <c r="E4262" t="inlineStr">
        <is>
          <t>SKELLEFTEÅ</t>
        </is>
      </c>
      <c r="F4262" t="inlineStr">
        <is>
          <t>Holmen skog AB</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1132-2021</t>
        </is>
      </c>
      <c r="B4263" s="1" t="n">
        <v>44207</v>
      </c>
      <c r="C4263" s="1" t="n">
        <v>45357</v>
      </c>
      <c r="D4263" t="inlineStr">
        <is>
          <t>VÄSTERBOTTENS LÄN</t>
        </is>
      </c>
      <c r="E4263" t="inlineStr">
        <is>
          <t>NORDMALING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1141-2021</t>
        </is>
      </c>
      <c r="B4264" s="1" t="n">
        <v>44207</v>
      </c>
      <c r="C4264" s="1" t="n">
        <v>45357</v>
      </c>
      <c r="D4264" t="inlineStr">
        <is>
          <t>VÄSTERBOTTENS LÄN</t>
        </is>
      </c>
      <c r="E4264" t="inlineStr">
        <is>
          <t>NORDMALING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1149-2021</t>
        </is>
      </c>
      <c r="B4265" s="1" t="n">
        <v>44207</v>
      </c>
      <c r="C4265" s="1" t="n">
        <v>45357</v>
      </c>
      <c r="D4265" t="inlineStr">
        <is>
          <t>VÄSTERBOTTENS LÄN</t>
        </is>
      </c>
      <c r="E4265" t="inlineStr">
        <is>
          <t>SKELLEFTEÅ</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1140-2021</t>
        </is>
      </c>
      <c r="B4266" s="1" t="n">
        <v>44207</v>
      </c>
      <c r="C4266" s="1" t="n">
        <v>45357</v>
      </c>
      <c r="D4266" t="inlineStr">
        <is>
          <t>VÄSTERBOTTENS LÄN</t>
        </is>
      </c>
      <c r="E4266" t="inlineStr">
        <is>
          <t>SKELLEFTEÅ</t>
        </is>
      </c>
      <c r="G4266" t="n">
        <v>8.699999999999999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1153-2021</t>
        </is>
      </c>
      <c r="B4267" s="1" t="n">
        <v>44207</v>
      </c>
      <c r="C4267" s="1" t="n">
        <v>45357</v>
      </c>
      <c r="D4267" t="inlineStr">
        <is>
          <t>VÄSTERBOTTENS LÄN</t>
        </is>
      </c>
      <c r="E4267" t="inlineStr">
        <is>
          <t>VÄNNÄS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1406-2021</t>
        </is>
      </c>
      <c r="B4268" s="1" t="n">
        <v>44208</v>
      </c>
      <c r="C4268" s="1" t="n">
        <v>45357</v>
      </c>
      <c r="D4268" t="inlineStr">
        <is>
          <t>VÄSTERBOTTENS LÄN</t>
        </is>
      </c>
      <c r="E4268" t="inlineStr">
        <is>
          <t>NORDMALING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1363-2021</t>
        </is>
      </c>
      <c r="B4269" s="1" t="n">
        <v>44208</v>
      </c>
      <c r="C4269" s="1" t="n">
        <v>45357</v>
      </c>
      <c r="D4269" t="inlineStr">
        <is>
          <t>VÄSTERBOTTENS LÄN</t>
        </is>
      </c>
      <c r="E4269" t="inlineStr">
        <is>
          <t>VINDELN</t>
        </is>
      </c>
      <c r="F4269" t="inlineStr">
        <is>
          <t>Holmen skog AB</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1471-2021</t>
        </is>
      </c>
      <c r="B4270" s="1" t="n">
        <v>44208</v>
      </c>
      <c r="C4270" s="1" t="n">
        <v>45357</v>
      </c>
      <c r="D4270" t="inlineStr">
        <is>
          <t>VÄSTERBOTTENS LÄN</t>
        </is>
      </c>
      <c r="E4270" t="inlineStr">
        <is>
          <t>VILHELMINA</t>
        </is>
      </c>
      <c r="F4270" t="inlineStr">
        <is>
          <t>SCA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1470-2021</t>
        </is>
      </c>
      <c r="B4271" s="1" t="n">
        <v>44208</v>
      </c>
      <c r="C4271" s="1" t="n">
        <v>45357</v>
      </c>
      <c r="D4271" t="inlineStr">
        <is>
          <t>VÄSTERBOTTENS LÄN</t>
        </is>
      </c>
      <c r="E4271" t="inlineStr">
        <is>
          <t>VILHELMINA</t>
        </is>
      </c>
      <c r="F4271" t="inlineStr">
        <is>
          <t>SCA</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1625-2021</t>
        </is>
      </c>
      <c r="B4272" s="1" t="n">
        <v>44209</v>
      </c>
      <c r="C4272" s="1" t="n">
        <v>45357</v>
      </c>
      <c r="D4272" t="inlineStr">
        <is>
          <t>VÄSTERBOTTENS LÄN</t>
        </is>
      </c>
      <c r="E4272" t="inlineStr">
        <is>
          <t>ROBERTSFORS</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1820-2021</t>
        </is>
      </c>
      <c r="B4273" s="1" t="n">
        <v>44210</v>
      </c>
      <c r="C4273" s="1" t="n">
        <v>45357</v>
      </c>
      <c r="D4273" t="inlineStr">
        <is>
          <t>VÄSTERBOTTENS LÄN</t>
        </is>
      </c>
      <c r="E4273" t="inlineStr">
        <is>
          <t>ÅSELE</t>
        </is>
      </c>
      <c r="F4273" t="inlineStr">
        <is>
          <t>Sveaskog</t>
        </is>
      </c>
      <c r="G4273" t="n">
        <v>9.9</v>
      </c>
      <c r="H4273" t="n">
        <v>0</v>
      </c>
      <c r="I4273" t="n">
        <v>0</v>
      </c>
      <c r="J4273" t="n">
        <v>0</v>
      </c>
      <c r="K4273" t="n">
        <v>0</v>
      </c>
      <c r="L4273" t="n">
        <v>0</v>
      </c>
      <c r="M4273" t="n">
        <v>0</v>
      </c>
      <c r="N4273" t="n">
        <v>0</v>
      </c>
      <c r="O4273" t="n">
        <v>0</v>
      </c>
      <c r="P4273" t="n">
        <v>0</v>
      </c>
      <c r="Q4273" t="n">
        <v>0</v>
      </c>
      <c r="R4273" s="2" t="inlineStr"/>
    </row>
    <row r="4274" ht="15" customHeight="1">
      <c r="A4274" t="inlineStr">
        <is>
          <t>A 1891-2021</t>
        </is>
      </c>
      <c r="B4274" s="1" t="n">
        <v>44210</v>
      </c>
      <c r="C4274" s="1" t="n">
        <v>45357</v>
      </c>
      <c r="D4274" t="inlineStr">
        <is>
          <t>VÄSTERBOTTENS LÄN</t>
        </is>
      </c>
      <c r="E4274" t="inlineStr">
        <is>
          <t>SKELLEFTEÅ</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1920-2021</t>
        </is>
      </c>
      <c r="B4275" s="1" t="n">
        <v>44210</v>
      </c>
      <c r="C4275" s="1" t="n">
        <v>45357</v>
      </c>
      <c r="D4275" t="inlineStr">
        <is>
          <t>VÄSTERBOTTENS LÄN</t>
        </is>
      </c>
      <c r="E4275" t="inlineStr">
        <is>
          <t>VÄNNÄS</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2187-2021</t>
        </is>
      </c>
      <c r="B4276" s="1" t="n">
        <v>44211</v>
      </c>
      <c r="C4276" s="1" t="n">
        <v>45357</v>
      </c>
      <c r="D4276" t="inlineStr">
        <is>
          <t>VÄSTERBOTTENS LÄN</t>
        </is>
      </c>
      <c r="E4276" t="inlineStr">
        <is>
          <t>VILHELMINA</t>
        </is>
      </c>
      <c r="F4276" t="inlineStr">
        <is>
          <t>Allmännings- och besparingsskogar</t>
        </is>
      </c>
      <c r="G4276" t="n">
        <v>21.3</v>
      </c>
      <c r="H4276" t="n">
        <v>0</v>
      </c>
      <c r="I4276" t="n">
        <v>0</v>
      </c>
      <c r="J4276" t="n">
        <v>0</v>
      </c>
      <c r="K4276" t="n">
        <v>0</v>
      </c>
      <c r="L4276" t="n">
        <v>0</v>
      </c>
      <c r="M4276" t="n">
        <v>0</v>
      </c>
      <c r="N4276" t="n">
        <v>0</v>
      </c>
      <c r="O4276" t="n">
        <v>0</v>
      </c>
      <c r="P4276" t="n">
        <v>0</v>
      </c>
      <c r="Q4276" t="n">
        <v>0</v>
      </c>
      <c r="R4276" s="2" t="inlineStr"/>
    </row>
    <row r="4277" ht="15" customHeight="1">
      <c r="A4277" t="inlineStr">
        <is>
          <t>A 2148-2021</t>
        </is>
      </c>
      <c r="B4277" s="1" t="n">
        <v>44211</v>
      </c>
      <c r="C4277" s="1" t="n">
        <v>45357</v>
      </c>
      <c r="D4277" t="inlineStr">
        <is>
          <t>VÄSTERBOTTENS LÄN</t>
        </is>
      </c>
      <c r="E4277" t="inlineStr">
        <is>
          <t>NORSJÖ</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2189-2021</t>
        </is>
      </c>
      <c r="B4278" s="1" t="n">
        <v>44211</v>
      </c>
      <c r="C4278" s="1" t="n">
        <v>45357</v>
      </c>
      <c r="D4278" t="inlineStr">
        <is>
          <t>VÄSTERBOTTENS LÄN</t>
        </is>
      </c>
      <c r="E4278" t="inlineStr">
        <is>
          <t>VILHELMINA</t>
        </is>
      </c>
      <c r="F4278" t="inlineStr">
        <is>
          <t>Allmännings- och besparingsskogar</t>
        </is>
      </c>
      <c r="G4278" t="n">
        <v>20.1</v>
      </c>
      <c r="H4278" t="n">
        <v>0</v>
      </c>
      <c r="I4278" t="n">
        <v>0</v>
      </c>
      <c r="J4278" t="n">
        <v>0</v>
      </c>
      <c r="K4278" t="n">
        <v>0</v>
      </c>
      <c r="L4278" t="n">
        <v>0</v>
      </c>
      <c r="M4278" t="n">
        <v>0</v>
      </c>
      <c r="N4278" t="n">
        <v>0</v>
      </c>
      <c r="O4278" t="n">
        <v>0</v>
      </c>
      <c r="P4278" t="n">
        <v>0</v>
      </c>
      <c r="Q4278" t="n">
        <v>0</v>
      </c>
      <c r="R4278" s="2" t="inlineStr"/>
    </row>
    <row r="4279" ht="15" customHeight="1">
      <c r="A4279" t="inlineStr">
        <is>
          <t>A 2193-2021</t>
        </is>
      </c>
      <c r="B4279" s="1" t="n">
        <v>44211</v>
      </c>
      <c r="C4279" s="1" t="n">
        <v>45357</v>
      </c>
      <c r="D4279" t="inlineStr">
        <is>
          <t>VÄSTERBOTTENS LÄN</t>
        </is>
      </c>
      <c r="E4279" t="inlineStr">
        <is>
          <t>VILHELMINA</t>
        </is>
      </c>
      <c r="F4279" t="inlineStr">
        <is>
          <t>Allmännings- och besparingsskogar</t>
        </is>
      </c>
      <c r="G4279" t="n">
        <v>157.8</v>
      </c>
      <c r="H4279" t="n">
        <v>0</v>
      </c>
      <c r="I4279" t="n">
        <v>0</v>
      </c>
      <c r="J4279" t="n">
        <v>0</v>
      </c>
      <c r="K4279" t="n">
        <v>0</v>
      </c>
      <c r="L4279" t="n">
        <v>0</v>
      </c>
      <c r="M4279" t="n">
        <v>0</v>
      </c>
      <c r="N4279" t="n">
        <v>0</v>
      </c>
      <c r="O4279" t="n">
        <v>0</v>
      </c>
      <c r="P4279" t="n">
        <v>0</v>
      </c>
      <c r="Q4279" t="n">
        <v>0</v>
      </c>
      <c r="R4279" s="2" t="inlineStr"/>
    </row>
    <row r="4280" ht="15" customHeight="1">
      <c r="A4280" t="inlineStr">
        <is>
          <t>A 2407-2021</t>
        </is>
      </c>
      <c r="B4280" s="1" t="n">
        <v>44211</v>
      </c>
      <c r="C4280" s="1" t="n">
        <v>45357</v>
      </c>
      <c r="D4280" t="inlineStr">
        <is>
          <t>VÄSTERBOTTENS LÄN</t>
        </is>
      </c>
      <c r="E4280" t="inlineStr">
        <is>
          <t>ÅSELE</t>
        </is>
      </c>
      <c r="G4280" t="n">
        <v>8.9</v>
      </c>
      <c r="H4280" t="n">
        <v>0</v>
      </c>
      <c r="I4280" t="n">
        <v>0</v>
      </c>
      <c r="J4280" t="n">
        <v>0</v>
      </c>
      <c r="K4280" t="n">
        <v>0</v>
      </c>
      <c r="L4280" t="n">
        <v>0</v>
      </c>
      <c r="M4280" t="n">
        <v>0</v>
      </c>
      <c r="N4280" t="n">
        <v>0</v>
      </c>
      <c r="O4280" t="n">
        <v>0</v>
      </c>
      <c r="P4280" t="n">
        <v>0</v>
      </c>
      <c r="Q4280" t="n">
        <v>0</v>
      </c>
      <c r="R4280" s="2" t="inlineStr"/>
    </row>
    <row r="4281" ht="15" customHeight="1">
      <c r="A4281" t="inlineStr">
        <is>
          <t>A 2516-2021</t>
        </is>
      </c>
      <c r="B4281" s="1" t="n">
        <v>44214</v>
      </c>
      <c r="C4281" s="1" t="n">
        <v>45357</v>
      </c>
      <c r="D4281" t="inlineStr">
        <is>
          <t>VÄSTERBOTTENS LÄN</t>
        </is>
      </c>
      <c r="E4281" t="inlineStr">
        <is>
          <t>ROBERTSFORS</t>
        </is>
      </c>
      <c r="F4281" t="inlineStr">
        <is>
          <t>Holmen skog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2575-2021</t>
        </is>
      </c>
      <c r="B4282" s="1" t="n">
        <v>44214</v>
      </c>
      <c r="C4282" s="1" t="n">
        <v>45357</v>
      </c>
      <c r="D4282" t="inlineStr">
        <is>
          <t>VÄSTERBOTTENS LÄN</t>
        </is>
      </c>
      <c r="E4282" t="inlineStr">
        <is>
          <t>SKELLEFTEÅ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2505-2021</t>
        </is>
      </c>
      <c r="B4283" s="1" t="n">
        <v>44214</v>
      </c>
      <c r="C4283" s="1" t="n">
        <v>45357</v>
      </c>
      <c r="D4283" t="inlineStr">
        <is>
          <t>VÄSTERBOTTENS LÄN</t>
        </is>
      </c>
      <c r="E4283" t="inlineStr">
        <is>
          <t>UMEÅ</t>
        </is>
      </c>
      <c r="F4283" t="inlineStr">
        <is>
          <t>Kommuner</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2588-2021</t>
        </is>
      </c>
      <c r="B4284" s="1" t="n">
        <v>44214</v>
      </c>
      <c r="C4284" s="1" t="n">
        <v>45357</v>
      </c>
      <c r="D4284" t="inlineStr">
        <is>
          <t>VÄSTERBOTTENS LÄN</t>
        </is>
      </c>
      <c r="E4284" t="inlineStr">
        <is>
          <t>ROBERTSFORS</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2594-2021</t>
        </is>
      </c>
      <c r="B4285" s="1" t="n">
        <v>44214</v>
      </c>
      <c r="C4285" s="1" t="n">
        <v>45357</v>
      </c>
      <c r="D4285" t="inlineStr">
        <is>
          <t>VÄSTERBOTTENS LÄN</t>
        </is>
      </c>
      <c r="E4285" t="inlineStr">
        <is>
          <t>VÄNNÄS</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2947-2021</t>
        </is>
      </c>
      <c r="B4286" s="1" t="n">
        <v>44214</v>
      </c>
      <c r="C4286" s="1" t="n">
        <v>45357</v>
      </c>
      <c r="D4286" t="inlineStr">
        <is>
          <t>VÄSTERBOTTENS LÄN</t>
        </is>
      </c>
      <c r="E4286" t="inlineStr">
        <is>
          <t>UMEÅ</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2789-2021</t>
        </is>
      </c>
      <c r="B4287" s="1" t="n">
        <v>44214</v>
      </c>
      <c r="C4287" s="1" t="n">
        <v>45357</v>
      </c>
      <c r="D4287" t="inlineStr">
        <is>
          <t>VÄSTERBOTTENS LÄN</t>
        </is>
      </c>
      <c r="E4287" t="inlineStr">
        <is>
          <t>UMEÅ</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2943-2021</t>
        </is>
      </c>
      <c r="B4288" s="1" t="n">
        <v>44214</v>
      </c>
      <c r="C4288" s="1" t="n">
        <v>45357</v>
      </c>
      <c r="D4288" t="inlineStr">
        <is>
          <t>VÄSTERBOTTENS LÄN</t>
        </is>
      </c>
      <c r="E4288" t="inlineStr">
        <is>
          <t>UMEÅ</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3048-2021</t>
        </is>
      </c>
      <c r="B4289" s="1" t="n">
        <v>44215</v>
      </c>
      <c r="C4289" s="1" t="n">
        <v>45357</v>
      </c>
      <c r="D4289" t="inlineStr">
        <is>
          <t>VÄSTERBOTTENS LÄN</t>
        </is>
      </c>
      <c r="E4289" t="inlineStr">
        <is>
          <t>VINDELN</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3042-2021</t>
        </is>
      </c>
      <c r="B4290" s="1" t="n">
        <v>44215</v>
      </c>
      <c r="C4290" s="1" t="n">
        <v>45357</v>
      </c>
      <c r="D4290" t="inlineStr">
        <is>
          <t>VÄSTERBOTTENS LÄN</t>
        </is>
      </c>
      <c r="E4290" t="inlineStr">
        <is>
          <t>VINDELN</t>
        </is>
      </c>
      <c r="G4290" t="n">
        <v>7.7</v>
      </c>
      <c r="H4290" t="n">
        <v>0</v>
      </c>
      <c r="I4290" t="n">
        <v>0</v>
      </c>
      <c r="J4290" t="n">
        <v>0</v>
      </c>
      <c r="K4290" t="n">
        <v>0</v>
      </c>
      <c r="L4290" t="n">
        <v>0</v>
      </c>
      <c r="M4290" t="n">
        <v>0</v>
      </c>
      <c r="N4290" t="n">
        <v>0</v>
      </c>
      <c r="O4290" t="n">
        <v>0</v>
      </c>
      <c r="P4290" t="n">
        <v>0</v>
      </c>
      <c r="Q4290" t="n">
        <v>0</v>
      </c>
      <c r="R4290" s="2" t="inlineStr"/>
    </row>
    <row r="4291" ht="15" customHeight="1">
      <c r="A4291" t="inlineStr">
        <is>
          <t>A 3031-2021</t>
        </is>
      </c>
      <c r="B4291" s="1" t="n">
        <v>44216</v>
      </c>
      <c r="C4291" s="1" t="n">
        <v>45357</v>
      </c>
      <c r="D4291" t="inlineStr">
        <is>
          <t>VÄSTERBOTTENS LÄN</t>
        </is>
      </c>
      <c r="E4291" t="inlineStr">
        <is>
          <t>SKELLEFTEÅ</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3096-2021</t>
        </is>
      </c>
      <c r="B4292" s="1" t="n">
        <v>44216</v>
      </c>
      <c r="C4292" s="1" t="n">
        <v>45357</v>
      </c>
      <c r="D4292" t="inlineStr">
        <is>
          <t>VÄSTERBOTTENS LÄN</t>
        </is>
      </c>
      <c r="E4292" t="inlineStr">
        <is>
          <t>VILHELMINA</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2963-2021</t>
        </is>
      </c>
      <c r="B4293" s="1" t="n">
        <v>44216</v>
      </c>
      <c r="C4293" s="1" t="n">
        <v>45357</v>
      </c>
      <c r="D4293" t="inlineStr">
        <is>
          <t>VÄSTERBOTTENS LÄN</t>
        </is>
      </c>
      <c r="E4293" t="inlineStr">
        <is>
          <t>ROBERTSFORS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3435-2021</t>
        </is>
      </c>
      <c r="B4294" s="1" t="n">
        <v>44216</v>
      </c>
      <c r="C4294" s="1" t="n">
        <v>45357</v>
      </c>
      <c r="D4294" t="inlineStr">
        <is>
          <t>VÄSTERBOTTENS LÄN</t>
        </is>
      </c>
      <c r="E4294" t="inlineStr">
        <is>
          <t>VILHELMINA</t>
        </is>
      </c>
      <c r="G4294" t="n">
        <v>20.5</v>
      </c>
      <c r="H4294" t="n">
        <v>0</v>
      </c>
      <c r="I4294" t="n">
        <v>0</v>
      </c>
      <c r="J4294" t="n">
        <v>0</v>
      </c>
      <c r="K4294" t="n">
        <v>0</v>
      </c>
      <c r="L4294" t="n">
        <v>0</v>
      </c>
      <c r="M4294" t="n">
        <v>0</v>
      </c>
      <c r="N4294" t="n">
        <v>0</v>
      </c>
      <c r="O4294" t="n">
        <v>0</v>
      </c>
      <c r="P4294" t="n">
        <v>0</v>
      </c>
      <c r="Q4294" t="n">
        <v>0</v>
      </c>
      <c r="R4294" s="2" t="inlineStr"/>
    </row>
    <row r="4295" ht="15" customHeight="1">
      <c r="A4295" t="inlineStr">
        <is>
          <t>A 3844-2021</t>
        </is>
      </c>
      <c r="B4295" s="1" t="n">
        <v>44216</v>
      </c>
      <c r="C4295" s="1" t="n">
        <v>45357</v>
      </c>
      <c r="D4295" t="inlineStr">
        <is>
          <t>VÄSTERBOTTENS LÄN</t>
        </is>
      </c>
      <c r="E4295" t="inlineStr">
        <is>
          <t>SKELLEFTEÅ</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3951-2021</t>
        </is>
      </c>
      <c r="B4296" s="1" t="n">
        <v>44217</v>
      </c>
      <c r="C4296" s="1" t="n">
        <v>45357</v>
      </c>
      <c r="D4296" t="inlineStr">
        <is>
          <t>VÄSTERBOTTENS LÄN</t>
        </is>
      </c>
      <c r="E4296" t="inlineStr">
        <is>
          <t>SKELLEFTEÅ</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3914-2021</t>
        </is>
      </c>
      <c r="B4297" s="1" t="n">
        <v>44217</v>
      </c>
      <c r="C4297" s="1" t="n">
        <v>45357</v>
      </c>
      <c r="D4297" t="inlineStr">
        <is>
          <t>VÄSTERBOTTENS LÄN</t>
        </is>
      </c>
      <c r="E4297" t="inlineStr">
        <is>
          <t>UMEÅ</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3567-2021</t>
        </is>
      </c>
      <c r="B4298" s="1" t="n">
        <v>44218</v>
      </c>
      <c r="C4298" s="1" t="n">
        <v>45357</v>
      </c>
      <c r="D4298" t="inlineStr">
        <is>
          <t>VÄSTERBOTTENS LÄN</t>
        </is>
      </c>
      <c r="E4298" t="inlineStr">
        <is>
          <t>ÅSELE</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3566-2021</t>
        </is>
      </c>
      <c r="B4299" s="1" t="n">
        <v>44218</v>
      </c>
      <c r="C4299" s="1" t="n">
        <v>45357</v>
      </c>
      <c r="D4299" t="inlineStr">
        <is>
          <t>VÄSTERBOTTENS LÄN</t>
        </is>
      </c>
      <c r="E4299" t="inlineStr">
        <is>
          <t>ÅSELE</t>
        </is>
      </c>
      <c r="G4299" t="n">
        <v>13.3</v>
      </c>
      <c r="H4299" t="n">
        <v>0</v>
      </c>
      <c r="I4299" t="n">
        <v>0</v>
      </c>
      <c r="J4299" t="n">
        <v>0</v>
      </c>
      <c r="K4299" t="n">
        <v>0</v>
      </c>
      <c r="L4299" t="n">
        <v>0</v>
      </c>
      <c r="M4299" t="n">
        <v>0</v>
      </c>
      <c r="N4299" t="n">
        <v>0</v>
      </c>
      <c r="O4299" t="n">
        <v>0</v>
      </c>
      <c r="P4299" t="n">
        <v>0</v>
      </c>
      <c r="Q4299" t="n">
        <v>0</v>
      </c>
      <c r="R4299" s="2" t="inlineStr"/>
    </row>
    <row r="4300" ht="15" customHeight="1">
      <c r="A4300" t="inlineStr">
        <is>
          <t>A 4053-2021</t>
        </is>
      </c>
      <c r="B4300" s="1" t="n">
        <v>44218</v>
      </c>
      <c r="C4300" s="1" t="n">
        <v>45357</v>
      </c>
      <c r="D4300" t="inlineStr">
        <is>
          <t>VÄSTERBOTTENS LÄN</t>
        </is>
      </c>
      <c r="E4300" t="inlineStr">
        <is>
          <t>SORSELE</t>
        </is>
      </c>
      <c r="F4300" t="inlineStr">
        <is>
          <t>Övriga Aktiebolag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4202-2021</t>
        </is>
      </c>
      <c r="B4301" s="1" t="n">
        <v>44218</v>
      </c>
      <c r="C4301" s="1" t="n">
        <v>45357</v>
      </c>
      <c r="D4301" t="inlineStr">
        <is>
          <t>VÄSTERBOTTENS LÄN</t>
        </is>
      </c>
      <c r="E4301" t="inlineStr">
        <is>
          <t>SKELLEFTEÅ</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4054-2021</t>
        </is>
      </c>
      <c r="B4302" s="1" t="n">
        <v>44218</v>
      </c>
      <c r="C4302" s="1" t="n">
        <v>45357</v>
      </c>
      <c r="D4302" t="inlineStr">
        <is>
          <t>VÄSTERBOTTENS LÄN</t>
        </is>
      </c>
      <c r="E4302" t="inlineStr">
        <is>
          <t>SORSELE</t>
        </is>
      </c>
      <c r="F4302" t="inlineStr">
        <is>
          <t>Övriga Aktiebolag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4131-2021</t>
        </is>
      </c>
      <c r="B4303" s="1" t="n">
        <v>44218</v>
      </c>
      <c r="C4303" s="1" t="n">
        <v>45357</v>
      </c>
      <c r="D4303" t="inlineStr">
        <is>
          <t>VÄSTERBOTTENS LÄN</t>
        </is>
      </c>
      <c r="E4303" t="inlineStr">
        <is>
          <t>NORDMALING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3575-2021</t>
        </is>
      </c>
      <c r="B4304" s="1" t="n">
        <v>44218</v>
      </c>
      <c r="C4304" s="1" t="n">
        <v>45357</v>
      </c>
      <c r="D4304" t="inlineStr">
        <is>
          <t>VÄSTERBOTTENS LÄN</t>
        </is>
      </c>
      <c r="E4304" t="inlineStr">
        <is>
          <t>SKELLEFTEÅ</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3748-2021</t>
        </is>
      </c>
      <c r="B4305" s="1" t="n">
        <v>44221</v>
      </c>
      <c r="C4305" s="1" t="n">
        <v>45357</v>
      </c>
      <c r="D4305" t="inlineStr">
        <is>
          <t>VÄSTERBOTTENS LÄN</t>
        </is>
      </c>
      <c r="E4305" t="inlineStr">
        <is>
          <t>UMEÅ</t>
        </is>
      </c>
      <c r="G4305" t="n">
        <v>9.5</v>
      </c>
      <c r="H4305" t="n">
        <v>0</v>
      </c>
      <c r="I4305" t="n">
        <v>0</v>
      </c>
      <c r="J4305" t="n">
        <v>0</v>
      </c>
      <c r="K4305" t="n">
        <v>0</v>
      </c>
      <c r="L4305" t="n">
        <v>0</v>
      </c>
      <c r="M4305" t="n">
        <v>0</v>
      </c>
      <c r="N4305" t="n">
        <v>0</v>
      </c>
      <c r="O4305" t="n">
        <v>0</v>
      </c>
      <c r="P4305" t="n">
        <v>0</v>
      </c>
      <c r="Q4305" t="n">
        <v>0</v>
      </c>
      <c r="R4305" s="2" t="inlineStr"/>
    </row>
    <row r="4306" ht="15" customHeight="1">
      <c r="A4306" t="inlineStr">
        <is>
          <t>A 3803-2021</t>
        </is>
      </c>
      <c r="B4306" s="1" t="n">
        <v>44221</v>
      </c>
      <c r="C4306" s="1" t="n">
        <v>45357</v>
      </c>
      <c r="D4306" t="inlineStr">
        <is>
          <t>VÄSTERBOTTENS LÄN</t>
        </is>
      </c>
      <c r="E4306" t="inlineStr">
        <is>
          <t>STORUMAN</t>
        </is>
      </c>
      <c r="F4306" t="inlineStr">
        <is>
          <t>Övriga statliga verk och myndigheter</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3934-2021</t>
        </is>
      </c>
      <c r="B4307" s="1" t="n">
        <v>44221</v>
      </c>
      <c r="C4307" s="1" t="n">
        <v>45357</v>
      </c>
      <c r="D4307" t="inlineStr">
        <is>
          <t>VÄSTERBOTTENS LÄN</t>
        </is>
      </c>
      <c r="E4307" t="inlineStr">
        <is>
          <t>SKELLEFTEÅ</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4381-2021</t>
        </is>
      </c>
      <c r="B4308" s="1" t="n">
        <v>44221</v>
      </c>
      <c r="C4308" s="1" t="n">
        <v>45357</v>
      </c>
      <c r="D4308" t="inlineStr">
        <is>
          <t>VÄSTERBOTTENS LÄN</t>
        </is>
      </c>
      <c r="E4308" t="inlineStr">
        <is>
          <t>VINDELN</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3878-2021</t>
        </is>
      </c>
      <c r="B4309" s="1" t="n">
        <v>44222</v>
      </c>
      <c r="C4309" s="1" t="n">
        <v>45357</v>
      </c>
      <c r="D4309" t="inlineStr">
        <is>
          <t>VÄSTERBOTTENS LÄN</t>
        </is>
      </c>
      <c r="E4309" t="inlineStr">
        <is>
          <t>NORSJÖ</t>
        </is>
      </c>
      <c r="F4309" t="inlineStr">
        <is>
          <t>Holmen skog AB</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4490-2021</t>
        </is>
      </c>
      <c r="B4310" s="1" t="n">
        <v>44222</v>
      </c>
      <c r="C4310" s="1" t="n">
        <v>45357</v>
      </c>
      <c r="D4310" t="inlineStr">
        <is>
          <t>VÄSTERBOTTENS LÄN</t>
        </is>
      </c>
      <c r="E4310" t="inlineStr">
        <is>
          <t>SORSELE</t>
        </is>
      </c>
      <c r="F4310" t="inlineStr">
        <is>
          <t>Övriga Aktiebolag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4302-2021</t>
        </is>
      </c>
      <c r="B4311" s="1" t="n">
        <v>44222</v>
      </c>
      <c r="C4311" s="1" t="n">
        <v>45357</v>
      </c>
      <c r="D4311" t="inlineStr">
        <is>
          <t>VÄSTERBOTTENS LÄN</t>
        </is>
      </c>
      <c r="E4311" t="inlineStr">
        <is>
          <t>VINDELN</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4478-2021</t>
        </is>
      </c>
      <c r="B4312" s="1" t="n">
        <v>44222</v>
      </c>
      <c r="C4312" s="1" t="n">
        <v>45357</v>
      </c>
      <c r="D4312" t="inlineStr">
        <is>
          <t>VÄSTERBOTTENS LÄN</t>
        </is>
      </c>
      <c r="E4312" t="inlineStr">
        <is>
          <t>UMEÅ</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4473-2021</t>
        </is>
      </c>
      <c r="B4313" s="1" t="n">
        <v>44222</v>
      </c>
      <c r="C4313" s="1" t="n">
        <v>45357</v>
      </c>
      <c r="D4313" t="inlineStr">
        <is>
          <t>VÄSTERBOTTENS LÄN</t>
        </is>
      </c>
      <c r="E4313" t="inlineStr">
        <is>
          <t>UMEÅ</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4164-2021</t>
        </is>
      </c>
      <c r="B4314" s="1" t="n">
        <v>44223</v>
      </c>
      <c r="C4314" s="1" t="n">
        <v>45357</v>
      </c>
      <c r="D4314" t="inlineStr">
        <is>
          <t>VÄSTERBOTTENS LÄN</t>
        </is>
      </c>
      <c r="E4314" t="inlineStr">
        <is>
          <t>DOROTEA</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4299-2021</t>
        </is>
      </c>
      <c r="B4315" s="1" t="n">
        <v>44223</v>
      </c>
      <c r="C4315" s="1" t="n">
        <v>45357</v>
      </c>
      <c r="D4315" t="inlineStr">
        <is>
          <t>VÄSTERBOTTENS LÄN</t>
        </is>
      </c>
      <c r="E4315" t="inlineStr">
        <is>
          <t>SKELLEFTEÅ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4449-2021</t>
        </is>
      </c>
      <c r="B4316" s="1" t="n">
        <v>44224</v>
      </c>
      <c r="C4316" s="1" t="n">
        <v>45357</v>
      </c>
      <c r="D4316" t="inlineStr">
        <is>
          <t>VÄSTERBOTTENS LÄN</t>
        </is>
      </c>
      <c r="E4316" t="inlineStr">
        <is>
          <t>UMEÅ</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5095-2021</t>
        </is>
      </c>
      <c r="B4317" s="1" t="n">
        <v>44224</v>
      </c>
      <c r="C4317" s="1" t="n">
        <v>45357</v>
      </c>
      <c r="D4317" t="inlineStr">
        <is>
          <t>VÄSTERBOTTENS LÄN</t>
        </is>
      </c>
      <c r="E4317" t="inlineStr">
        <is>
          <t>SKELLEFTEÅ</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6650-2021</t>
        </is>
      </c>
      <c r="B4318" s="1" t="n">
        <v>44227</v>
      </c>
      <c r="C4318" s="1" t="n">
        <v>45357</v>
      </c>
      <c r="D4318" t="inlineStr">
        <is>
          <t>VÄSTERBOTTENS LÄN</t>
        </is>
      </c>
      <c r="E4318" t="inlineStr">
        <is>
          <t>SORSELE</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5143-2021</t>
        </is>
      </c>
      <c r="B4319" s="1" t="n">
        <v>44228</v>
      </c>
      <c r="C4319" s="1" t="n">
        <v>45357</v>
      </c>
      <c r="D4319" t="inlineStr">
        <is>
          <t>VÄSTERBOTTENS LÄN</t>
        </is>
      </c>
      <c r="E4319" t="inlineStr">
        <is>
          <t>SKELLEFTEÅ</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5316-2021</t>
        </is>
      </c>
      <c r="B4320" s="1" t="n">
        <v>44229</v>
      </c>
      <c r="C4320" s="1" t="n">
        <v>45357</v>
      </c>
      <c r="D4320" t="inlineStr">
        <is>
          <t>VÄSTERBOTTENS LÄN</t>
        </is>
      </c>
      <c r="E4320" t="inlineStr">
        <is>
          <t>LYCKSELE</t>
        </is>
      </c>
      <c r="F4320" t="inlineStr">
        <is>
          <t>Sveaskog</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5456-2021</t>
        </is>
      </c>
      <c r="B4321" s="1" t="n">
        <v>44229</v>
      </c>
      <c r="C4321" s="1" t="n">
        <v>45357</v>
      </c>
      <c r="D4321" t="inlineStr">
        <is>
          <t>VÄSTERBOTTENS LÄN</t>
        </is>
      </c>
      <c r="E4321" t="inlineStr">
        <is>
          <t>NORDMALING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5661-2021</t>
        </is>
      </c>
      <c r="B4322" s="1" t="n">
        <v>44230</v>
      </c>
      <c r="C4322" s="1" t="n">
        <v>45357</v>
      </c>
      <c r="D4322" t="inlineStr">
        <is>
          <t>VÄSTERBOTTENS LÄN</t>
        </is>
      </c>
      <c r="E4322" t="inlineStr">
        <is>
          <t>VINDELN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5597-2021</t>
        </is>
      </c>
      <c r="B4323" s="1" t="n">
        <v>44230</v>
      </c>
      <c r="C4323" s="1" t="n">
        <v>45357</v>
      </c>
      <c r="D4323" t="inlineStr">
        <is>
          <t>VÄSTERBOTTENS LÄN</t>
        </is>
      </c>
      <c r="E4323" t="inlineStr">
        <is>
          <t>ÅSELE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5603-2021</t>
        </is>
      </c>
      <c r="B4324" s="1" t="n">
        <v>44230</v>
      </c>
      <c r="C4324" s="1" t="n">
        <v>45357</v>
      </c>
      <c r="D4324" t="inlineStr">
        <is>
          <t>VÄSTERBOTTENS LÄN</t>
        </is>
      </c>
      <c r="E4324" t="inlineStr">
        <is>
          <t>SKELLEFTEÅ</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6011-2021</t>
        </is>
      </c>
      <c r="B4325" s="1" t="n">
        <v>44231</v>
      </c>
      <c r="C4325" s="1" t="n">
        <v>45357</v>
      </c>
      <c r="D4325" t="inlineStr">
        <is>
          <t>VÄSTERBOTTENS LÄN</t>
        </is>
      </c>
      <c r="E4325" t="inlineStr">
        <is>
          <t>ÅSELE</t>
        </is>
      </c>
      <c r="F4325" t="inlineStr">
        <is>
          <t>SCA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6046-2021</t>
        </is>
      </c>
      <c r="B4326" s="1" t="n">
        <v>44231</v>
      </c>
      <c r="C4326" s="1" t="n">
        <v>45357</v>
      </c>
      <c r="D4326" t="inlineStr">
        <is>
          <t>VÄSTERBOTTENS LÄN</t>
        </is>
      </c>
      <c r="E4326" t="inlineStr">
        <is>
          <t>MALÅ</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6023-2021</t>
        </is>
      </c>
      <c r="B4327" s="1" t="n">
        <v>44231</v>
      </c>
      <c r="C4327" s="1" t="n">
        <v>45357</v>
      </c>
      <c r="D4327" t="inlineStr">
        <is>
          <t>VÄSTERBOTTENS LÄN</t>
        </is>
      </c>
      <c r="E4327" t="inlineStr">
        <is>
          <t>ÅSELE</t>
        </is>
      </c>
      <c r="F4327" t="inlineStr">
        <is>
          <t>SCA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6022-2021</t>
        </is>
      </c>
      <c r="B4328" s="1" t="n">
        <v>44231</v>
      </c>
      <c r="C4328" s="1" t="n">
        <v>45357</v>
      </c>
      <c r="D4328" t="inlineStr">
        <is>
          <t>VÄSTERBOTTENS LÄN</t>
        </is>
      </c>
      <c r="E4328" t="inlineStr">
        <is>
          <t>ÅSELE</t>
        </is>
      </c>
      <c r="F4328" t="inlineStr">
        <is>
          <t>SCA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6174-2021</t>
        </is>
      </c>
      <c r="B4329" s="1" t="n">
        <v>44232</v>
      </c>
      <c r="C4329" s="1" t="n">
        <v>45357</v>
      </c>
      <c r="D4329" t="inlineStr">
        <is>
          <t>VÄSTERBOTTENS LÄN</t>
        </is>
      </c>
      <c r="E4329" t="inlineStr">
        <is>
          <t>UMEÅ</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6116-2021</t>
        </is>
      </c>
      <c r="B4330" s="1" t="n">
        <v>44232</v>
      </c>
      <c r="C4330" s="1" t="n">
        <v>45357</v>
      </c>
      <c r="D4330" t="inlineStr">
        <is>
          <t>VÄSTERBOTTENS LÄN</t>
        </is>
      </c>
      <c r="E4330" t="inlineStr">
        <is>
          <t>UMEÅ</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6132-2021</t>
        </is>
      </c>
      <c r="B4331" s="1" t="n">
        <v>44232</v>
      </c>
      <c r="C4331" s="1" t="n">
        <v>45357</v>
      </c>
      <c r="D4331" t="inlineStr">
        <is>
          <t>VÄSTERBOTTENS LÄN</t>
        </is>
      </c>
      <c r="E4331" t="inlineStr">
        <is>
          <t>NORDMALING</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6197-2021</t>
        </is>
      </c>
      <c r="B4332" s="1" t="n">
        <v>44234</v>
      </c>
      <c r="C4332" s="1" t="n">
        <v>45357</v>
      </c>
      <c r="D4332" t="inlineStr">
        <is>
          <t>VÄSTERBOTTENS LÄN</t>
        </is>
      </c>
      <c r="E4332" t="inlineStr">
        <is>
          <t>SORSELE</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6198-2021</t>
        </is>
      </c>
      <c r="B4333" s="1" t="n">
        <v>44234</v>
      </c>
      <c r="C4333" s="1" t="n">
        <v>45357</v>
      </c>
      <c r="D4333" t="inlineStr">
        <is>
          <t>VÄSTERBOTTENS LÄN</t>
        </is>
      </c>
      <c r="E4333" t="inlineStr">
        <is>
          <t>SORSELE</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6292-2021</t>
        </is>
      </c>
      <c r="B4334" s="1" t="n">
        <v>44235</v>
      </c>
      <c r="C4334" s="1" t="n">
        <v>45357</v>
      </c>
      <c r="D4334" t="inlineStr">
        <is>
          <t>VÄSTERBOTTENS LÄN</t>
        </is>
      </c>
      <c r="E4334" t="inlineStr">
        <is>
          <t>VÄNNÄS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6356-2021</t>
        </is>
      </c>
      <c r="B4335" s="1" t="n">
        <v>44235</v>
      </c>
      <c r="C4335" s="1" t="n">
        <v>45357</v>
      </c>
      <c r="D4335" t="inlineStr">
        <is>
          <t>VÄSTERBOTTENS LÄN</t>
        </is>
      </c>
      <c r="E4335" t="inlineStr">
        <is>
          <t>SKELLEFTEÅ</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6340-2021</t>
        </is>
      </c>
      <c r="B4336" s="1" t="n">
        <v>44235</v>
      </c>
      <c r="C4336" s="1" t="n">
        <v>45357</v>
      </c>
      <c r="D4336" t="inlineStr">
        <is>
          <t>VÄSTERBOTTENS LÄN</t>
        </is>
      </c>
      <c r="E4336" t="inlineStr">
        <is>
          <t>SORSELE</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6323-2021</t>
        </is>
      </c>
      <c r="B4337" s="1" t="n">
        <v>44235</v>
      </c>
      <c r="C4337" s="1" t="n">
        <v>45357</v>
      </c>
      <c r="D4337" t="inlineStr">
        <is>
          <t>VÄSTERBOTTENS LÄN</t>
        </is>
      </c>
      <c r="E4337" t="inlineStr">
        <is>
          <t>BJURHOLM</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6288-2021</t>
        </is>
      </c>
      <c r="B4338" s="1" t="n">
        <v>44235</v>
      </c>
      <c r="C4338" s="1" t="n">
        <v>45357</v>
      </c>
      <c r="D4338" t="inlineStr">
        <is>
          <t>VÄSTERBOTTENS LÄN</t>
        </is>
      </c>
      <c r="E4338" t="inlineStr">
        <is>
          <t>VÄNNÄS</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6489-2021</t>
        </is>
      </c>
      <c r="B4339" s="1" t="n">
        <v>44235</v>
      </c>
      <c r="C4339" s="1" t="n">
        <v>45357</v>
      </c>
      <c r="D4339" t="inlineStr">
        <is>
          <t>VÄSTERBOTTENS LÄN</t>
        </is>
      </c>
      <c r="E4339" t="inlineStr">
        <is>
          <t>DOROTEA</t>
        </is>
      </c>
      <c r="F4339" t="inlineStr">
        <is>
          <t>SCA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6658-2021</t>
        </is>
      </c>
      <c r="B4340" s="1" t="n">
        <v>44235</v>
      </c>
      <c r="C4340" s="1" t="n">
        <v>45357</v>
      </c>
      <c r="D4340" t="inlineStr">
        <is>
          <t>VÄSTERBOTTENS LÄN</t>
        </is>
      </c>
      <c r="E4340" t="inlineStr">
        <is>
          <t>VILHELMINA</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6699-2021</t>
        </is>
      </c>
      <c r="B4341" s="1" t="n">
        <v>44235</v>
      </c>
      <c r="C4341" s="1" t="n">
        <v>45357</v>
      </c>
      <c r="D4341" t="inlineStr">
        <is>
          <t>VÄSTERBOTTENS LÄN</t>
        </is>
      </c>
      <c r="E4341" t="inlineStr">
        <is>
          <t>VILHELMINA</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6664-2021</t>
        </is>
      </c>
      <c r="B4342" s="1" t="n">
        <v>44235</v>
      </c>
      <c r="C4342" s="1" t="n">
        <v>45357</v>
      </c>
      <c r="D4342" t="inlineStr">
        <is>
          <t>VÄSTERBOTTENS LÄN</t>
        </is>
      </c>
      <c r="E4342" t="inlineStr">
        <is>
          <t>VILHELMINA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6653-2021</t>
        </is>
      </c>
      <c r="B4343" s="1" t="n">
        <v>44235</v>
      </c>
      <c r="C4343" s="1" t="n">
        <v>45357</v>
      </c>
      <c r="D4343" t="inlineStr">
        <is>
          <t>VÄSTERBOTTENS LÄN</t>
        </is>
      </c>
      <c r="E4343" t="inlineStr">
        <is>
          <t>VILHELMINA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6669-2021</t>
        </is>
      </c>
      <c r="B4344" s="1" t="n">
        <v>44235</v>
      </c>
      <c r="C4344" s="1" t="n">
        <v>45357</v>
      </c>
      <c r="D4344" t="inlineStr">
        <is>
          <t>VÄSTERBOTTENS LÄN</t>
        </is>
      </c>
      <c r="E4344" t="inlineStr">
        <is>
          <t>VILHELMINA</t>
        </is>
      </c>
      <c r="G4344" t="n">
        <v>19.8</v>
      </c>
      <c r="H4344" t="n">
        <v>0</v>
      </c>
      <c r="I4344" t="n">
        <v>0</v>
      </c>
      <c r="J4344" t="n">
        <v>0</v>
      </c>
      <c r="K4344" t="n">
        <v>0</v>
      </c>
      <c r="L4344" t="n">
        <v>0</v>
      </c>
      <c r="M4344" t="n">
        <v>0</v>
      </c>
      <c r="N4344" t="n">
        <v>0</v>
      </c>
      <c r="O4344" t="n">
        <v>0</v>
      </c>
      <c r="P4344" t="n">
        <v>0</v>
      </c>
      <c r="Q4344" t="n">
        <v>0</v>
      </c>
      <c r="R4344" s="2" t="inlineStr"/>
    </row>
    <row r="4345" ht="15" customHeight="1">
      <c r="A4345" t="inlineStr">
        <is>
          <t>A 6665-2021</t>
        </is>
      </c>
      <c r="B4345" s="1" t="n">
        <v>44235</v>
      </c>
      <c r="C4345" s="1" t="n">
        <v>45357</v>
      </c>
      <c r="D4345" t="inlineStr">
        <is>
          <t>VÄSTERBOTTENS LÄN</t>
        </is>
      </c>
      <c r="E4345" t="inlineStr">
        <is>
          <t>VILHELMINA</t>
        </is>
      </c>
      <c r="G4345" t="n">
        <v>20</v>
      </c>
      <c r="H4345" t="n">
        <v>0</v>
      </c>
      <c r="I4345" t="n">
        <v>0</v>
      </c>
      <c r="J4345" t="n">
        <v>0</v>
      </c>
      <c r="K4345" t="n">
        <v>0</v>
      </c>
      <c r="L4345" t="n">
        <v>0</v>
      </c>
      <c r="M4345" t="n">
        <v>0</v>
      </c>
      <c r="N4345" t="n">
        <v>0</v>
      </c>
      <c r="O4345" t="n">
        <v>0</v>
      </c>
      <c r="P4345" t="n">
        <v>0</v>
      </c>
      <c r="Q4345" t="n">
        <v>0</v>
      </c>
      <c r="R4345" s="2" t="inlineStr"/>
    </row>
    <row r="4346" ht="15" customHeight="1">
      <c r="A4346" t="inlineStr">
        <is>
          <t>A 6706-2021</t>
        </is>
      </c>
      <c r="B4346" s="1" t="n">
        <v>44235</v>
      </c>
      <c r="C4346" s="1" t="n">
        <v>45357</v>
      </c>
      <c r="D4346" t="inlineStr">
        <is>
          <t>VÄSTERBOTTENS LÄN</t>
        </is>
      </c>
      <c r="E4346" t="inlineStr">
        <is>
          <t>VILHELMINA</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6557-2021</t>
        </is>
      </c>
      <c r="B4347" s="1" t="n">
        <v>44236</v>
      </c>
      <c r="C4347" s="1" t="n">
        <v>45357</v>
      </c>
      <c r="D4347" t="inlineStr">
        <is>
          <t>VÄSTERBOTTENS LÄN</t>
        </is>
      </c>
      <c r="E4347" t="inlineStr">
        <is>
          <t>SKELLEFTEÅ</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6635-2021</t>
        </is>
      </c>
      <c r="B4348" s="1" t="n">
        <v>44236</v>
      </c>
      <c r="C4348" s="1" t="n">
        <v>45357</v>
      </c>
      <c r="D4348" t="inlineStr">
        <is>
          <t>VÄSTERBOTTENS LÄN</t>
        </is>
      </c>
      <c r="E4348" t="inlineStr">
        <is>
          <t>SKELLEFTEÅ</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6869-2021</t>
        </is>
      </c>
      <c r="B4349" s="1" t="n">
        <v>44237</v>
      </c>
      <c r="C4349" s="1" t="n">
        <v>45357</v>
      </c>
      <c r="D4349" t="inlineStr">
        <is>
          <t>VÄSTERBOTTENS LÄN</t>
        </is>
      </c>
      <c r="E4349" t="inlineStr">
        <is>
          <t>STORUMAN</t>
        </is>
      </c>
      <c r="F4349" t="inlineStr">
        <is>
          <t>Sveaskog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7038-2021</t>
        </is>
      </c>
      <c r="B4350" s="1" t="n">
        <v>44237</v>
      </c>
      <c r="C4350" s="1" t="n">
        <v>45357</v>
      </c>
      <c r="D4350" t="inlineStr">
        <is>
          <t>VÄSTERBOTTENS LÄN</t>
        </is>
      </c>
      <c r="E4350" t="inlineStr">
        <is>
          <t>SKELLEFTEÅ</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7225-2021</t>
        </is>
      </c>
      <c r="B4351" s="1" t="n">
        <v>44237</v>
      </c>
      <c r="C4351" s="1" t="n">
        <v>45357</v>
      </c>
      <c r="D4351" t="inlineStr">
        <is>
          <t>VÄSTERBOTTENS LÄN</t>
        </is>
      </c>
      <c r="E4351" t="inlineStr">
        <is>
          <t>NORDMALING</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7034-2021</t>
        </is>
      </c>
      <c r="B4352" s="1" t="n">
        <v>44237</v>
      </c>
      <c r="C4352" s="1" t="n">
        <v>45357</v>
      </c>
      <c r="D4352" t="inlineStr">
        <is>
          <t>VÄSTERBOTTENS LÄN</t>
        </is>
      </c>
      <c r="E4352" t="inlineStr">
        <is>
          <t>SKELLEFTEÅ</t>
        </is>
      </c>
      <c r="G4352" t="n">
        <v>10.1</v>
      </c>
      <c r="H4352" t="n">
        <v>0</v>
      </c>
      <c r="I4352" t="n">
        <v>0</v>
      </c>
      <c r="J4352" t="n">
        <v>0</v>
      </c>
      <c r="K4352" t="n">
        <v>0</v>
      </c>
      <c r="L4352" t="n">
        <v>0</v>
      </c>
      <c r="M4352" t="n">
        <v>0</v>
      </c>
      <c r="N4352" t="n">
        <v>0</v>
      </c>
      <c r="O4352" t="n">
        <v>0</v>
      </c>
      <c r="P4352" t="n">
        <v>0</v>
      </c>
      <c r="Q4352" t="n">
        <v>0</v>
      </c>
      <c r="R4352" s="2" t="inlineStr"/>
    </row>
    <row r="4353" ht="15" customHeight="1">
      <c r="A4353" t="inlineStr">
        <is>
          <t>A 6981-2021</t>
        </is>
      </c>
      <c r="B4353" s="1" t="n">
        <v>44237</v>
      </c>
      <c r="C4353" s="1" t="n">
        <v>45357</v>
      </c>
      <c r="D4353" t="inlineStr">
        <is>
          <t>VÄSTERBOTTENS LÄN</t>
        </is>
      </c>
      <c r="E4353" t="inlineStr">
        <is>
          <t>ROBERTSFORS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7078-2021</t>
        </is>
      </c>
      <c r="B4354" s="1" t="n">
        <v>44237</v>
      </c>
      <c r="C4354" s="1" t="n">
        <v>45357</v>
      </c>
      <c r="D4354" t="inlineStr">
        <is>
          <t>VÄSTERBOTTENS LÄN</t>
        </is>
      </c>
      <c r="E4354" t="inlineStr">
        <is>
          <t>VILHELMINA</t>
        </is>
      </c>
      <c r="F4354" t="inlineStr">
        <is>
          <t>SCA</t>
        </is>
      </c>
      <c r="G4354" t="n">
        <v>28.4</v>
      </c>
      <c r="H4354" t="n">
        <v>0</v>
      </c>
      <c r="I4354" t="n">
        <v>0</v>
      </c>
      <c r="J4354" t="n">
        <v>0</v>
      </c>
      <c r="K4354" t="n">
        <v>0</v>
      </c>
      <c r="L4354" t="n">
        <v>0</v>
      </c>
      <c r="M4354" t="n">
        <v>0</v>
      </c>
      <c r="N4354" t="n">
        <v>0</v>
      </c>
      <c r="O4354" t="n">
        <v>0</v>
      </c>
      <c r="P4354" t="n">
        <v>0</v>
      </c>
      <c r="Q4354" t="n">
        <v>0</v>
      </c>
      <c r="R4354" s="2" t="inlineStr"/>
    </row>
    <row r="4355" ht="15" customHeight="1">
      <c r="A4355" t="inlineStr">
        <is>
          <t>A 7025-2021</t>
        </is>
      </c>
      <c r="B4355" s="1" t="n">
        <v>44237</v>
      </c>
      <c r="C4355" s="1" t="n">
        <v>45357</v>
      </c>
      <c r="D4355" t="inlineStr">
        <is>
          <t>VÄSTERBOTTENS LÄN</t>
        </is>
      </c>
      <c r="E4355" t="inlineStr">
        <is>
          <t>NORSJÖ</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7519-2021</t>
        </is>
      </c>
      <c r="B4356" s="1" t="n">
        <v>44238</v>
      </c>
      <c r="C4356" s="1" t="n">
        <v>45357</v>
      </c>
      <c r="D4356" t="inlineStr">
        <is>
          <t>VÄSTERBOTTENS LÄN</t>
        </is>
      </c>
      <c r="E4356" t="inlineStr">
        <is>
          <t>STORUMAN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7475-2021</t>
        </is>
      </c>
      <c r="B4357" s="1" t="n">
        <v>44239</v>
      </c>
      <c r="C4357" s="1" t="n">
        <v>45357</v>
      </c>
      <c r="D4357" t="inlineStr">
        <is>
          <t>VÄSTERBOTTENS LÄN</t>
        </is>
      </c>
      <c r="E4357" t="inlineStr">
        <is>
          <t>ROBERTSFORS</t>
        </is>
      </c>
      <c r="F4357" t="inlineStr">
        <is>
          <t>Sveaskog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7476-2021</t>
        </is>
      </c>
      <c r="B4358" s="1" t="n">
        <v>44239</v>
      </c>
      <c r="C4358" s="1" t="n">
        <v>45357</v>
      </c>
      <c r="D4358" t="inlineStr">
        <is>
          <t>VÄSTERBOTTENS LÄN</t>
        </is>
      </c>
      <c r="E4358" t="inlineStr">
        <is>
          <t>ROBERTSFORS</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7880-2021</t>
        </is>
      </c>
      <c r="B4359" s="1" t="n">
        <v>44242</v>
      </c>
      <c r="C4359" s="1" t="n">
        <v>45357</v>
      </c>
      <c r="D4359" t="inlineStr">
        <is>
          <t>VÄSTERBOTTENS LÄN</t>
        </is>
      </c>
      <c r="E4359" t="inlineStr">
        <is>
          <t>ROBERTSFORS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8726-2021</t>
        </is>
      </c>
      <c r="B4360" s="1" t="n">
        <v>44242</v>
      </c>
      <c r="C4360" s="1" t="n">
        <v>45357</v>
      </c>
      <c r="D4360" t="inlineStr">
        <is>
          <t>VÄSTERBOTTENS LÄN</t>
        </is>
      </c>
      <c r="E4360" t="inlineStr">
        <is>
          <t>MALÅ</t>
        </is>
      </c>
      <c r="G4360" t="n">
        <v>8.4</v>
      </c>
      <c r="H4360" t="n">
        <v>0</v>
      </c>
      <c r="I4360" t="n">
        <v>0</v>
      </c>
      <c r="J4360" t="n">
        <v>0</v>
      </c>
      <c r="K4360" t="n">
        <v>0</v>
      </c>
      <c r="L4360" t="n">
        <v>0</v>
      </c>
      <c r="M4360" t="n">
        <v>0</v>
      </c>
      <c r="N4360" t="n">
        <v>0</v>
      </c>
      <c r="O4360" t="n">
        <v>0</v>
      </c>
      <c r="P4360" t="n">
        <v>0</v>
      </c>
      <c r="Q4360" t="n">
        <v>0</v>
      </c>
      <c r="R4360" s="2" t="inlineStr"/>
    </row>
    <row r="4361" ht="15" customHeight="1">
      <c r="A4361" t="inlineStr">
        <is>
          <t>A 7823-2021</t>
        </is>
      </c>
      <c r="B4361" s="1" t="n">
        <v>44242</v>
      </c>
      <c r="C4361" s="1" t="n">
        <v>45357</v>
      </c>
      <c r="D4361" t="inlineStr">
        <is>
          <t>VÄSTERBOTTENS LÄN</t>
        </is>
      </c>
      <c r="E4361" t="inlineStr">
        <is>
          <t>SKELLEFTEÅ</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7950-2021</t>
        </is>
      </c>
      <c r="B4362" s="1" t="n">
        <v>44242</v>
      </c>
      <c r="C4362" s="1" t="n">
        <v>45357</v>
      </c>
      <c r="D4362" t="inlineStr">
        <is>
          <t>VÄSTERBOTTENS LÄN</t>
        </is>
      </c>
      <c r="E4362" t="inlineStr">
        <is>
          <t>SKELLEFTEÅ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8003-2021</t>
        </is>
      </c>
      <c r="B4363" s="1" t="n">
        <v>44243</v>
      </c>
      <c r="C4363" s="1" t="n">
        <v>45357</v>
      </c>
      <c r="D4363" t="inlineStr">
        <is>
          <t>VÄSTERBOTTENS LÄN</t>
        </is>
      </c>
      <c r="E4363" t="inlineStr">
        <is>
          <t>VILHELMINA</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8463-2021</t>
        </is>
      </c>
      <c r="B4364" s="1" t="n">
        <v>44244</v>
      </c>
      <c r="C4364" s="1" t="n">
        <v>45357</v>
      </c>
      <c r="D4364" t="inlineStr">
        <is>
          <t>VÄSTERBOTTENS LÄN</t>
        </is>
      </c>
      <c r="E4364" t="inlineStr">
        <is>
          <t>NORDMALING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8465-2021</t>
        </is>
      </c>
      <c r="B4365" s="1" t="n">
        <v>44244</v>
      </c>
      <c r="C4365" s="1" t="n">
        <v>45357</v>
      </c>
      <c r="D4365" t="inlineStr">
        <is>
          <t>VÄSTERBOTTENS LÄN</t>
        </is>
      </c>
      <c r="E4365" t="inlineStr">
        <is>
          <t>NORDMALING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8423-2021</t>
        </is>
      </c>
      <c r="B4366" s="1" t="n">
        <v>44245</v>
      </c>
      <c r="C4366" s="1" t="n">
        <v>45357</v>
      </c>
      <c r="D4366" t="inlineStr">
        <is>
          <t>VÄSTERBOTTENS LÄN</t>
        </is>
      </c>
      <c r="E4366" t="inlineStr">
        <is>
          <t>ROBERTSFORS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8416-2021</t>
        </is>
      </c>
      <c r="B4367" s="1" t="n">
        <v>44245</v>
      </c>
      <c r="C4367" s="1" t="n">
        <v>45357</v>
      </c>
      <c r="D4367" t="inlineStr">
        <is>
          <t>VÄSTERBOTTENS LÄN</t>
        </is>
      </c>
      <c r="E4367" t="inlineStr">
        <is>
          <t>ROBERTSFORS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8635-2021</t>
        </is>
      </c>
      <c r="B4368" s="1" t="n">
        <v>44245</v>
      </c>
      <c r="C4368" s="1" t="n">
        <v>45357</v>
      </c>
      <c r="D4368" t="inlineStr">
        <is>
          <t>VÄSTERBOTTENS LÄN</t>
        </is>
      </c>
      <c r="E4368" t="inlineStr">
        <is>
          <t>VINDELN</t>
        </is>
      </c>
      <c r="F4368" t="inlineStr">
        <is>
          <t>SCA</t>
        </is>
      </c>
      <c r="G4368" t="n">
        <v>8.4</v>
      </c>
      <c r="H4368" t="n">
        <v>0</v>
      </c>
      <c r="I4368" t="n">
        <v>0</v>
      </c>
      <c r="J4368" t="n">
        <v>0</v>
      </c>
      <c r="K4368" t="n">
        <v>0</v>
      </c>
      <c r="L4368" t="n">
        <v>0</v>
      </c>
      <c r="M4368" t="n">
        <v>0</v>
      </c>
      <c r="N4368" t="n">
        <v>0</v>
      </c>
      <c r="O4368" t="n">
        <v>0</v>
      </c>
      <c r="P4368" t="n">
        <v>0</v>
      </c>
      <c r="Q4368" t="n">
        <v>0</v>
      </c>
      <c r="R4368" s="2" t="inlineStr"/>
    </row>
    <row r="4369" ht="15" customHeight="1">
      <c r="A4369" t="inlineStr">
        <is>
          <t>A 8644-2021</t>
        </is>
      </c>
      <c r="B4369" s="1" t="n">
        <v>44245</v>
      </c>
      <c r="C4369" s="1" t="n">
        <v>45357</v>
      </c>
      <c r="D4369" t="inlineStr">
        <is>
          <t>VÄSTERBOTTENS LÄN</t>
        </is>
      </c>
      <c r="E4369" t="inlineStr">
        <is>
          <t>SKELLEFTEÅ</t>
        </is>
      </c>
      <c r="F4369" t="inlineStr">
        <is>
          <t>SCA</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8648-2021</t>
        </is>
      </c>
      <c r="B4370" s="1" t="n">
        <v>44245</v>
      </c>
      <c r="C4370" s="1" t="n">
        <v>45357</v>
      </c>
      <c r="D4370" t="inlineStr">
        <is>
          <t>VÄSTERBOTTENS LÄN</t>
        </is>
      </c>
      <c r="E4370" t="inlineStr">
        <is>
          <t>SKELLEFTEÅ</t>
        </is>
      </c>
      <c r="F4370" t="inlineStr">
        <is>
          <t>SCA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8911-2021</t>
        </is>
      </c>
      <c r="B4371" s="1" t="n">
        <v>44245</v>
      </c>
      <c r="C4371" s="1" t="n">
        <v>45357</v>
      </c>
      <c r="D4371" t="inlineStr">
        <is>
          <t>VÄSTERBOTTENS LÄN</t>
        </is>
      </c>
      <c r="E4371" t="inlineStr">
        <is>
          <t>SKELLEFTEÅ</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8652-2021</t>
        </is>
      </c>
      <c r="B4372" s="1" t="n">
        <v>44245</v>
      </c>
      <c r="C4372" s="1" t="n">
        <v>45357</v>
      </c>
      <c r="D4372" t="inlineStr">
        <is>
          <t>VÄSTERBOTTENS LÄN</t>
        </is>
      </c>
      <c r="E4372" t="inlineStr">
        <is>
          <t>SKELLEFTEÅ</t>
        </is>
      </c>
      <c r="F4372" t="inlineStr">
        <is>
          <t>SCA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8977-2021</t>
        </is>
      </c>
      <c r="B4373" s="1" t="n">
        <v>44246</v>
      </c>
      <c r="C4373" s="1" t="n">
        <v>45357</v>
      </c>
      <c r="D4373" t="inlineStr">
        <is>
          <t>VÄSTERBOTTENS LÄN</t>
        </is>
      </c>
      <c r="E4373" t="inlineStr">
        <is>
          <t>STORUMAN</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8750-2021</t>
        </is>
      </c>
      <c r="B4374" s="1" t="n">
        <v>44246</v>
      </c>
      <c r="C4374" s="1" t="n">
        <v>45357</v>
      </c>
      <c r="D4374" t="inlineStr">
        <is>
          <t>VÄSTERBOTTENS LÄN</t>
        </is>
      </c>
      <c r="E4374" t="inlineStr">
        <is>
          <t>VILHELMINA</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8800-2021</t>
        </is>
      </c>
      <c r="B4375" s="1" t="n">
        <v>44246</v>
      </c>
      <c r="C4375" s="1" t="n">
        <v>45357</v>
      </c>
      <c r="D4375" t="inlineStr">
        <is>
          <t>VÄSTERBOTTENS LÄN</t>
        </is>
      </c>
      <c r="E4375" t="inlineStr">
        <is>
          <t>UMEÅ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8846-2021</t>
        </is>
      </c>
      <c r="B4376" s="1" t="n">
        <v>44246</v>
      </c>
      <c r="C4376" s="1" t="n">
        <v>45357</v>
      </c>
      <c r="D4376" t="inlineStr">
        <is>
          <t>VÄSTERBOTTENS LÄN</t>
        </is>
      </c>
      <c r="E4376" t="inlineStr">
        <is>
          <t>SKELLEFTEÅ</t>
        </is>
      </c>
      <c r="F4376" t="inlineStr">
        <is>
          <t>SCA</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9081-2021</t>
        </is>
      </c>
      <c r="B4377" s="1" t="n">
        <v>44249</v>
      </c>
      <c r="C4377" s="1" t="n">
        <v>45357</v>
      </c>
      <c r="D4377" t="inlineStr">
        <is>
          <t>VÄSTERBOTTENS LÄN</t>
        </is>
      </c>
      <c r="E4377" t="inlineStr">
        <is>
          <t>SKELLEFTEÅ</t>
        </is>
      </c>
      <c r="G4377" t="n">
        <v>16.2</v>
      </c>
      <c r="H4377" t="n">
        <v>0</v>
      </c>
      <c r="I4377" t="n">
        <v>0</v>
      </c>
      <c r="J4377" t="n">
        <v>0</v>
      </c>
      <c r="K4377" t="n">
        <v>0</v>
      </c>
      <c r="L4377" t="n">
        <v>0</v>
      </c>
      <c r="M4377" t="n">
        <v>0</v>
      </c>
      <c r="N4377" t="n">
        <v>0</v>
      </c>
      <c r="O4377" t="n">
        <v>0</v>
      </c>
      <c r="P4377" t="n">
        <v>0</v>
      </c>
      <c r="Q4377" t="n">
        <v>0</v>
      </c>
      <c r="R4377" s="2" t="inlineStr"/>
    </row>
    <row r="4378" ht="15" customHeight="1">
      <c r="A4378" t="inlineStr">
        <is>
          <t>A 9045-2021</t>
        </is>
      </c>
      <c r="B4378" s="1" t="n">
        <v>44249</v>
      </c>
      <c r="C4378" s="1" t="n">
        <v>45357</v>
      </c>
      <c r="D4378" t="inlineStr">
        <is>
          <t>VÄSTERBOTTENS LÄN</t>
        </is>
      </c>
      <c r="E4378" t="inlineStr">
        <is>
          <t>SKELLEFTEÅ</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9059-2021</t>
        </is>
      </c>
      <c r="B4379" s="1" t="n">
        <v>44249</v>
      </c>
      <c r="C4379" s="1" t="n">
        <v>45357</v>
      </c>
      <c r="D4379" t="inlineStr">
        <is>
          <t>VÄSTERBOTTENS LÄN</t>
        </is>
      </c>
      <c r="E4379" t="inlineStr">
        <is>
          <t>SKELLEFTEÅ</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9192-2021</t>
        </is>
      </c>
      <c r="B4380" s="1" t="n">
        <v>44249</v>
      </c>
      <c r="C4380" s="1" t="n">
        <v>45357</v>
      </c>
      <c r="D4380" t="inlineStr">
        <is>
          <t>VÄSTERBOTTENS LÄN</t>
        </is>
      </c>
      <c r="E4380" t="inlineStr">
        <is>
          <t>SKELLEFTEÅ</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9035-2021</t>
        </is>
      </c>
      <c r="B4381" s="1" t="n">
        <v>44249</v>
      </c>
      <c r="C4381" s="1" t="n">
        <v>45357</v>
      </c>
      <c r="D4381" t="inlineStr">
        <is>
          <t>VÄSTERBOTTENS LÄN</t>
        </is>
      </c>
      <c r="E4381" t="inlineStr">
        <is>
          <t>SKELLEFTEÅ</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9051-2021</t>
        </is>
      </c>
      <c r="B4382" s="1" t="n">
        <v>44249</v>
      </c>
      <c r="C4382" s="1" t="n">
        <v>45357</v>
      </c>
      <c r="D4382" t="inlineStr">
        <is>
          <t>VÄSTERBOTTENS LÄN</t>
        </is>
      </c>
      <c r="E4382" t="inlineStr">
        <is>
          <t>SKELLEFTEÅ</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9308-2021</t>
        </is>
      </c>
      <c r="B4383" s="1" t="n">
        <v>44249</v>
      </c>
      <c r="C4383" s="1" t="n">
        <v>45357</v>
      </c>
      <c r="D4383" t="inlineStr">
        <is>
          <t>VÄSTERBOTTENS LÄN</t>
        </is>
      </c>
      <c r="E4383" t="inlineStr">
        <is>
          <t>UMEÅ</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9170-2021</t>
        </is>
      </c>
      <c r="B4384" s="1" t="n">
        <v>44249</v>
      </c>
      <c r="C4384" s="1" t="n">
        <v>45357</v>
      </c>
      <c r="D4384" t="inlineStr">
        <is>
          <t>VÄSTERBOTTENS LÄN</t>
        </is>
      </c>
      <c r="E4384" t="inlineStr">
        <is>
          <t>UMEÅ</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9090-2021</t>
        </is>
      </c>
      <c r="B4385" s="1" t="n">
        <v>44249</v>
      </c>
      <c r="C4385" s="1" t="n">
        <v>45357</v>
      </c>
      <c r="D4385" t="inlineStr">
        <is>
          <t>VÄSTERBOTTENS LÄN</t>
        </is>
      </c>
      <c r="E4385" t="inlineStr">
        <is>
          <t>SKELLEFTEÅ</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9169-2021</t>
        </is>
      </c>
      <c r="B4386" s="1" t="n">
        <v>44249</v>
      </c>
      <c r="C4386" s="1" t="n">
        <v>45357</v>
      </c>
      <c r="D4386" t="inlineStr">
        <is>
          <t>VÄSTERBOTTENS LÄN</t>
        </is>
      </c>
      <c r="E4386" t="inlineStr">
        <is>
          <t>UMEÅ</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9508-2021</t>
        </is>
      </c>
      <c r="B4387" s="1" t="n">
        <v>44251</v>
      </c>
      <c r="C4387" s="1" t="n">
        <v>45357</v>
      </c>
      <c r="D4387" t="inlineStr">
        <is>
          <t>VÄSTERBOTTENS LÄN</t>
        </is>
      </c>
      <c r="E4387" t="inlineStr">
        <is>
          <t>SORSELE</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9539-2021</t>
        </is>
      </c>
      <c r="B4388" s="1" t="n">
        <v>44251</v>
      </c>
      <c r="C4388" s="1" t="n">
        <v>45357</v>
      </c>
      <c r="D4388" t="inlineStr">
        <is>
          <t>VÄSTERBOTTENS LÄN</t>
        </is>
      </c>
      <c r="E4388" t="inlineStr">
        <is>
          <t>SORSELE</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9780-2021</t>
        </is>
      </c>
      <c r="B4389" s="1" t="n">
        <v>44251</v>
      </c>
      <c r="C4389" s="1" t="n">
        <v>45357</v>
      </c>
      <c r="D4389" t="inlineStr">
        <is>
          <t>VÄSTERBOTTENS LÄN</t>
        </is>
      </c>
      <c r="E4389" t="inlineStr">
        <is>
          <t>UMEÅ</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10075-2021</t>
        </is>
      </c>
      <c r="B4390" s="1" t="n">
        <v>44253</v>
      </c>
      <c r="C4390" s="1" t="n">
        <v>45357</v>
      </c>
      <c r="D4390" t="inlineStr">
        <is>
          <t>VÄSTERBOTTENS LÄN</t>
        </is>
      </c>
      <c r="E4390" t="inlineStr">
        <is>
          <t>VILHELMINA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9916-2021</t>
        </is>
      </c>
      <c r="B4391" s="1" t="n">
        <v>44253</v>
      </c>
      <c r="C4391" s="1" t="n">
        <v>45357</v>
      </c>
      <c r="D4391" t="inlineStr">
        <is>
          <t>VÄSTERBOTTENS LÄN</t>
        </is>
      </c>
      <c r="E4391" t="inlineStr">
        <is>
          <t>VILHELMINA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9987-2021</t>
        </is>
      </c>
      <c r="B4392" s="1" t="n">
        <v>44254</v>
      </c>
      <c r="C4392" s="1" t="n">
        <v>45357</v>
      </c>
      <c r="D4392" t="inlineStr">
        <is>
          <t>VÄSTERBOTTENS LÄN</t>
        </is>
      </c>
      <c r="E4392" t="inlineStr">
        <is>
          <t>NORSJÖ</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10167-2021</t>
        </is>
      </c>
      <c r="B4393" s="1" t="n">
        <v>44256</v>
      </c>
      <c r="C4393" s="1" t="n">
        <v>45357</v>
      </c>
      <c r="D4393" t="inlineStr">
        <is>
          <t>VÄSTERBOTTENS LÄN</t>
        </is>
      </c>
      <c r="E4393" t="inlineStr">
        <is>
          <t>VINDELN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10051-2021</t>
        </is>
      </c>
      <c r="B4394" s="1" t="n">
        <v>44256</v>
      </c>
      <c r="C4394" s="1" t="n">
        <v>45357</v>
      </c>
      <c r="D4394" t="inlineStr">
        <is>
          <t>VÄSTERBOTTENS LÄN</t>
        </is>
      </c>
      <c r="E4394" t="inlineStr">
        <is>
          <t>SKELLEFTEÅ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10238-2021</t>
        </is>
      </c>
      <c r="B4395" s="1" t="n">
        <v>44256</v>
      </c>
      <c r="C4395" s="1" t="n">
        <v>45357</v>
      </c>
      <c r="D4395" t="inlineStr">
        <is>
          <t>VÄSTERBOTTENS LÄN</t>
        </is>
      </c>
      <c r="E4395" t="inlineStr">
        <is>
          <t>NORDMALING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10422-2021</t>
        </is>
      </c>
      <c r="B4396" s="1" t="n">
        <v>44257</v>
      </c>
      <c r="C4396" s="1" t="n">
        <v>45357</v>
      </c>
      <c r="D4396" t="inlineStr">
        <is>
          <t>VÄSTERBOTTENS LÄN</t>
        </is>
      </c>
      <c r="E4396" t="inlineStr">
        <is>
          <t>STORUMAN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10445-2021</t>
        </is>
      </c>
      <c r="B4397" s="1" t="n">
        <v>44257</v>
      </c>
      <c r="C4397" s="1" t="n">
        <v>45357</v>
      </c>
      <c r="D4397" t="inlineStr">
        <is>
          <t>VÄSTERBOTTENS LÄN</t>
        </is>
      </c>
      <c r="E4397" t="inlineStr">
        <is>
          <t>UMEÅ</t>
        </is>
      </c>
      <c r="G4397" t="n">
        <v>7.1</v>
      </c>
      <c r="H4397" t="n">
        <v>0</v>
      </c>
      <c r="I4397" t="n">
        <v>0</v>
      </c>
      <c r="J4397" t="n">
        <v>0</v>
      </c>
      <c r="K4397" t="n">
        <v>0</v>
      </c>
      <c r="L4397" t="n">
        <v>0</v>
      </c>
      <c r="M4397" t="n">
        <v>0</v>
      </c>
      <c r="N4397" t="n">
        <v>0</v>
      </c>
      <c r="O4397" t="n">
        <v>0</v>
      </c>
      <c r="P4397" t="n">
        <v>0</v>
      </c>
      <c r="Q4397" t="n">
        <v>0</v>
      </c>
      <c r="R4397" s="2" t="inlineStr"/>
    </row>
    <row r="4398" ht="15" customHeight="1">
      <c r="A4398" t="inlineStr">
        <is>
          <t>A 10500-2021</t>
        </is>
      </c>
      <c r="B4398" s="1" t="n">
        <v>44257</v>
      </c>
      <c r="C4398" s="1" t="n">
        <v>45357</v>
      </c>
      <c r="D4398" t="inlineStr">
        <is>
          <t>VÄSTERBOTTENS LÄN</t>
        </is>
      </c>
      <c r="E4398" t="inlineStr">
        <is>
          <t>STORUMAN</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10481-2021</t>
        </is>
      </c>
      <c r="B4399" s="1" t="n">
        <v>44257</v>
      </c>
      <c r="C4399" s="1" t="n">
        <v>45357</v>
      </c>
      <c r="D4399" t="inlineStr">
        <is>
          <t>VÄSTERBOTTENS LÄN</t>
        </is>
      </c>
      <c r="E4399" t="inlineStr">
        <is>
          <t>STORUMAN</t>
        </is>
      </c>
      <c r="G4399" t="n">
        <v>19.7</v>
      </c>
      <c r="H4399" t="n">
        <v>0</v>
      </c>
      <c r="I4399" t="n">
        <v>0</v>
      </c>
      <c r="J4399" t="n">
        <v>0</v>
      </c>
      <c r="K4399" t="n">
        <v>0</v>
      </c>
      <c r="L4399" t="n">
        <v>0</v>
      </c>
      <c r="M4399" t="n">
        <v>0</v>
      </c>
      <c r="N4399" t="n">
        <v>0</v>
      </c>
      <c r="O4399" t="n">
        <v>0</v>
      </c>
      <c r="P4399" t="n">
        <v>0</v>
      </c>
      <c r="Q4399" t="n">
        <v>0</v>
      </c>
      <c r="R4399" s="2" t="inlineStr"/>
    </row>
    <row r="4400" ht="15" customHeight="1">
      <c r="A4400" t="inlineStr">
        <is>
          <t>A 10471-2021</t>
        </is>
      </c>
      <c r="B4400" s="1" t="n">
        <v>44257</v>
      </c>
      <c r="C4400" s="1" t="n">
        <v>45357</v>
      </c>
      <c r="D4400" t="inlineStr">
        <is>
          <t>VÄSTERBOTTENS LÄN</t>
        </is>
      </c>
      <c r="E4400" t="inlineStr">
        <is>
          <t>SKELLEFTEÅ</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10421-2021</t>
        </is>
      </c>
      <c r="B4401" s="1" t="n">
        <v>44257</v>
      </c>
      <c r="C4401" s="1" t="n">
        <v>45357</v>
      </c>
      <c r="D4401" t="inlineStr">
        <is>
          <t>VÄSTERBOTTENS LÄN</t>
        </is>
      </c>
      <c r="E4401" t="inlineStr">
        <is>
          <t>NORSJÖ</t>
        </is>
      </c>
      <c r="G4401" t="n">
        <v>13.8</v>
      </c>
      <c r="H4401" t="n">
        <v>0</v>
      </c>
      <c r="I4401" t="n">
        <v>0</v>
      </c>
      <c r="J4401" t="n">
        <v>0</v>
      </c>
      <c r="K4401" t="n">
        <v>0</v>
      </c>
      <c r="L4401" t="n">
        <v>0</v>
      </c>
      <c r="M4401" t="n">
        <v>0</v>
      </c>
      <c r="N4401" t="n">
        <v>0</v>
      </c>
      <c r="O4401" t="n">
        <v>0</v>
      </c>
      <c r="P4401" t="n">
        <v>0</v>
      </c>
      <c r="Q4401" t="n">
        <v>0</v>
      </c>
      <c r="R4401" s="2" t="inlineStr"/>
    </row>
    <row r="4402" ht="15" customHeight="1">
      <c r="A4402" t="inlineStr">
        <is>
          <t>A 10569-2021</t>
        </is>
      </c>
      <c r="B4402" s="1" t="n">
        <v>44258</v>
      </c>
      <c r="C4402" s="1" t="n">
        <v>45357</v>
      </c>
      <c r="D4402" t="inlineStr">
        <is>
          <t>VÄSTERBOTTENS LÄN</t>
        </is>
      </c>
      <c r="E4402" t="inlineStr">
        <is>
          <t>SORSELE</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10560-2021</t>
        </is>
      </c>
      <c r="B4403" s="1" t="n">
        <v>44258</v>
      </c>
      <c r="C4403" s="1" t="n">
        <v>45357</v>
      </c>
      <c r="D4403" t="inlineStr">
        <is>
          <t>VÄSTERBOTTENS LÄN</t>
        </is>
      </c>
      <c r="E4403" t="inlineStr">
        <is>
          <t>VINDELN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10591-2021</t>
        </is>
      </c>
      <c r="B4404" s="1" t="n">
        <v>44258</v>
      </c>
      <c r="C4404" s="1" t="n">
        <v>45357</v>
      </c>
      <c r="D4404" t="inlineStr">
        <is>
          <t>VÄSTERBOTTENS LÄN</t>
        </is>
      </c>
      <c r="E4404" t="inlineStr">
        <is>
          <t>NORDMALING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10595-2021</t>
        </is>
      </c>
      <c r="B4405" s="1" t="n">
        <v>44258</v>
      </c>
      <c r="C4405" s="1" t="n">
        <v>45357</v>
      </c>
      <c r="D4405" t="inlineStr">
        <is>
          <t>VÄSTERBOTTENS LÄN</t>
        </is>
      </c>
      <c r="E4405" t="inlineStr">
        <is>
          <t>NORDMALING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10636-2021</t>
        </is>
      </c>
      <c r="B4406" s="1" t="n">
        <v>44258</v>
      </c>
      <c r="C4406" s="1" t="n">
        <v>45357</v>
      </c>
      <c r="D4406" t="inlineStr">
        <is>
          <t>VÄSTERBOTTENS LÄN</t>
        </is>
      </c>
      <c r="E4406" t="inlineStr">
        <is>
          <t>STORUMAN</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11087-2021</t>
        </is>
      </c>
      <c r="B4407" s="1" t="n">
        <v>44259</v>
      </c>
      <c r="C4407" s="1" t="n">
        <v>45357</v>
      </c>
      <c r="D4407" t="inlineStr">
        <is>
          <t>VÄSTERBOTTENS LÄN</t>
        </is>
      </c>
      <c r="E4407" t="inlineStr">
        <is>
          <t>SKELLEFTEÅ</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11102-2021</t>
        </is>
      </c>
      <c r="B4408" s="1" t="n">
        <v>44259</v>
      </c>
      <c r="C4408" s="1" t="n">
        <v>45357</v>
      </c>
      <c r="D4408" t="inlineStr">
        <is>
          <t>VÄSTERBOTTENS LÄN</t>
        </is>
      </c>
      <c r="E4408" t="inlineStr">
        <is>
          <t>SKELLEFTEÅ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11114-2021</t>
        </is>
      </c>
      <c r="B4409" s="1" t="n">
        <v>44260</v>
      </c>
      <c r="C4409" s="1" t="n">
        <v>45357</v>
      </c>
      <c r="D4409" t="inlineStr">
        <is>
          <t>VÄSTERBOTTENS LÄN</t>
        </is>
      </c>
      <c r="E4409" t="inlineStr">
        <is>
          <t>STORUMAN</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11184-2021</t>
        </is>
      </c>
      <c r="B4410" s="1" t="n">
        <v>44263</v>
      </c>
      <c r="C4410" s="1" t="n">
        <v>45357</v>
      </c>
      <c r="D4410" t="inlineStr">
        <is>
          <t>VÄSTERBOTTENS LÄN</t>
        </is>
      </c>
      <c r="E4410" t="inlineStr">
        <is>
          <t>ROBERTSFORS</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11409-2021</t>
        </is>
      </c>
      <c r="B4411" s="1" t="n">
        <v>44263</v>
      </c>
      <c r="C4411" s="1" t="n">
        <v>45357</v>
      </c>
      <c r="D4411" t="inlineStr">
        <is>
          <t>VÄSTERBOTTENS LÄN</t>
        </is>
      </c>
      <c r="E4411" t="inlineStr">
        <is>
          <t>SKELLEFTEÅ</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11461-2021</t>
        </is>
      </c>
      <c r="B4412" s="1" t="n">
        <v>44263</v>
      </c>
      <c r="C4412" s="1" t="n">
        <v>45357</v>
      </c>
      <c r="D4412" t="inlineStr">
        <is>
          <t>VÄSTERBOTTENS LÄN</t>
        </is>
      </c>
      <c r="E4412" t="inlineStr">
        <is>
          <t>ROBERTSFORS</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11454-2021</t>
        </is>
      </c>
      <c r="B4413" s="1" t="n">
        <v>44264</v>
      </c>
      <c r="C4413" s="1" t="n">
        <v>45357</v>
      </c>
      <c r="D4413" t="inlineStr">
        <is>
          <t>VÄSTERBOTTENS LÄN</t>
        </is>
      </c>
      <c r="E4413" t="inlineStr">
        <is>
          <t>SKELLEFTEÅ</t>
        </is>
      </c>
      <c r="G4413" t="n">
        <v>14.6</v>
      </c>
      <c r="H4413" t="n">
        <v>0</v>
      </c>
      <c r="I4413" t="n">
        <v>0</v>
      </c>
      <c r="J4413" t="n">
        <v>0</v>
      </c>
      <c r="K4413" t="n">
        <v>0</v>
      </c>
      <c r="L4413" t="n">
        <v>0</v>
      </c>
      <c r="M4413" t="n">
        <v>0</v>
      </c>
      <c r="N4413" t="n">
        <v>0</v>
      </c>
      <c r="O4413" t="n">
        <v>0</v>
      </c>
      <c r="P4413" t="n">
        <v>0</v>
      </c>
      <c r="Q4413" t="n">
        <v>0</v>
      </c>
      <c r="R4413" s="2" t="inlineStr"/>
    </row>
    <row r="4414" ht="15" customHeight="1">
      <c r="A4414" t="inlineStr">
        <is>
          <t>A 11544-2021</t>
        </is>
      </c>
      <c r="B4414" s="1" t="n">
        <v>44264</v>
      </c>
      <c r="C4414" s="1" t="n">
        <v>45357</v>
      </c>
      <c r="D4414" t="inlineStr">
        <is>
          <t>VÄSTERBOTTENS LÄN</t>
        </is>
      </c>
      <c r="E4414" t="inlineStr">
        <is>
          <t>VINDELN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11499-2021</t>
        </is>
      </c>
      <c r="B4415" s="1" t="n">
        <v>44264</v>
      </c>
      <c r="C4415" s="1" t="n">
        <v>45357</v>
      </c>
      <c r="D4415" t="inlineStr">
        <is>
          <t>VÄSTERBOTTENS LÄN</t>
        </is>
      </c>
      <c r="E4415" t="inlineStr">
        <is>
          <t>SKELLEFTEÅ</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11707-2021</t>
        </is>
      </c>
      <c r="B4416" s="1" t="n">
        <v>44264</v>
      </c>
      <c r="C4416" s="1" t="n">
        <v>45357</v>
      </c>
      <c r="D4416" t="inlineStr">
        <is>
          <t>VÄSTERBOTTENS LÄN</t>
        </is>
      </c>
      <c r="E4416" t="inlineStr">
        <is>
          <t>DOROTEA</t>
        </is>
      </c>
      <c r="F4416" t="inlineStr">
        <is>
          <t>SCA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11759-2021</t>
        </is>
      </c>
      <c r="B4417" s="1" t="n">
        <v>44265</v>
      </c>
      <c r="C4417" s="1" t="n">
        <v>45357</v>
      </c>
      <c r="D4417" t="inlineStr">
        <is>
          <t>VÄSTERBOTTENS LÄN</t>
        </is>
      </c>
      <c r="E4417" t="inlineStr">
        <is>
          <t>NORDMALING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11989-2021</t>
        </is>
      </c>
      <c r="B4418" s="1" t="n">
        <v>44265</v>
      </c>
      <c r="C4418" s="1" t="n">
        <v>45357</v>
      </c>
      <c r="D4418" t="inlineStr">
        <is>
          <t>VÄSTERBOTTENS LÄN</t>
        </is>
      </c>
      <c r="E4418" t="inlineStr">
        <is>
          <t>VÄNNÄS</t>
        </is>
      </c>
      <c r="G4418" t="n">
        <v>9.800000000000001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12077-2021</t>
        </is>
      </c>
      <c r="B4419" s="1" t="n">
        <v>44266</v>
      </c>
      <c r="C4419" s="1" t="n">
        <v>45357</v>
      </c>
      <c r="D4419" t="inlineStr">
        <is>
          <t>VÄSTERBOTTENS LÄN</t>
        </is>
      </c>
      <c r="E4419" t="inlineStr">
        <is>
          <t>NORDMALING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11980-2021</t>
        </is>
      </c>
      <c r="B4420" s="1" t="n">
        <v>44266</v>
      </c>
      <c r="C4420" s="1" t="n">
        <v>45357</v>
      </c>
      <c r="D4420" t="inlineStr">
        <is>
          <t>VÄSTERBOTTENS LÄN</t>
        </is>
      </c>
      <c r="E4420" t="inlineStr">
        <is>
          <t>VILHELMINA</t>
        </is>
      </c>
      <c r="F4420" t="inlineStr">
        <is>
          <t>Allmännings- och besparingsskogar</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12314-2021</t>
        </is>
      </c>
      <c r="B4421" s="1" t="n">
        <v>44266</v>
      </c>
      <c r="C4421" s="1" t="n">
        <v>45357</v>
      </c>
      <c r="D4421" t="inlineStr">
        <is>
          <t>VÄSTERBOTTENS LÄN</t>
        </is>
      </c>
      <c r="E4421" t="inlineStr">
        <is>
          <t>STORUMAN</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12321-2021</t>
        </is>
      </c>
      <c r="B4422" s="1" t="n">
        <v>44266</v>
      </c>
      <c r="C4422" s="1" t="n">
        <v>45357</v>
      </c>
      <c r="D4422" t="inlineStr">
        <is>
          <t>VÄSTERBOTTENS LÄN</t>
        </is>
      </c>
      <c r="E4422" t="inlineStr">
        <is>
          <t>STORUMAN</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12416-2021</t>
        </is>
      </c>
      <c r="B4423" s="1" t="n">
        <v>44267</v>
      </c>
      <c r="C4423" s="1" t="n">
        <v>45357</v>
      </c>
      <c r="D4423" t="inlineStr">
        <is>
          <t>VÄSTERBOTTENS LÄN</t>
        </is>
      </c>
      <c r="E4423" t="inlineStr">
        <is>
          <t>SKELLEFTEÅ</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12510-2021</t>
        </is>
      </c>
      <c r="B4424" s="1" t="n">
        <v>44268</v>
      </c>
      <c r="C4424" s="1" t="n">
        <v>45357</v>
      </c>
      <c r="D4424" t="inlineStr">
        <is>
          <t>VÄSTERBOTTENS LÄN</t>
        </is>
      </c>
      <c r="E4424" t="inlineStr">
        <is>
          <t>STORUMAN</t>
        </is>
      </c>
      <c r="G4424" t="n">
        <v>11.4</v>
      </c>
      <c r="H4424" t="n">
        <v>0</v>
      </c>
      <c r="I4424" t="n">
        <v>0</v>
      </c>
      <c r="J4424" t="n">
        <v>0</v>
      </c>
      <c r="K4424" t="n">
        <v>0</v>
      </c>
      <c r="L4424" t="n">
        <v>0</v>
      </c>
      <c r="M4424" t="n">
        <v>0</v>
      </c>
      <c r="N4424" t="n">
        <v>0</v>
      </c>
      <c r="O4424" t="n">
        <v>0</v>
      </c>
      <c r="P4424" t="n">
        <v>0</v>
      </c>
      <c r="Q4424" t="n">
        <v>0</v>
      </c>
      <c r="R4424" s="2" t="inlineStr"/>
    </row>
    <row r="4425" ht="15" customHeight="1">
      <c r="A4425" t="inlineStr">
        <is>
          <t>A 12896-2021</t>
        </is>
      </c>
      <c r="B4425" s="1" t="n">
        <v>44270</v>
      </c>
      <c r="C4425" s="1" t="n">
        <v>45357</v>
      </c>
      <c r="D4425" t="inlineStr">
        <is>
          <t>VÄSTERBOTTENS LÄN</t>
        </is>
      </c>
      <c r="E4425" t="inlineStr">
        <is>
          <t>STORUMAN</t>
        </is>
      </c>
      <c r="G4425" t="n">
        <v>19.9</v>
      </c>
      <c r="H4425" t="n">
        <v>0</v>
      </c>
      <c r="I4425" t="n">
        <v>0</v>
      </c>
      <c r="J4425" t="n">
        <v>0</v>
      </c>
      <c r="K4425" t="n">
        <v>0</v>
      </c>
      <c r="L4425" t="n">
        <v>0</v>
      </c>
      <c r="M4425" t="n">
        <v>0</v>
      </c>
      <c r="N4425" t="n">
        <v>0</v>
      </c>
      <c r="O4425" t="n">
        <v>0</v>
      </c>
      <c r="P4425" t="n">
        <v>0</v>
      </c>
      <c r="Q4425" t="n">
        <v>0</v>
      </c>
      <c r="R4425" s="2" t="inlineStr"/>
    </row>
    <row r="4426" ht="15" customHeight="1">
      <c r="A4426" t="inlineStr">
        <is>
          <t>A 12811-2021</t>
        </is>
      </c>
      <c r="B4426" s="1" t="n">
        <v>44270</v>
      </c>
      <c r="C4426" s="1" t="n">
        <v>45357</v>
      </c>
      <c r="D4426" t="inlineStr">
        <is>
          <t>VÄSTERBOTTENS LÄN</t>
        </is>
      </c>
      <c r="E4426" t="inlineStr">
        <is>
          <t>VINDELN</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12877-2021</t>
        </is>
      </c>
      <c r="B4427" s="1" t="n">
        <v>44270</v>
      </c>
      <c r="C4427" s="1" t="n">
        <v>45357</v>
      </c>
      <c r="D4427" t="inlineStr">
        <is>
          <t>VÄSTERBOTTENS LÄN</t>
        </is>
      </c>
      <c r="E4427" t="inlineStr">
        <is>
          <t>STORUMAN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12928-2021</t>
        </is>
      </c>
      <c r="B4428" s="1" t="n">
        <v>44270</v>
      </c>
      <c r="C4428" s="1" t="n">
        <v>45357</v>
      </c>
      <c r="D4428" t="inlineStr">
        <is>
          <t>VÄSTERBOTTENS LÄN</t>
        </is>
      </c>
      <c r="E4428" t="inlineStr">
        <is>
          <t>SKELLEFTEÅ</t>
        </is>
      </c>
      <c r="G4428" t="n">
        <v>17.8</v>
      </c>
      <c r="H4428" t="n">
        <v>0</v>
      </c>
      <c r="I4428" t="n">
        <v>0</v>
      </c>
      <c r="J4428" t="n">
        <v>0</v>
      </c>
      <c r="K4428" t="n">
        <v>0</v>
      </c>
      <c r="L4428" t="n">
        <v>0</v>
      </c>
      <c r="M4428" t="n">
        <v>0</v>
      </c>
      <c r="N4428" t="n">
        <v>0</v>
      </c>
      <c r="O4428" t="n">
        <v>0</v>
      </c>
      <c r="P4428" t="n">
        <v>0</v>
      </c>
      <c r="Q4428" t="n">
        <v>0</v>
      </c>
      <c r="R4428" s="2" t="inlineStr"/>
    </row>
    <row r="4429" ht="15" customHeight="1">
      <c r="A4429" t="inlineStr">
        <is>
          <t>A 13059-2021</t>
        </is>
      </c>
      <c r="B4429" s="1" t="n">
        <v>44271</v>
      </c>
      <c r="C4429" s="1" t="n">
        <v>45357</v>
      </c>
      <c r="D4429" t="inlineStr">
        <is>
          <t>VÄSTERBOTTENS LÄN</t>
        </is>
      </c>
      <c r="E4429" t="inlineStr">
        <is>
          <t>DOROTEA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13146-2021</t>
        </is>
      </c>
      <c r="B4430" s="1" t="n">
        <v>44271</v>
      </c>
      <c r="C4430" s="1" t="n">
        <v>45357</v>
      </c>
      <c r="D4430" t="inlineStr">
        <is>
          <t>VÄSTERBOTTENS LÄN</t>
        </is>
      </c>
      <c r="E4430" t="inlineStr">
        <is>
          <t>MALÅ</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13086-2021</t>
        </is>
      </c>
      <c r="B4431" s="1" t="n">
        <v>44271</v>
      </c>
      <c r="C4431" s="1" t="n">
        <v>45357</v>
      </c>
      <c r="D4431" t="inlineStr">
        <is>
          <t>VÄSTERBOTTENS LÄN</t>
        </is>
      </c>
      <c r="E4431" t="inlineStr">
        <is>
          <t>SKELLEFTEÅ</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13334-2021</t>
        </is>
      </c>
      <c r="B4432" s="1" t="n">
        <v>44272</v>
      </c>
      <c r="C4432" s="1" t="n">
        <v>45357</v>
      </c>
      <c r="D4432" t="inlineStr">
        <is>
          <t>VÄSTERBOTTENS LÄN</t>
        </is>
      </c>
      <c r="E4432" t="inlineStr">
        <is>
          <t>SORSELE</t>
        </is>
      </c>
      <c r="G4432" t="n">
        <v>19.4</v>
      </c>
      <c r="H4432" t="n">
        <v>0</v>
      </c>
      <c r="I4432" t="n">
        <v>0</v>
      </c>
      <c r="J4432" t="n">
        <v>0</v>
      </c>
      <c r="K4432" t="n">
        <v>0</v>
      </c>
      <c r="L4432" t="n">
        <v>0</v>
      </c>
      <c r="M4432" t="n">
        <v>0</v>
      </c>
      <c r="N4432" t="n">
        <v>0</v>
      </c>
      <c r="O4432" t="n">
        <v>0</v>
      </c>
      <c r="P4432" t="n">
        <v>0</v>
      </c>
      <c r="Q4432" t="n">
        <v>0</v>
      </c>
      <c r="R4432" s="2" t="inlineStr"/>
    </row>
    <row r="4433" ht="15" customHeight="1">
      <c r="A4433" t="inlineStr">
        <is>
          <t>A 13456-2021</t>
        </is>
      </c>
      <c r="B4433" s="1" t="n">
        <v>44273</v>
      </c>
      <c r="C4433" s="1" t="n">
        <v>45357</v>
      </c>
      <c r="D4433" t="inlineStr">
        <is>
          <t>VÄSTERBOTTENS LÄN</t>
        </is>
      </c>
      <c r="E4433" t="inlineStr">
        <is>
          <t>ROBERTSFORS</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13469-2021</t>
        </is>
      </c>
      <c r="B4434" s="1" t="n">
        <v>44273</v>
      </c>
      <c r="C4434" s="1" t="n">
        <v>45357</v>
      </c>
      <c r="D4434" t="inlineStr">
        <is>
          <t>VÄSTERBOTTENS LÄN</t>
        </is>
      </c>
      <c r="E4434" t="inlineStr">
        <is>
          <t>ROBERTSFORS</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13568-2021</t>
        </is>
      </c>
      <c r="B4435" s="1" t="n">
        <v>44273</v>
      </c>
      <c r="C4435" s="1" t="n">
        <v>45357</v>
      </c>
      <c r="D4435" t="inlineStr">
        <is>
          <t>VÄSTERBOTTENS LÄN</t>
        </is>
      </c>
      <c r="E4435" t="inlineStr">
        <is>
          <t>STORUMAN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13565-2021</t>
        </is>
      </c>
      <c r="B4436" s="1" t="n">
        <v>44273</v>
      </c>
      <c r="C4436" s="1" t="n">
        <v>45357</v>
      </c>
      <c r="D4436" t="inlineStr">
        <is>
          <t>VÄSTERBOTTENS LÄN</t>
        </is>
      </c>
      <c r="E4436" t="inlineStr">
        <is>
          <t>STORUMAN</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13729-2021</t>
        </is>
      </c>
      <c r="B4437" s="1" t="n">
        <v>44274</v>
      </c>
      <c r="C4437" s="1" t="n">
        <v>45357</v>
      </c>
      <c r="D4437" t="inlineStr">
        <is>
          <t>VÄSTERBOTTENS LÄN</t>
        </is>
      </c>
      <c r="E4437" t="inlineStr">
        <is>
          <t>SKELLEFTEÅ</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13745-2021</t>
        </is>
      </c>
      <c r="B4438" s="1" t="n">
        <v>44274</v>
      </c>
      <c r="C4438" s="1" t="n">
        <v>45357</v>
      </c>
      <c r="D4438" t="inlineStr">
        <is>
          <t>VÄSTERBOTTENS LÄN</t>
        </is>
      </c>
      <c r="E4438" t="inlineStr">
        <is>
          <t>UMEÅ</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13783-2021</t>
        </is>
      </c>
      <c r="B4439" s="1" t="n">
        <v>44274</v>
      </c>
      <c r="C4439" s="1" t="n">
        <v>45357</v>
      </c>
      <c r="D4439" t="inlineStr">
        <is>
          <t>VÄSTERBOTTENS LÄN</t>
        </is>
      </c>
      <c r="E4439" t="inlineStr">
        <is>
          <t>NORSJÖ</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13911-2021</t>
        </is>
      </c>
      <c r="B4440" s="1" t="n">
        <v>44277</v>
      </c>
      <c r="C4440" s="1" t="n">
        <v>45357</v>
      </c>
      <c r="D4440" t="inlineStr">
        <is>
          <t>VÄSTERBOTTENS LÄN</t>
        </is>
      </c>
      <c r="E4440" t="inlineStr">
        <is>
          <t>LYCKSELE</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13955-2021</t>
        </is>
      </c>
      <c r="B4441" s="1" t="n">
        <v>44277</v>
      </c>
      <c r="C4441" s="1" t="n">
        <v>45357</v>
      </c>
      <c r="D4441" t="inlineStr">
        <is>
          <t>VÄSTERBOTTENS LÄN</t>
        </is>
      </c>
      <c r="E4441" t="inlineStr">
        <is>
          <t>LYCKSELE</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13958-2021</t>
        </is>
      </c>
      <c r="B4442" s="1" t="n">
        <v>44277</v>
      </c>
      <c r="C4442" s="1" t="n">
        <v>45357</v>
      </c>
      <c r="D4442" t="inlineStr">
        <is>
          <t>VÄSTERBOTTENS LÄN</t>
        </is>
      </c>
      <c r="E4442" t="inlineStr">
        <is>
          <t>ROBERTSFORS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13924-2021</t>
        </is>
      </c>
      <c r="B4443" s="1" t="n">
        <v>44277</v>
      </c>
      <c r="C4443" s="1" t="n">
        <v>45357</v>
      </c>
      <c r="D4443" t="inlineStr">
        <is>
          <t>VÄSTERBOTTENS LÄN</t>
        </is>
      </c>
      <c r="E4443" t="inlineStr">
        <is>
          <t>LYCKSELE</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13903-2021</t>
        </is>
      </c>
      <c r="B4444" s="1" t="n">
        <v>44277</v>
      </c>
      <c r="C4444" s="1" t="n">
        <v>45357</v>
      </c>
      <c r="D4444" t="inlineStr">
        <is>
          <t>VÄSTERBOTTENS LÄN</t>
        </is>
      </c>
      <c r="E4444" t="inlineStr">
        <is>
          <t>LYCKSELE</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13983-2021</t>
        </is>
      </c>
      <c r="B4445" s="1" t="n">
        <v>44277</v>
      </c>
      <c r="C4445" s="1" t="n">
        <v>45357</v>
      </c>
      <c r="D4445" t="inlineStr">
        <is>
          <t>VÄSTERBOTTENS LÄN</t>
        </is>
      </c>
      <c r="E4445" t="inlineStr">
        <is>
          <t>ROBERTSFORS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14003-2021</t>
        </is>
      </c>
      <c r="B4446" s="1" t="n">
        <v>44277</v>
      </c>
      <c r="C4446" s="1" t="n">
        <v>45357</v>
      </c>
      <c r="D4446" t="inlineStr">
        <is>
          <t>VÄSTERBOTTENS LÄN</t>
        </is>
      </c>
      <c r="E4446" t="inlineStr">
        <is>
          <t>SORSELE</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14305-2021</t>
        </is>
      </c>
      <c r="B4447" s="1" t="n">
        <v>44278</v>
      </c>
      <c r="C4447" s="1" t="n">
        <v>45357</v>
      </c>
      <c r="D4447" t="inlineStr">
        <is>
          <t>VÄSTERBOTTENS LÄN</t>
        </is>
      </c>
      <c r="E4447" t="inlineStr">
        <is>
          <t>VINDELN</t>
        </is>
      </c>
      <c r="G4447" t="n">
        <v>10</v>
      </c>
      <c r="H4447" t="n">
        <v>0</v>
      </c>
      <c r="I4447" t="n">
        <v>0</v>
      </c>
      <c r="J4447" t="n">
        <v>0</v>
      </c>
      <c r="K4447" t="n">
        <v>0</v>
      </c>
      <c r="L4447" t="n">
        <v>0</v>
      </c>
      <c r="M4447" t="n">
        <v>0</v>
      </c>
      <c r="N4447" t="n">
        <v>0</v>
      </c>
      <c r="O4447" t="n">
        <v>0</v>
      </c>
      <c r="P4447" t="n">
        <v>0</v>
      </c>
      <c r="Q4447" t="n">
        <v>0</v>
      </c>
      <c r="R4447" s="2" t="inlineStr"/>
    </row>
    <row r="4448" ht="15" customHeight="1">
      <c r="A4448" t="inlineStr">
        <is>
          <t>A 14389-2021</t>
        </is>
      </c>
      <c r="B4448" s="1" t="n">
        <v>44279</v>
      </c>
      <c r="C4448" s="1" t="n">
        <v>45357</v>
      </c>
      <c r="D4448" t="inlineStr">
        <is>
          <t>VÄSTERBOTTENS LÄN</t>
        </is>
      </c>
      <c r="E4448" t="inlineStr">
        <is>
          <t>STORUMAN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14540-2021</t>
        </is>
      </c>
      <c r="B4449" s="1" t="n">
        <v>44279</v>
      </c>
      <c r="C4449" s="1" t="n">
        <v>45357</v>
      </c>
      <c r="D4449" t="inlineStr">
        <is>
          <t>VÄSTERBOTTENS LÄN</t>
        </is>
      </c>
      <c r="E4449" t="inlineStr">
        <is>
          <t>BJURHOLM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14619-2021</t>
        </is>
      </c>
      <c r="B4450" s="1" t="n">
        <v>44280</v>
      </c>
      <c r="C4450" s="1" t="n">
        <v>45357</v>
      </c>
      <c r="D4450" t="inlineStr">
        <is>
          <t>VÄSTERBOTTENS LÄN</t>
        </is>
      </c>
      <c r="E4450" t="inlineStr">
        <is>
          <t>UMEÅ</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14850-2021</t>
        </is>
      </c>
      <c r="B4451" s="1" t="n">
        <v>44280</v>
      </c>
      <c r="C4451" s="1" t="n">
        <v>45357</v>
      </c>
      <c r="D4451" t="inlineStr">
        <is>
          <t>VÄSTERBOTTENS LÄN</t>
        </is>
      </c>
      <c r="E4451" t="inlineStr">
        <is>
          <t>SKELLEFTEÅ</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14857-2021</t>
        </is>
      </c>
      <c r="B4452" s="1" t="n">
        <v>44280</v>
      </c>
      <c r="C4452" s="1" t="n">
        <v>45357</v>
      </c>
      <c r="D4452" t="inlineStr">
        <is>
          <t>VÄSTERBOTTENS LÄN</t>
        </is>
      </c>
      <c r="E4452" t="inlineStr">
        <is>
          <t>SKELLEFTEÅ</t>
        </is>
      </c>
      <c r="F4452" t="inlineStr">
        <is>
          <t>SCA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14865-2021</t>
        </is>
      </c>
      <c r="B4453" s="1" t="n">
        <v>44280</v>
      </c>
      <c r="C4453" s="1" t="n">
        <v>45357</v>
      </c>
      <c r="D4453" t="inlineStr">
        <is>
          <t>VÄSTERBOTTENS LÄN</t>
        </is>
      </c>
      <c r="E4453" t="inlineStr">
        <is>
          <t>SKELLEFTEÅ</t>
        </is>
      </c>
      <c r="F4453" t="inlineStr">
        <is>
          <t>SCA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14851-2021</t>
        </is>
      </c>
      <c r="B4454" s="1" t="n">
        <v>44280</v>
      </c>
      <c r="C4454" s="1" t="n">
        <v>45357</v>
      </c>
      <c r="D4454" t="inlineStr">
        <is>
          <t>VÄSTERBOTTENS LÄN</t>
        </is>
      </c>
      <c r="E4454" t="inlineStr">
        <is>
          <t>SKELLEFTEÅ</t>
        </is>
      </c>
      <c r="F4454" t="inlineStr">
        <is>
          <t>SCA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14858-2021</t>
        </is>
      </c>
      <c r="B4455" s="1" t="n">
        <v>44280</v>
      </c>
      <c r="C4455" s="1" t="n">
        <v>45357</v>
      </c>
      <c r="D4455" t="inlineStr">
        <is>
          <t>VÄSTERBOTTENS LÄN</t>
        </is>
      </c>
      <c r="E4455" t="inlineStr">
        <is>
          <t>SKELLEFTEÅ</t>
        </is>
      </c>
      <c r="F4455" t="inlineStr">
        <is>
          <t>SCA</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14848-2021</t>
        </is>
      </c>
      <c r="B4456" s="1" t="n">
        <v>44280</v>
      </c>
      <c r="C4456" s="1" t="n">
        <v>45357</v>
      </c>
      <c r="D4456" t="inlineStr">
        <is>
          <t>VÄSTERBOTTENS LÄN</t>
        </is>
      </c>
      <c r="E4456" t="inlineStr">
        <is>
          <t>SKELLEFTEÅ</t>
        </is>
      </c>
      <c r="F4456" t="inlineStr">
        <is>
          <t>SCA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14853-2021</t>
        </is>
      </c>
      <c r="B4457" s="1" t="n">
        <v>44280</v>
      </c>
      <c r="C4457" s="1" t="n">
        <v>45357</v>
      </c>
      <c r="D4457" t="inlineStr">
        <is>
          <t>VÄSTERBOTTENS LÄN</t>
        </is>
      </c>
      <c r="E4457" t="inlineStr">
        <is>
          <t>SKELLEFTEÅ</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14939-2021</t>
        </is>
      </c>
      <c r="B4458" s="1" t="n">
        <v>44281</v>
      </c>
      <c r="C4458" s="1" t="n">
        <v>45357</v>
      </c>
      <c r="D4458" t="inlineStr">
        <is>
          <t>VÄSTERBOTTENS LÄN</t>
        </is>
      </c>
      <c r="E4458" t="inlineStr">
        <is>
          <t>VINDELN</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14991-2021</t>
        </is>
      </c>
      <c r="B4459" s="1" t="n">
        <v>44281</v>
      </c>
      <c r="C4459" s="1" t="n">
        <v>45357</v>
      </c>
      <c r="D4459" t="inlineStr">
        <is>
          <t>VÄSTERBOTTENS LÄN</t>
        </is>
      </c>
      <c r="E4459" t="inlineStr">
        <is>
          <t>VINDELN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15108-2021</t>
        </is>
      </c>
      <c r="B4460" s="1" t="n">
        <v>44281</v>
      </c>
      <c r="C4460" s="1" t="n">
        <v>45357</v>
      </c>
      <c r="D4460" t="inlineStr">
        <is>
          <t>VÄSTERBOTTENS LÄN</t>
        </is>
      </c>
      <c r="E4460" t="inlineStr">
        <is>
          <t>SKELLEFTEÅ</t>
        </is>
      </c>
      <c r="F4460" t="inlineStr">
        <is>
          <t>SCA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22343-2021</t>
        </is>
      </c>
      <c r="B4461" s="1" t="n">
        <v>44281</v>
      </c>
      <c r="C4461" s="1" t="n">
        <v>45357</v>
      </c>
      <c r="D4461" t="inlineStr">
        <is>
          <t>VÄSTERBOTTENS LÄN</t>
        </is>
      </c>
      <c r="E4461" t="inlineStr">
        <is>
          <t>VINDELN</t>
        </is>
      </c>
      <c r="G4461" t="n">
        <v>8.699999999999999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15109-2021</t>
        </is>
      </c>
      <c r="B4462" s="1" t="n">
        <v>44281</v>
      </c>
      <c r="C4462" s="1" t="n">
        <v>45357</v>
      </c>
      <c r="D4462" t="inlineStr">
        <is>
          <t>VÄSTERBOTTENS LÄN</t>
        </is>
      </c>
      <c r="E4462" t="inlineStr">
        <is>
          <t>SKELLEFTEÅ</t>
        </is>
      </c>
      <c r="F4462" t="inlineStr">
        <is>
          <t>SCA</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15112-2021</t>
        </is>
      </c>
      <c r="B4463" s="1" t="n">
        <v>44282</v>
      </c>
      <c r="C4463" s="1" t="n">
        <v>45357</v>
      </c>
      <c r="D4463" t="inlineStr">
        <is>
          <t>VÄSTERBOTTENS LÄN</t>
        </is>
      </c>
      <c r="E4463" t="inlineStr">
        <is>
          <t>LYCKSELE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15113-2021</t>
        </is>
      </c>
      <c r="B4464" s="1" t="n">
        <v>44282</v>
      </c>
      <c r="C4464" s="1" t="n">
        <v>45357</v>
      </c>
      <c r="D4464" t="inlineStr">
        <is>
          <t>VÄSTERBOTTENS LÄN</t>
        </is>
      </c>
      <c r="E4464" t="inlineStr">
        <is>
          <t>LYCKSELE</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15267-2021</t>
        </is>
      </c>
      <c r="B4465" s="1" t="n">
        <v>44284</v>
      </c>
      <c r="C4465" s="1" t="n">
        <v>45357</v>
      </c>
      <c r="D4465" t="inlineStr">
        <is>
          <t>VÄSTERBOTTENS LÄN</t>
        </is>
      </c>
      <c r="E4465" t="inlineStr">
        <is>
          <t>ROBERTSFORS</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15379-2021</t>
        </is>
      </c>
      <c r="B4466" s="1" t="n">
        <v>44284</v>
      </c>
      <c r="C4466" s="1" t="n">
        <v>45357</v>
      </c>
      <c r="D4466" t="inlineStr">
        <is>
          <t>VÄSTERBOTTENS LÄN</t>
        </is>
      </c>
      <c r="E4466" t="inlineStr">
        <is>
          <t>NORSJÖ</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15459-2021</t>
        </is>
      </c>
      <c r="B4467" s="1" t="n">
        <v>44284</v>
      </c>
      <c r="C4467" s="1" t="n">
        <v>45357</v>
      </c>
      <c r="D4467" t="inlineStr">
        <is>
          <t>VÄSTERBOTTENS LÄN</t>
        </is>
      </c>
      <c r="E4467" t="inlineStr">
        <is>
          <t>SKELLEFTEÅ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15409-2021</t>
        </is>
      </c>
      <c r="B4468" s="1" t="n">
        <v>44285</v>
      </c>
      <c r="C4468" s="1" t="n">
        <v>45357</v>
      </c>
      <c r="D4468" t="inlineStr">
        <is>
          <t>VÄSTERBOTTENS LÄN</t>
        </is>
      </c>
      <c r="E4468" t="inlineStr">
        <is>
          <t>VÄNNÄS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15889-2021</t>
        </is>
      </c>
      <c r="B4469" s="1" t="n">
        <v>44287</v>
      </c>
      <c r="C4469" s="1" t="n">
        <v>45357</v>
      </c>
      <c r="D4469" t="inlineStr">
        <is>
          <t>VÄSTERBOTTENS LÄN</t>
        </is>
      </c>
      <c r="E4469" t="inlineStr">
        <is>
          <t>NORSJÖ</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16060-2021</t>
        </is>
      </c>
      <c r="B4470" s="1" t="n">
        <v>44287</v>
      </c>
      <c r="C4470" s="1" t="n">
        <v>45357</v>
      </c>
      <c r="D4470" t="inlineStr">
        <is>
          <t>VÄSTERBOTTENS LÄN</t>
        </is>
      </c>
      <c r="E4470" t="inlineStr">
        <is>
          <t>SORSELE</t>
        </is>
      </c>
      <c r="F4470" t="inlineStr">
        <is>
          <t>Övriga Aktiebolag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15990-2021</t>
        </is>
      </c>
      <c r="B4471" s="1" t="n">
        <v>44287</v>
      </c>
      <c r="C4471" s="1" t="n">
        <v>45357</v>
      </c>
      <c r="D4471" t="inlineStr">
        <is>
          <t>VÄSTERBOTTENS LÄN</t>
        </is>
      </c>
      <c r="E4471" t="inlineStr">
        <is>
          <t>NORDMALING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16045-2021</t>
        </is>
      </c>
      <c r="B4472" s="1" t="n">
        <v>44287</v>
      </c>
      <c r="C4472" s="1" t="n">
        <v>45357</v>
      </c>
      <c r="D4472" t="inlineStr">
        <is>
          <t>VÄSTERBOTTENS LÄN</t>
        </is>
      </c>
      <c r="E4472" t="inlineStr">
        <is>
          <t>UMEÅ</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15992-2021</t>
        </is>
      </c>
      <c r="B4473" s="1" t="n">
        <v>44287</v>
      </c>
      <c r="C4473" s="1" t="n">
        <v>45357</v>
      </c>
      <c r="D4473" t="inlineStr">
        <is>
          <t>VÄSTERBOTTENS LÄN</t>
        </is>
      </c>
      <c r="E4473" t="inlineStr">
        <is>
          <t>NORDMALING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16063-2021</t>
        </is>
      </c>
      <c r="B4474" s="1" t="n">
        <v>44287</v>
      </c>
      <c r="C4474" s="1" t="n">
        <v>45357</v>
      </c>
      <c r="D4474" t="inlineStr">
        <is>
          <t>VÄSTERBOTTENS LÄN</t>
        </is>
      </c>
      <c r="E4474" t="inlineStr">
        <is>
          <t>SORSELE</t>
        </is>
      </c>
      <c r="F4474" t="inlineStr">
        <is>
          <t>Övriga Aktiebolag</t>
        </is>
      </c>
      <c r="G4474" t="n">
        <v>17.5</v>
      </c>
      <c r="H4474" t="n">
        <v>0</v>
      </c>
      <c r="I4474" t="n">
        <v>0</v>
      </c>
      <c r="J4474" t="n">
        <v>0</v>
      </c>
      <c r="K4474" t="n">
        <v>0</v>
      </c>
      <c r="L4474" t="n">
        <v>0</v>
      </c>
      <c r="M4474" t="n">
        <v>0</v>
      </c>
      <c r="N4474" t="n">
        <v>0</v>
      </c>
      <c r="O4474" t="n">
        <v>0</v>
      </c>
      <c r="P4474" t="n">
        <v>0</v>
      </c>
      <c r="Q4474" t="n">
        <v>0</v>
      </c>
      <c r="R4474" s="2" t="inlineStr"/>
    </row>
    <row r="4475" ht="15" customHeight="1">
      <c r="A4475" t="inlineStr">
        <is>
          <t>A 16410-2021</t>
        </is>
      </c>
      <c r="B4475" s="1" t="n">
        <v>44293</v>
      </c>
      <c r="C4475" s="1" t="n">
        <v>45357</v>
      </c>
      <c r="D4475" t="inlineStr">
        <is>
          <t>VÄSTERBOTTENS LÄN</t>
        </is>
      </c>
      <c r="E4475" t="inlineStr">
        <is>
          <t>UMEÅ</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16909-2021</t>
        </is>
      </c>
      <c r="B4476" s="1" t="n">
        <v>44294</v>
      </c>
      <c r="C4476" s="1" t="n">
        <v>45357</v>
      </c>
      <c r="D4476" t="inlineStr">
        <is>
          <t>VÄSTERBOTTENS LÄN</t>
        </is>
      </c>
      <c r="E4476" t="inlineStr">
        <is>
          <t>UMEÅ</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16777-2021</t>
        </is>
      </c>
      <c r="B4477" s="1" t="n">
        <v>44294</v>
      </c>
      <c r="C4477" s="1" t="n">
        <v>45357</v>
      </c>
      <c r="D4477" t="inlineStr">
        <is>
          <t>VÄSTERBOTTENS LÄN</t>
        </is>
      </c>
      <c r="E4477" t="inlineStr">
        <is>
          <t>DOROTEA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16893-2021</t>
        </is>
      </c>
      <c r="B4478" s="1" t="n">
        <v>44295</v>
      </c>
      <c r="C4478" s="1" t="n">
        <v>45357</v>
      </c>
      <c r="D4478" t="inlineStr">
        <is>
          <t>VÄSTERBOTTENS LÄN</t>
        </is>
      </c>
      <c r="E4478" t="inlineStr">
        <is>
          <t>SORSELE</t>
        </is>
      </c>
      <c r="G4478" t="n">
        <v>14.7</v>
      </c>
      <c r="H4478" t="n">
        <v>0</v>
      </c>
      <c r="I4478" t="n">
        <v>0</v>
      </c>
      <c r="J4478" t="n">
        <v>0</v>
      </c>
      <c r="K4478" t="n">
        <v>0</v>
      </c>
      <c r="L4478" t="n">
        <v>0</v>
      </c>
      <c r="M4478" t="n">
        <v>0</v>
      </c>
      <c r="N4478" t="n">
        <v>0</v>
      </c>
      <c r="O4478" t="n">
        <v>0</v>
      </c>
      <c r="P4478" t="n">
        <v>0</v>
      </c>
      <c r="Q4478" t="n">
        <v>0</v>
      </c>
      <c r="R4478" s="2" t="inlineStr"/>
    </row>
    <row r="4479" ht="15" customHeight="1">
      <c r="A4479" t="inlineStr">
        <is>
          <t>A 16911-2021</t>
        </is>
      </c>
      <c r="B4479" s="1" t="n">
        <v>44295</v>
      </c>
      <c r="C4479" s="1" t="n">
        <v>45357</v>
      </c>
      <c r="D4479" t="inlineStr">
        <is>
          <t>VÄSTERBOTTENS LÄN</t>
        </is>
      </c>
      <c r="E4479" t="inlineStr">
        <is>
          <t>SORSELE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16946-2021</t>
        </is>
      </c>
      <c r="B4480" s="1" t="n">
        <v>44295</v>
      </c>
      <c r="C4480" s="1" t="n">
        <v>45357</v>
      </c>
      <c r="D4480" t="inlineStr">
        <is>
          <t>VÄSTERBOTTENS LÄN</t>
        </is>
      </c>
      <c r="E4480" t="inlineStr">
        <is>
          <t>SORSELE</t>
        </is>
      </c>
      <c r="F4480" t="inlineStr">
        <is>
          <t>Övriga statliga verk och myndigheter</t>
        </is>
      </c>
      <c r="G4480" t="n">
        <v>20.4</v>
      </c>
      <c r="H4480" t="n">
        <v>0</v>
      </c>
      <c r="I4480" t="n">
        <v>0</v>
      </c>
      <c r="J4480" t="n">
        <v>0</v>
      </c>
      <c r="K4480" t="n">
        <v>0</v>
      </c>
      <c r="L4480" t="n">
        <v>0</v>
      </c>
      <c r="M4480" t="n">
        <v>0</v>
      </c>
      <c r="N4480" t="n">
        <v>0</v>
      </c>
      <c r="O4480" t="n">
        <v>0</v>
      </c>
      <c r="P4480" t="n">
        <v>0</v>
      </c>
      <c r="Q4480" t="n">
        <v>0</v>
      </c>
      <c r="R4480" s="2" t="inlineStr"/>
    </row>
    <row r="4481" ht="15" customHeight="1">
      <c r="A4481" t="inlineStr">
        <is>
          <t>A 17125-2021</t>
        </is>
      </c>
      <c r="B4481" s="1" t="n">
        <v>44295</v>
      </c>
      <c r="C4481" s="1" t="n">
        <v>45357</v>
      </c>
      <c r="D4481" t="inlineStr">
        <is>
          <t>VÄSTERBOTTENS LÄN</t>
        </is>
      </c>
      <c r="E4481" t="inlineStr">
        <is>
          <t>STORUMAN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17220-2021</t>
        </is>
      </c>
      <c r="B4482" s="1" t="n">
        <v>44298</v>
      </c>
      <c r="C4482" s="1" t="n">
        <v>45357</v>
      </c>
      <c r="D4482" t="inlineStr">
        <is>
          <t>VÄSTERBOTTENS LÄN</t>
        </is>
      </c>
      <c r="E4482" t="inlineStr">
        <is>
          <t>STORUMAN</t>
        </is>
      </c>
      <c r="G4482" t="n">
        <v>29.4</v>
      </c>
      <c r="H4482" t="n">
        <v>0</v>
      </c>
      <c r="I4482" t="n">
        <v>0</v>
      </c>
      <c r="J4482" t="n">
        <v>0</v>
      </c>
      <c r="K4482" t="n">
        <v>0</v>
      </c>
      <c r="L4482" t="n">
        <v>0</v>
      </c>
      <c r="M4482" t="n">
        <v>0</v>
      </c>
      <c r="N4482" t="n">
        <v>0</v>
      </c>
      <c r="O4482" t="n">
        <v>0</v>
      </c>
      <c r="P4482" t="n">
        <v>0</v>
      </c>
      <c r="Q4482" t="n">
        <v>0</v>
      </c>
      <c r="R4482" s="2" t="inlineStr"/>
    </row>
    <row r="4483" ht="15" customHeight="1">
      <c r="A4483" t="inlineStr">
        <is>
          <t>A 17407-2021</t>
        </is>
      </c>
      <c r="B4483" s="1" t="n">
        <v>44298</v>
      </c>
      <c r="C4483" s="1" t="n">
        <v>45357</v>
      </c>
      <c r="D4483" t="inlineStr">
        <is>
          <t>VÄSTERBOTTENS LÄN</t>
        </is>
      </c>
      <c r="E4483" t="inlineStr">
        <is>
          <t>ROBERTSFORS</t>
        </is>
      </c>
      <c r="G4483" t="n">
        <v>7.5</v>
      </c>
      <c r="H4483" t="n">
        <v>0</v>
      </c>
      <c r="I4483" t="n">
        <v>0</v>
      </c>
      <c r="J4483" t="n">
        <v>0</v>
      </c>
      <c r="K4483" t="n">
        <v>0</v>
      </c>
      <c r="L4483" t="n">
        <v>0</v>
      </c>
      <c r="M4483" t="n">
        <v>0</v>
      </c>
      <c r="N4483" t="n">
        <v>0</v>
      </c>
      <c r="O4483" t="n">
        <v>0</v>
      </c>
      <c r="P4483" t="n">
        <v>0</v>
      </c>
      <c r="Q4483" t="n">
        <v>0</v>
      </c>
      <c r="R4483" s="2" t="inlineStr"/>
    </row>
    <row r="4484" ht="15" customHeight="1">
      <c r="A4484" t="inlineStr">
        <is>
          <t>A 17441-2021</t>
        </is>
      </c>
      <c r="B4484" s="1" t="n">
        <v>44298</v>
      </c>
      <c r="C4484" s="1" t="n">
        <v>45357</v>
      </c>
      <c r="D4484" t="inlineStr">
        <is>
          <t>VÄSTERBOTTENS LÄN</t>
        </is>
      </c>
      <c r="E4484" t="inlineStr">
        <is>
          <t>SORSELE</t>
        </is>
      </c>
      <c r="G4484" t="n">
        <v>129.6</v>
      </c>
      <c r="H4484" t="n">
        <v>0</v>
      </c>
      <c r="I4484" t="n">
        <v>0</v>
      </c>
      <c r="J4484" t="n">
        <v>0</v>
      </c>
      <c r="K4484" t="n">
        <v>0</v>
      </c>
      <c r="L4484" t="n">
        <v>0</v>
      </c>
      <c r="M4484" t="n">
        <v>0</v>
      </c>
      <c r="N4484" t="n">
        <v>0</v>
      </c>
      <c r="O4484" t="n">
        <v>0</v>
      </c>
      <c r="P4484" t="n">
        <v>0</v>
      </c>
      <c r="Q4484" t="n">
        <v>0</v>
      </c>
      <c r="R4484" s="2" t="inlineStr"/>
    </row>
    <row r="4485" ht="15" customHeight="1">
      <c r="A4485" t="inlineStr">
        <is>
          <t>A 17443-2021</t>
        </is>
      </c>
      <c r="B4485" s="1" t="n">
        <v>44298</v>
      </c>
      <c r="C4485" s="1" t="n">
        <v>45357</v>
      </c>
      <c r="D4485" t="inlineStr">
        <is>
          <t>VÄSTERBOTTENS LÄN</t>
        </is>
      </c>
      <c r="E4485" t="inlineStr">
        <is>
          <t>SORSELE</t>
        </is>
      </c>
      <c r="G4485" t="n">
        <v>158</v>
      </c>
      <c r="H4485" t="n">
        <v>0</v>
      </c>
      <c r="I4485" t="n">
        <v>0</v>
      </c>
      <c r="J4485" t="n">
        <v>0</v>
      </c>
      <c r="K4485" t="n">
        <v>0</v>
      </c>
      <c r="L4485" t="n">
        <v>0</v>
      </c>
      <c r="M4485" t="n">
        <v>0</v>
      </c>
      <c r="N4485" t="n">
        <v>0</v>
      </c>
      <c r="O4485" t="n">
        <v>0</v>
      </c>
      <c r="P4485" t="n">
        <v>0</v>
      </c>
      <c r="Q4485" t="n">
        <v>0</v>
      </c>
      <c r="R4485" s="2" t="inlineStr"/>
    </row>
    <row r="4486" ht="15" customHeight="1">
      <c r="A4486" t="inlineStr">
        <is>
          <t>A 17442-2021</t>
        </is>
      </c>
      <c r="B4486" s="1" t="n">
        <v>44298</v>
      </c>
      <c r="C4486" s="1" t="n">
        <v>45357</v>
      </c>
      <c r="D4486" t="inlineStr">
        <is>
          <t>VÄSTERBOTTENS LÄN</t>
        </is>
      </c>
      <c r="E4486" t="inlineStr">
        <is>
          <t>SORSELE</t>
        </is>
      </c>
      <c r="G4486" t="n">
        <v>86.09999999999999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17410-2021</t>
        </is>
      </c>
      <c r="B4487" s="1" t="n">
        <v>44298</v>
      </c>
      <c r="C4487" s="1" t="n">
        <v>45357</v>
      </c>
      <c r="D4487" t="inlineStr">
        <is>
          <t>VÄSTERBOTTENS LÄN</t>
        </is>
      </c>
      <c r="E4487" t="inlineStr">
        <is>
          <t>ROBERTSFORS</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17438-2021</t>
        </is>
      </c>
      <c r="B4488" s="1" t="n">
        <v>44299</v>
      </c>
      <c r="C4488" s="1" t="n">
        <v>45357</v>
      </c>
      <c r="D4488" t="inlineStr">
        <is>
          <t>VÄSTERBOTTENS LÄN</t>
        </is>
      </c>
      <c r="E4488" t="inlineStr">
        <is>
          <t>UMEÅ</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17830-2021</t>
        </is>
      </c>
      <c r="B4489" s="1" t="n">
        <v>44300</v>
      </c>
      <c r="C4489" s="1" t="n">
        <v>45357</v>
      </c>
      <c r="D4489" t="inlineStr">
        <is>
          <t>VÄSTERBOTTENS LÄN</t>
        </is>
      </c>
      <c r="E4489" t="inlineStr">
        <is>
          <t>NORDMALING</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17752-2021</t>
        </is>
      </c>
      <c r="B4490" s="1" t="n">
        <v>44300</v>
      </c>
      <c r="C4490" s="1" t="n">
        <v>45357</v>
      </c>
      <c r="D4490" t="inlineStr">
        <is>
          <t>VÄSTERBOTTENS LÄN</t>
        </is>
      </c>
      <c r="E4490" t="inlineStr">
        <is>
          <t>NORDMALING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17850-2021</t>
        </is>
      </c>
      <c r="B4491" s="1" t="n">
        <v>44301</v>
      </c>
      <c r="C4491" s="1" t="n">
        <v>45357</v>
      </c>
      <c r="D4491" t="inlineStr">
        <is>
          <t>VÄSTERBOTTENS LÄN</t>
        </is>
      </c>
      <c r="E4491" t="inlineStr">
        <is>
          <t>BJURHOLM</t>
        </is>
      </c>
      <c r="F4491" t="inlineStr">
        <is>
          <t>SCA</t>
        </is>
      </c>
      <c r="G4491" t="n">
        <v>11.4</v>
      </c>
      <c r="H4491" t="n">
        <v>0</v>
      </c>
      <c r="I4491" t="n">
        <v>0</v>
      </c>
      <c r="J4491" t="n">
        <v>0</v>
      </c>
      <c r="K4491" t="n">
        <v>0</v>
      </c>
      <c r="L4491" t="n">
        <v>0</v>
      </c>
      <c r="M4491" t="n">
        <v>0</v>
      </c>
      <c r="N4491" t="n">
        <v>0</v>
      </c>
      <c r="O4491" t="n">
        <v>0</v>
      </c>
      <c r="P4491" t="n">
        <v>0</v>
      </c>
      <c r="Q4491" t="n">
        <v>0</v>
      </c>
      <c r="R4491" s="2" t="inlineStr"/>
    </row>
    <row r="4492" ht="15" customHeight="1">
      <c r="A4492" t="inlineStr">
        <is>
          <t>A 18073-2021</t>
        </is>
      </c>
      <c r="B4492" s="1" t="n">
        <v>44302</v>
      </c>
      <c r="C4492" s="1" t="n">
        <v>45357</v>
      </c>
      <c r="D4492" t="inlineStr">
        <is>
          <t>VÄSTERBOTTENS LÄN</t>
        </is>
      </c>
      <c r="E4492" t="inlineStr">
        <is>
          <t>SKELLEFTEÅ</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18101-2021</t>
        </is>
      </c>
      <c r="B4493" s="1" t="n">
        <v>44302</v>
      </c>
      <c r="C4493" s="1" t="n">
        <v>45357</v>
      </c>
      <c r="D4493" t="inlineStr">
        <is>
          <t>VÄSTERBOTTENS LÄN</t>
        </is>
      </c>
      <c r="E4493" t="inlineStr">
        <is>
          <t>SKELLEFTEÅ</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18182-2021</t>
        </is>
      </c>
      <c r="B4494" s="1" t="n">
        <v>44302</v>
      </c>
      <c r="C4494" s="1" t="n">
        <v>45357</v>
      </c>
      <c r="D4494" t="inlineStr">
        <is>
          <t>VÄSTERBOTTENS LÄN</t>
        </is>
      </c>
      <c r="E4494" t="inlineStr">
        <is>
          <t>SKELLEFTEÅ</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18183-2021</t>
        </is>
      </c>
      <c r="B4495" s="1" t="n">
        <v>44302</v>
      </c>
      <c r="C4495" s="1" t="n">
        <v>45357</v>
      </c>
      <c r="D4495" t="inlineStr">
        <is>
          <t>VÄSTERBOTTENS LÄN</t>
        </is>
      </c>
      <c r="E4495" t="inlineStr">
        <is>
          <t>SKELLEFTEÅ</t>
        </is>
      </c>
      <c r="G4495" t="n">
        <v>7.4</v>
      </c>
      <c r="H4495" t="n">
        <v>0</v>
      </c>
      <c r="I4495" t="n">
        <v>0</v>
      </c>
      <c r="J4495" t="n">
        <v>0</v>
      </c>
      <c r="K4495" t="n">
        <v>0</v>
      </c>
      <c r="L4495" t="n">
        <v>0</v>
      </c>
      <c r="M4495" t="n">
        <v>0</v>
      </c>
      <c r="N4495" t="n">
        <v>0</v>
      </c>
      <c r="O4495" t="n">
        <v>0</v>
      </c>
      <c r="P4495" t="n">
        <v>0</v>
      </c>
      <c r="Q4495" t="n">
        <v>0</v>
      </c>
      <c r="R4495" s="2" t="inlineStr"/>
    </row>
    <row r="4496" ht="15" customHeight="1">
      <c r="A4496" t="inlineStr">
        <is>
          <t>A 18188-2021</t>
        </is>
      </c>
      <c r="B4496" s="1" t="n">
        <v>44302</v>
      </c>
      <c r="C4496" s="1" t="n">
        <v>45357</v>
      </c>
      <c r="D4496" t="inlineStr">
        <is>
          <t>VÄSTERBOTTENS LÄN</t>
        </is>
      </c>
      <c r="E4496" t="inlineStr">
        <is>
          <t>ROBERTSFORS</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18104-2021</t>
        </is>
      </c>
      <c r="B4497" s="1" t="n">
        <v>44302</v>
      </c>
      <c r="C4497" s="1" t="n">
        <v>45357</v>
      </c>
      <c r="D4497" t="inlineStr">
        <is>
          <t>VÄSTERBOTTENS LÄN</t>
        </is>
      </c>
      <c r="E4497" t="inlineStr">
        <is>
          <t>SKELLEFTEÅ</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18216-2021</t>
        </is>
      </c>
      <c r="B4498" s="1" t="n">
        <v>44303</v>
      </c>
      <c r="C4498" s="1" t="n">
        <v>45357</v>
      </c>
      <c r="D4498" t="inlineStr">
        <is>
          <t>VÄSTERBOTTENS LÄN</t>
        </is>
      </c>
      <c r="E4498" t="inlineStr">
        <is>
          <t>SKELLEFTEÅ</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18094-2021</t>
        </is>
      </c>
      <c r="B4499" s="1" t="n">
        <v>44302</v>
      </c>
      <c r="C4499" s="1" t="n">
        <v>45357</v>
      </c>
      <c r="D4499" t="inlineStr">
        <is>
          <t>VÄSTERBOTTENS LÄN</t>
        </is>
      </c>
      <c r="E4499" t="inlineStr">
        <is>
          <t>VINDELN</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18353-2021</t>
        </is>
      </c>
      <c r="B4500" s="1" t="n">
        <v>44305</v>
      </c>
      <c r="C4500" s="1" t="n">
        <v>45357</v>
      </c>
      <c r="D4500" t="inlineStr">
        <is>
          <t>VÄSTERBOTTENS LÄN</t>
        </is>
      </c>
      <c r="E4500" t="inlineStr">
        <is>
          <t>SKELLEFTEÅ</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18455-2021</t>
        </is>
      </c>
      <c r="B4501" s="1" t="n">
        <v>44305</v>
      </c>
      <c r="C4501" s="1" t="n">
        <v>45357</v>
      </c>
      <c r="D4501" t="inlineStr">
        <is>
          <t>VÄSTERBOTTENS LÄN</t>
        </is>
      </c>
      <c r="E4501" t="inlineStr">
        <is>
          <t>UMEÅ</t>
        </is>
      </c>
      <c r="F4501" t="inlineStr">
        <is>
          <t>SCA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18685-2021</t>
        </is>
      </c>
      <c r="B4502" s="1" t="n">
        <v>44306</v>
      </c>
      <c r="C4502" s="1" t="n">
        <v>45357</v>
      </c>
      <c r="D4502" t="inlineStr">
        <is>
          <t>VÄSTERBOTTENS LÄN</t>
        </is>
      </c>
      <c r="E4502" t="inlineStr">
        <is>
          <t>UMEÅ</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18802-2021</t>
        </is>
      </c>
      <c r="B4503" s="1" t="n">
        <v>44307</v>
      </c>
      <c r="C4503" s="1" t="n">
        <v>45357</v>
      </c>
      <c r="D4503" t="inlineStr">
        <is>
          <t>VÄSTERBOTTENS LÄN</t>
        </is>
      </c>
      <c r="E4503" t="inlineStr">
        <is>
          <t>VILHELMINA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18795-2021</t>
        </is>
      </c>
      <c r="B4504" s="1" t="n">
        <v>44307</v>
      </c>
      <c r="C4504" s="1" t="n">
        <v>45357</v>
      </c>
      <c r="D4504" t="inlineStr">
        <is>
          <t>VÄSTERBOTTENS LÄN</t>
        </is>
      </c>
      <c r="E4504" t="inlineStr">
        <is>
          <t>ROBERTSFORS</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18781-2021</t>
        </is>
      </c>
      <c r="B4505" s="1" t="n">
        <v>44307</v>
      </c>
      <c r="C4505" s="1" t="n">
        <v>45357</v>
      </c>
      <c r="D4505" t="inlineStr">
        <is>
          <t>VÄSTERBOTTENS LÄN</t>
        </is>
      </c>
      <c r="E4505" t="inlineStr">
        <is>
          <t>VILHELMINA</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18862-2021</t>
        </is>
      </c>
      <c r="B4506" s="1" t="n">
        <v>44308</v>
      </c>
      <c r="C4506" s="1" t="n">
        <v>45357</v>
      </c>
      <c r="D4506" t="inlineStr">
        <is>
          <t>VÄSTERBOTTENS LÄN</t>
        </is>
      </c>
      <c r="E4506" t="inlineStr">
        <is>
          <t>NORSJÖ</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18971-2021</t>
        </is>
      </c>
      <c r="B4507" s="1" t="n">
        <v>44307</v>
      </c>
      <c r="C4507" s="1" t="n">
        <v>45357</v>
      </c>
      <c r="D4507" t="inlineStr">
        <is>
          <t>VÄSTERBOTTENS LÄN</t>
        </is>
      </c>
      <c r="E4507" t="inlineStr">
        <is>
          <t>VILHELMINA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18790-2021</t>
        </is>
      </c>
      <c r="B4508" s="1" t="n">
        <v>44307</v>
      </c>
      <c r="C4508" s="1" t="n">
        <v>45357</v>
      </c>
      <c r="D4508" t="inlineStr">
        <is>
          <t>VÄSTERBOTTENS LÄN</t>
        </is>
      </c>
      <c r="E4508" t="inlineStr">
        <is>
          <t>VILHELMINA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18861-2021</t>
        </is>
      </c>
      <c r="B4509" s="1" t="n">
        <v>44308</v>
      </c>
      <c r="C4509" s="1" t="n">
        <v>45357</v>
      </c>
      <c r="D4509" t="inlineStr">
        <is>
          <t>VÄSTERBOTTENS LÄN</t>
        </is>
      </c>
      <c r="E4509" t="inlineStr">
        <is>
          <t>NORSJÖ</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18950-2021</t>
        </is>
      </c>
      <c r="B4510" s="1" t="n">
        <v>44307</v>
      </c>
      <c r="C4510" s="1" t="n">
        <v>45357</v>
      </c>
      <c r="D4510" t="inlineStr">
        <is>
          <t>VÄSTERBOTTENS LÄN</t>
        </is>
      </c>
      <c r="E4510" t="inlineStr">
        <is>
          <t>VILHELMINA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19138-2021</t>
        </is>
      </c>
      <c r="B4511" s="1" t="n">
        <v>44307</v>
      </c>
      <c r="C4511" s="1" t="n">
        <v>45357</v>
      </c>
      <c r="D4511" t="inlineStr">
        <is>
          <t>VÄSTERBOTTENS LÄN</t>
        </is>
      </c>
      <c r="E4511" t="inlineStr">
        <is>
          <t>STORUMAN</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19062-2021</t>
        </is>
      </c>
      <c r="B4512" s="1" t="n">
        <v>44308</v>
      </c>
      <c r="C4512" s="1" t="n">
        <v>45357</v>
      </c>
      <c r="D4512" t="inlineStr">
        <is>
          <t>VÄSTERBOTTENS LÄN</t>
        </is>
      </c>
      <c r="E4512" t="inlineStr">
        <is>
          <t>UMEÅ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19074-2021</t>
        </is>
      </c>
      <c r="B4513" s="1" t="n">
        <v>44308</v>
      </c>
      <c r="C4513" s="1" t="n">
        <v>45357</v>
      </c>
      <c r="D4513" t="inlineStr">
        <is>
          <t>VÄSTERBOTTENS LÄN</t>
        </is>
      </c>
      <c r="E4513" t="inlineStr">
        <is>
          <t>UMEÅ</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19058-2021</t>
        </is>
      </c>
      <c r="B4514" s="1" t="n">
        <v>44308</v>
      </c>
      <c r="C4514" s="1" t="n">
        <v>45357</v>
      </c>
      <c r="D4514" t="inlineStr">
        <is>
          <t>VÄSTERBOTTENS LÄN</t>
        </is>
      </c>
      <c r="E4514" t="inlineStr">
        <is>
          <t>UMEÅ</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19538-2021</t>
        </is>
      </c>
      <c r="B4515" s="1" t="n">
        <v>44309</v>
      </c>
      <c r="C4515" s="1" t="n">
        <v>45357</v>
      </c>
      <c r="D4515" t="inlineStr">
        <is>
          <t>VÄSTERBOTTENS LÄN</t>
        </is>
      </c>
      <c r="E4515" t="inlineStr">
        <is>
          <t>SKELLEFTEÅ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19772-2021</t>
        </is>
      </c>
      <c r="B4516" s="1" t="n">
        <v>44309</v>
      </c>
      <c r="C4516" s="1" t="n">
        <v>45357</v>
      </c>
      <c r="D4516" t="inlineStr">
        <is>
          <t>VÄSTERBOTTENS LÄN</t>
        </is>
      </c>
      <c r="E4516" t="inlineStr">
        <is>
          <t>VINDELN</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19543-2021</t>
        </is>
      </c>
      <c r="B4517" s="1" t="n">
        <v>44309</v>
      </c>
      <c r="C4517" s="1" t="n">
        <v>45357</v>
      </c>
      <c r="D4517" t="inlineStr">
        <is>
          <t>VÄSTERBOTTENS LÄN</t>
        </is>
      </c>
      <c r="E4517" t="inlineStr">
        <is>
          <t>UMEÅ</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19748-2021</t>
        </is>
      </c>
      <c r="B4518" s="1" t="n">
        <v>44312</v>
      </c>
      <c r="C4518" s="1" t="n">
        <v>45357</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19749-2021</t>
        </is>
      </c>
      <c r="B4519" s="1" t="n">
        <v>44312</v>
      </c>
      <c r="C4519" s="1" t="n">
        <v>45357</v>
      </c>
      <c r="D4519" t="inlineStr">
        <is>
          <t>VÄSTERBOTTENS LÄN</t>
        </is>
      </c>
      <c r="E4519" t="inlineStr">
        <is>
          <t>UMEÅ</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19662-2021</t>
        </is>
      </c>
      <c r="B4520" s="1" t="n">
        <v>44312</v>
      </c>
      <c r="C4520" s="1" t="n">
        <v>45357</v>
      </c>
      <c r="D4520" t="inlineStr">
        <is>
          <t>VÄSTERBOTTENS LÄN</t>
        </is>
      </c>
      <c r="E4520" t="inlineStr">
        <is>
          <t>NORSJÖ</t>
        </is>
      </c>
      <c r="F4520" t="inlineStr">
        <is>
          <t>Holmen skog AB</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19679-2021</t>
        </is>
      </c>
      <c r="B4521" s="1" t="n">
        <v>44312</v>
      </c>
      <c r="C4521" s="1" t="n">
        <v>45357</v>
      </c>
      <c r="D4521" t="inlineStr">
        <is>
          <t>VÄSTERBOTTENS LÄN</t>
        </is>
      </c>
      <c r="E4521" t="inlineStr">
        <is>
          <t>SKELLEFTEÅ</t>
        </is>
      </c>
      <c r="F4521" t="inlineStr">
        <is>
          <t>Holmen skog AB</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19688-2021</t>
        </is>
      </c>
      <c r="B4522" s="1" t="n">
        <v>44312</v>
      </c>
      <c r="C4522" s="1" t="n">
        <v>45357</v>
      </c>
      <c r="D4522" t="inlineStr">
        <is>
          <t>VÄSTERBOTTENS LÄN</t>
        </is>
      </c>
      <c r="E4522" t="inlineStr">
        <is>
          <t>BJURHOLM</t>
        </is>
      </c>
      <c r="F4522" t="inlineStr">
        <is>
          <t>Holmen skog AB</t>
        </is>
      </c>
      <c r="G4522" t="n">
        <v>11.2</v>
      </c>
      <c r="H4522" t="n">
        <v>0</v>
      </c>
      <c r="I4522" t="n">
        <v>0</v>
      </c>
      <c r="J4522" t="n">
        <v>0</v>
      </c>
      <c r="K4522" t="n">
        <v>0</v>
      </c>
      <c r="L4522" t="n">
        <v>0</v>
      </c>
      <c r="M4522" t="n">
        <v>0</v>
      </c>
      <c r="N4522" t="n">
        <v>0</v>
      </c>
      <c r="O4522" t="n">
        <v>0</v>
      </c>
      <c r="P4522" t="n">
        <v>0</v>
      </c>
      <c r="Q4522" t="n">
        <v>0</v>
      </c>
      <c r="R4522" s="2" t="inlineStr"/>
    </row>
    <row r="4523" ht="15" customHeight="1">
      <c r="A4523" t="inlineStr">
        <is>
          <t>A 19652-2021</t>
        </is>
      </c>
      <c r="B4523" s="1" t="n">
        <v>44312</v>
      </c>
      <c r="C4523" s="1" t="n">
        <v>45357</v>
      </c>
      <c r="D4523" t="inlineStr">
        <is>
          <t>VÄSTERBOTTENS LÄN</t>
        </is>
      </c>
      <c r="E4523" t="inlineStr">
        <is>
          <t>STORUMAN</t>
        </is>
      </c>
      <c r="G4523" t="n">
        <v>26.1</v>
      </c>
      <c r="H4523" t="n">
        <v>0</v>
      </c>
      <c r="I4523" t="n">
        <v>0</v>
      </c>
      <c r="J4523" t="n">
        <v>0</v>
      </c>
      <c r="K4523" t="n">
        <v>0</v>
      </c>
      <c r="L4523" t="n">
        <v>0</v>
      </c>
      <c r="M4523" t="n">
        <v>0</v>
      </c>
      <c r="N4523" t="n">
        <v>0</v>
      </c>
      <c r="O4523" t="n">
        <v>0</v>
      </c>
      <c r="P4523" t="n">
        <v>0</v>
      </c>
      <c r="Q4523" t="n">
        <v>0</v>
      </c>
      <c r="R4523" s="2" t="inlineStr"/>
    </row>
    <row r="4524" ht="15" customHeight="1">
      <c r="A4524" t="inlineStr">
        <is>
          <t>A 19667-2021</t>
        </is>
      </c>
      <c r="B4524" s="1" t="n">
        <v>44312</v>
      </c>
      <c r="C4524" s="1" t="n">
        <v>45357</v>
      </c>
      <c r="D4524" t="inlineStr">
        <is>
          <t>VÄSTERBOTTENS LÄN</t>
        </is>
      </c>
      <c r="E4524" t="inlineStr">
        <is>
          <t>STORUMAN</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19648-2021</t>
        </is>
      </c>
      <c r="B4525" s="1" t="n">
        <v>44312</v>
      </c>
      <c r="C4525" s="1" t="n">
        <v>45357</v>
      </c>
      <c r="D4525" t="inlineStr">
        <is>
          <t>VÄSTERBOTTENS LÄN</t>
        </is>
      </c>
      <c r="E4525" t="inlineStr">
        <is>
          <t>STORUMAN</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20035-2021</t>
        </is>
      </c>
      <c r="B4526" s="1" t="n">
        <v>44313</v>
      </c>
      <c r="C4526" s="1" t="n">
        <v>45357</v>
      </c>
      <c r="D4526" t="inlineStr">
        <is>
          <t>VÄSTERBOTTENS LÄN</t>
        </is>
      </c>
      <c r="E4526" t="inlineStr">
        <is>
          <t>NORDMALING</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20051-2021</t>
        </is>
      </c>
      <c r="B4527" s="1" t="n">
        <v>44313</v>
      </c>
      <c r="C4527" s="1" t="n">
        <v>45357</v>
      </c>
      <c r="D4527" t="inlineStr">
        <is>
          <t>VÄSTERBOTTENS LÄN</t>
        </is>
      </c>
      <c r="E4527" t="inlineStr">
        <is>
          <t>SKELLEFTEÅ</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20046-2021</t>
        </is>
      </c>
      <c r="B4528" s="1" t="n">
        <v>44313</v>
      </c>
      <c r="C4528" s="1" t="n">
        <v>45357</v>
      </c>
      <c r="D4528" t="inlineStr">
        <is>
          <t>VÄSTERBOTTENS LÄN</t>
        </is>
      </c>
      <c r="E4528" t="inlineStr">
        <is>
          <t>SKELLEFTEÅ</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20498-2021</t>
        </is>
      </c>
      <c r="B4529" s="1" t="n">
        <v>44313</v>
      </c>
      <c r="C4529" s="1" t="n">
        <v>45357</v>
      </c>
      <c r="D4529" t="inlineStr">
        <is>
          <t>VÄSTERBOTTENS LÄN</t>
        </is>
      </c>
      <c r="E4529" t="inlineStr">
        <is>
          <t>UMEÅ</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20081-2021</t>
        </is>
      </c>
      <c r="B4530" s="1" t="n">
        <v>44313</v>
      </c>
      <c r="C4530" s="1" t="n">
        <v>45357</v>
      </c>
      <c r="D4530" t="inlineStr">
        <is>
          <t>VÄSTERBOTTENS LÄN</t>
        </is>
      </c>
      <c r="E4530" t="inlineStr">
        <is>
          <t>BJURHOLM</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20121-2021</t>
        </is>
      </c>
      <c r="B4531" s="1" t="n">
        <v>44314</v>
      </c>
      <c r="C4531" s="1" t="n">
        <v>45357</v>
      </c>
      <c r="D4531" t="inlineStr">
        <is>
          <t>VÄSTERBOTTENS LÄN</t>
        </is>
      </c>
      <c r="E4531" t="inlineStr">
        <is>
          <t>MALÅ</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20381-2021</t>
        </is>
      </c>
      <c r="B4532" s="1" t="n">
        <v>44314</v>
      </c>
      <c r="C4532" s="1" t="n">
        <v>45357</v>
      </c>
      <c r="D4532" t="inlineStr">
        <is>
          <t>VÄSTERBOTTENS LÄN</t>
        </is>
      </c>
      <c r="E4532" t="inlineStr">
        <is>
          <t>SKELLEFTEÅ</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20454-2021</t>
        </is>
      </c>
      <c r="B4533" s="1" t="n">
        <v>44314</v>
      </c>
      <c r="C4533" s="1" t="n">
        <v>45357</v>
      </c>
      <c r="D4533" t="inlineStr">
        <is>
          <t>VÄSTERBOTTENS LÄN</t>
        </is>
      </c>
      <c r="E4533" t="inlineStr">
        <is>
          <t>UMEÅ</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20459-2021</t>
        </is>
      </c>
      <c r="B4534" s="1" t="n">
        <v>44314</v>
      </c>
      <c r="C4534" s="1" t="n">
        <v>45357</v>
      </c>
      <c r="D4534" t="inlineStr">
        <is>
          <t>VÄSTERBOTTENS LÄN</t>
        </is>
      </c>
      <c r="E4534" t="inlineStr">
        <is>
          <t>UMEÅ</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20406-2021</t>
        </is>
      </c>
      <c r="B4535" s="1" t="n">
        <v>44314</v>
      </c>
      <c r="C4535" s="1" t="n">
        <v>45357</v>
      </c>
      <c r="D4535" t="inlineStr">
        <is>
          <t>VÄSTERBOTTENS LÄN</t>
        </is>
      </c>
      <c r="E4535" t="inlineStr">
        <is>
          <t>ROBERTSFORS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20568-2021</t>
        </is>
      </c>
      <c r="B4536" s="1" t="n">
        <v>44316</v>
      </c>
      <c r="C4536" s="1" t="n">
        <v>45357</v>
      </c>
      <c r="D4536" t="inlineStr">
        <is>
          <t>VÄSTERBOTTENS LÄN</t>
        </is>
      </c>
      <c r="E4536" t="inlineStr">
        <is>
          <t>VILHELMINA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20653-2021</t>
        </is>
      </c>
      <c r="B4537" s="1" t="n">
        <v>44316</v>
      </c>
      <c r="C4537" s="1" t="n">
        <v>45357</v>
      </c>
      <c r="D4537" t="inlineStr">
        <is>
          <t>VÄSTERBOTTENS LÄN</t>
        </is>
      </c>
      <c r="E4537" t="inlineStr">
        <is>
          <t>VILHELMINA</t>
        </is>
      </c>
      <c r="F4537" t="inlineStr">
        <is>
          <t>Kommuner</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20823-2021</t>
        </is>
      </c>
      <c r="B4538" s="1" t="n">
        <v>44317</v>
      </c>
      <c r="C4538" s="1" t="n">
        <v>45357</v>
      </c>
      <c r="D4538" t="inlineStr">
        <is>
          <t>VÄSTERBOTTENS LÄN</t>
        </is>
      </c>
      <c r="E4538" t="inlineStr">
        <is>
          <t>SORSELE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20824-2021</t>
        </is>
      </c>
      <c r="B4539" s="1" t="n">
        <v>44317</v>
      </c>
      <c r="C4539" s="1" t="n">
        <v>45357</v>
      </c>
      <c r="D4539" t="inlineStr">
        <is>
          <t>VÄSTERBOTTENS LÄN</t>
        </is>
      </c>
      <c r="E4539" t="inlineStr">
        <is>
          <t>SORSELE</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20976-2021</t>
        </is>
      </c>
      <c r="B4540" s="1" t="n">
        <v>44318</v>
      </c>
      <c r="C4540" s="1" t="n">
        <v>45357</v>
      </c>
      <c r="D4540" t="inlineStr">
        <is>
          <t>VÄSTERBOTTENS LÄN</t>
        </is>
      </c>
      <c r="E4540" t="inlineStr">
        <is>
          <t>NORDMALING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20856-2021</t>
        </is>
      </c>
      <c r="B4541" s="1" t="n">
        <v>44319</v>
      </c>
      <c r="C4541" s="1" t="n">
        <v>45357</v>
      </c>
      <c r="D4541" t="inlineStr">
        <is>
          <t>VÄSTERBOTTENS LÄN</t>
        </is>
      </c>
      <c r="E4541" t="inlineStr">
        <is>
          <t>SKELLEFTEÅ</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24606-2021</t>
        </is>
      </c>
      <c r="B4542" s="1" t="n">
        <v>44319</v>
      </c>
      <c r="C4542" s="1" t="n">
        <v>45357</v>
      </c>
      <c r="D4542" t="inlineStr">
        <is>
          <t>VÄSTERBOTTENS LÄN</t>
        </is>
      </c>
      <c r="E4542" t="inlineStr">
        <is>
          <t>SKELLEFTEÅ</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21136-2021</t>
        </is>
      </c>
      <c r="B4543" s="1" t="n">
        <v>44319</v>
      </c>
      <c r="C4543" s="1" t="n">
        <v>45357</v>
      </c>
      <c r="D4543" t="inlineStr">
        <is>
          <t>VÄSTERBOTTENS LÄN</t>
        </is>
      </c>
      <c r="E4543" t="inlineStr">
        <is>
          <t>VINDELN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21265-2021</t>
        </is>
      </c>
      <c r="B4544" s="1" t="n">
        <v>44320</v>
      </c>
      <c r="C4544" s="1" t="n">
        <v>45357</v>
      </c>
      <c r="D4544" t="inlineStr">
        <is>
          <t>VÄSTERBOTTENS LÄN</t>
        </is>
      </c>
      <c r="E4544" t="inlineStr">
        <is>
          <t>SKELLEFTEÅ</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21261-2021</t>
        </is>
      </c>
      <c r="B4545" s="1" t="n">
        <v>44320</v>
      </c>
      <c r="C4545" s="1" t="n">
        <v>45357</v>
      </c>
      <c r="D4545" t="inlineStr">
        <is>
          <t>VÄSTERBOTTENS LÄN</t>
        </is>
      </c>
      <c r="E4545" t="inlineStr">
        <is>
          <t>UMEÅ</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21391-2021</t>
        </is>
      </c>
      <c r="B4546" s="1" t="n">
        <v>44321</v>
      </c>
      <c r="C4546" s="1" t="n">
        <v>45357</v>
      </c>
      <c r="D4546" t="inlineStr">
        <is>
          <t>VÄSTERBOTTENS LÄN</t>
        </is>
      </c>
      <c r="E4546" t="inlineStr">
        <is>
          <t>ROBERTSFORS</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21581-2021</t>
        </is>
      </c>
      <c r="B4547" s="1" t="n">
        <v>44321</v>
      </c>
      <c r="C4547" s="1" t="n">
        <v>45357</v>
      </c>
      <c r="D4547" t="inlineStr">
        <is>
          <t>VÄSTERBOTTENS LÄN</t>
        </is>
      </c>
      <c r="E4547" t="inlineStr">
        <is>
          <t>UMEÅ</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21628-2021</t>
        </is>
      </c>
      <c r="B4548" s="1" t="n">
        <v>44322</v>
      </c>
      <c r="C4548" s="1" t="n">
        <v>45357</v>
      </c>
      <c r="D4548" t="inlineStr">
        <is>
          <t>VÄSTERBOTTENS LÄN</t>
        </is>
      </c>
      <c r="E4548" t="inlineStr">
        <is>
          <t>UMEÅ</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21626-2021</t>
        </is>
      </c>
      <c r="B4549" s="1" t="n">
        <v>44321</v>
      </c>
      <c r="C4549" s="1" t="n">
        <v>45357</v>
      </c>
      <c r="D4549" t="inlineStr">
        <is>
          <t>VÄSTERBOTTENS LÄN</t>
        </is>
      </c>
      <c r="E4549" t="inlineStr">
        <is>
          <t>ROBERTSFORS</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21726-2021</t>
        </is>
      </c>
      <c r="B4550" s="1" t="n">
        <v>44322</v>
      </c>
      <c r="C4550" s="1" t="n">
        <v>45357</v>
      </c>
      <c r="D4550" t="inlineStr">
        <is>
          <t>VÄSTERBOTTENS LÄN</t>
        </is>
      </c>
      <c r="E4550" t="inlineStr">
        <is>
          <t>VILHELMINA</t>
        </is>
      </c>
      <c r="G4550" t="n">
        <v>19.6</v>
      </c>
      <c r="H4550" t="n">
        <v>0</v>
      </c>
      <c r="I4550" t="n">
        <v>0</v>
      </c>
      <c r="J4550" t="n">
        <v>0</v>
      </c>
      <c r="K4550" t="n">
        <v>0</v>
      </c>
      <c r="L4550" t="n">
        <v>0</v>
      </c>
      <c r="M4550" t="n">
        <v>0</v>
      </c>
      <c r="N4550" t="n">
        <v>0</v>
      </c>
      <c r="O4550" t="n">
        <v>0</v>
      </c>
      <c r="P4550" t="n">
        <v>0</v>
      </c>
      <c r="Q4550" t="n">
        <v>0</v>
      </c>
      <c r="R4550" s="2" t="inlineStr"/>
    </row>
    <row r="4551" ht="15" customHeight="1">
      <c r="A4551" t="inlineStr">
        <is>
          <t>A 21925-2021</t>
        </is>
      </c>
      <c r="B4551" s="1" t="n">
        <v>44323</v>
      </c>
      <c r="C4551" s="1" t="n">
        <v>45357</v>
      </c>
      <c r="D4551" t="inlineStr">
        <is>
          <t>VÄSTERBOTTENS LÄN</t>
        </is>
      </c>
      <c r="E4551" t="inlineStr">
        <is>
          <t>ROBERTSFORS</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21935-2021</t>
        </is>
      </c>
      <c r="B4552" s="1" t="n">
        <v>44323</v>
      </c>
      <c r="C4552" s="1" t="n">
        <v>45357</v>
      </c>
      <c r="D4552" t="inlineStr">
        <is>
          <t>VÄSTERBOTTENS LÄN</t>
        </is>
      </c>
      <c r="E4552" t="inlineStr">
        <is>
          <t>ÅSELE</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21955-2021</t>
        </is>
      </c>
      <c r="B4553" s="1" t="n">
        <v>44322</v>
      </c>
      <c r="C4553" s="1" t="n">
        <v>45357</v>
      </c>
      <c r="D4553" t="inlineStr">
        <is>
          <t>VÄSTERBOTTENS LÄN</t>
        </is>
      </c>
      <c r="E4553" t="inlineStr">
        <is>
          <t>STORUMAN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22067-2021</t>
        </is>
      </c>
      <c r="B4554" s="1" t="n">
        <v>44322</v>
      </c>
      <c r="C4554" s="1" t="n">
        <v>45357</v>
      </c>
      <c r="D4554" t="inlineStr">
        <is>
          <t>VÄSTERBOTTENS LÄN</t>
        </is>
      </c>
      <c r="E4554" t="inlineStr">
        <is>
          <t>SKELLEFTEÅ</t>
        </is>
      </c>
      <c r="G4554" t="n">
        <v>10.7</v>
      </c>
      <c r="H4554" t="n">
        <v>0</v>
      </c>
      <c r="I4554" t="n">
        <v>0</v>
      </c>
      <c r="J4554" t="n">
        <v>0</v>
      </c>
      <c r="K4554" t="n">
        <v>0</v>
      </c>
      <c r="L4554" t="n">
        <v>0</v>
      </c>
      <c r="M4554" t="n">
        <v>0</v>
      </c>
      <c r="N4554" t="n">
        <v>0</v>
      </c>
      <c r="O4554" t="n">
        <v>0</v>
      </c>
      <c r="P4554" t="n">
        <v>0</v>
      </c>
      <c r="Q4554" t="n">
        <v>0</v>
      </c>
      <c r="R4554" s="2" t="inlineStr"/>
    </row>
    <row r="4555" ht="15" customHeight="1">
      <c r="A4555" t="inlineStr">
        <is>
          <t>A 22672-2021</t>
        </is>
      </c>
      <c r="B4555" s="1" t="n">
        <v>44322</v>
      </c>
      <c r="C4555" s="1" t="n">
        <v>45357</v>
      </c>
      <c r="D4555" t="inlineStr">
        <is>
          <t>VÄSTERBOTTENS LÄN</t>
        </is>
      </c>
      <c r="E4555" t="inlineStr">
        <is>
          <t>SORSELE</t>
        </is>
      </c>
      <c r="F4555" t="inlineStr">
        <is>
          <t>Allmännings- och besparingsskogar</t>
        </is>
      </c>
      <c r="G4555" t="n">
        <v>74</v>
      </c>
      <c r="H4555" t="n">
        <v>0</v>
      </c>
      <c r="I4555" t="n">
        <v>0</v>
      </c>
      <c r="J4555" t="n">
        <v>0</v>
      </c>
      <c r="K4555" t="n">
        <v>0</v>
      </c>
      <c r="L4555" t="n">
        <v>0</v>
      </c>
      <c r="M4555" t="n">
        <v>0</v>
      </c>
      <c r="N4555" t="n">
        <v>0</v>
      </c>
      <c r="O4555" t="n">
        <v>0</v>
      </c>
      <c r="P4555" t="n">
        <v>0</v>
      </c>
      <c r="Q4555" t="n">
        <v>0</v>
      </c>
      <c r="R4555" s="2" t="inlineStr"/>
    </row>
    <row r="4556" ht="15" customHeight="1">
      <c r="A4556" t="inlineStr">
        <is>
          <t>A 22568-2021</t>
        </is>
      </c>
      <c r="B4556" s="1" t="n">
        <v>44322</v>
      </c>
      <c r="C4556" s="1" t="n">
        <v>45357</v>
      </c>
      <c r="D4556" t="inlineStr">
        <is>
          <t>VÄSTERBOTTENS LÄN</t>
        </is>
      </c>
      <c r="E4556" t="inlineStr">
        <is>
          <t>SKELLEFTEÅ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21961-2021</t>
        </is>
      </c>
      <c r="B4557" s="1" t="n">
        <v>44323</v>
      </c>
      <c r="C4557" s="1" t="n">
        <v>45357</v>
      </c>
      <c r="D4557" t="inlineStr">
        <is>
          <t>VÄSTERBOTTENS LÄN</t>
        </is>
      </c>
      <c r="E4557" t="inlineStr">
        <is>
          <t>LYCKSELE</t>
        </is>
      </c>
      <c r="G4557" t="n">
        <v>11.1</v>
      </c>
      <c r="H4557" t="n">
        <v>0</v>
      </c>
      <c r="I4557" t="n">
        <v>0</v>
      </c>
      <c r="J4557" t="n">
        <v>0</v>
      </c>
      <c r="K4557" t="n">
        <v>0</v>
      </c>
      <c r="L4557" t="n">
        <v>0</v>
      </c>
      <c r="M4557" t="n">
        <v>0</v>
      </c>
      <c r="N4557" t="n">
        <v>0</v>
      </c>
      <c r="O4557" t="n">
        <v>0</v>
      </c>
      <c r="P4557" t="n">
        <v>0</v>
      </c>
      <c r="Q4557" t="n">
        <v>0</v>
      </c>
      <c r="R4557" s="2" t="inlineStr"/>
    </row>
    <row r="4558" ht="15" customHeight="1">
      <c r="A4558" t="inlineStr">
        <is>
          <t>A 22259-2021</t>
        </is>
      </c>
      <c r="B4558" s="1" t="n">
        <v>44323</v>
      </c>
      <c r="C4558" s="1" t="n">
        <v>45357</v>
      </c>
      <c r="D4558" t="inlineStr">
        <is>
          <t>VÄSTERBOTTENS LÄN</t>
        </is>
      </c>
      <c r="E4558" t="inlineStr">
        <is>
          <t>VINDELN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22125-2021</t>
        </is>
      </c>
      <c r="B4559" s="1" t="n">
        <v>44323</v>
      </c>
      <c r="C4559" s="1" t="n">
        <v>45357</v>
      </c>
      <c r="D4559" t="inlineStr">
        <is>
          <t>VÄSTERBOTTENS LÄN</t>
        </is>
      </c>
      <c r="E4559" t="inlineStr">
        <is>
          <t>VINDELN</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22377-2021</t>
        </is>
      </c>
      <c r="B4560" s="1" t="n">
        <v>44326</v>
      </c>
      <c r="C4560" s="1" t="n">
        <v>45357</v>
      </c>
      <c r="D4560" t="inlineStr">
        <is>
          <t>VÄSTERBOTTENS LÄN</t>
        </is>
      </c>
      <c r="E4560" t="inlineStr">
        <is>
          <t>SORSELE</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22279-2021</t>
        </is>
      </c>
      <c r="B4561" s="1" t="n">
        <v>44326</v>
      </c>
      <c r="C4561" s="1" t="n">
        <v>45357</v>
      </c>
      <c r="D4561" t="inlineStr">
        <is>
          <t>VÄSTERBOTTENS LÄN</t>
        </is>
      </c>
      <c r="E4561" t="inlineStr">
        <is>
          <t>UMEÅ</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22425-2021</t>
        </is>
      </c>
      <c r="B4562" s="1" t="n">
        <v>44326</v>
      </c>
      <c r="C4562" s="1" t="n">
        <v>45357</v>
      </c>
      <c r="D4562" t="inlineStr">
        <is>
          <t>VÄSTERBOTTENS LÄN</t>
        </is>
      </c>
      <c r="E4562" t="inlineStr">
        <is>
          <t>SORSELE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22503-2021</t>
        </is>
      </c>
      <c r="B4563" s="1" t="n">
        <v>44326</v>
      </c>
      <c r="C4563" s="1" t="n">
        <v>45357</v>
      </c>
      <c r="D4563" t="inlineStr">
        <is>
          <t>VÄSTERBOTTENS LÄN</t>
        </is>
      </c>
      <c r="E4563" t="inlineStr">
        <is>
          <t>UMEÅ</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22430-2021</t>
        </is>
      </c>
      <c r="B4564" s="1" t="n">
        <v>44326</v>
      </c>
      <c r="C4564" s="1" t="n">
        <v>45357</v>
      </c>
      <c r="D4564" t="inlineStr">
        <is>
          <t>VÄSTERBOTTENS LÄN</t>
        </is>
      </c>
      <c r="E4564" t="inlineStr">
        <is>
          <t>SORSELE</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22626-2021</t>
        </is>
      </c>
      <c r="B4565" s="1" t="n">
        <v>44326</v>
      </c>
      <c r="C4565" s="1" t="n">
        <v>45357</v>
      </c>
      <c r="D4565" t="inlineStr">
        <is>
          <t>VÄSTERBOTTENS LÄN</t>
        </is>
      </c>
      <c r="E4565" t="inlineStr">
        <is>
          <t>SKELLEFTEÅ</t>
        </is>
      </c>
      <c r="G4565" t="n">
        <v>8.4</v>
      </c>
      <c r="H4565" t="n">
        <v>0</v>
      </c>
      <c r="I4565" t="n">
        <v>0</v>
      </c>
      <c r="J4565" t="n">
        <v>0</v>
      </c>
      <c r="K4565" t="n">
        <v>0</v>
      </c>
      <c r="L4565" t="n">
        <v>0</v>
      </c>
      <c r="M4565" t="n">
        <v>0</v>
      </c>
      <c r="N4565" t="n">
        <v>0</v>
      </c>
      <c r="O4565" t="n">
        <v>0</v>
      </c>
      <c r="P4565" t="n">
        <v>0</v>
      </c>
      <c r="Q4565" t="n">
        <v>0</v>
      </c>
      <c r="R4565" s="2" t="inlineStr"/>
    </row>
    <row r="4566" ht="15" customHeight="1">
      <c r="A4566" t="inlineStr">
        <is>
          <t>A 22534-2021</t>
        </is>
      </c>
      <c r="B4566" s="1" t="n">
        <v>44326</v>
      </c>
      <c r="C4566" s="1" t="n">
        <v>45357</v>
      </c>
      <c r="D4566" t="inlineStr">
        <is>
          <t>VÄSTERBOTTENS LÄN</t>
        </is>
      </c>
      <c r="E4566" t="inlineStr">
        <is>
          <t>SORSELE</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22978-2021</t>
        </is>
      </c>
      <c r="B4567" s="1" t="n">
        <v>44328</v>
      </c>
      <c r="C4567" s="1" t="n">
        <v>45357</v>
      </c>
      <c r="D4567" t="inlineStr">
        <is>
          <t>VÄSTERBOTTENS LÄN</t>
        </is>
      </c>
      <c r="E4567" t="inlineStr">
        <is>
          <t>NORSJÖ</t>
        </is>
      </c>
      <c r="F4567" t="inlineStr">
        <is>
          <t>Sveaskog</t>
        </is>
      </c>
      <c r="G4567" t="n">
        <v>11.2</v>
      </c>
      <c r="H4567" t="n">
        <v>0</v>
      </c>
      <c r="I4567" t="n">
        <v>0</v>
      </c>
      <c r="J4567" t="n">
        <v>0</v>
      </c>
      <c r="K4567" t="n">
        <v>0</v>
      </c>
      <c r="L4567" t="n">
        <v>0</v>
      </c>
      <c r="M4567" t="n">
        <v>0</v>
      </c>
      <c r="N4567" t="n">
        <v>0</v>
      </c>
      <c r="O4567" t="n">
        <v>0</v>
      </c>
      <c r="P4567" t="n">
        <v>0</v>
      </c>
      <c r="Q4567" t="n">
        <v>0</v>
      </c>
      <c r="R4567" s="2" t="inlineStr"/>
    </row>
    <row r="4568" ht="15" customHeight="1">
      <c r="A4568" t="inlineStr">
        <is>
          <t>A 23278-2021</t>
        </is>
      </c>
      <c r="B4568" s="1" t="n">
        <v>44328</v>
      </c>
      <c r="C4568" s="1" t="n">
        <v>45357</v>
      </c>
      <c r="D4568" t="inlineStr">
        <is>
          <t>VÄSTERBOTTENS LÄN</t>
        </is>
      </c>
      <c r="E4568" t="inlineStr">
        <is>
          <t>VILHELMINA</t>
        </is>
      </c>
      <c r="F4568" t="inlineStr">
        <is>
          <t>Allmännings- och besparingsskogar</t>
        </is>
      </c>
      <c r="G4568" t="n">
        <v>13.6</v>
      </c>
      <c r="H4568" t="n">
        <v>0</v>
      </c>
      <c r="I4568" t="n">
        <v>0</v>
      </c>
      <c r="J4568" t="n">
        <v>0</v>
      </c>
      <c r="K4568" t="n">
        <v>0</v>
      </c>
      <c r="L4568" t="n">
        <v>0</v>
      </c>
      <c r="M4568" t="n">
        <v>0</v>
      </c>
      <c r="N4568" t="n">
        <v>0</v>
      </c>
      <c r="O4568" t="n">
        <v>0</v>
      </c>
      <c r="P4568" t="n">
        <v>0</v>
      </c>
      <c r="Q4568" t="n">
        <v>0</v>
      </c>
      <c r="R4568" s="2" t="inlineStr"/>
    </row>
    <row r="4569" ht="15" customHeight="1">
      <c r="A4569" t="inlineStr">
        <is>
          <t>A 23022-2021</t>
        </is>
      </c>
      <c r="B4569" s="1" t="n">
        <v>44328</v>
      </c>
      <c r="C4569" s="1" t="n">
        <v>45357</v>
      </c>
      <c r="D4569" t="inlineStr">
        <is>
          <t>VÄSTERBOTTENS LÄN</t>
        </is>
      </c>
      <c r="E4569" t="inlineStr">
        <is>
          <t>ÅSELE</t>
        </is>
      </c>
      <c r="F4569" t="inlineStr">
        <is>
          <t>SCA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23270-2021</t>
        </is>
      </c>
      <c r="B4570" s="1" t="n">
        <v>44328</v>
      </c>
      <c r="C4570" s="1" t="n">
        <v>45357</v>
      </c>
      <c r="D4570" t="inlineStr">
        <is>
          <t>VÄSTERBOTTENS LÄN</t>
        </is>
      </c>
      <c r="E4570" t="inlineStr">
        <is>
          <t>VILHELMINA</t>
        </is>
      </c>
      <c r="F4570" t="inlineStr">
        <is>
          <t>Allmännings- och besparingsskogar</t>
        </is>
      </c>
      <c r="G4570" t="n">
        <v>14.7</v>
      </c>
      <c r="H4570" t="n">
        <v>0</v>
      </c>
      <c r="I4570" t="n">
        <v>0</v>
      </c>
      <c r="J4570" t="n">
        <v>0</v>
      </c>
      <c r="K4570" t="n">
        <v>0</v>
      </c>
      <c r="L4570" t="n">
        <v>0</v>
      </c>
      <c r="M4570" t="n">
        <v>0</v>
      </c>
      <c r="N4570" t="n">
        <v>0</v>
      </c>
      <c r="O4570" t="n">
        <v>0</v>
      </c>
      <c r="P4570" t="n">
        <v>0</v>
      </c>
      <c r="Q4570" t="n">
        <v>0</v>
      </c>
      <c r="R4570" s="2" t="inlineStr"/>
    </row>
    <row r="4571" ht="15" customHeight="1">
      <c r="A4571" t="inlineStr">
        <is>
          <t>A 23132-2021</t>
        </is>
      </c>
      <c r="B4571" s="1" t="n">
        <v>44331</v>
      </c>
      <c r="C4571" s="1" t="n">
        <v>45357</v>
      </c>
      <c r="D4571" t="inlineStr">
        <is>
          <t>VÄSTERBOTTENS LÄN</t>
        </is>
      </c>
      <c r="E4571" t="inlineStr">
        <is>
          <t>SKELLEFTEÅ</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23285-2021</t>
        </is>
      </c>
      <c r="B4572" s="1" t="n">
        <v>44330</v>
      </c>
      <c r="C4572" s="1" t="n">
        <v>45357</v>
      </c>
      <c r="D4572" t="inlineStr">
        <is>
          <t>VÄSTERBOTTENS LÄN</t>
        </is>
      </c>
      <c r="E4572" t="inlineStr">
        <is>
          <t>UMEÅ</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23135-2021</t>
        </is>
      </c>
      <c r="B4573" s="1" t="n">
        <v>44330</v>
      </c>
      <c r="C4573" s="1" t="n">
        <v>45357</v>
      </c>
      <c r="D4573" t="inlineStr">
        <is>
          <t>VÄSTERBOTTENS LÄN</t>
        </is>
      </c>
      <c r="E4573" t="inlineStr">
        <is>
          <t>SORSELE</t>
        </is>
      </c>
      <c r="F4573" t="inlineStr">
        <is>
          <t>SCA</t>
        </is>
      </c>
      <c r="G4573" t="n">
        <v>10.5</v>
      </c>
      <c r="H4573" t="n">
        <v>0</v>
      </c>
      <c r="I4573" t="n">
        <v>0</v>
      </c>
      <c r="J4573" t="n">
        <v>0</v>
      </c>
      <c r="K4573" t="n">
        <v>0</v>
      </c>
      <c r="L4573" t="n">
        <v>0</v>
      </c>
      <c r="M4573" t="n">
        <v>0</v>
      </c>
      <c r="N4573" t="n">
        <v>0</v>
      </c>
      <c r="O4573" t="n">
        <v>0</v>
      </c>
      <c r="P4573" t="n">
        <v>0</v>
      </c>
      <c r="Q4573" t="n">
        <v>0</v>
      </c>
      <c r="R4573" s="2" t="inlineStr"/>
    </row>
    <row r="4574" ht="15" customHeight="1">
      <c r="A4574" t="inlineStr">
        <is>
          <t>A 23261-2021</t>
        </is>
      </c>
      <c r="B4574" s="1" t="n">
        <v>44330</v>
      </c>
      <c r="C4574" s="1" t="n">
        <v>45357</v>
      </c>
      <c r="D4574" t="inlineStr">
        <is>
          <t>VÄSTERBOTTENS LÄN</t>
        </is>
      </c>
      <c r="E4574" t="inlineStr">
        <is>
          <t>VILHELMINA</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23143-2021</t>
        </is>
      </c>
      <c r="B4575" s="1" t="n">
        <v>44331</v>
      </c>
      <c r="C4575" s="1" t="n">
        <v>45357</v>
      </c>
      <c r="D4575" t="inlineStr">
        <is>
          <t>VÄSTERBOTTENS LÄN</t>
        </is>
      </c>
      <c r="E4575" t="inlineStr">
        <is>
          <t>ROBERTSFORS</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23372-2021</t>
        </is>
      </c>
      <c r="B4576" s="1" t="n">
        <v>44333</v>
      </c>
      <c r="C4576" s="1" t="n">
        <v>45357</v>
      </c>
      <c r="D4576" t="inlineStr">
        <is>
          <t>VÄSTERBOTTENS LÄN</t>
        </is>
      </c>
      <c r="E4576" t="inlineStr">
        <is>
          <t>UMEÅ</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23408-2021</t>
        </is>
      </c>
      <c r="B4577" s="1" t="n">
        <v>44333</v>
      </c>
      <c r="C4577" s="1" t="n">
        <v>45357</v>
      </c>
      <c r="D4577" t="inlineStr">
        <is>
          <t>VÄSTERBOTTENS LÄN</t>
        </is>
      </c>
      <c r="E4577" t="inlineStr">
        <is>
          <t>SKELLEFTEÅ</t>
        </is>
      </c>
      <c r="F4577" t="inlineStr">
        <is>
          <t>Holmen skog AB</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23525-2021</t>
        </is>
      </c>
      <c r="B4578" s="1" t="n">
        <v>44334</v>
      </c>
      <c r="C4578" s="1" t="n">
        <v>45357</v>
      </c>
      <c r="D4578" t="inlineStr">
        <is>
          <t>VÄSTERBOTTENS LÄN</t>
        </is>
      </c>
      <c r="E4578" t="inlineStr">
        <is>
          <t>VINDELN</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23669-2021</t>
        </is>
      </c>
      <c r="B4579" s="1" t="n">
        <v>44334</v>
      </c>
      <c r="C4579" s="1" t="n">
        <v>45357</v>
      </c>
      <c r="D4579" t="inlineStr">
        <is>
          <t>VÄSTERBOTTENS LÄN</t>
        </is>
      </c>
      <c r="E4579" t="inlineStr">
        <is>
          <t>VINDELN</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23657-2021</t>
        </is>
      </c>
      <c r="B4580" s="1" t="n">
        <v>44334</v>
      </c>
      <c r="C4580" s="1" t="n">
        <v>45357</v>
      </c>
      <c r="D4580" t="inlineStr">
        <is>
          <t>VÄSTERBOTTENS LÄN</t>
        </is>
      </c>
      <c r="E4580" t="inlineStr">
        <is>
          <t>VINDELN</t>
        </is>
      </c>
      <c r="F4580" t="inlineStr">
        <is>
          <t>Sveaskog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23801-2021</t>
        </is>
      </c>
      <c r="B4581" s="1" t="n">
        <v>44334</v>
      </c>
      <c r="C4581" s="1" t="n">
        <v>45357</v>
      </c>
      <c r="D4581" t="inlineStr">
        <is>
          <t>VÄSTERBOTTENS LÄN</t>
        </is>
      </c>
      <c r="E4581" t="inlineStr">
        <is>
          <t>SKELLEFTEÅ</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23885-2021</t>
        </is>
      </c>
      <c r="B4582" s="1" t="n">
        <v>44335</v>
      </c>
      <c r="C4582" s="1" t="n">
        <v>45357</v>
      </c>
      <c r="D4582" t="inlineStr">
        <is>
          <t>VÄSTERBOTTENS LÄN</t>
        </is>
      </c>
      <c r="E4582" t="inlineStr">
        <is>
          <t>SKELLEFTEÅ</t>
        </is>
      </c>
      <c r="F4582" t="inlineStr">
        <is>
          <t>Holmen skog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24027-2021</t>
        </is>
      </c>
      <c r="B4583" s="1" t="n">
        <v>44335</v>
      </c>
      <c r="C4583" s="1" t="n">
        <v>45357</v>
      </c>
      <c r="D4583" t="inlineStr">
        <is>
          <t>VÄSTERBOTTENS LÄN</t>
        </is>
      </c>
      <c r="E4583" t="inlineStr">
        <is>
          <t>NORDMALING</t>
        </is>
      </c>
      <c r="G4583" t="n">
        <v>10</v>
      </c>
      <c r="H4583" t="n">
        <v>0</v>
      </c>
      <c r="I4583" t="n">
        <v>0</v>
      </c>
      <c r="J4583" t="n">
        <v>0</v>
      </c>
      <c r="K4583" t="n">
        <v>0</v>
      </c>
      <c r="L4583" t="n">
        <v>0</v>
      </c>
      <c r="M4583" t="n">
        <v>0</v>
      </c>
      <c r="N4583" t="n">
        <v>0</v>
      </c>
      <c r="O4583" t="n">
        <v>0</v>
      </c>
      <c r="P4583" t="n">
        <v>0</v>
      </c>
      <c r="Q4583" t="n">
        <v>0</v>
      </c>
      <c r="R4583" s="2" t="inlineStr"/>
    </row>
    <row r="4584" ht="15" customHeight="1">
      <c r="A4584" t="inlineStr">
        <is>
          <t>A 24203-2021</t>
        </is>
      </c>
      <c r="B4584" s="1" t="n">
        <v>44336</v>
      </c>
      <c r="C4584" s="1" t="n">
        <v>45357</v>
      </c>
      <c r="D4584" t="inlineStr">
        <is>
          <t>VÄSTERBOTTENS LÄN</t>
        </is>
      </c>
      <c r="E4584" t="inlineStr">
        <is>
          <t>DOROTEA</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24207-2021</t>
        </is>
      </c>
      <c r="B4585" s="1" t="n">
        <v>44336</v>
      </c>
      <c r="C4585" s="1" t="n">
        <v>45357</v>
      </c>
      <c r="D4585" t="inlineStr">
        <is>
          <t>VÄSTERBOTTENS LÄN</t>
        </is>
      </c>
      <c r="E4585" t="inlineStr">
        <is>
          <t>DOROTEA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24238-2021</t>
        </is>
      </c>
      <c r="B4586" s="1" t="n">
        <v>44337</v>
      </c>
      <c r="C4586" s="1" t="n">
        <v>45357</v>
      </c>
      <c r="D4586" t="inlineStr">
        <is>
          <t>VÄSTERBOTTENS LÄN</t>
        </is>
      </c>
      <c r="E4586" t="inlineStr">
        <is>
          <t>SKELLEFTEÅ</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24234-2021</t>
        </is>
      </c>
      <c r="B4587" s="1" t="n">
        <v>44337</v>
      </c>
      <c r="C4587" s="1" t="n">
        <v>45357</v>
      </c>
      <c r="D4587" t="inlineStr">
        <is>
          <t>VÄSTERBOTTENS LÄN</t>
        </is>
      </c>
      <c r="E4587" t="inlineStr">
        <is>
          <t>NORDMALING</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24206-2021</t>
        </is>
      </c>
      <c r="B4588" s="1" t="n">
        <v>44336</v>
      </c>
      <c r="C4588" s="1" t="n">
        <v>45357</v>
      </c>
      <c r="D4588" t="inlineStr">
        <is>
          <t>VÄSTERBOTTENS LÄN</t>
        </is>
      </c>
      <c r="E4588" t="inlineStr">
        <is>
          <t>DOROTEA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24235-2021</t>
        </is>
      </c>
      <c r="B4589" s="1" t="n">
        <v>44337</v>
      </c>
      <c r="C4589" s="1" t="n">
        <v>45357</v>
      </c>
      <c r="D4589" t="inlineStr">
        <is>
          <t>VÄSTERBOTTENS LÄN</t>
        </is>
      </c>
      <c r="E4589" t="inlineStr">
        <is>
          <t>NORSJÖ</t>
        </is>
      </c>
      <c r="G4589" t="n">
        <v>15.4</v>
      </c>
      <c r="H4589" t="n">
        <v>0</v>
      </c>
      <c r="I4589" t="n">
        <v>0</v>
      </c>
      <c r="J4589" t="n">
        <v>0</v>
      </c>
      <c r="K4589" t="n">
        <v>0</v>
      </c>
      <c r="L4589" t="n">
        <v>0</v>
      </c>
      <c r="M4589" t="n">
        <v>0</v>
      </c>
      <c r="N4589" t="n">
        <v>0</v>
      </c>
      <c r="O4589" t="n">
        <v>0</v>
      </c>
      <c r="P4589" t="n">
        <v>0</v>
      </c>
      <c r="Q4589" t="n">
        <v>0</v>
      </c>
      <c r="R4589" s="2" t="inlineStr"/>
    </row>
    <row r="4590" ht="15" customHeight="1">
      <c r="A4590" t="inlineStr">
        <is>
          <t>A 24364-2021</t>
        </is>
      </c>
      <c r="B4590" s="1" t="n">
        <v>44337</v>
      </c>
      <c r="C4590" s="1" t="n">
        <v>45357</v>
      </c>
      <c r="D4590" t="inlineStr">
        <is>
          <t>VÄSTERBOTTENS LÄN</t>
        </is>
      </c>
      <c r="E4590" t="inlineStr">
        <is>
          <t>DOROTEA</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24303-2021</t>
        </is>
      </c>
      <c r="B4591" s="1" t="n">
        <v>44337</v>
      </c>
      <c r="C4591" s="1" t="n">
        <v>45357</v>
      </c>
      <c r="D4591" t="inlineStr">
        <is>
          <t>VÄSTERBOTTENS LÄN</t>
        </is>
      </c>
      <c r="E4591" t="inlineStr">
        <is>
          <t>SKELLEFTEÅ</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24503-2021</t>
        </is>
      </c>
      <c r="B4592" s="1" t="n">
        <v>44337</v>
      </c>
      <c r="C4592" s="1" t="n">
        <v>45357</v>
      </c>
      <c r="D4592" t="inlineStr">
        <is>
          <t>VÄSTERBOTTENS LÄN</t>
        </is>
      </c>
      <c r="E4592" t="inlineStr">
        <is>
          <t>MALÅ</t>
        </is>
      </c>
      <c r="G4592" t="n">
        <v>33.3</v>
      </c>
      <c r="H4592" t="n">
        <v>0</v>
      </c>
      <c r="I4592" t="n">
        <v>0</v>
      </c>
      <c r="J4592" t="n">
        <v>0</v>
      </c>
      <c r="K4592" t="n">
        <v>0</v>
      </c>
      <c r="L4592" t="n">
        <v>0</v>
      </c>
      <c r="M4592" t="n">
        <v>0</v>
      </c>
      <c r="N4592" t="n">
        <v>0</v>
      </c>
      <c r="O4592" t="n">
        <v>0</v>
      </c>
      <c r="P4592" t="n">
        <v>0</v>
      </c>
      <c r="Q4592" t="n">
        <v>0</v>
      </c>
      <c r="R4592" s="2" t="inlineStr"/>
    </row>
    <row r="4593" ht="15" customHeight="1">
      <c r="A4593" t="inlineStr">
        <is>
          <t>A 24572-2021</t>
        </is>
      </c>
      <c r="B4593" s="1" t="n">
        <v>44339</v>
      </c>
      <c r="C4593" s="1" t="n">
        <v>45357</v>
      </c>
      <c r="D4593" t="inlineStr">
        <is>
          <t>VÄSTERBOTTENS LÄN</t>
        </is>
      </c>
      <c r="E4593" t="inlineStr">
        <is>
          <t>ROBERTSFORS</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24653-2021</t>
        </is>
      </c>
      <c r="B4594" s="1" t="n">
        <v>44340</v>
      </c>
      <c r="C4594" s="1" t="n">
        <v>45357</v>
      </c>
      <c r="D4594" t="inlineStr">
        <is>
          <t>VÄSTERBOTTENS LÄN</t>
        </is>
      </c>
      <c r="E4594" t="inlineStr">
        <is>
          <t>SKELLEFTEÅ</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24797-2021</t>
        </is>
      </c>
      <c r="B4595" s="1" t="n">
        <v>44340</v>
      </c>
      <c r="C4595" s="1" t="n">
        <v>45357</v>
      </c>
      <c r="D4595" t="inlineStr">
        <is>
          <t>VÄSTERBOTTENS LÄN</t>
        </is>
      </c>
      <c r="E4595" t="inlineStr">
        <is>
          <t>ROBERTSFORS</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24869-2021</t>
        </is>
      </c>
      <c r="B4596" s="1" t="n">
        <v>44340</v>
      </c>
      <c r="C4596" s="1" t="n">
        <v>45357</v>
      </c>
      <c r="D4596" t="inlineStr">
        <is>
          <t>VÄSTERBOTTENS LÄN</t>
        </is>
      </c>
      <c r="E4596" t="inlineStr">
        <is>
          <t>VINDELN</t>
        </is>
      </c>
      <c r="G4596" t="n">
        <v>17.1</v>
      </c>
      <c r="H4596" t="n">
        <v>0</v>
      </c>
      <c r="I4596" t="n">
        <v>0</v>
      </c>
      <c r="J4596" t="n">
        <v>0</v>
      </c>
      <c r="K4596" t="n">
        <v>0</v>
      </c>
      <c r="L4596" t="n">
        <v>0</v>
      </c>
      <c r="M4596" t="n">
        <v>0</v>
      </c>
      <c r="N4596" t="n">
        <v>0</v>
      </c>
      <c r="O4596" t="n">
        <v>0</v>
      </c>
      <c r="P4596" t="n">
        <v>0</v>
      </c>
      <c r="Q4596" t="n">
        <v>0</v>
      </c>
      <c r="R4596" s="2" t="inlineStr"/>
    </row>
    <row r="4597" ht="15" customHeight="1">
      <c r="A4597" t="inlineStr">
        <is>
          <t>A 24892-2021</t>
        </is>
      </c>
      <c r="B4597" s="1" t="n">
        <v>44340</v>
      </c>
      <c r="C4597" s="1" t="n">
        <v>45357</v>
      </c>
      <c r="D4597" t="inlineStr">
        <is>
          <t>VÄSTERBOTTENS LÄN</t>
        </is>
      </c>
      <c r="E4597" t="inlineStr">
        <is>
          <t>VINDELN</t>
        </is>
      </c>
      <c r="G4597" t="n">
        <v>10</v>
      </c>
      <c r="H4597" t="n">
        <v>0</v>
      </c>
      <c r="I4597" t="n">
        <v>0</v>
      </c>
      <c r="J4597" t="n">
        <v>0</v>
      </c>
      <c r="K4597" t="n">
        <v>0</v>
      </c>
      <c r="L4597" t="n">
        <v>0</v>
      </c>
      <c r="M4597" t="n">
        <v>0</v>
      </c>
      <c r="N4597" t="n">
        <v>0</v>
      </c>
      <c r="O4597" t="n">
        <v>0</v>
      </c>
      <c r="P4597" t="n">
        <v>0</v>
      </c>
      <c r="Q4597" t="n">
        <v>0</v>
      </c>
      <c r="R4597" s="2" t="inlineStr"/>
    </row>
    <row r="4598" ht="15" customHeight="1">
      <c r="A4598" t="inlineStr">
        <is>
          <t>A 24873-2021</t>
        </is>
      </c>
      <c r="B4598" s="1" t="n">
        <v>44340</v>
      </c>
      <c r="C4598" s="1" t="n">
        <v>45357</v>
      </c>
      <c r="D4598" t="inlineStr">
        <is>
          <t>VÄSTERBOTTENS LÄN</t>
        </is>
      </c>
      <c r="E4598" t="inlineStr">
        <is>
          <t>VINDELN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24901-2021</t>
        </is>
      </c>
      <c r="B4599" s="1" t="n">
        <v>44340</v>
      </c>
      <c r="C4599" s="1" t="n">
        <v>45357</v>
      </c>
      <c r="D4599" t="inlineStr">
        <is>
          <t>VÄSTERBOTTENS LÄN</t>
        </is>
      </c>
      <c r="E4599" t="inlineStr">
        <is>
          <t>VINDELN</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24868-2021</t>
        </is>
      </c>
      <c r="B4600" s="1" t="n">
        <v>44340</v>
      </c>
      <c r="C4600" s="1" t="n">
        <v>45357</v>
      </c>
      <c r="D4600" t="inlineStr">
        <is>
          <t>VÄSTERBOTTENS LÄN</t>
        </is>
      </c>
      <c r="E4600" t="inlineStr">
        <is>
          <t>VINDELN</t>
        </is>
      </c>
      <c r="G4600" t="n">
        <v>7.9</v>
      </c>
      <c r="H4600" t="n">
        <v>0</v>
      </c>
      <c r="I4600" t="n">
        <v>0</v>
      </c>
      <c r="J4600" t="n">
        <v>0</v>
      </c>
      <c r="K4600" t="n">
        <v>0</v>
      </c>
      <c r="L4600" t="n">
        <v>0</v>
      </c>
      <c r="M4600" t="n">
        <v>0</v>
      </c>
      <c r="N4600" t="n">
        <v>0</v>
      </c>
      <c r="O4600" t="n">
        <v>0</v>
      </c>
      <c r="P4600" t="n">
        <v>0</v>
      </c>
      <c r="Q4600" t="n">
        <v>0</v>
      </c>
      <c r="R4600" s="2" t="inlineStr"/>
    </row>
    <row r="4601" ht="15" customHeight="1">
      <c r="A4601" t="inlineStr">
        <is>
          <t>A 24875-2021</t>
        </is>
      </c>
      <c r="B4601" s="1" t="n">
        <v>44340</v>
      </c>
      <c r="C4601" s="1" t="n">
        <v>45357</v>
      </c>
      <c r="D4601" t="inlineStr">
        <is>
          <t>VÄSTERBOTTENS LÄN</t>
        </is>
      </c>
      <c r="E4601" t="inlineStr">
        <is>
          <t>VINDELN</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24871-2021</t>
        </is>
      </c>
      <c r="B4602" s="1" t="n">
        <v>44340</v>
      </c>
      <c r="C4602" s="1" t="n">
        <v>45357</v>
      </c>
      <c r="D4602" t="inlineStr">
        <is>
          <t>VÄSTERBOTTENS LÄN</t>
        </is>
      </c>
      <c r="E4602" t="inlineStr">
        <is>
          <t>VINDELN</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24895-2021</t>
        </is>
      </c>
      <c r="B4603" s="1" t="n">
        <v>44340</v>
      </c>
      <c r="C4603" s="1" t="n">
        <v>45357</v>
      </c>
      <c r="D4603" t="inlineStr">
        <is>
          <t>VÄSTERBOTTENS LÄN</t>
        </is>
      </c>
      <c r="E4603" t="inlineStr">
        <is>
          <t>VINDELN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24942-2021</t>
        </is>
      </c>
      <c r="B4604" s="1" t="n">
        <v>44341</v>
      </c>
      <c r="C4604" s="1" t="n">
        <v>45357</v>
      </c>
      <c r="D4604" t="inlineStr">
        <is>
          <t>VÄSTERBOTTENS LÄN</t>
        </is>
      </c>
      <c r="E4604" t="inlineStr">
        <is>
          <t>UMEÅ</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24983-2021</t>
        </is>
      </c>
      <c r="B4605" s="1" t="n">
        <v>44341</v>
      </c>
      <c r="C4605" s="1" t="n">
        <v>45357</v>
      </c>
      <c r="D4605" t="inlineStr">
        <is>
          <t>VÄSTERBOTTENS LÄN</t>
        </is>
      </c>
      <c r="E4605" t="inlineStr">
        <is>
          <t>VILHELMINA</t>
        </is>
      </c>
      <c r="G4605" t="n">
        <v>12.9</v>
      </c>
      <c r="H4605" t="n">
        <v>0</v>
      </c>
      <c r="I4605" t="n">
        <v>0</v>
      </c>
      <c r="J4605" t="n">
        <v>0</v>
      </c>
      <c r="K4605" t="n">
        <v>0</v>
      </c>
      <c r="L4605" t="n">
        <v>0</v>
      </c>
      <c r="M4605" t="n">
        <v>0</v>
      </c>
      <c r="N4605" t="n">
        <v>0</v>
      </c>
      <c r="O4605" t="n">
        <v>0</v>
      </c>
      <c r="P4605" t="n">
        <v>0</v>
      </c>
      <c r="Q4605" t="n">
        <v>0</v>
      </c>
      <c r="R4605" s="2" t="inlineStr"/>
    </row>
    <row r="4606" ht="15" customHeight="1">
      <c r="A4606" t="inlineStr">
        <is>
          <t>A 24898-2021</t>
        </is>
      </c>
      <c r="B4606" s="1" t="n">
        <v>44341</v>
      </c>
      <c r="C4606" s="1" t="n">
        <v>45357</v>
      </c>
      <c r="D4606" t="inlineStr">
        <is>
          <t>VÄSTERBOTTENS LÄN</t>
        </is>
      </c>
      <c r="E4606" t="inlineStr">
        <is>
          <t>VINDELN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24599-2021</t>
        </is>
      </c>
      <c r="B4607" s="1" t="n">
        <v>44341</v>
      </c>
      <c r="C4607" s="1" t="n">
        <v>45357</v>
      </c>
      <c r="D4607" t="inlineStr">
        <is>
          <t>VÄSTERBOTTENS LÄN</t>
        </is>
      </c>
      <c r="E4607" t="inlineStr">
        <is>
          <t>VILHELMINA</t>
        </is>
      </c>
      <c r="G4607" t="n">
        <v>14.5</v>
      </c>
      <c r="H4607" t="n">
        <v>0</v>
      </c>
      <c r="I4607" t="n">
        <v>0</v>
      </c>
      <c r="J4607" t="n">
        <v>0</v>
      </c>
      <c r="K4607" t="n">
        <v>0</v>
      </c>
      <c r="L4607" t="n">
        <v>0</v>
      </c>
      <c r="M4607" t="n">
        <v>0</v>
      </c>
      <c r="N4607" t="n">
        <v>0</v>
      </c>
      <c r="O4607" t="n">
        <v>0</v>
      </c>
      <c r="P4607" t="n">
        <v>0</v>
      </c>
      <c r="Q4607" t="n">
        <v>0</v>
      </c>
      <c r="R4607" s="2" t="inlineStr"/>
    </row>
    <row r="4608" ht="15" customHeight="1">
      <c r="A4608" t="inlineStr">
        <is>
          <t>A 25102-2021</t>
        </is>
      </c>
      <c r="B4608" s="1" t="n">
        <v>44341</v>
      </c>
      <c r="C4608" s="1" t="n">
        <v>45357</v>
      </c>
      <c r="D4608" t="inlineStr">
        <is>
          <t>VÄSTERBOTTENS LÄN</t>
        </is>
      </c>
      <c r="E4608" t="inlineStr">
        <is>
          <t>VILHELMINA</t>
        </is>
      </c>
      <c r="G4608" t="n">
        <v>6.7</v>
      </c>
      <c r="H4608" t="n">
        <v>0</v>
      </c>
      <c r="I4608" t="n">
        <v>0</v>
      </c>
      <c r="J4608" t="n">
        <v>0</v>
      </c>
      <c r="K4608" t="n">
        <v>0</v>
      </c>
      <c r="L4608" t="n">
        <v>0</v>
      </c>
      <c r="M4608" t="n">
        <v>0</v>
      </c>
      <c r="N4608" t="n">
        <v>0</v>
      </c>
      <c r="O4608" t="n">
        <v>0</v>
      </c>
      <c r="P4608" t="n">
        <v>0</v>
      </c>
      <c r="Q4608" t="n">
        <v>0</v>
      </c>
      <c r="R4608" s="2" t="inlineStr"/>
    </row>
    <row r="4609" ht="15" customHeight="1">
      <c r="A4609" t="inlineStr">
        <is>
          <t>A 25129-2021</t>
        </is>
      </c>
      <c r="B4609" s="1" t="n">
        <v>44341</v>
      </c>
      <c r="C4609" s="1" t="n">
        <v>45357</v>
      </c>
      <c r="D4609" t="inlineStr">
        <is>
          <t>VÄSTERBOTTENS LÄN</t>
        </is>
      </c>
      <c r="E4609" t="inlineStr">
        <is>
          <t>ÅSELE</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25236-2021</t>
        </is>
      </c>
      <c r="B4610" s="1" t="n">
        <v>44342</v>
      </c>
      <c r="C4610" s="1" t="n">
        <v>45357</v>
      </c>
      <c r="D4610" t="inlineStr">
        <is>
          <t>VÄSTERBOTTENS LÄN</t>
        </is>
      </c>
      <c r="E4610" t="inlineStr">
        <is>
          <t>VINDELN</t>
        </is>
      </c>
      <c r="F4610" t="inlineStr">
        <is>
          <t>Sveaskog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25401-2021</t>
        </is>
      </c>
      <c r="B4611" s="1" t="n">
        <v>44342</v>
      </c>
      <c r="C4611" s="1" t="n">
        <v>45357</v>
      </c>
      <c r="D4611" t="inlineStr">
        <is>
          <t>VÄSTERBOTTENS LÄN</t>
        </is>
      </c>
      <c r="E4611" t="inlineStr">
        <is>
          <t>NORDMALING</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25513-2021</t>
        </is>
      </c>
      <c r="B4612" s="1" t="n">
        <v>44343</v>
      </c>
      <c r="C4612" s="1" t="n">
        <v>45357</v>
      </c>
      <c r="D4612" t="inlineStr">
        <is>
          <t>VÄSTERBOTTENS LÄN</t>
        </is>
      </c>
      <c r="E4612" t="inlineStr">
        <is>
          <t>SKELLEFTEÅ</t>
        </is>
      </c>
      <c r="F4612" t="inlineStr">
        <is>
          <t>SCA</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25512-2021</t>
        </is>
      </c>
      <c r="B4613" s="1" t="n">
        <v>44342</v>
      </c>
      <c r="C4613" s="1" t="n">
        <v>45357</v>
      </c>
      <c r="D4613" t="inlineStr">
        <is>
          <t>VÄSTERBOTTENS LÄN</t>
        </is>
      </c>
      <c r="E4613" t="inlineStr">
        <is>
          <t>SKELLEFTEÅ</t>
        </is>
      </c>
      <c r="F4613" t="inlineStr">
        <is>
          <t>SCA</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25515-2021</t>
        </is>
      </c>
      <c r="B4614" s="1" t="n">
        <v>44343</v>
      </c>
      <c r="C4614" s="1" t="n">
        <v>45357</v>
      </c>
      <c r="D4614" t="inlineStr">
        <is>
          <t>VÄSTERBOTTENS LÄN</t>
        </is>
      </c>
      <c r="E4614" t="inlineStr">
        <is>
          <t>SKELLEFTEÅ</t>
        </is>
      </c>
      <c r="F4614" t="inlineStr">
        <is>
          <t>SCA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25520-2021</t>
        </is>
      </c>
      <c r="B4615" s="1" t="n">
        <v>44343</v>
      </c>
      <c r="C4615" s="1" t="n">
        <v>45357</v>
      </c>
      <c r="D4615" t="inlineStr">
        <is>
          <t>VÄSTERBOTTENS LÄN</t>
        </is>
      </c>
      <c r="E4615" t="inlineStr">
        <is>
          <t>SKELLEFTEÅ</t>
        </is>
      </c>
      <c r="F4615" t="inlineStr">
        <is>
          <t>SCA</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25403-2021</t>
        </is>
      </c>
      <c r="B4616" s="1" t="n">
        <v>44342</v>
      </c>
      <c r="C4616" s="1" t="n">
        <v>45357</v>
      </c>
      <c r="D4616" t="inlineStr">
        <is>
          <t>VÄSTERBOTTENS LÄN</t>
        </is>
      </c>
      <c r="E4616" t="inlineStr">
        <is>
          <t>NORDMALING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25473-2021</t>
        </is>
      </c>
      <c r="B4617" s="1" t="n">
        <v>44342</v>
      </c>
      <c r="C4617" s="1" t="n">
        <v>45357</v>
      </c>
      <c r="D4617" t="inlineStr">
        <is>
          <t>VÄSTERBOTTENS LÄN</t>
        </is>
      </c>
      <c r="E4617" t="inlineStr">
        <is>
          <t>SKELLEFTEÅ</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25491-2021</t>
        </is>
      </c>
      <c r="B4618" s="1" t="n">
        <v>44342</v>
      </c>
      <c r="C4618" s="1" t="n">
        <v>45357</v>
      </c>
      <c r="D4618" t="inlineStr">
        <is>
          <t>VÄSTERBOTTENS LÄN</t>
        </is>
      </c>
      <c r="E4618" t="inlineStr">
        <is>
          <t>SKELLEFTEÅ</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25816-2021</t>
        </is>
      </c>
      <c r="B4619" s="1" t="n">
        <v>44344</v>
      </c>
      <c r="C4619" s="1" t="n">
        <v>45357</v>
      </c>
      <c r="D4619" t="inlineStr">
        <is>
          <t>VÄSTERBOTTENS LÄN</t>
        </is>
      </c>
      <c r="E4619" t="inlineStr">
        <is>
          <t>ÅSELE</t>
        </is>
      </c>
      <c r="F4619" t="inlineStr">
        <is>
          <t>SCA</t>
        </is>
      </c>
      <c r="G4619" t="n">
        <v>7.2</v>
      </c>
      <c r="H4619" t="n">
        <v>0</v>
      </c>
      <c r="I4619" t="n">
        <v>0</v>
      </c>
      <c r="J4619" t="n">
        <v>0</v>
      </c>
      <c r="K4619" t="n">
        <v>0</v>
      </c>
      <c r="L4619" t="n">
        <v>0</v>
      </c>
      <c r="M4619" t="n">
        <v>0</v>
      </c>
      <c r="N4619" t="n">
        <v>0</v>
      </c>
      <c r="O4619" t="n">
        <v>0</v>
      </c>
      <c r="P4619" t="n">
        <v>0</v>
      </c>
      <c r="Q4619" t="n">
        <v>0</v>
      </c>
      <c r="R4619" s="2" t="inlineStr"/>
    </row>
    <row r="4620" ht="15" customHeight="1">
      <c r="A4620" t="inlineStr">
        <is>
          <t>A 25859-2021</t>
        </is>
      </c>
      <c r="B4620" s="1" t="n">
        <v>44343</v>
      </c>
      <c r="C4620" s="1" t="n">
        <v>45357</v>
      </c>
      <c r="D4620" t="inlineStr">
        <is>
          <t>VÄSTERBOTTENS LÄN</t>
        </is>
      </c>
      <c r="E4620" t="inlineStr">
        <is>
          <t>UMEÅ</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26030-2021</t>
        </is>
      </c>
      <c r="B4621" s="1" t="n">
        <v>44344</v>
      </c>
      <c r="C4621" s="1" t="n">
        <v>45357</v>
      </c>
      <c r="D4621" t="inlineStr">
        <is>
          <t>VÄSTERBOTTENS LÄN</t>
        </is>
      </c>
      <c r="E4621" t="inlineStr">
        <is>
          <t>ÅSELE</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26032-2021</t>
        </is>
      </c>
      <c r="B4622" s="1" t="n">
        <v>44344</v>
      </c>
      <c r="C4622" s="1" t="n">
        <v>45357</v>
      </c>
      <c r="D4622" t="inlineStr">
        <is>
          <t>VÄSTERBOTTENS LÄN</t>
        </is>
      </c>
      <c r="E4622" t="inlineStr">
        <is>
          <t>ÅSELE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25994-2021</t>
        </is>
      </c>
      <c r="B4623" s="1" t="n">
        <v>44344</v>
      </c>
      <c r="C4623" s="1" t="n">
        <v>45357</v>
      </c>
      <c r="D4623" t="inlineStr">
        <is>
          <t>VÄSTERBOTTENS LÄN</t>
        </is>
      </c>
      <c r="E4623" t="inlineStr">
        <is>
          <t>NORDMALING</t>
        </is>
      </c>
      <c r="F4623" t="inlineStr">
        <is>
          <t>Kyrkan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26105-2021</t>
        </is>
      </c>
      <c r="B4624" s="1" t="n">
        <v>44345</v>
      </c>
      <c r="C4624" s="1" t="n">
        <v>45357</v>
      </c>
      <c r="D4624" t="inlineStr">
        <is>
          <t>VÄSTERBOTTENS LÄN</t>
        </is>
      </c>
      <c r="E4624" t="inlineStr">
        <is>
          <t>LYCKSELE</t>
        </is>
      </c>
      <c r="F4624" t="inlineStr">
        <is>
          <t>SCA</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26129-2021</t>
        </is>
      </c>
      <c r="B4625" s="1" t="n">
        <v>44346</v>
      </c>
      <c r="C4625" s="1" t="n">
        <v>45357</v>
      </c>
      <c r="D4625" t="inlineStr">
        <is>
          <t>VÄSTERBOTTENS LÄN</t>
        </is>
      </c>
      <c r="E4625" t="inlineStr">
        <is>
          <t>SKELLEFTEÅ</t>
        </is>
      </c>
      <c r="F4625" t="inlineStr">
        <is>
          <t>SCA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26130-2021</t>
        </is>
      </c>
      <c r="B4626" s="1" t="n">
        <v>44346</v>
      </c>
      <c r="C4626" s="1" t="n">
        <v>45357</v>
      </c>
      <c r="D4626" t="inlineStr">
        <is>
          <t>VÄSTERBOTTENS LÄN</t>
        </is>
      </c>
      <c r="E4626" t="inlineStr">
        <is>
          <t>SKELLEFTEÅ</t>
        </is>
      </c>
      <c r="F4626" t="inlineStr">
        <is>
          <t>SCA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26364-2021</t>
        </is>
      </c>
      <c r="B4627" s="1" t="n">
        <v>44347</v>
      </c>
      <c r="C4627" s="1" t="n">
        <v>45357</v>
      </c>
      <c r="D4627" t="inlineStr">
        <is>
          <t>VÄSTERBOTTENS LÄN</t>
        </is>
      </c>
      <c r="E4627" t="inlineStr">
        <is>
          <t>NORDMALING</t>
        </is>
      </c>
      <c r="F4627" t="inlineStr">
        <is>
          <t>Kyrkan</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26483-2021</t>
        </is>
      </c>
      <c r="B4628" s="1" t="n">
        <v>44347</v>
      </c>
      <c r="C4628" s="1" t="n">
        <v>45357</v>
      </c>
      <c r="D4628" t="inlineStr">
        <is>
          <t>VÄSTERBOTTENS LÄN</t>
        </is>
      </c>
      <c r="E4628" t="inlineStr">
        <is>
          <t>VILHELMINA</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26473-2021</t>
        </is>
      </c>
      <c r="B4629" s="1" t="n">
        <v>44348</v>
      </c>
      <c r="C4629" s="1" t="n">
        <v>45357</v>
      </c>
      <c r="D4629" t="inlineStr">
        <is>
          <t>VÄSTERBOTTENS LÄN</t>
        </is>
      </c>
      <c r="E4629" t="inlineStr">
        <is>
          <t>SKELLEFTEÅ</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26635-2021</t>
        </is>
      </c>
      <c r="B4630" s="1" t="n">
        <v>44348</v>
      </c>
      <c r="C4630" s="1" t="n">
        <v>45357</v>
      </c>
      <c r="D4630" t="inlineStr">
        <is>
          <t>VÄSTERBOTTENS LÄN</t>
        </is>
      </c>
      <c r="E4630" t="inlineStr">
        <is>
          <t>LYCKSELE</t>
        </is>
      </c>
      <c r="F4630" t="inlineStr">
        <is>
          <t>Holmen skog AB</t>
        </is>
      </c>
      <c r="G4630" t="n">
        <v>10.4</v>
      </c>
      <c r="H4630" t="n">
        <v>0</v>
      </c>
      <c r="I4630" t="n">
        <v>0</v>
      </c>
      <c r="J4630" t="n">
        <v>0</v>
      </c>
      <c r="K4630" t="n">
        <v>0</v>
      </c>
      <c r="L4630" t="n">
        <v>0</v>
      </c>
      <c r="M4630" t="n">
        <v>0</v>
      </c>
      <c r="N4630" t="n">
        <v>0</v>
      </c>
      <c r="O4630" t="n">
        <v>0</v>
      </c>
      <c r="P4630" t="n">
        <v>0</v>
      </c>
      <c r="Q4630" t="n">
        <v>0</v>
      </c>
      <c r="R4630" s="2" t="inlineStr"/>
    </row>
    <row r="4631" ht="15" customHeight="1">
      <c r="A4631" t="inlineStr">
        <is>
          <t>A 26673-2021</t>
        </is>
      </c>
      <c r="B4631" s="1" t="n">
        <v>44349</v>
      </c>
      <c r="C4631" s="1" t="n">
        <v>45357</v>
      </c>
      <c r="D4631" t="inlineStr">
        <is>
          <t>VÄSTERBOTTENS LÄN</t>
        </is>
      </c>
      <c r="E4631" t="inlineStr">
        <is>
          <t>LYCKSELE</t>
        </is>
      </c>
      <c r="F4631" t="inlineStr">
        <is>
          <t>SCA</t>
        </is>
      </c>
      <c r="G4631" t="n">
        <v>10</v>
      </c>
      <c r="H4631" t="n">
        <v>0</v>
      </c>
      <c r="I4631" t="n">
        <v>0</v>
      </c>
      <c r="J4631" t="n">
        <v>0</v>
      </c>
      <c r="K4631" t="n">
        <v>0</v>
      </c>
      <c r="L4631" t="n">
        <v>0</v>
      </c>
      <c r="M4631" t="n">
        <v>0</v>
      </c>
      <c r="N4631" t="n">
        <v>0</v>
      </c>
      <c r="O4631" t="n">
        <v>0</v>
      </c>
      <c r="P4631" t="n">
        <v>0</v>
      </c>
      <c r="Q4631" t="n">
        <v>0</v>
      </c>
      <c r="R4631" s="2" t="inlineStr"/>
    </row>
    <row r="4632" ht="15" customHeight="1">
      <c r="A4632" t="inlineStr">
        <is>
          <t>A 26599-2021</t>
        </is>
      </c>
      <c r="B4632" s="1" t="n">
        <v>44348</v>
      </c>
      <c r="C4632" s="1" t="n">
        <v>45357</v>
      </c>
      <c r="D4632" t="inlineStr">
        <is>
          <t>VÄSTERBOTTENS LÄN</t>
        </is>
      </c>
      <c r="E4632" t="inlineStr">
        <is>
          <t>SKELLEFTEÅ</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26574-2021</t>
        </is>
      </c>
      <c r="B4633" s="1" t="n">
        <v>44348</v>
      </c>
      <c r="C4633" s="1" t="n">
        <v>45357</v>
      </c>
      <c r="D4633" t="inlineStr">
        <is>
          <t>VÄSTERBOTTENS LÄN</t>
        </is>
      </c>
      <c r="E4633" t="inlineStr">
        <is>
          <t>VINDELN</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26718-2021</t>
        </is>
      </c>
      <c r="B4634" s="1" t="n">
        <v>44349</v>
      </c>
      <c r="C4634" s="1" t="n">
        <v>45357</v>
      </c>
      <c r="D4634" t="inlineStr">
        <is>
          <t>VÄSTERBOTTENS LÄN</t>
        </is>
      </c>
      <c r="E4634" t="inlineStr">
        <is>
          <t>VINDELN</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26858-2021</t>
        </is>
      </c>
      <c r="B4635" s="1" t="n">
        <v>44349</v>
      </c>
      <c r="C4635" s="1" t="n">
        <v>45357</v>
      </c>
      <c r="D4635" t="inlineStr">
        <is>
          <t>VÄSTERBOTTENS LÄN</t>
        </is>
      </c>
      <c r="E4635" t="inlineStr">
        <is>
          <t>SKELLEFTEÅ</t>
        </is>
      </c>
      <c r="F4635" t="inlineStr">
        <is>
          <t>Holmen skog AB</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26957-2021</t>
        </is>
      </c>
      <c r="B4636" s="1" t="n">
        <v>44350</v>
      </c>
      <c r="C4636" s="1" t="n">
        <v>45357</v>
      </c>
      <c r="D4636" t="inlineStr">
        <is>
          <t>VÄSTERBOTTENS LÄN</t>
        </is>
      </c>
      <c r="E4636" t="inlineStr">
        <is>
          <t>SKELLEFTEÅ</t>
        </is>
      </c>
      <c r="F4636" t="inlineStr">
        <is>
          <t>SCA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26975-2021</t>
        </is>
      </c>
      <c r="B4637" s="1" t="n">
        <v>44350</v>
      </c>
      <c r="C4637" s="1" t="n">
        <v>45357</v>
      </c>
      <c r="D4637" t="inlineStr">
        <is>
          <t>VÄSTERBOTTENS LÄN</t>
        </is>
      </c>
      <c r="E4637" t="inlineStr">
        <is>
          <t>SKELLEFTEÅ</t>
        </is>
      </c>
      <c r="F4637" t="inlineStr">
        <is>
          <t>SCA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27059-2021</t>
        </is>
      </c>
      <c r="B4638" s="1" t="n">
        <v>44350</v>
      </c>
      <c r="C4638" s="1" t="n">
        <v>45357</v>
      </c>
      <c r="D4638" t="inlineStr">
        <is>
          <t>VÄSTERBOTTENS LÄN</t>
        </is>
      </c>
      <c r="E4638" t="inlineStr">
        <is>
          <t>VILHELMINA</t>
        </is>
      </c>
      <c r="F4638" t="inlineStr">
        <is>
          <t>Allmännings- och besparingsskogar</t>
        </is>
      </c>
      <c r="G4638" t="n">
        <v>301.6</v>
      </c>
      <c r="H4638" t="n">
        <v>0</v>
      </c>
      <c r="I4638" t="n">
        <v>0</v>
      </c>
      <c r="J4638" t="n">
        <v>0</v>
      </c>
      <c r="K4638" t="n">
        <v>0</v>
      </c>
      <c r="L4638" t="n">
        <v>0</v>
      </c>
      <c r="M4638" t="n">
        <v>0</v>
      </c>
      <c r="N4638" t="n">
        <v>0</v>
      </c>
      <c r="O4638" t="n">
        <v>0</v>
      </c>
      <c r="P4638" t="n">
        <v>0</v>
      </c>
      <c r="Q4638" t="n">
        <v>0</v>
      </c>
      <c r="R4638" s="2" t="inlineStr"/>
    </row>
    <row r="4639" ht="15" customHeight="1">
      <c r="A4639" t="inlineStr">
        <is>
          <t>A 27172-2021</t>
        </is>
      </c>
      <c r="B4639" s="1" t="n">
        <v>44350</v>
      </c>
      <c r="C4639" s="1" t="n">
        <v>45357</v>
      </c>
      <c r="D4639" t="inlineStr">
        <is>
          <t>VÄSTERBOTTENS LÄN</t>
        </is>
      </c>
      <c r="E4639" t="inlineStr">
        <is>
          <t>UMEÅ</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27273-2021</t>
        </is>
      </c>
      <c r="B4640" s="1" t="n">
        <v>44350</v>
      </c>
      <c r="C4640" s="1" t="n">
        <v>45357</v>
      </c>
      <c r="D4640" t="inlineStr">
        <is>
          <t>VÄSTERBOTTENS LÄN</t>
        </is>
      </c>
      <c r="E4640" t="inlineStr">
        <is>
          <t>SORSELE</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27315-2021</t>
        </is>
      </c>
      <c r="B4641" s="1" t="n">
        <v>44350</v>
      </c>
      <c r="C4641" s="1" t="n">
        <v>45357</v>
      </c>
      <c r="D4641" t="inlineStr">
        <is>
          <t>VÄSTERBOTTENS LÄN</t>
        </is>
      </c>
      <c r="E4641" t="inlineStr">
        <is>
          <t>ÅSELE</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27301-2021</t>
        </is>
      </c>
      <c r="B4642" s="1" t="n">
        <v>44350</v>
      </c>
      <c r="C4642" s="1" t="n">
        <v>45357</v>
      </c>
      <c r="D4642" t="inlineStr">
        <is>
          <t>VÄSTERBOTTENS LÄN</t>
        </is>
      </c>
      <c r="E4642" t="inlineStr">
        <is>
          <t>ÅSELE</t>
        </is>
      </c>
      <c r="F4642" t="inlineStr">
        <is>
          <t>Övriga Aktiebolag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27284-2021</t>
        </is>
      </c>
      <c r="B4643" s="1" t="n">
        <v>44350</v>
      </c>
      <c r="C4643" s="1" t="n">
        <v>45357</v>
      </c>
      <c r="D4643" t="inlineStr">
        <is>
          <t>VÄSTERBOTTENS LÄN</t>
        </is>
      </c>
      <c r="E4643" t="inlineStr">
        <is>
          <t>SORSELE</t>
        </is>
      </c>
      <c r="G4643" t="n">
        <v>7</v>
      </c>
      <c r="H4643" t="n">
        <v>0</v>
      </c>
      <c r="I4643" t="n">
        <v>0</v>
      </c>
      <c r="J4643" t="n">
        <v>0</v>
      </c>
      <c r="K4643" t="n">
        <v>0</v>
      </c>
      <c r="L4643" t="n">
        <v>0</v>
      </c>
      <c r="M4643" t="n">
        <v>0</v>
      </c>
      <c r="N4643" t="n">
        <v>0</v>
      </c>
      <c r="O4643" t="n">
        <v>0</v>
      </c>
      <c r="P4643" t="n">
        <v>0</v>
      </c>
      <c r="Q4643" t="n">
        <v>0</v>
      </c>
      <c r="R4643" s="2" t="inlineStr"/>
    </row>
    <row r="4644" ht="15" customHeight="1">
      <c r="A4644" t="inlineStr">
        <is>
          <t>A 27432-2021</t>
        </is>
      </c>
      <c r="B4644" s="1" t="n">
        <v>44351</v>
      </c>
      <c r="C4644" s="1" t="n">
        <v>45357</v>
      </c>
      <c r="D4644" t="inlineStr">
        <is>
          <t>VÄSTERBOTTENS LÄN</t>
        </is>
      </c>
      <c r="E4644" t="inlineStr">
        <is>
          <t>ÅSELE</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27506-2021</t>
        </is>
      </c>
      <c r="B4645" s="1" t="n">
        <v>44351</v>
      </c>
      <c r="C4645" s="1" t="n">
        <v>45357</v>
      </c>
      <c r="D4645" t="inlineStr">
        <is>
          <t>VÄSTERBOTTENS LÄN</t>
        </is>
      </c>
      <c r="E4645" t="inlineStr">
        <is>
          <t>DOROTEA</t>
        </is>
      </c>
      <c r="F4645" t="inlineStr">
        <is>
          <t>Kommuner</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27444-2021</t>
        </is>
      </c>
      <c r="B4646" s="1" t="n">
        <v>44351</v>
      </c>
      <c r="C4646" s="1" t="n">
        <v>45357</v>
      </c>
      <c r="D4646" t="inlineStr">
        <is>
          <t>VÄSTERBOTTENS LÄN</t>
        </is>
      </c>
      <c r="E4646" t="inlineStr">
        <is>
          <t>SKELLEFTEÅ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27511-2021</t>
        </is>
      </c>
      <c r="B4647" s="1" t="n">
        <v>44351</v>
      </c>
      <c r="C4647" s="1" t="n">
        <v>45357</v>
      </c>
      <c r="D4647" t="inlineStr">
        <is>
          <t>VÄSTERBOTTENS LÄN</t>
        </is>
      </c>
      <c r="E4647" t="inlineStr">
        <is>
          <t>DOROTEA</t>
        </is>
      </c>
      <c r="F4647" t="inlineStr">
        <is>
          <t>Kommuner</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27503-2021</t>
        </is>
      </c>
      <c r="B4648" s="1" t="n">
        <v>44351</v>
      </c>
      <c r="C4648" s="1" t="n">
        <v>45357</v>
      </c>
      <c r="D4648" t="inlineStr">
        <is>
          <t>VÄSTERBOTTENS LÄN</t>
        </is>
      </c>
      <c r="E4648" t="inlineStr">
        <is>
          <t>DOROTEA</t>
        </is>
      </c>
      <c r="F4648" t="inlineStr">
        <is>
          <t>Kommuner</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27509-2021</t>
        </is>
      </c>
      <c r="B4649" s="1" t="n">
        <v>44351</v>
      </c>
      <c r="C4649" s="1" t="n">
        <v>45357</v>
      </c>
      <c r="D4649" t="inlineStr">
        <is>
          <t>VÄSTERBOTTENS LÄN</t>
        </is>
      </c>
      <c r="E4649" t="inlineStr">
        <is>
          <t>DOROTEA</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27475-2021</t>
        </is>
      </c>
      <c r="B4650" s="1" t="n">
        <v>44351</v>
      </c>
      <c r="C4650" s="1" t="n">
        <v>45357</v>
      </c>
      <c r="D4650" t="inlineStr">
        <is>
          <t>VÄSTERBOTTENS LÄN</t>
        </is>
      </c>
      <c r="E4650" t="inlineStr">
        <is>
          <t>VINDELN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27508-2021</t>
        </is>
      </c>
      <c r="B4651" s="1" t="n">
        <v>44351</v>
      </c>
      <c r="C4651" s="1" t="n">
        <v>45357</v>
      </c>
      <c r="D4651" t="inlineStr">
        <is>
          <t>VÄSTERBOTTENS LÄN</t>
        </is>
      </c>
      <c r="E4651" t="inlineStr">
        <is>
          <t>DOROTEA</t>
        </is>
      </c>
      <c r="F4651" t="inlineStr">
        <is>
          <t>Kommuner</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27514-2021</t>
        </is>
      </c>
      <c r="B4652" s="1" t="n">
        <v>44351</v>
      </c>
      <c r="C4652" s="1" t="n">
        <v>45357</v>
      </c>
      <c r="D4652" t="inlineStr">
        <is>
          <t>VÄSTERBOTTENS LÄN</t>
        </is>
      </c>
      <c r="E4652" t="inlineStr">
        <is>
          <t>DOROTEA</t>
        </is>
      </c>
      <c r="F4652" t="inlineStr">
        <is>
          <t>Kommuner</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27698-2021</t>
        </is>
      </c>
      <c r="B4653" s="1" t="n">
        <v>44354</v>
      </c>
      <c r="C4653" s="1" t="n">
        <v>45357</v>
      </c>
      <c r="D4653" t="inlineStr">
        <is>
          <t>VÄSTERBOTTENS LÄN</t>
        </is>
      </c>
      <c r="E4653" t="inlineStr">
        <is>
          <t>SKELLEFTEÅ</t>
        </is>
      </c>
      <c r="F4653" t="inlineStr">
        <is>
          <t>Holmen skog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27643-2021</t>
        </is>
      </c>
      <c r="B4654" s="1" t="n">
        <v>44354</v>
      </c>
      <c r="C4654" s="1" t="n">
        <v>45357</v>
      </c>
      <c r="D4654" t="inlineStr">
        <is>
          <t>VÄSTERBOTTENS LÄN</t>
        </is>
      </c>
      <c r="E4654" t="inlineStr">
        <is>
          <t>SKELLEFTEÅ</t>
        </is>
      </c>
      <c r="F4654" t="inlineStr">
        <is>
          <t>Holmen skog AB</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27774-2021</t>
        </is>
      </c>
      <c r="B4655" s="1" t="n">
        <v>44354</v>
      </c>
      <c r="C4655" s="1" t="n">
        <v>45357</v>
      </c>
      <c r="D4655" t="inlineStr">
        <is>
          <t>VÄSTERBOTTENS LÄN</t>
        </is>
      </c>
      <c r="E4655" t="inlineStr">
        <is>
          <t>SKELLEFTEÅ</t>
        </is>
      </c>
      <c r="F4655" t="inlineStr">
        <is>
          <t>Holmen skog AB</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27804-2021</t>
        </is>
      </c>
      <c r="B4656" s="1" t="n">
        <v>44354</v>
      </c>
      <c r="C4656" s="1" t="n">
        <v>45357</v>
      </c>
      <c r="D4656" t="inlineStr">
        <is>
          <t>VÄSTERBOTTENS LÄN</t>
        </is>
      </c>
      <c r="E4656" t="inlineStr">
        <is>
          <t>UMEÅ</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27860-2021</t>
        </is>
      </c>
      <c r="B4657" s="1" t="n">
        <v>44354</v>
      </c>
      <c r="C4657" s="1" t="n">
        <v>45357</v>
      </c>
      <c r="D4657" t="inlineStr">
        <is>
          <t>VÄSTERBOTTENS LÄN</t>
        </is>
      </c>
      <c r="E4657" t="inlineStr">
        <is>
          <t>NORDMALING</t>
        </is>
      </c>
      <c r="F4657" t="inlineStr">
        <is>
          <t>Kyrkan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27942-2021</t>
        </is>
      </c>
      <c r="B4658" s="1" t="n">
        <v>44354</v>
      </c>
      <c r="C4658" s="1" t="n">
        <v>45357</v>
      </c>
      <c r="D4658" t="inlineStr">
        <is>
          <t>VÄSTERBOTTENS LÄN</t>
        </is>
      </c>
      <c r="E4658" t="inlineStr">
        <is>
          <t>VINDELN</t>
        </is>
      </c>
      <c r="F4658" t="inlineStr">
        <is>
          <t>Holmen skog AB</t>
        </is>
      </c>
      <c r="G4658" t="n">
        <v>23.4</v>
      </c>
      <c r="H4658" t="n">
        <v>0</v>
      </c>
      <c r="I4658" t="n">
        <v>0</v>
      </c>
      <c r="J4658" t="n">
        <v>0</v>
      </c>
      <c r="K4658" t="n">
        <v>0</v>
      </c>
      <c r="L4658" t="n">
        <v>0</v>
      </c>
      <c r="M4658" t="n">
        <v>0</v>
      </c>
      <c r="N4658" t="n">
        <v>0</v>
      </c>
      <c r="O4658" t="n">
        <v>0</v>
      </c>
      <c r="P4658" t="n">
        <v>0</v>
      </c>
      <c r="Q4658" t="n">
        <v>0</v>
      </c>
      <c r="R4658" s="2" t="inlineStr"/>
    </row>
    <row r="4659" ht="15" customHeight="1">
      <c r="A4659" t="inlineStr">
        <is>
          <t>A 27945-2021</t>
        </is>
      </c>
      <c r="B4659" s="1" t="n">
        <v>44354</v>
      </c>
      <c r="C4659" s="1" t="n">
        <v>45357</v>
      </c>
      <c r="D4659" t="inlineStr">
        <is>
          <t>VÄSTERBOTTENS LÄN</t>
        </is>
      </c>
      <c r="E4659" t="inlineStr">
        <is>
          <t>LYCKSELE</t>
        </is>
      </c>
      <c r="F4659" t="inlineStr">
        <is>
          <t>Holmen skog AB</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27998-2021</t>
        </is>
      </c>
      <c r="B4660" s="1" t="n">
        <v>44354</v>
      </c>
      <c r="C4660" s="1" t="n">
        <v>45357</v>
      </c>
      <c r="D4660" t="inlineStr">
        <is>
          <t>VÄSTERBOTTENS LÄN</t>
        </is>
      </c>
      <c r="E4660" t="inlineStr">
        <is>
          <t>UMEÅ</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28094-2021</t>
        </is>
      </c>
      <c r="B4661" s="1" t="n">
        <v>44355</v>
      </c>
      <c r="C4661" s="1" t="n">
        <v>45357</v>
      </c>
      <c r="D4661" t="inlineStr">
        <is>
          <t>VÄSTERBOTTENS LÄN</t>
        </is>
      </c>
      <c r="E4661" t="inlineStr">
        <is>
          <t>SORSELE</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28109-2021</t>
        </is>
      </c>
      <c r="B4662" s="1" t="n">
        <v>44355</v>
      </c>
      <c r="C4662" s="1" t="n">
        <v>45357</v>
      </c>
      <c r="D4662" t="inlineStr">
        <is>
          <t>VÄSTERBOTTENS LÄN</t>
        </is>
      </c>
      <c r="E4662" t="inlineStr">
        <is>
          <t>UMEÅ</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28097-2021</t>
        </is>
      </c>
      <c r="B4663" s="1" t="n">
        <v>44355</v>
      </c>
      <c r="C4663" s="1" t="n">
        <v>45357</v>
      </c>
      <c r="D4663" t="inlineStr">
        <is>
          <t>VÄSTERBOTTENS LÄN</t>
        </is>
      </c>
      <c r="E4663" t="inlineStr">
        <is>
          <t>SORSELE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28065-2021</t>
        </is>
      </c>
      <c r="B4664" s="1" t="n">
        <v>44355</v>
      </c>
      <c r="C4664" s="1" t="n">
        <v>45357</v>
      </c>
      <c r="D4664" t="inlineStr">
        <is>
          <t>VÄSTERBOTTENS LÄN</t>
        </is>
      </c>
      <c r="E4664" t="inlineStr">
        <is>
          <t>VÄNNÄS</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28121-2021</t>
        </is>
      </c>
      <c r="B4665" s="1" t="n">
        <v>44355</v>
      </c>
      <c r="C4665" s="1" t="n">
        <v>45357</v>
      </c>
      <c r="D4665" t="inlineStr">
        <is>
          <t>VÄSTERBOTTENS LÄN</t>
        </is>
      </c>
      <c r="E4665" t="inlineStr">
        <is>
          <t>SKELLEFTEÅ</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28191-2021</t>
        </is>
      </c>
      <c r="B4666" s="1" t="n">
        <v>44355</v>
      </c>
      <c r="C4666" s="1" t="n">
        <v>45357</v>
      </c>
      <c r="D4666" t="inlineStr">
        <is>
          <t>VÄSTERBOTTENS LÄN</t>
        </is>
      </c>
      <c r="E4666" t="inlineStr">
        <is>
          <t>SKELLEFTEÅ</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28196-2021</t>
        </is>
      </c>
      <c r="B4667" s="1" t="n">
        <v>44355</v>
      </c>
      <c r="C4667" s="1" t="n">
        <v>45357</v>
      </c>
      <c r="D4667" t="inlineStr">
        <is>
          <t>VÄSTERBOTTENS LÄN</t>
        </is>
      </c>
      <c r="E4667" t="inlineStr">
        <is>
          <t>SKELLEFTEÅ</t>
        </is>
      </c>
      <c r="F4667" t="inlineStr">
        <is>
          <t>Holmen skog AB</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28244-2021</t>
        </is>
      </c>
      <c r="B4668" s="1" t="n">
        <v>44355</v>
      </c>
      <c r="C4668" s="1" t="n">
        <v>45357</v>
      </c>
      <c r="D4668" t="inlineStr">
        <is>
          <t>VÄSTERBOTTENS LÄN</t>
        </is>
      </c>
      <c r="E4668" t="inlineStr">
        <is>
          <t>SKELLEFTEÅ</t>
        </is>
      </c>
      <c r="F4668" t="inlineStr">
        <is>
          <t>Holmen skog AB</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28269-2021</t>
        </is>
      </c>
      <c r="B4669" s="1" t="n">
        <v>44356</v>
      </c>
      <c r="C4669" s="1" t="n">
        <v>45357</v>
      </c>
      <c r="D4669" t="inlineStr">
        <is>
          <t>VÄSTERBOTTENS LÄN</t>
        </is>
      </c>
      <c r="E4669" t="inlineStr">
        <is>
          <t>VILHELMINA</t>
        </is>
      </c>
      <c r="F4669" t="inlineStr">
        <is>
          <t>SCA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28229-2021</t>
        </is>
      </c>
      <c r="B4670" s="1" t="n">
        <v>44355</v>
      </c>
      <c r="C4670" s="1" t="n">
        <v>45357</v>
      </c>
      <c r="D4670" t="inlineStr">
        <is>
          <t>VÄSTERBOTTENS LÄN</t>
        </is>
      </c>
      <c r="E4670" t="inlineStr">
        <is>
          <t>ROBERTSFORS</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28267-2021</t>
        </is>
      </c>
      <c r="B4671" s="1" t="n">
        <v>44355</v>
      </c>
      <c r="C4671" s="1" t="n">
        <v>45357</v>
      </c>
      <c r="D4671" t="inlineStr">
        <is>
          <t>VÄSTERBOTTENS LÄN</t>
        </is>
      </c>
      <c r="E4671" t="inlineStr">
        <is>
          <t>UMEÅ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28237-2021</t>
        </is>
      </c>
      <c r="B4672" s="1" t="n">
        <v>44355</v>
      </c>
      <c r="C4672" s="1" t="n">
        <v>45357</v>
      </c>
      <c r="D4672" t="inlineStr">
        <is>
          <t>VÄSTERBOTTENS LÄN</t>
        </is>
      </c>
      <c r="E4672" t="inlineStr">
        <is>
          <t>ROBERTSFORS</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28263-2021</t>
        </is>
      </c>
      <c r="B4673" s="1" t="n">
        <v>44355</v>
      </c>
      <c r="C4673" s="1" t="n">
        <v>45357</v>
      </c>
      <c r="D4673" t="inlineStr">
        <is>
          <t>VÄSTERBOTTENS LÄN</t>
        </is>
      </c>
      <c r="E4673" t="inlineStr">
        <is>
          <t>LYCKSELE</t>
        </is>
      </c>
      <c r="F4673" t="inlineStr">
        <is>
          <t>Holmen skog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28272-2021</t>
        </is>
      </c>
      <c r="B4674" s="1" t="n">
        <v>44356</v>
      </c>
      <c r="C4674" s="1" t="n">
        <v>45357</v>
      </c>
      <c r="D4674" t="inlineStr">
        <is>
          <t>VÄSTERBOTTENS LÄN</t>
        </is>
      </c>
      <c r="E4674" t="inlineStr">
        <is>
          <t>VILHELMINA</t>
        </is>
      </c>
      <c r="F4674" t="inlineStr">
        <is>
          <t>SCA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28291-2021</t>
        </is>
      </c>
      <c r="B4675" s="1" t="n">
        <v>44356</v>
      </c>
      <c r="C4675" s="1" t="n">
        <v>45357</v>
      </c>
      <c r="D4675" t="inlineStr">
        <is>
          <t>VÄSTERBOTTENS LÄN</t>
        </is>
      </c>
      <c r="E4675" t="inlineStr">
        <is>
          <t>SKELLEFTEÅ</t>
        </is>
      </c>
      <c r="G4675" t="n">
        <v>10.1</v>
      </c>
      <c r="H4675" t="n">
        <v>0</v>
      </c>
      <c r="I4675" t="n">
        <v>0</v>
      </c>
      <c r="J4675" t="n">
        <v>0</v>
      </c>
      <c r="K4675" t="n">
        <v>0</v>
      </c>
      <c r="L4675" t="n">
        <v>0</v>
      </c>
      <c r="M4675" t="n">
        <v>0</v>
      </c>
      <c r="N4675" t="n">
        <v>0</v>
      </c>
      <c r="O4675" t="n">
        <v>0</v>
      </c>
      <c r="P4675" t="n">
        <v>0</v>
      </c>
      <c r="Q4675" t="n">
        <v>0</v>
      </c>
      <c r="R4675" s="2" t="inlineStr"/>
    </row>
    <row r="4676" ht="15" customHeight="1">
      <c r="A4676" t="inlineStr">
        <is>
          <t>A 28462-2021</t>
        </is>
      </c>
      <c r="B4676" s="1" t="n">
        <v>44356</v>
      </c>
      <c r="C4676" s="1" t="n">
        <v>45357</v>
      </c>
      <c r="D4676" t="inlineStr">
        <is>
          <t>VÄSTERBOTTENS LÄN</t>
        </is>
      </c>
      <c r="E4676" t="inlineStr">
        <is>
          <t>NORSJÖ</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28608-2021</t>
        </is>
      </c>
      <c r="B4677" s="1" t="n">
        <v>44356</v>
      </c>
      <c r="C4677" s="1" t="n">
        <v>45357</v>
      </c>
      <c r="D4677" t="inlineStr">
        <is>
          <t>VÄSTERBOTTENS LÄN</t>
        </is>
      </c>
      <c r="E4677" t="inlineStr">
        <is>
          <t>ÅSELE</t>
        </is>
      </c>
      <c r="F4677" t="inlineStr">
        <is>
          <t>SCA</t>
        </is>
      </c>
      <c r="G4677" t="n">
        <v>13.2</v>
      </c>
      <c r="H4677" t="n">
        <v>0</v>
      </c>
      <c r="I4677" t="n">
        <v>0</v>
      </c>
      <c r="J4677" t="n">
        <v>0</v>
      </c>
      <c r="K4677" t="n">
        <v>0</v>
      </c>
      <c r="L4677" t="n">
        <v>0</v>
      </c>
      <c r="M4677" t="n">
        <v>0</v>
      </c>
      <c r="N4677" t="n">
        <v>0</v>
      </c>
      <c r="O4677" t="n">
        <v>0</v>
      </c>
      <c r="P4677" t="n">
        <v>0</v>
      </c>
      <c r="Q4677" t="n">
        <v>0</v>
      </c>
      <c r="R4677" s="2" t="inlineStr"/>
    </row>
    <row r="4678" ht="15" customHeight="1">
      <c r="A4678" t="inlineStr">
        <is>
          <t>A 28699-2021</t>
        </is>
      </c>
      <c r="B4678" s="1" t="n">
        <v>44356</v>
      </c>
      <c r="C4678" s="1" t="n">
        <v>45357</v>
      </c>
      <c r="D4678" t="inlineStr">
        <is>
          <t>VÄSTERBOTTENS LÄN</t>
        </is>
      </c>
      <c r="E4678" t="inlineStr">
        <is>
          <t>VINDELN</t>
        </is>
      </c>
      <c r="G4678" t="n">
        <v>8.199999999999999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28525-2021</t>
        </is>
      </c>
      <c r="B4679" s="1" t="n">
        <v>44356</v>
      </c>
      <c r="C4679" s="1" t="n">
        <v>45357</v>
      </c>
      <c r="D4679" t="inlineStr">
        <is>
          <t>VÄSTERBOTTENS LÄN</t>
        </is>
      </c>
      <c r="E4679" t="inlineStr">
        <is>
          <t>SKELLEFTEÅ</t>
        </is>
      </c>
      <c r="F4679" t="inlineStr">
        <is>
          <t>Kyrkan</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28609-2021</t>
        </is>
      </c>
      <c r="B4680" s="1" t="n">
        <v>44357</v>
      </c>
      <c r="C4680" s="1" t="n">
        <v>45357</v>
      </c>
      <c r="D4680" t="inlineStr">
        <is>
          <t>VÄSTERBOTTENS LÄN</t>
        </is>
      </c>
      <c r="E4680" t="inlineStr">
        <is>
          <t>ÅSELE</t>
        </is>
      </c>
      <c r="F4680" t="inlineStr">
        <is>
          <t>SCA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28620-2021</t>
        </is>
      </c>
      <c r="B4681" s="1" t="n">
        <v>44357</v>
      </c>
      <c r="C4681" s="1" t="n">
        <v>45357</v>
      </c>
      <c r="D4681" t="inlineStr">
        <is>
          <t>VÄSTERBOTTENS LÄN</t>
        </is>
      </c>
      <c r="E4681" t="inlineStr">
        <is>
          <t>LYCKSELE</t>
        </is>
      </c>
      <c r="F4681" t="inlineStr">
        <is>
          <t>SCA</t>
        </is>
      </c>
      <c r="G4681" t="n">
        <v>14.5</v>
      </c>
      <c r="H4681" t="n">
        <v>0</v>
      </c>
      <c r="I4681" t="n">
        <v>0</v>
      </c>
      <c r="J4681" t="n">
        <v>0</v>
      </c>
      <c r="K4681" t="n">
        <v>0</v>
      </c>
      <c r="L4681" t="n">
        <v>0</v>
      </c>
      <c r="M4681" t="n">
        <v>0</v>
      </c>
      <c r="N4681" t="n">
        <v>0</v>
      </c>
      <c r="O4681" t="n">
        <v>0</v>
      </c>
      <c r="P4681" t="n">
        <v>0</v>
      </c>
      <c r="Q4681" t="n">
        <v>0</v>
      </c>
      <c r="R4681" s="2" t="inlineStr"/>
    </row>
    <row r="4682" ht="15" customHeight="1">
      <c r="A4682" t="inlineStr">
        <is>
          <t>A 28610-2021</t>
        </is>
      </c>
      <c r="B4682" s="1" t="n">
        <v>44357</v>
      </c>
      <c r="C4682" s="1" t="n">
        <v>45357</v>
      </c>
      <c r="D4682" t="inlineStr">
        <is>
          <t>VÄSTERBOTTENS LÄN</t>
        </is>
      </c>
      <c r="E4682" t="inlineStr">
        <is>
          <t>ÅSELE</t>
        </is>
      </c>
      <c r="F4682" t="inlineStr">
        <is>
          <t>SCA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28666-2021</t>
        </is>
      </c>
      <c r="B4683" s="1" t="n">
        <v>44357</v>
      </c>
      <c r="C4683" s="1" t="n">
        <v>45357</v>
      </c>
      <c r="D4683" t="inlineStr">
        <is>
          <t>VÄSTERBOTTENS LÄN</t>
        </is>
      </c>
      <c r="E4683" t="inlineStr">
        <is>
          <t>SKELLEFTEÅ</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28889-2021</t>
        </is>
      </c>
      <c r="B4684" s="1" t="n">
        <v>44358</v>
      </c>
      <c r="C4684" s="1" t="n">
        <v>45357</v>
      </c>
      <c r="D4684" t="inlineStr">
        <is>
          <t>VÄSTERBOTTENS LÄN</t>
        </is>
      </c>
      <c r="E4684" t="inlineStr">
        <is>
          <t>NORSJÖ</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28822-2021</t>
        </is>
      </c>
      <c r="B4685" s="1" t="n">
        <v>44357</v>
      </c>
      <c r="C4685" s="1" t="n">
        <v>45357</v>
      </c>
      <c r="D4685" t="inlineStr">
        <is>
          <t>VÄSTERBOTTENS LÄN</t>
        </is>
      </c>
      <c r="E4685" t="inlineStr">
        <is>
          <t>SKELLEFTEÅ</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28895-2021</t>
        </is>
      </c>
      <c r="B4686" s="1" t="n">
        <v>44357</v>
      </c>
      <c r="C4686" s="1" t="n">
        <v>45357</v>
      </c>
      <c r="D4686" t="inlineStr">
        <is>
          <t>VÄSTERBOTTENS LÄN</t>
        </is>
      </c>
      <c r="E4686" t="inlineStr">
        <is>
          <t>VILHELMINA</t>
        </is>
      </c>
      <c r="F4686" t="inlineStr">
        <is>
          <t>SCA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29115-2021</t>
        </is>
      </c>
      <c r="B4687" s="1" t="n">
        <v>44358</v>
      </c>
      <c r="C4687" s="1" t="n">
        <v>45357</v>
      </c>
      <c r="D4687" t="inlineStr">
        <is>
          <t>VÄSTERBOTTENS LÄN</t>
        </is>
      </c>
      <c r="E4687" t="inlineStr">
        <is>
          <t>SKELLEFTEÅ</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28959-2021</t>
        </is>
      </c>
      <c r="B4688" s="1" t="n">
        <v>44358</v>
      </c>
      <c r="C4688" s="1" t="n">
        <v>45357</v>
      </c>
      <c r="D4688" t="inlineStr">
        <is>
          <t>VÄSTERBOTTENS LÄN</t>
        </is>
      </c>
      <c r="E4688" t="inlineStr">
        <is>
          <t>SKELLEFTEÅ</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29150-2021</t>
        </is>
      </c>
      <c r="B4689" s="1" t="n">
        <v>44358</v>
      </c>
      <c r="C4689" s="1" t="n">
        <v>45357</v>
      </c>
      <c r="D4689" t="inlineStr">
        <is>
          <t>VÄSTERBOTTENS LÄN</t>
        </is>
      </c>
      <c r="E4689" t="inlineStr">
        <is>
          <t>LYCKSELE</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29240-2021</t>
        </is>
      </c>
      <c r="B4690" s="1" t="n">
        <v>44360</v>
      </c>
      <c r="C4690" s="1" t="n">
        <v>45357</v>
      </c>
      <c r="D4690" t="inlineStr">
        <is>
          <t>VÄSTERBOTTENS LÄN</t>
        </is>
      </c>
      <c r="E4690" t="inlineStr">
        <is>
          <t>VINDELN</t>
        </is>
      </c>
      <c r="F4690" t="inlineStr">
        <is>
          <t>Holmen skog AB</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29319-2021</t>
        </is>
      </c>
      <c r="B4691" s="1" t="n">
        <v>44361</v>
      </c>
      <c r="C4691" s="1" t="n">
        <v>45357</v>
      </c>
      <c r="D4691" t="inlineStr">
        <is>
          <t>VÄSTERBOTTENS LÄN</t>
        </is>
      </c>
      <c r="E4691" t="inlineStr">
        <is>
          <t>SKELLEFTEÅ</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29278-2021</t>
        </is>
      </c>
      <c r="B4692" s="1" t="n">
        <v>44361</v>
      </c>
      <c r="C4692" s="1" t="n">
        <v>45357</v>
      </c>
      <c r="D4692" t="inlineStr">
        <is>
          <t>VÄSTERBOTTENS LÄN</t>
        </is>
      </c>
      <c r="E4692" t="inlineStr">
        <is>
          <t>LYCKSELE</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29276-2021</t>
        </is>
      </c>
      <c r="B4693" s="1" t="n">
        <v>44361</v>
      </c>
      <c r="C4693" s="1" t="n">
        <v>45357</v>
      </c>
      <c r="D4693" t="inlineStr">
        <is>
          <t>VÄSTERBOTTENS LÄN</t>
        </is>
      </c>
      <c r="E4693" t="inlineStr">
        <is>
          <t>SKELLEFTEÅ</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29347-2021</t>
        </is>
      </c>
      <c r="B4694" s="1" t="n">
        <v>44361</v>
      </c>
      <c r="C4694" s="1" t="n">
        <v>45357</v>
      </c>
      <c r="D4694" t="inlineStr">
        <is>
          <t>VÄSTERBOTTENS LÄN</t>
        </is>
      </c>
      <c r="E4694" t="inlineStr">
        <is>
          <t>VILHELMINA</t>
        </is>
      </c>
      <c r="F4694" t="inlineStr">
        <is>
          <t>Allmännings- och besparingsskogar</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29358-2021</t>
        </is>
      </c>
      <c r="B4695" s="1" t="n">
        <v>44361</v>
      </c>
      <c r="C4695" s="1" t="n">
        <v>45357</v>
      </c>
      <c r="D4695" t="inlineStr">
        <is>
          <t>VÄSTERBOTTENS LÄN</t>
        </is>
      </c>
      <c r="E4695" t="inlineStr">
        <is>
          <t>STORUMAN</t>
        </is>
      </c>
      <c r="F4695" t="inlineStr">
        <is>
          <t>Sveaskog</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29407-2021</t>
        </is>
      </c>
      <c r="B4696" s="1" t="n">
        <v>44361</v>
      </c>
      <c r="C4696" s="1" t="n">
        <v>45357</v>
      </c>
      <c r="D4696" t="inlineStr">
        <is>
          <t>VÄSTERBOTTENS LÄN</t>
        </is>
      </c>
      <c r="E4696" t="inlineStr">
        <is>
          <t>SKELLEFTEÅ</t>
        </is>
      </c>
      <c r="F4696" t="inlineStr">
        <is>
          <t>Holmen skog AB</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29332-2021</t>
        </is>
      </c>
      <c r="B4697" s="1" t="n">
        <v>44361</v>
      </c>
      <c r="C4697" s="1" t="n">
        <v>45357</v>
      </c>
      <c r="D4697" t="inlineStr">
        <is>
          <t>VÄSTERBOTTENS LÄN</t>
        </is>
      </c>
      <c r="E4697" t="inlineStr">
        <is>
          <t>VILHELMINA</t>
        </is>
      </c>
      <c r="F4697" t="inlineStr">
        <is>
          <t>Allmännings- och besparingsskogar</t>
        </is>
      </c>
      <c r="G4697" t="n">
        <v>51.8</v>
      </c>
      <c r="H4697" t="n">
        <v>0</v>
      </c>
      <c r="I4697" t="n">
        <v>0</v>
      </c>
      <c r="J4697" t="n">
        <v>0</v>
      </c>
      <c r="K4697" t="n">
        <v>0</v>
      </c>
      <c r="L4697" t="n">
        <v>0</v>
      </c>
      <c r="M4697" t="n">
        <v>0</v>
      </c>
      <c r="N4697" t="n">
        <v>0</v>
      </c>
      <c r="O4697" t="n">
        <v>0</v>
      </c>
      <c r="P4697" t="n">
        <v>0</v>
      </c>
      <c r="Q4697" t="n">
        <v>0</v>
      </c>
      <c r="R4697" s="2" t="inlineStr"/>
    </row>
    <row r="4698" ht="15" customHeight="1">
      <c r="A4698" t="inlineStr">
        <is>
          <t>A 29392-2021</t>
        </is>
      </c>
      <c r="B4698" s="1" t="n">
        <v>44361</v>
      </c>
      <c r="C4698" s="1" t="n">
        <v>45357</v>
      </c>
      <c r="D4698" t="inlineStr">
        <is>
          <t>VÄSTERBOTTENS LÄN</t>
        </is>
      </c>
      <c r="E4698" t="inlineStr">
        <is>
          <t>VILHELMINA</t>
        </is>
      </c>
      <c r="F4698" t="inlineStr">
        <is>
          <t>Allmännings- och besparingsskogar</t>
        </is>
      </c>
      <c r="G4698" t="n">
        <v>275</v>
      </c>
      <c r="H4698" t="n">
        <v>0</v>
      </c>
      <c r="I4698" t="n">
        <v>0</v>
      </c>
      <c r="J4698" t="n">
        <v>0</v>
      </c>
      <c r="K4698" t="n">
        <v>0</v>
      </c>
      <c r="L4698" t="n">
        <v>0</v>
      </c>
      <c r="M4698" t="n">
        <v>0</v>
      </c>
      <c r="N4698" t="n">
        <v>0</v>
      </c>
      <c r="O4698" t="n">
        <v>0</v>
      </c>
      <c r="P4698" t="n">
        <v>0</v>
      </c>
      <c r="Q4698" t="n">
        <v>0</v>
      </c>
      <c r="R4698" s="2" t="inlineStr"/>
    </row>
    <row r="4699" ht="15" customHeight="1">
      <c r="A4699" t="inlineStr">
        <is>
          <t>A 29534-2021</t>
        </is>
      </c>
      <c r="B4699" s="1" t="n">
        <v>44361</v>
      </c>
      <c r="C4699" s="1" t="n">
        <v>45357</v>
      </c>
      <c r="D4699" t="inlineStr">
        <is>
          <t>VÄSTERBOTTENS LÄN</t>
        </is>
      </c>
      <c r="E4699" t="inlineStr">
        <is>
          <t>UMEÅ</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29592-2021</t>
        </is>
      </c>
      <c r="B4700" s="1" t="n">
        <v>44362</v>
      </c>
      <c r="C4700" s="1" t="n">
        <v>45357</v>
      </c>
      <c r="D4700" t="inlineStr">
        <is>
          <t>VÄSTERBOTTENS LÄN</t>
        </is>
      </c>
      <c r="E4700" t="inlineStr">
        <is>
          <t>STORUMAN</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29529-2021</t>
        </is>
      </c>
      <c r="B4701" s="1" t="n">
        <v>44361</v>
      </c>
      <c r="C4701" s="1" t="n">
        <v>45357</v>
      </c>
      <c r="D4701" t="inlineStr">
        <is>
          <t>VÄSTERBOTTENS LÄN</t>
        </is>
      </c>
      <c r="E4701" t="inlineStr">
        <is>
          <t>UMEÅ</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29687-2021</t>
        </is>
      </c>
      <c r="B4702" s="1" t="n">
        <v>44362</v>
      </c>
      <c r="C4702" s="1" t="n">
        <v>45357</v>
      </c>
      <c r="D4702" t="inlineStr">
        <is>
          <t>VÄSTERBOTTENS LÄN</t>
        </is>
      </c>
      <c r="E4702" t="inlineStr">
        <is>
          <t>SKELLEFTEÅ</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29649-2021</t>
        </is>
      </c>
      <c r="B4703" s="1" t="n">
        <v>44362</v>
      </c>
      <c r="C4703" s="1" t="n">
        <v>45357</v>
      </c>
      <c r="D4703" t="inlineStr">
        <is>
          <t>VÄSTERBOTTENS LÄN</t>
        </is>
      </c>
      <c r="E4703" t="inlineStr">
        <is>
          <t>SKELLEFTEÅ</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29712-2021</t>
        </is>
      </c>
      <c r="B4704" s="1" t="n">
        <v>44362</v>
      </c>
      <c r="C4704" s="1" t="n">
        <v>45357</v>
      </c>
      <c r="D4704" t="inlineStr">
        <is>
          <t>VÄSTERBOTTENS LÄN</t>
        </is>
      </c>
      <c r="E4704" t="inlineStr">
        <is>
          <t>VÄNNÄS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29731-2021</t>
        </is>
      </c>
      <c r="B4705" s="1" t="n">
        <v>44362</v>
      </c>
      <c r="C4705" s="1" t="n">
        <v>45357</v>
      </c>
      <c r="D4705" t="inlineStr">
        <is>
          <t>VÄSTERBOTTENS LÄN</t>
        </is>
      </c>
      <c r="E4705" t="inlineStr">
        <is>
          <t>SKELLEFTEÅ</t>
        </is>
      </c>
      <c r="F4705" t="inlineStr">
        <is>
          <t>Holmen skog AB</t>
        </is>
      </c>
      <c r="G4705" t="n">
        <v>15.1</v>
      </c>
      <c r="H4705" t="n">
        <v>0</v>
      </c>
      <c r="I4705" t="n">
        <v>0</v>
      </c>
      <c r="J4705" t="n">
        <v>0</v>
      </c>
      <c r="K4705" t="n">
        <v>0</v>
      </c>
      <c r="L4705" t="n">
        <v>0</v>
      </c>
      <c r="M4705" t="n">
        <v>0</v>
      </c>
      <c r="N4705" t="n">
        <v>0</v>
      </c>
      <c r="O4705" t="n">
        <v>0</v>
      </c>
      <c r="P4705" t="n">
        <v>0</v>
      </c>
      <c r="Q4705" t="n">
        <v>0</v>
      </c>
      <c r="R4705" s="2" t="inlineStr"/>
    </row>
    <row r="4706" ht="15" customHeight="1">
      <c r="A4706" t="inlineStr">
        <is>
          <t>A 29922-2021</t>
        </is>
      </c>
      <c r="B4706" s="1" t="n">
        <v>44362</v>
      </c>
      <c r="C4706" s="1" t="n">
        <v>45357</v>
      </c>
      <c r="D4706" t="inlineStr">
        <is>
          <t>VÄSTERBOTTENS LÄN</t>
        </is>
      </c>
      <c r="E4706" t="inlineStr">
        <is>
          <t>NORSJÖ</t>
        </is>
      </c>
      <c r="F4706" t="inlineStr">
        <is>
          <t>SCA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29923-2021</t>
        </is>
      </c>
      <c r="B4707" s="1" t="n">
        <v>44362</v>
      </c>
      <c r="C4707" s="1" t="n">
        <v>45357</v>
      </c>
      <c r="D4707" t="inlineStr">
        <is>
          <t>VÄSTERBOTTENS LÄN</t>
        </is>
      </c>
      <c r="E4707" t="inlineStr">
        <is>
          <t>NORSJÖ</t>
        </is>
      </c>
      <c r="F4707" t="inlineStr">
        <is>
          <t>SCA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30086-2021</t>
        </is>
      </c>
      <c r="B4708" s="1" t="n">
        <v>44363</v>
      </c>
      <c r="C4708" s="1" t="n">
        <v>45357</v>
      </c>
      <c r="D4708" t="inlineStr">
        <is>
          <t>VÄSTERBOTTENS LÄN</t>
        </is>
      </c>
      <c r="E4708" t="inlineStr">
        <is>
          <t>SKELLEFTEÅ</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30194-2021</t>
        </is>
      </c>
      <c r="B4709" s="1" t="n">
        <v>44363</v>
      </c>
      <c r="C4709" s="1" t="n">
        <v>45357</v>
      </c>
      <c r="D4709" t="inlineStr">
        <is>
          <t>VÄSTERBOTTENS LÄN</t>
        </is>
      </c>
      <c r="E4709" t="inlineStr">
        <is>
          <t>SKELLEFTEÅ</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30344-2021</t>
        </is>
      </c>
      <c r="B4710" s="1" t="n">
        <v>44363</v>
      </c>
      <c r="C4710" s="1" t="n">
        <v>45357</v>
      </c>
      <c r="D4710" t="inlineStr">
        <is>
          <t>VÄSTERBOTTENS LÄN</t>
        </is>
      </c>
      <c r="E4710" t="inlineStr">
        <is>
          <t>NORDMALING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30413-2021</t>
        </is>
      </c>
      <c r="B4711" s="1" t="n">
        <v>44364</v>
      </c>
      <c r="C4711" s="1" t="n">
        <v>45357</v>
      </c>
      <c r="D4711" t="inlineStr">
        <is>
          <t>VÄSTERBOTTENS LÄN</t>
        </is>
      </c>
      <c r="E4711" t="inlineStr">
        <is>
          <t>SORSELE</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30449-2021</t>
        </is>
      </c>
      <c r="B4712" s="1" t="n">
        <v>44364</v>
      </c>
      <c r="C4712" s="1" t="n">
        <v>45357</v>
      </c>
      <c r="D4712" t="inlineStr">
        <is>
          <t>VÄSTERBOTTENS LÄN</t>
        </is>
      </c>
      <c r="E4712" t="inlineStr">
        <is>
          <t>SKELLEFTEÅ</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30332-2021</t>
        </is>
      </c>
      <c r="B4713" s="1" t="n">
        <v>44364</v>
      </c>
      <c r="C4713" s="1" t="n">
        <v>45357</v>
      </c>
      <c r="D4713" t="inlineStr">
        <is>
          <t>VÄSTERBOTTENS LÄN</t>
        </is>
      </c>
      <c r="E4713" t="inlineStr">
        <is>
          <t>SKELLEFTEÅ</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30437-2021</t>
        </is>
      </c>
      <c r="B4714" s="1" t="n">
        <v>44364</v>
      </c>
      <c r="C4714" s="1" t="n">
        <v>45357</v>
      </c>
      <c r="D4714" t="inlineStr">
        <is>
          <t>VÄSTERBOTTENS LÄN</t>
        </is>
      </c>
      <c r="E4714" t="inlineStr">
        <is>
          <t>STORUMAN</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30626-2021</t>
        </is>
      </c>
      <c r="B4715" s="1" t="n">
        <v>44364</v>
      </c>
      <c r="C4715" s="1" t="n">
        <v>45357</v>
      </c>
      <c r="D4715" t="inlineStr">
        <is>
          <t>VÄSTERBOTTENS LÄN</t>
        </is>
      </c>
      <c r="E4715" t="inlineStr">
        <is>
          <t>SORSELE</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30434-2021</t>
        </is>
      </c>
      <c r="B4716" s="1" t="n">
        <v>44364</v>
      </c>
      <c r="C4716" s="1" t="n">
        <v>45357</v>
      </c>
      <c r="D4716" t="inlineStr">
        <is>
          <t>VÄSTERBOTTENS LÄN</t>
        </is>
      </c>
      <c r="E4716" t="inlineStr">
        <is>
          <t>STORUMAN</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30634-2021</t>
        </is>
      </c>
      <c r="B4717" s="1" t="n">
        <v>44365</v>
      </c>
      <c r="C4717" s="1" t="n">
        <v>45357</v>
      </c>
      <c r="D4717" t="inlineStr">
        <is>
          <t>VÄSTERBOTTENS LÄN</t>
        </is>
      </c>
      <c r="E4717" t="inlineStr">
        <is>
          <t>STORUMAN</t>
        </is>
      </c>
      <c r="F4717" t="inlineStr">
        <is>
          <t>Holmen skog AB</t>
        </is>
      </c>
      <c r="G4717" t="n">
        <v>19.7</v>
      </c>
      <c r="H4717" t="n">
        <v>0</v>
      </c>
      <c r="I4717" t="n">
        <v>0</v>
      </c>
      <c r="J4717" t="n">
        <v>0</v>
      </c>
      <c r="K4717" t="n">
        <v>0</v>
      </c>
      <c r="L4717" t="n">
        <v>0</v>
      </c>
      <c r="M4717" t="n">
        <v>0</v>
      </c>
      <c r="N4717" t="n">
        <v>0</v>
      </c>
      <c r="O4717" t="n">
        <v>0</v>
      </c>
      <c r="P4717" t="n">
        <v>0</v>
      </c>
      <c r="Q4717" t="n">
        <v>0</v>
      </c>
      <c r="R4717" s="2" t="inlineStr"/>
    </row>
    <row r="4718" ht="15" customHeight="1">
      <c r="A4718" t="inlineStr">
        <is>
          <t>A 30744-2021</t>
        </is>
      </c>
      <c r="B4718" s="1" t="n">
        <v>44365</v>
      </c>
      <c r="C4718" s="1" t="n">
        <v>45357</v>
      </c>
      <c r="D4718" t="inlineStr">
        <is>
          <t>VÄSTERBOTTENS LÄN</t>
        </is>
      </c>
      <c r="E4718" t="inlineStr">
        <is>
          <t>SKELLEFTEÅ</t>
        </is>
      </c>
      <c r="G4718" t="n">
        <v>38.3</v>
      </c>
      <c r="H4718" t="n">
        <v>0</v>
      </c>
      <c r="I4718" t="n">
        <v>0</v>
      </c>
      <c r="J4718" t="n">
        <v>0</v>
      </c>
      <c r="K4718" t="n">
        <v>0</v>
      </c>
      <c r="L4718" t="n">
        <v>0</v>
      </c>
      <c r="M4718" t="n">
        <v>0</v>
      </c>
      <c r="N4718" t="n">
        <v>0</v>
      </c>
      <c r="O4718" t="n">
        <v>0</v>
      </c>
      <c r="P4718" t="n">
        <v>0</v>
      </c>
      <c r="Q4718" t="n">
        <v>0</v>
      </c>
      <c r="R4718" s="2" t="inlineStr"/>
    </row>
    <row r="4719" ht="15" customHeight="1">
      <c r="A4719" t="inlineStr">
        <is>
          <t>A 30719-2021</t>
        </is>
      </c>
      <c r="B4719" s="1" t="n">
        <v>44365</v>
      </c>
      <c r="C4719" s="1" t="n">
        <v>45357</v>
      </c>
      <c r="D4719" t="inlineStr">
        <is>
          <t>VÄSTERBOTTENS LÄN</t>
        </is>
      </c>
      <c r="E4719" t="inlineStr">
        <is>
          <t>SKELLEFTEÅ</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30683-2021</t>
        </is>
      </c>
      <c r="B4720" s="1" t="n">
        <v>44365</v>
      </c>
      <c r="C4720" s="1" t="n">
        <v>45357</v>
      </c>
      <c r="D4720" t="inlineStr">
        <is>
          <t>VÄSTERBOTTENS LÄN</t>
        </is>
      </c>
      <c r="E4720" t="inlineStr">
        <is>
          <t>MALÅ</t>
        </is>
      </c>
      <c r="F4720" t="inlineStr">
        <is>
          <t>Sveaskog</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30704-2021</t>
        </is>
      </c>
      <c r="B4721" s="1" t="n">
        <v>44365</v>
      </c>
      <c r="C4721" s="1" t="n">
        <v>45357</v>
      </c>
      <c r="D4721" t="inlineStr">
        <is>
          <t>VÄSTERBOTTENS LÄN</t>
        </is>
      </c>
      <c r="E4721" t="inlineStr">
        <is>
          <t>SKELLEFTEÅ</t>
        </is>
      </c>
      <c r="G4721" t="n">
        <v>20.2</v>
      </c>
      <c r="H4721" t="n">
        <v>0</v>
      </c>
      <c r="I4721" t="n">
        <v>0</v>
      </c>
      <c r="J4721" t="n">
        <v>0</v>
      </c>
      <c r="K4721" t="n">
        <v>0</v>
      </c>
      <c r="L4721" t="n">
        <v>0</v>
      </c>
      <c r="M4721" t="n">
        <v>0</v>
      </c>
      <c r="N4721" t="n">
        <v>0</v>
      </c>
      <c r="O4721" t="n">
        <v>0</v>
      </c>
      <c r="P4721" t="n">
        <v>0</v>
      </c>
      <c r="Q4721" t="n">
        <v>0</v>
      </c>
      <c r="R4721" s="2" t="inlineStr"/>
    </row>
    <row r="4722" ht="15" customHeight="1">
      <c r="A4722" t="inlineStr">
        <is>
          <t>A 30754-2021</t>
        </is>
      </c>
      <c r="B4722" s="1" t="n">
        <v>44365</v>
      </c>
      <c r="C4722" s="1" t="n">
        <v>45357</v>
      </c>
      <c r="D4722" t="inlineStr">
        <is>
          <t>VÄSTERBOTTENS LÄN</t>
        </is>
      </c>
      <c r="E4722" t="inlineStr">
        <is>
          <t>SKELLEFTEÅ</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30870-2021</t>
        </is>
      </c>
      <c r="B4723" s="1" t="n">
        <v>44365</v>
      </c>
      <c r="C4723" s="1" t="n">
        <v>45357</v>
      </c>
      <c r="D4723" t="inlineStr">
        <is>
          <t>VÄSTERBOTTENS LÄN</t>
        </is>
      </c>
      <c r="E4723" t="inlineStr">
        <is>
          <t>SKELLEFTEÅ</t>
        </is>
      </c>
      <c r="F4723" t="inlineStr">
        <is>
          <t>Holmen skog AB</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30919-2021</t>
        </is>
      </c>
      <c r="B4724" s="1" t="n">
        <v>44365</v>
      </c>
      <c r="C4724" s="1" t="n">
        <v>45357</v>
      </c>
      <c r="D4724" t="inlineStr">
        <is>
          <t>VÄSTERBOTTENS LÄN</t>
        </is>
      </c>
      <c r="E4724" t="inlineStr">
        <is>
          <t>LYCKSELE</t>
        </is>
      </c>
      <c r="F4724" t="inlineStr">
        <is>
          <t>Sveaskog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30959-2021</t>
        </is>
      </c>
      <c r="B4725" s="1" t="n">
        <v>44365</v>
      </c>
      <c r="C4725" s="1" t="n">
        <v>45357</v>
      </c>
      <c r="D4725" t="inlineStr">
        <is>
          <t>VÄSTERBOTTENS LÄN</t>
        </is>
      </c>
      <c r="E4725" t="inlineStr">
        <is>
          <t>SKELLEFTEÅ</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30990-2021</t>
        </is>
      </c>
      <c r="B4726" s="1" t="n">
        <v>44365</v>
      </c>
      <c r="C4726" s="1" t="n">
        <v>45357</v>
      </c>
      <c r="D4726" t="inlineStr">
        <is>
          <t>VÄSTERBOTTENS LÄN</t>
        </is>
      </c>
      <c r="E4726" t="inlineStr">
        <is>
          <t>VINDELN</t>
        </is>
      </c>
      <c r="F4726" t="inlineStr">
        <is>
          <t>SCA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31185-2021</t>
        </is>
      </c>
      <c r="B4727" s="1" t="n">
        <v>44367</v>
      </c>
      <c r="C4727" s="1" t="n">
        <v>45357</v>
      </c>
      <c r="D4727" t="inlineStr">
        <is>
          <t>VÄSTERBOTTENS LÄN</t>
        </is>
      </c>
      <c r="E4727" t="inlineStr">
        <is>
          <t>SKELLEFTEÅ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31186-2021</t>
        </is>
      </c>
      <c r="B4728" s="1" t="n">
        <v>44368</v>
      </c>
      <c r="C4728" s="1" t="n">
        <v>45357</v>
      </c>
      <c r="D4728" t="inlineStr">
        <is>
          <t>VÄSTERBOTTENS LÄN</t>
        </is>
      </c>
      <c r="E4728" t="inlineStr">
        <is>
          <t>SKELLEFTEÅ</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31105-2021</t>
        </is>
      </c>
      <c r="B4729" s="1" t="n">
        <v>44368</v>
      </c>
      <c r="C4729" s="1" t="n">
        <v>45357</v>
      </c>
      <c r="D4729" t="inlineStr">
        <is>
          <t>VÄSTERBOTTENS LÄN</t>
        </is>
      </c>
      <c r="E4729" t="inlineStr">
        <is>
          <t>ÅSELE</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31163-2021</t>
        </is>
      </c>
      <c r="B4730" s="1" t="n">
        <v>44368</v>
      </c>
      <c r="C4730" s="1" t="n">
        <v>45357</v>
      </c>
      <c r="D4730" t="inlineStr">
        <is>
          <t>VÄSTERBOTTENS LÄN</t>
        </is>
      </c>
      <c r="E4730" t="inlineStr">
        <is>
          <t>VINDELN</t>
        </is>
      </c>
      <c r="F4730" t="inlineStr">
        <is>
          <t>Holmen skog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31181-2021</t>
        </is>
      </c>
      <c r="B4731" s="1" t="n">
        <v>44368</v>
      </c>
      <c r="C4731" s="1" t="n">
        <v>45357</v>
      </c>
      <c r="D4731" t="inlineStr">
        <is>
          <t>VÄSTERBOTTENS LÄN</t>
        </is>
      </c>
      <c r="E4731" t="inlineStr">
        <is>
          <t>SKELLEFTEÅ</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31197-2021</t>
        </is>
      </c>
      <c r="B4732" s="1" t="n">
        <v>44368</v>
      </c>
      <c r="C4732" s="1" t="n">
        <v>45357</v>
      </c>
      <c r="D4732" t="inlineStr">
        <is>
          <t>VÄSTERBOTTENS LÄN</t>
        </is>
      </c>
      <c r="E4732" t="inlineStr">
        <is>
          <t>SKELLEFTEÅ</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31323-2021</t>
        </is>
      </c>
      <c r="B4733" s="1" t="n">
        <v>44368</v>
      </c>
      <c r="C4733" s="1" t="n">
        <v>45357</v>
      </c>
      <c r="D4733" t="inlineStr">
        <is>
          <t>VÄSTERBOTTENS LÄN</t>
        </is>
      </c>
      <c r="E4733" t="inlineStr">
        <is>
          <t>VINDELN</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31251-2021</t>
        </is>
      </c>
      <c r="B4734" s="1" t="n">
        <v>44368</v>
      </c>
      <c r="C4734" s="1" t="n">
        <v>45357</v>
      </c>
      <c r="D4734" t="inlineStr">
        <is>
          <t>VÄSTERBOTTENS LÄN</t>
        </is>
      </c>
      <c r="E4734" t="inlineStr">
        <is>
          <t>SKELLEFTEÅ</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31355-2021</t>
        </is>
      </c>
      <c r="B4735" s="1" t="n">
        <v>44369</v>
      </c>
      <c r="C4735" s="1" t="n">
        <v>45357</v>
      </c>
      <c r="D4735" t="inlineStr">
        <is>
          <t>VÄSTERBOTTENS LÄN</t>
        </is>
      </c>
      <c r="E4735" t="inlineStr">
        <is>
          <t>NORDMALING</t>
        </is>
      </c>
      <c r="F4735" t="inlineStr">
        <is>
          <t>SCA</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31419-2021</t>
        </is>
      </c>
      <c r="B4736" s="1" t="n">
        <v>44368</v>
      </c>
      <c r="C4736" s="1" t="n">
        <v>45357</v>
      </c>
      <c r="D4736" t="inlineStr">
        <is>
          <t>VÄSTERBOTTENS LÄN</t>
        </is>
      </c>
      <c r="E4736" t="inlineStr">
        <is>
          <t>SKELLEFTEÅ</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31414-2021</t>
        </is>
      </c>
      <c r="B4737" s="1" t="n">
        <v>44368</v>
      </c>
      <c r="C4737" s="1" t="n">
        <v>45357</v>
      </c>
      <c r="D4737" t="inlineStr">
        <is>
          <t>VÄSTERBOTTENS LÄN</t>
        </is>
      </c>
      <c r="E4737" t="inlineStr">
        <is>
          <t>NORSJÖ</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31434-2021</t>
        </is>
      </c>
      <c r="B4738" s="1" t="n">
        <v>44369</v>
      </c>
      <c r="C4738" s="1" t="n">
        <v>45357</v>
      </c>
      <c r="D4738" t="inlineStr">
        <is>
          <t>VÄSTERBOTTENS LÄN</t>
        </is>
      </c>
      <c r="E4738" t="inlineStr">
        <is>
          <t>NORDMALING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31466-2021</t>
        </is>
      </c>
      <c r="B4739" s="1" t="n">
        <v>44369</v>
      </c>
      <c r="C4739" s="1" t="n">
        <v>45357</v>
      </c>
      <c r="D4739" t="inlineStr">
        <is>
          <t>VÄSTERBOTTENS LÄN</t>
        </is>
      </c>
      <c r="E4739" t="inlineStr">
        <is>
          <t>LYCKSELE</t>
        </is>
      </c>
      <c r="F4739" t="inlineStr">
        <is>
          <t>Sveaskog</t>
        </is>
      </c>
      <c r="G4739" t="n">
        <v>18.3</v>
      </c>
      <c r="H4739" t="n">
        <v>0</v>
      </c>
      <c r="I4739" t="n">
        <v>0</v>
      </c>
      <c r="J4739" t="n">
        <v>0</v>
      </c>
      <c r="K4739" t="n">
        <v>0</v>
      </c>
      <c r="L4739" t="n">
        <v>0</v>
      </c>
      <c r="M4739" t="n">
        <v>0</v>
      </c>
      <c r="N4739" t="n">
        <v>0</v>
      </c>
      <c r="O4739" t="n">
        <v>0</v>
      </c>
      <c r="P4739" t="n">
        <v>0</v>
      </c>
      <c r="Q4739" t="n">
        <v>0</v>
      </c>
      <c r="R4739" s="2" t="inlineStr"/>
    </row>
    <row r="4740" ht="15" customHeight="1">
      <c r="A4740" t="inlineStr">
        <is>
          <t>A 31395-2021</t>
        </is>
      </c>
      <c r="B4740" s="1" t="n">
        <v>44369</v>
      </c>
      <c r="C4740" s="1" t="n">
        <v>45357</v>
      </c>
      <c r="D4740" t="inlineStr">
        <is>
          <t>VÄSTERBOTTENS LÄN</t>
        </is>
      </c>
      <c r="E4740" t="inlineStr">
        <is>
          <t>SKELLEFTEÅ</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31722-2021</t>
        </is>
      </c>
      <c r="B4741" s="1" t="n">
        <v>44370</v>
      </c>
      <c r="C4741" s="1" t="n">
        <v>45357</v>
      </c>
      <c r="D4741" t="inlineStr">
        <is>
          <t>VÄSTERBOTTENS LÄN</t>
        </is>
      </c>
      <c r="E4741" t="inlineStr">
        <is>
          <t>VILHELMINA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31766-2021</t>
        </is>
      </c>
      <c r="B4742" s="1" t="n">
        <v>44369</v>
      </c>
      <c r="C4742" s="1" t="n">
        <v>45357</v>
      </c>
      <c r="D4742" t="inlineStr">
        <is>
          <t>VÄSTERBOTTENS LÄN</t>
        </is>
      </c>
      <c r="E4742" t="inlineStr">
        <is>
          <t>SKELLEFTEÅ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32033-2021</t>
        </is>
      </c>
      <c r="B4743" s="1" t="n">
        <v>44370</v>
      </c>
      <c r="C4743" s="1" t="n">
        <v>45357</v>
      </c>
      <c r="D4743" t="inlineStr">
        <is>
          <t>VÄSTERBOTTENS LÄN</t>
        </is>
      </c>
      <c r="E4743" t="inlineStr">
        <is>
          <t>NORSJÖ</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32006-2021</t>
        </is>
      </c>
      <c r="B4744" s="1" t="n">
        <v>44370</v>
      </c>
      <c r="C4744" s="1" t="n">
        <v>45357</v>
      </c>
      <c r="D4744" t="inlineStr">
        <is>
          <t>VÄSTERBOTTENS LÄN</t>
        </is>
      </c>
      <c r="E4744" t="inlineStr">
        <is>
          <t>NORSJÖ</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32035-2021</t>
        </is>
      </c>
      <c r="B4745" s="1" t="n">
        <v>44370</v>
      </c>
      <c r="C4745" s="1" t="n">
        <v>45357</v>
      </c>
      <c r="D4745" t="inlineStr">
        <is>
          <t>VÄSTERBOTTENS LÄN</t>
        </is>
      </c>
      <c r="E4745" t="inlineStr">
        <is>
          <t>BJURHOLM</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32083-2021</t>
        </is>
      </c>
      <c r="B4746" s="1" t="n">
        <v>44371</v>
      </c>
      <c r="C4746" s="1" t="n">
        <v>45357</v>
      </c>
      <c r="D4746" t="inlineStr">
        <is>
          <t>VÄSTERBOTTENS LÄN</t>
        </is>
      </c>
      <c r="E4746" t="inlineStr">
        <is>
          <t>NORSJÖ</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32081-2021</t>
        </is>
      </c>
      <c r="B4747" s="1" t="n">
        <v>44370</v>
      </c>
      <c r="C4747" s="1" t="n">
        <v>45357</v>
      </c>
      <c r="D4747" t="inlineStr">
        <is>
          <t>VÄSTERBOTTENS LÄN</t>
        </is>
      </c>
      <c r="E4747" t="inlineStr">
        <is>
          <t>BJURHOLM</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32114-2021</t>
        </is>
      </c>
      <c r="B4748" s="1" t="n">
        <v>44371</v>
      </c>
      <c r="C4748" s="1" t="n">
        <v>45357</v>
      </c>
      <c r="D4748" t="inlineStr">
        <is>
          <t>VÄSTERBOTTENS LÄN</t>
        </is>
      </c>
      <c r="E4748" t="inlineStr">
        <is>
          <t>SKELLEFTEÅ</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32144-2021</t>
        </is>
      </c>
      <c r="B4749" s="1" t="n">
        <v>44371</v>
      </c>
      <c r="C4749" s="1" t="n">
        <v>45357</v>
      </c>
      <c r="D4749" t="inlineStr">
        <is>
          <t>VÄSTERBOTTENS LÄN</t>
        </is>
      </c>
      <c r="E4749" t="inlineStr">
        <is>
          <t>VINDELN</t>
        </is>
      </c>
      <c r="F4749" t="inlineStr">
        <is>
          <t>Sveaskog</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32178-2021</t>
        </is>
      </c>
      <c r="B4750" s="1" t="n">
        <v>44371</v>
      </c>
      <c r="C4750" s="1" t="n">
        <v>45357</v>
      </c>
      <c r="D4750" t="inlineStr">
        <is>
          <t>VÄSTERBOTTENS LÄN</t>
        </is>
      </c>
      <c r="E4750" t="inlineStr">
        <is>
          <t>ÅSELE</t>
        </is>
      </c>
      <c r="F4750" t="inlineStr">
        <is>
          <t>Holmen skog AB</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32122-2021</t>
        </is>
      </c>
      <c r="B4751" s="1" t="n">
        <v>44371</v>
      </c>
      <c r="C4751" s="1" t="n">
        <v>45357</v>
      </c>
      <c r="D4751" t="inlineStr">
        <is>
          <t>VÄSTERBOTTENS LÄN</t>
        </is>
      </c>
      <c r="E4751" t="inlineStr">
        <is>
          <t>VINDELN</t>
        </is>
      </c>
      <c r="F4751" t="inlineStr">
        <is>
          <t>Sveaskog</t>
        </is>
      </c>
      <c r="G4751" t="n">
        <v>9.6</v>
      </c>
      <c r="H4751" t="n">
        <v>0</v>
      </c>
      <c r="I4751" t="n">
        <v>0</v>
      </c>
      <c r="J4751" t="n">
        <v>0</v>
      </c>
      <c r="K4751" t="n">
        <v>0</v>
      </c>
      <c r="L4751" t="n">
        <v>0</v>
      </c>
      <c r="M4751" t="n">
        <v>0</v>
      </c>
      <c r="N4751" t="n">
        <v>0</v>
      </c>
      <c r="O4751" t="n">
        <v>0</v>
      </c>
      <c r="P4751" t="n">
        <v>0</v>
      </c>
      <c r="Q4751" t="n">
        <v>0</v>
      </c>
      <c r="R4751" s="2" t="inlineStr"/>
    </row>
    <row r="4752" ht="15" customHeight="1">
      <c r="A4752" t="inlineStr">
        <is>
          <t>A 32319-2021</t>
        </is>
      </c>
      <c r="B4752" s="1" t="n">
        <v>44371</v>
      </c>
      <c r="C4752" s="1" t="n">
        <v>45357</v>
      </c>
      <c r="D4752" t="inlineStr">
        <is>
          <t>VÄSTERBOTTENS LÄN</t>
        </is>
      </c>
      <c r="E4752" t="inlineStr">
        <is>
          <t>NORDMALING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32439-2021</t>
        </is>
      </c>
      <c r="B4753" s="1" t="n">
        <v>44371</v>
      </c>
      <c r="C4753" s="1" t="n">
        <v>45357</v>
      </c>
      <c r="D4753" t="inlineStr">
        <is>
          <t>VÄSTERBOTTENS LÄN</t>
        </is>
      </c>
      <c r="E4753" t="inlineStr">
        <is>
          <t>SKELLEFTEÅ</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32438-2021</t>
        </is>
      </c>
      <c r="B4754" s="1" t="n">
        <v>44371</v>
      </c>
      <c r="C4754" s="1" t="n">
        <v>45357</v>
      </c>
      <c r="D4754" t="inlineStr">
        <is>
          <t>VÄSTERBOTTENS LÄN</t>
        </is>
      </c>
      <c r="E4754" t="inlineStr">
        <is>
          <t>SKELLEFTEÅ</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32451-2021</t>
        </is>
      </c>
      <c r="B4755" s="1" t="n">
        <v>44371</v>
      </c>
      <c r="C4755" s="1" t="n">
        <v>45357</v>
      </c>
      <c r="D4755" t="inlineStr">
        <is>
          <t>VÄSTERBOTTENS LÄN</t>
        </is>
      </c>
      <c r="E4755" t="inlineStr">
        <is>
          <t>NORSJÖ</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32665-2021</t>
        </is>
      </c>
      <c r="B4756" s="1" t="n">
        <v>44371</v>
      </c>
      <c r="C4756" s="1" t="n">
        <v>45357</v>
      </c>
      <c r="D4756" t="inlineStr">
        <is>
          <t>VÄSTERBOTTENS LÄN</t>
        </is>
      </c>
      <c r="E4756" t="inlineStr">
        <is>
          <t>VILHELMINA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32429-2021</t>
        </is>
      </c>
      <c r="B4757" s="1" t="n">
        <v>44371</v>
      </c>
      <c r="C4757" s="1" t="n">
        <v>45357</v>
      </c>
      <c r="D4757" t="inlineStr">
        <is>
          <t>VÄSTERBOTTENS LÄN</t>
        </is>
      </c>
      <c r="E4757" t="inlineStr">
        <is>
          <t>NORSJÖ</t>
        </is>
      </c>
      <c r="F4757" t="inlineStr">
        <is>
          <t>Holmen skog AB</t>
        </is>
      </c>
      <c r="G4757" t="n">
        <v>13.9</v>
      </c>
      <c r="H4757" t="n">
        <v>0</v>
      </c>
      <c r="I4757" t="n">
        <v>0</v>
      </c>
      <c r="J4757" t="n">
        <v>0</v>
      </c>
      <c r="K4757" t="n">
        <v>0</v>
      </c>
      <c r="L4757" t="n">
        <v>0</v>
      </c>
      <c r="M4757" t="n">
        <v>0</v>
      </c>
      <c r="N4757" t="n">
        <v>0</v>
      </c>
      <c r="O4757" t="n">
        <v>0</v>
      </c>
      <c r="P4757" t="n">
        <v>0</v>
      </c>
      <c r="Q4757" t="n">
        <v>0</v>
      </c>
      <c r="R4757" s="2" t="inlineStr"/>
    </row>
    <row r="4758" ht="15" customHeight="1">
      <c r="A4758" t="inlineStr">
        <is>
          <t>A 32616-2021</t>
        </is>
      </c>
      <c r="B4758" s="1" t="n">
        <v>44371</v>
      </c>
      <c r="C4758" s="1" t="n">
        <v>45357</v>
      </c>
      <c r="D4758" t="inlineStr">
        <is>
          <t>VÄSTERBOTTENS LÄN</t>
        </is>
      </c>
      <c r="E4758" t="inlineStr">
        <is>
          <t>SKELLEFTEÅ</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32672-2021</t>
        </is>
      </c>
      <c r="B4759" s="1" t="n">
        <v>44371</v>
      </c>
      <c r="C4759" s="1" t="n">
        <v>45357</v>
      </c>
      <c r="D4759" t="inlineStr">
        <is>
          <t>VÄSTERBOTTENS LÄN</t>
        </is>
      </c>
      <c r="E4759" t="inlineStr">
        <is>
          <t>VILHELMINA</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32658-2021</t>
        </is>
      </c>
      <c r="B4760" s="1" t="n">
        <v>44371</v>
      </c>
      <c r="C4760" s="1" t="n">
        <v>45357</v>
      </c>
      <c r="D4760" t="inlineStr">
        <is>
          <t>VÄSTERBOTTENS LÄN</t>
        </is>
      </c>
      <c r="E4760" t="inlineStr">
        <is>
          <t>VILHELMINA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32655-2021</t>
        </is>
      </c>
      <c r="B4761" s="1" t="n">
        <v>44371</v>
      </c>
      <c r="C4761" s="1" t="n">
        <v>45357</v>
      </c>
      <c r="D4761" t="inlineStr">
        <is>
          <t>VÄSTERBOTTENS LÄN</t>
        </is>
      </c>
      <c r="E4761" t="inlineStr">
        <is>
          <t>VILHELMINA</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32585-2021</t>
        </is>
      </c>
      <c r="B4762" s="1" t="n">
        <v>44375</v>
      </c>
      <c r="C4762" s="1" t="n">
        <v>45357</v>
      </c>
      <c r="D4762" t="inlineStr">
        <is>
          <t>VÄSTERBOTTENS LÄN</t>
        </is>
      </c>
      <c r="E4762" t="inlineStr">
        <is>
          <t>SKELLEFTEÅ</t>
        </is>
      </c>
      <c r="F4762" t="inlineStr">
        <is>
          <t>Holmen skog AB</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32661-2021</t>
        </is>
      </c>
      <c r="B4763" s="1" t="n">
        <v>44375</v>
      </c>
      <c r="C4763" s="1" t="n">
        <v>45357</v>
      </c>
      <c r="D4763" t="inlineStr">
        <is>
          <t>VÄSTERBOTTENS LÄN</t>
        </is>
      </c>
      <c r="E4763" t="inlineStr">
        <is>
          <t>NORSJÖ</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32739-2021</t>
        </is>
      </c>
      <c r="B4764" s="1" t="n">
        <v>44375</v>
      </c>
      <c r="C4764" s="1" t="n">
        <v>45357</v>
      </c>
      <c r="D4764" t="inlineStr">
        <is>
          <t>VÄSTERBOTTENS LÄN</t>
        </is>
      </c>
      <c r="E4764" t="inlineStr">
        <is>
          <t>VÄNNÄS</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32917-2021</t>
        </is>
      </c>
      <c r="B4765" s="1" t="n">
        <v>44375</v>
      </c>
      <c r="C4765" s="1" t="n">
        <v>45357</v>
      </c>
      <c r="D4765" t="inlineStr">
        <is>
          <t>VÄSTERBOTTENS LÄN</t>
        </is>
      </c>
      <c r="E4765" t="inlineStr">
        <is>
          <t>SKELLEFTEÅ</t>
        </is>
      </c>
      <c r="F4765" t="inlineStr">
        <is>
          <t>SCA</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32934-2021</t>
        </is>
      </c>
      <c r="B4766" s="1" t="n">
        <v>44375</v>
      </c>
      <c r="C4766" s="1" t="n">
        <v>45357</v>
      </c>
      <c r="D4766" t="inlineStr">
        <is>
          <t>VÄSTERBOTTENS LÄN</t>
        </is>
      </c>
      <c r="E4766" t="inlineStr">
        <is>
          <t>BJURHOLM</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32969-2021</t>
        </is>
      </c>
      <c r="B4767" s="1" t="n">
        <v>44376</v>
      </c>
      <c r="C4767" s="1" t="n">
        <v>45357</v>
      </c>
      <c r="D4767" t="inlineStr">
        <is>
          <t>VÄSTERBOTTENS LÄN</t>
        </is>
      </c>
      <c r="E4767" t="inlineStr">
        <is>
          <t>VINDELN</t>
        </is>
      </c>
      <c r="G4767" t="n">
        <v>14.4</v>
      </c>
      <c r="H4767" t="n">
        <v>0</v>
      </c>
      <c r="I4767" t="n">
        <v>0</v>
      </c>
      <c r="J4767" t="n">
        <v>0</v>
      </c>
      <c r="K4767" t="n">
        <v>0</v>
      </c>
      <c r="L4767" t="n">
        <v>0</v>
      </c>
      <c r="M4767" t="n">
        <v>0</v>
      </c>
      <c r="N4767" t="n">
        <v>0</v>
      </c>
      <c r="O4767" t="n">
        <v>0</v>
      </c>
      <c r="P4767" t="n">
        <v>0</v>
      </c>
      <c r="Q4767" t="n">
        <v>0</v>
      </c>
      <c r="R4767" s="2" t="inlineStr"/>
    </row>
    <row r="4768" ht="15" customHeight="1">
      <c r="A4768" t="inlineStr">
        <is>
          <t>A 32964-2021</t>
        </is>
      </c>
      <c r="B4768" s="1" t="n">
        <v>44376</v>
      </c>
      <c r="C4768" s="1" t="n">
        <v>45357</v>
      </c>
      <c r="D4768" t="inlineStr">
        <is>
          <t>VÄSTERBOTTENS LÄN</t>
        </is>
      </c>
      <c r="E4768" t="inlineStr">
        <is>
          <t>SKELLEFTEÅ</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33095-2021</t>
        </is>
      </c>
      <c r="B4769" s="1" t="n">
        <v>44376</v>
      </c>
      <c r="C4769" s="1" t="n">
        <v>45357</v>
      </c>
      <c r="D4769" t="inlineStr">
        <is>
          <t>VÄSTERBOTTENS LÄN</t>
        </is>
      </c>
      <c r="E4769" t="inlineStr">
        <is>
          <t>UMEÅ</t>
        </is>
      </c>
      <c r="F4769" t="inlineStr">
        <is>
          <t>Holmen skog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33159-2021</t>
        </is>
      </c>
      <c r="B4770" s="1" t="n">
        <v>44376</v>
      </c>
      <c r="C4770" s="1" t="n">
        <v>45357</v>
      </c>
      <c r="D4770" t="inlineStr">
        <is>
          <t>VÄSTERBOTTENS LÄN</t>
        </is>
      </c>
      <c r="E4770" t="inlineStr">
        <is>
          <t>UMEÅ</t>
        </is>
      </c>
      <c r="F4770" t="inlineStr">
        <is>
          <t>Holmen skog AB</t>
        </is>
      </c>
      <c r="G4770" t="n">
        <v>18.4</v>
      </c>
      <c r="H4770" t="n">
        <v>0</v>
      </c>
      <c r="I4770" t="n">
        <v>0</v>
      </c>
      <c r="J4770" t="n">
        <v>0</v>
      </c>
      <c r="K4770" t="n">
        <v>0</v>
      </c>
      <c r="L4770" t="n">
        <v>0</v>
      </c>
      <c r="M4770" t="n">
        <v>0</v>
      </c>
      <c r="N4770" t="n">
        <v>0</v>
      </c>
      <c r="O4770" t="n">
        <v>0</v>
      </c>
      <c r="P4770" t="n">
        <v>0</v>
      </c>
      <c r="Q4770" t="n">
        <v>0</v>
      </c>
      <c r="R4770" s="2" t="inlineStr"/>
    </row>
    <row r="4771" ht="15" customHeight="1">
      <c r="A4771" t="inlineStr">
        <is>
          <t>A 33202-2021</t>
        </is>
      </c>
      <c r="B4771" s="1" t="n">
        <v>44377</v>
      </c>
      <c r="C4771" s="1" t="n">
        <v>45357</v>
      </c>
      <c r="D4771" t="inlineStr">
        <is>
          <t>VÄSTERBOTTENS LÄN</t>
        </is>
      </c>
      <c r="E4771" t="inlineStr">
        <is>
          <t>ÅSELE</t>
        </is>
      </c>
      <c r="F4771" t="inlineStr">
        <is>
          <t>SCA</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33219-2021</t>
        </is>
      </c>
      <c r="B4772" s="1" t="n">
        <v>44377</v>
      </c>
      <c r="C4772" s="1" t="n">
        <v>45357</v>
      </c>
      <c r="D4772" t="inlineStr">
        <is>
          <t>VÄSTERBOTTENS LÄN</t>
        </is>
      </c>
      <c r="E4772" t="inlineStr">
        <is>
          <t>ÅSELE</t>
        </is>
      </c>
      <c r="F4772" t="inlineStr">
        <is>
          <t>SCA</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33234-2021</t>
        </is>
      </c>
      <c r="B4773" s="1" t="n">
        <v>44376</v>
      </c>
      <c r="C4773" s="1" t="n">
        <v>45357</v>
      </c>
      <c r="D4773" t="inlineStr">
        <is>
          <t>VÄSTERBOTTENS LÄN</t>
        </is>
      </c>
      <c r="E4773" t="inlineStr">
        <is>
          <t>SORSELE</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33218-2021</t>
        </is>
      </c>
      <c r="B4774" s="1" t="n">
        <v>44377</v>
      </c>
      <c r="C4774" s="1" t="n">
        <v>45357</v>
      </c>
      <c r="D4774" t="inlineStr">
        <is>
          <t>VÄSTERBOTTENS LÄN</t>
        </is>
      </c>
      <c r="E4774" t="inlineStr">
        <is>
          <t>DOROTEA</t>
        </is>
      </c>
      <c r="F4774" t="inlineStr">
        <is>
          <t>SCA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33161-2021</t>
        </is>
      </c>
      <c r="B4775" s="1" t="n">
        <v>44376</v>
      </c>
      <c r="C4775" s="1" t="n">
        <v>45357</v>
      </c>
      <c r="D4775" t="inlineStr">
        <is>
          <t>VÄSTERBOTTENS LÄN</t>
        </is>
      </c>
      <c r="E4775" t="inlineStr">
        <is>
          <t>LYCKSELE</t>
        </is>
      </c>
      <c r="F4775" t="inlineStr">
        <is>
          <t>Holmen skog AB</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33204-2021</t>
        </is>
      </c>
      <c r="B4776" s="1" t="n">
        <v>44377</v>
      </c>
      <c r="C4776" s="1" t="n">
        <v>45357</v>
      </c>
      <c r="D4776" t="inlineStr">
        <is>
          <t>VÄSTERBOTTENS LÄN</t>
        </is>
      </c>
      <c r="E4776" t="inlineStr">
        <is>
          <t>ÅSELE</t>
        </is>
      </c>
      <c r="F4776" t="inlineStr">
        <is>
          <t>SCA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33220-2021</t>
        </is>
      </c>
      <c r="B4777" s="1" t="n">
        <v>44377</v>
      </c>
      <c r="C4777" s="1" t="n">
        <v>45357</v>
      </c>
      <c r="D4777" t="inlineStr">
        <is>
          <t>VÄSTERBOTTENS LÄN</t>
        </is>
      </c>
      <c r="E4777" t="inlineStr">
        <is>
          <t>ÅSELE</t>
        </is>
      </c>
      <c r="F4777" t="inlineStr">
        <is>
          <t>SCA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33236-2021</t>
        </is>
      </c>
      <c r="B4778" s="1" t="n">
        <v>44376</v>
      </c>
      <c r="C4778" s="1" t="n">
        <v>45357</v>
      </c>
      <c r="D4778" t="inlineStr">
        <is>
          <t>VÄSTERBOTTENS LÄN</t>
        </is>
      </c>
      <c r="E4778" t="inlineStr">
        <is>
          <t>SKELLEFTEÅ</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33249-2021</t>
        </is>
      </c>
      <c r="B4779" s="1" t="n">
        <v>44376</v>
      </c>
      <c r="C4779" s="1" t="n">
        <v>45357</v>
      </c>
      <c r="D4779" t="inlineStr">
        <is>
          <t>VÄSTERBOTTENS LÄN</t>
        </is>
      </c>
      <c r="E4779" t="inlineStr">
        <is>
          <t>NORSJÖ</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33222-2021</t>
        </is>
      </c>
      <c r="B4780" s="1" t="n">
        <v>44376</v>
      </c>
      <c r="C4780" s="1" t="n">
        <v>45357</v>
      </c>
      <c r="D4780" t="inlineStr">
        <is>
          <t>VÄSTERBOTTENS LÄN</t>
        </is>
      </c>
      <c r="E4780" t="inlineStr">
        <is>
          <t>LYCKSELE</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33229-2021</t>
        </is>
      </c>
      <c r="B4781" s="1" t="n">
        <v>44376</v>
      </c>
      <c r="C4781" s="1" t="n">
        <v>45357</v>
      </c>
      <c r="D4781" t="inlineStr">
        <is>
          <t>VÄSTERBOTTENS LÄN</t>
        </is>
      </c>
      <c r="E4781" t="inlineStr">
        <is>
          <t>UMEÅ</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33165-2021</t>
        </is>
      </c>
      <c r="B4782" s="1" t="n">
        <v>44376</v>
      </c>
      <c r="C4782" s="1" t="n">
        <v>45357</v>
      </c>
      <c r="D4782" t="inlineStr">
        <is>
          <t>VÄSTERBOTTENS LÄN</t>
        </is>
      </c>
      <c r="E4782" t="inlineStr">
        <is>
          <t>LYCKSELE</t>
        </is>
      </c>
      <c r="F4782" t="inlineStr">
        <is>
          <t>Holmen skog AB</t>
        </is>
      </c>
      <c r="G4782" t="n">
        <v>19.1</v>
      </c>
      <c r="H4782" t="n">
        <v>0</v>
      </c>
      <c r="I4782" t="n">
        <v>0</v>
      </c>
      <c r="J4782" t="n">
        <v>0</v>
      </c>
      <c r="K4782" t="n">
        <v>0</v>
      </c>
      <c r="L4782" t="n">
        <v>0</v>
      </c>
      <c r="M4782" t="n">
        <v>0</v>
      </c>
      <c r="N4782" t="n">
        <v>0</v>
      </c>
      <c r="O4782" t="n">
        <v>0</v>
      </c>
      <c r="P4782" t="n">
        <v>0</v>
      </c>
      <c r="Q4782" t="n">
        <v>0</v>
      </c>
      <c r="R4782" s="2" t="inlineStr"/>
    </row>
    <row r="4783" ht="15" customHeight="1">
      <c r="A4783" t="inlineStr">
        <is>
          <t>A 33226-2021</t>
        </is>
      </c>
      <c r="B4783" s="1" t="n">
        <v>44376</v>
      </c>
      <c r="C4783" s="1" t="n">
        <v>45357</v>
      </c>
      <c r="D4783" t="inlineStr">
        <is>
          <t>VÄSTERBOTTENS LÄN</t>
        </is>
      </c>
      <c r="E4783" t="inlineStr">
        <is>
          <t>VÄNNÄS</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33261-2021</t>
        </is>
      </c>
      <c r="B4784" s="1" t="n">
        <v>44376</v>
      </c>
      <c r="C4784" s="1" t="n">
        <v>45357</v>
      </c>
      <c r="D4784" t="inlineStr">
        <is>
          <t>VÄSTERBOTTENS LÄN</t>
        </is>
      </c>
      <c r="E4784" t="inlineStr">
        <is>
          <t>NORSJÖ</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33286-2021</t>
        </is>
      </c>
      <c r="B4785" s="1" t="n">
        <v>44377</v>
      </c>
      <c r="C4785" s="1" t="n">
        <v>45357</v>
      </c>
      <c r="D4785" t="inlineStr">
        <is>
          <t>VÄSTERBOTTENS LÄN</t>
        </is>
      </c>
      <c r="E4785" t="inlineStr">
        <is>
          <t>DOROTEA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33292-2021</t>
        </is>
      </c>
      <c r="B4786" s="1" t="n">
        <v>44377</v>
      </c>
      <c r="C4786" s="1" t="n">
        <v>45357</v>
      </c>
      <c r="D4786" t="inlineStr">
        <is>
          <t>VÄSTERBOTTENS LÄN</t>
        </is>
      </c>
      <c r="E4786" t="inlineStr">
        <is>
          <t>DOROTEA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33294-2021</t>
        </is>
      </c>
      <c r="B4787" s="1" t="n">
        <v>44377</v>
      </c>
      <c r="C4787" s="1" t="n">
        <v>45357</v>
      </c>
      <c r="D4787" t="inlineStr">
        <is>
          <t>VÄSTERBOTTENS LÄN</t>
        </is>
      </c>
      <c r="E4787" t="inlineStr">
        <is>
          <t>DOROTEA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33351-2021</t>
        </is>
      </c>
      <c r="B4788" s="1" t="n">
        <v>44377</v>
      </c>
      <c r="C4788" s="1" t="n">
        <v>45357</v>
      </c>
      <c r="D4788" t="inlineStr">
        <is>
          <t>VÄSTERBOTTENS LÄN</t>
        </is>
      </c>
      <c r="E4788" t="inlineStr">
        <is>
          <t>STORUMAN</t>
        </is>
      </c>
      <c r="F4788" t="inlineStr">
        <is>
          <t>Allmännings- och besparingsskogar</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33283-2021</t>
        </is>
      </c>
      <c r="B4789" s="1" t="n">
        <v>44377</v>
      </c>
      <c r="C4789" s="1" t="n">
        <v>45357</v>
      </c>
      <c r="D4789" t="inlineStr">
        <is>
          <t>VÄSTERBOTTENS LÄN</t>
        </is>
      </c>
      <c r="E4789" t="inlineStr">
        <is>
          <t>SKELLEFTEÅ</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33284-2021</t>
        </is>
      </c>
      <c r="B4790" s="1" t="n">
        <v>44377</v>
      </c>
      <c r="C4790" s="1" t="n">
        <v>45357</v>
      </c>
      <c r="D4790" t="inlineStr">
        <is>
          <t>VÄSTERBOTTENS LÄN</t>
        </is>
      </c>
      <c r="E4790" t="inlineStr">
        <is>
          <t>SKELLEFTEÅ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33301-2021</t>
        </is>
      </c>
      <c r="B4791" s="1" t="n">
        <v>44377</v>
      </c>
      <c r="C4791" s="1" t="n">
        <v>45357</v>
      </c>
      <c r="D4791" t="inlineStr">
        <is>
          <t>VÄSTERBOTTENS LÄN</t>
        </is>
      </c>
      <c r="E4791" t="inlineStr">
        <is>
          <t>ROBERTSFORS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33379-2021</t>
        </is>
      </c>
      <c r="B4792" s="1" t="n">
        <v>44377</v>
      </c>
      <c r="C4792" s="1" t="n">
        <v>45357</v>
      </c>
      <c r="D4792" t="inlineStr">
        <is>
          <t>VÄSTERBOTTENS LÄN</t>
        </is>
      </c>
      <c r="E4792" t="inlineStr">
        <is>
          <t>ROBERTSFORS</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33395-2021</t>
        </is>
      </c>
      <c r="B4793" s="1" t="n">
        <v>44377</v>
      </c>
      <c r="C4793" s="1" t="n">
        <v>45357</v>
      </c>
      <c r="D4793" t="inlineStr">
        <is>
          <t>VÄSTERBOTTENS LÄN</t>
        </is>
      </c>
      <c r="E4793" t="inlineStr">
        <is>
          <t>SORSELE</t>
        </is>
      </c>
      <c r="G4793" t="n">
        <v>20</v>
      </c>
      <c r="H4793" t="n">
        <v>0</v>
      </c>
      <c r="I4793" t="n">
        <v>0</v>
      </c>
      <c r="J4793" t="n">
        <v>0</v>
      </c>
      <c r="K4793" t="n">
        <v>0</v>
      </c>
      <c r="L4793" t="n">
        <v>0</v>
      </c>
      <c r="M4793" t="n">
        <v>0</v>
      </c>
      <c r="N4793" t="n">
        <v>0</v>
      </c>
      <c r="O4793" t="n">
        <v>0</v>
      </c>
      <c r="P4793" t="n">
        <v>0</v>
      </c>
      <c r="Q4793" t="n">
        <v>0</v>
      </c>
      <c r="R4793" s="2" t="inlineStr"/>
    </row>
    <row r="4794" ht="15" customHeight="1">
      <c r="A4794" t="inlineStr">
        <is>
          <t>A 33341-2021</t>
        </is>
      </c>
      <c r="B4794" s="1" t="n">
        <v>44377</v>
      </c>
      <c r="C4794" s="1" t="n">
        <v>45357</v>
      </c>
      <c r="D4794" t="inlineStr">
        <is>
          <t>VÄSTERBOTTENS LÄN</t>
        </is>
      </c>
      <c r="E4794" t="inlineStr">
        <is>
          <t>STORUMAN</t>
        </is>
      </c>
      <c r="F4794" t="inlineStr">
        <is>
          <t>Allmännings- och besparingsskogar</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33381-2021</t>
        </is>
      </c>
      <c r="B4795" s="1" t="n">
        <v>44377</v>
      </c>
      <c r="C4795" s="1" t="n">
        <v>45357</v>
      </c>
      <c r="D4795" t="inlineStr">
        <is>
          <t>VÄSTERBOTTENS LÄN</t>
        </is>
      </c>
      <c r="E4795" t="inlineStr">
        <is>
          <t>NORSJÖ</t>
        </is>
      </c>
      <c r="F4795" t="inlineStr">
        <is>
          <t>Holmen skog AB</t>
        </is>
      </c>
      <c r="G4795" t="n">
        <v>16.3</v>
      </c>
      <c r="H4795" t="n">
        <v>0</v>
      </c>
      <c r="I4795" t="n">
        <v>0</v>
      </c>
      <c r="J4795" t="n">
        <v>0</v>
      </c>
      <c r="K4795" t="n">
        <v>0</v>
      </c>
      <c r="L4795" t="n">
        <v>0</v>
      </c>
      <c r="M4795" t="n">
        <v>0</v>
      </c>
      <c r="N4795" t="n">
        <v>0</v>
      </c>
      <c r="O4795" t="n">
        <v>0</v>
      </c>
      <c r="P4795" t="n">
        <v>0</v>
      </c>
      <c r="Q4795" t="n">
        <v>0</v>
      </c>
      <c r="R4795" s="2" t="inlineStr"/>
    </row>
    <row r="4796" ht="15" customHeight="1">
      <c r="A4796" t="inlineStr">
        <is>
          <t>A 33373-2021</t>
        </is>
      </c>
      <c r="B4796" s="1" t="n">
        <v>44377</v>
      </c>
      <c r="C4796" s="1" t="n">
        <v>45357</v>
      </c>
      <c r="D4796" t="inlineStr">
        <is>
          <t>VÄSTERBOTTENS LÄN</t>
        </is>
      </c>
      <c r="E4796" t="inlineStr">
        <is>
          <t>SKELLEFTEÅ</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31656-2021</t>
        </is>
      </c>
      <c r="B4797" s="1" t="n">
        <v>44377</v>
      </c>
      <c r="C4797" s="1" t="n">
        <v>45357</v>
      </c>
      <c r="D4797" t="inlineStr">
        <is>
          <t>VÄSTERBOTTENS LÄN</t>
        </is>
      </c>
      <c r="E4797" t="inlineStr">
        <is>
          <t>VILHELMINA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33473-2021</t>
        </is>
      </c>
      <c r="B4798" s="1" t="n">
        <v>44377</v>
      </c>
      <c r="C4798" s="1" t="n">
        <v>45357</v>
      </c>
      <c r="D4798" t="inlineStr">
        <is>
          <t>VÄSTERBOTTENS LÄN</t>
        </is>
      </c>
      <c r="E4798" t="inlineStr">
        <is>
          <t>SKELLEFTEÅ</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33524-2021</t>
        </is>
      </c>
      <c r="B4799" s="1" t="n">
        <v>44377</v>
      </c>
      <c r="C4799" s="1" t="n">
        <v>45357</v>
      </c>
      <c r="D4799" t="inlineStr">
        <is>
          <t>VÄSTERBOTTENS LÄN</t>
        </is>
      </c>
      <c r="E4799" t="inlineStr">
        <is>
          <t>ÅSELE</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33523-2021</t>
        </is>
      </c>
      <c r="B4800" s="1" t="n">
        <v>44377</v>
      </c>
      <c r="C4800" s="1" t="n">
        <v>45357</v>
      </c>
      <c r="D4800" t="inlineStr">
        <is>
          <t>VÄSTERBOTTENS LÄN</t>
        </is>
      </c>
      <c r="E4800" t="inlineStr">
        <is>
          <t>ÅSELE</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33520-2021</t>
        </is>
      </c>
      <c r="B4801" s="1" t="n">
        <v>44377</v>
      </c>
      <c r="C4801" s="1" t="n">
        <v>45357</v>
      </c>
      <c r="D4801" t="inlineStr">
        <is>
          <t>VÄSTERBOTTENS LÄN</t>
        </is>
      </c>
      <c r="E4801" t="inlineStr">
        <is>
          <t>SKELLEFTEÅ</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33561-2021</t>
        </is>
      </c>
      <c r="B4802" s="1" t="n">
        <v>44378</v>
      </c>
      <c r="C4802" s="1" t="n">
        <v>45357</v>
      </c>
      <c r="D4802" t="inlineStr">
        <is>
          <t>VÄSTERBOTTENS LÄN</t>
        </is>
      </c>
      <c r="E4802" t="inlineStr">
        <is>
          <t>NORDMALING</t>
        </is>
      </c>
      <c r="F4802" t="inlineStr">
        <is>
          <t>SCA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33576-2021</t>
        </is>
      </c>
      <c r="B4803" s="1" t="n">
        <v>44378</v>
      </c>
      <c r="C4803" s="1" t="n">
        <v>45357</v>
      </c>
      <c r="D4803" t="inlineStr">
        <is>
          <t>VÄSTERBOTTENS LÄN</t>
        </is>
      </c>
      <c r="E4803" t="inlineStr">
        <is>
          <t>SKELLEFTEÅ</t>
        </is>
      </c>
      <c r="F4803" t="inlineStr">
        <is>
          <t>SCA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33519-2021</t>
        </is>
      </c>
      <c r="B4804" s="1" t="n">
        <v>44377</v>
      </c>
      <c r="C4804" s="1" t="n">
        <v>45357</v>
      </c>
      <c r="D4804" t="inlineStr">
        <is>
          <t>VÄSTERBOTTENS LÄN</t>
        </is>
      </c>
      <c r="E4804" t="inlineStr">
        <is>
          <t>SKELLEFTEÅ</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33541-2021</t>
        </is>
      </c>
      <c r="B4805" s="1" t="n">
        <v>44377</v>
      </c>
      <c r="C4805" s="1" t="n">
        <v>45357</v>
      </c>
      <c r="D4805" t="inlineStr">
        <is>
          <t>VÄSTERBOTTENS LÄN</t>
        </is>
      </c>
      <c r="E4805" t="inlineStr">
        <is>
          <t>NORDMALING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33571-2021</t>
        </is>
      </c>
      <c r="B4806" s="1" t="n">
        <v>44377</v>
      </c>
      <c r="C4806" s="1" t="n">
        <v>45357</v>
      </c>
      <c r="D4806" t="inlineStr">
        <is>
          <t>VÄSTERBOTTENS LÄN</t>
        </is>
      </c>
      <c r="E4806" t="inlineStr">
        <is>
          <t>ÅSELE</t>
        </is>
      </c>
      <c r="F4806" t="inlineStr">
        <is>
          <t>SCA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33567-2021</t>
        </is>
      </c>
      <c r="B4807" s="1" t="n">
        <v>44378</v>
      </c>
      <c r="C4807" s="1" t="n">
        <v>45357</v>
      </c>
      <c r="D4807" t="inlineStr">
        <is>
          <t>VÄSTERBOTTENS LÄN</t>
        </is>
      </c>
      <c r="E4807" t="inlineStr">
        <is>
          <t>ÅSELE</t>
        </is>
      </c>
      <c r="F4807" t="inlineStr">
        <is>
          <t>SCA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33680-2021</t>
        </is>
      </c>
      <c r="B4808" s="1" t="n">
        <v>44378</v>
      </c>
      <c r="C4808" s="1" t="n">
        <v>45357</v>
      </c>
      <c r="D4808" t="inlineStr">
        <is>
          <t>VÄSTERBOTTENS LÄN</t>
        </is>
      </c>
      <c r="E4808" t="inlineStr">
        <is>
          <t>SKELLEFTEÅ</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33661-2021</t>
        </is>
      </c>
      <c r="B4809" s="1" t="n">
        <v>44378</v>
      </c>
      <c r="C4809" s="1" t="n">
        <v>45357</v>
      </c>
      <c r="D4809" t="inlineStr">
        <is>
          <t>VÄSTERBOTTENS LÄN</t>
        </is>
      </c>
      <c r="E4809" t="inlineStr">
        <is>
          <t>SKELLEFTEÅ</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33687-2021</t>
        </is>
      </c>
      <c r="B4810" s="1" t="n">
        <v>44378</v>
      </c>
      <c r="C4810" s="1" t="n">
        <v>45357</v>
      </c>
      <c r="D4810" t="inlineStr">
        <is>
          <t>VÄSTERBOTTENS LÄN</t>
        </is>
      </c>
      <c r="E4810" t="inlineStr">
        <is>
          <t>SKELLEFTEÅ</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33636-2021</t>
        </is>
      </c>
      <c r="B4811" s="1" t="n">
        <v>44378</v>
      </c>
      <c r="C4811" s="1" t="n">
        <v>45357</v>
      </c>
      <c r="D4811" t="inlineStr">
        <is>
          <t>VÄSTERBOTTENS LÄN</t>
        </is>
      </c>
      <c r="E4811" t="inlineStr">
        <is>
          <t>VILHELMINA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33753-2021</t>
        </is>
      </c>
      <c r="B4812" s="1" t="n">
        <v>44378</v>
      </c>
      <c r="C4812" s="1" t="n">
        <v>45357</v>
      </c>
      <c r="D4812" t="inlineStr">
        <is>
          <t>VÄSTERBOTTENS LÄN</t>
        </is>
      </c>
      <c r="E4812" t="inlineStr">
        <is>
          <t>UMEÅ</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33841-2021</t>
        </is>
      </c>
      <c r="B4813" s="1" t="n">
        <v>44378</v>
      </c>
      <c r="C4813" s="1" t="n">
        <v>45357</v>
      </c>
      <c r="D4813" t="inlineStr">
        <is>
          <t>VÄSTERBOTTENS LÄN</t>
        </is>
      </c>
      <c r="E4813" t="inlineStr">
        <is>
          <t>SKELLEFTEÅ</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34089-2021</t>
        </is>
      </c>
      <c r="B4814" s="1" t="n">
        <v>44379</v>
      </c>
      <c r="C4814" s="1" t="n">
        <v>45357</v>
      </c>
      <c r="D4814" t="inlineStr">
        <is>
          <t>VÄSTERBOTTENS LÄN</t>
        </is>
      </c>
      <c r="E4814" t="inlineStr">
        <is>
          <t>ÅSELE</t>
        </is>
      </c>
      <c r="F4814" t="inlineStr">
        <is>
          <t>Holmen skog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34111-2021</t>
        </is>
      </c>
      <c r="B4815" s="1" t="n">
        <v>44379</v>
      </c>
      <c r="C4815" s="1" t="n">
        <v>45357</v>
      </c>
      <c r="D4815" t="inlineStr">
        <is>
          <t>VÄSTERBOTTENS LÄN</t>
        </is>
      </c>
      <c r="E4815" t="inlineStr">
        <is>
          <t>SKELLEFTEÅ</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34121-2021</t>
        </is>
      </c>
      <c r="B4816" s="1" t="n">
        <v>44379</v>
      </c>
      <c r="C4816" s="1" t="n">
        <v>45357</v>
      </c>
      <c r="D4816" t="inlineStr">
        <is>
          <t>VÄSTERBOTTENS LÄN</t>
        </is>
      </c>
      <c r="E4816" t="inlineStr">
        <is>
          <t>UMEÅ</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34394-2021</t>
        </is>
      </c>
      <c r="B4817" s="1" t="n">
        <v>44379</v>
      </c>
      <c r="C4817" s="1" t="n">
        <v>45357</v>
      </c>
      <c r="D4817" t="inlineStr">
        <is>
          <t>VÄSTERBOTTENS LÄN</t>
        </is>
      </c>
      <c r="E4817" t="inlineStr">
        <is>
          <t>VILHELMINA</t>
        </is>
      </c>
      <c r="F4817" t="inlineStr">
        <is>
          <t>SCA</t>
        </is>
      </c>
      <c r="G4817" t="n">
        <v>11.7</v>
      </c>
      <c r="H4817" t="n">
        <v>0</v>
      </c>
      <c r="I4817" t="n">
        <v>0</v>
      </c>
      <c r="J4817" t="n">
        <v>0</v>
      </c>
      <c r="K4817" t="n">
        <v>0</v>
      </c>
      <c r="L4817" t="n">
        <v>0</v>
      </c>
      <c r="M4817" t="n">
        <v>0</v>
      </c>
      <c r="N4817" t="n">
        <v>0</v>
      </c>
      <c r="O4817" t="n">
        <v>0</v>
      </c>
      <c r="P4817" t="n">
        <v>0</v>
      </c>
      <c r="Q4817" t="n">
        <v>0</v>
      </c>
      <c r="R4817" s="2" t="inlineStr"/>
    </row>
    <row r="4818" ht="15" customHeight="1">
      <c r="A4818" t="inlineStr">
        <is>
          <t>A 34189-2021</t>
        </is>
      </c>
      <c r="B4818" s="1" t="n">
        <v>44379</v>
      </c>
      <c r="C4818" s="1" t="n">
        <v>45357</v>
      </c>
      <c r="D4818" t="inlineStr">
        <is>
          <t>VÄSTERBOTTENS LÄN</t>
        </is>
      </c>
      <c r="E4818" t="inlineStr">
        <is>
          <t>ÅSELE</t>
        </is>
      </c>
      <c r="F4818" t="inlineStr">
        <is>
          <t>Holmen skog AB</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34353-2021</t>
        </is>
      </c>
      <c r="B4819" s="1" t="n">
        <v>44379</v>
      </c>
      <c r="C4819" s="1" t="n">
        <v>45357</v>
      </c>
      <c r="D4819" t="inlineStr">
        <is>
          <t>VÄSTERBOTTENS LÄN</t>
        </is>
      </c>
      <c r="E4819" t="inlineStr">
        <is>
          <t>ROBERTSFORS</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34386-2021</t>
        </is>
      </c>
      <c r="B4820" s="1" t="n">
        <v>44379</v>
      </c>
      <c r="C4820" s="1" t="n">
        <v>45357</v>
      </c>
      <c r="D4820" t="inlineStr">
        <is>
          <t>VÄSTERBOTTENS LÄN</t>
        </is>
      </c>
      <c r="E4820" t="inlineStr">
        <is>
          <t>VINDELN</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34471-2021</t>
        </is>
      </c>
      <c r="B4821" s="1" t="n">
        <v>44381</v>
      </c>
      <c r="C4821" s="1" t="n">
        <v>45357</v>
      </c>
      <c r="D4821" t="inlineStr">
        <is>
          <t>VÄSTERBOTTENS LÄN</t>
        </is>
      </c>
      <c r="E4821" t="inlineStr">
        <is>
          <t>ÅSELE</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34470-2021</t>
        </is>
      </c>
      <c r="B4822" s="1" t="n">
        <v>44382</v>
      </c>
      <c r="C4822" s="1" t="n">
        <v>45357</v>
      </c>
      <c r="D4822" t="inlineStr">
        <is>
          <t>VÄSTERBOTTENS LÄN</t>
        </is>
      </c>
      <c r="E4822" t="inlineStr">
        <is>
          <t>ÅSELE</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34529-2021</t>
        </is>
      </c>
      <c r="B4823" s="1" t="n">
        <v>44382</v>
      </c>
      <c r="C4823" s="1" t="n">
        <v>45357</v>
      </c>
      <c r="D4823" t="inlineStr">
        <is>
          <t>VÄSTERBOTTENS LÄN</t>
        </is>
      </c>
      <c r="E4823" t="inlineStr">
        <is>
          <t>VINDELN</t>
        </is>
      </c>
      <c r="F4823" t="inlineStr">
        <is>
          <t>Sveaskog</t>
        </is>
      </c>
      <c r="G4823" t="n">
        <v>11.1</v>
      </c>
      <c r="H4823" t="n">
        <v>0</v>
      </c>
      <c r="I4823" t="n">
        <v>0</v>
      </c>
      <c r="J4823" t="n">
        <v>0</v>
      </c>
      <c r="K4823" t="n">
        <v>0</v>
      </c>
      <c r="L4823" t="n">
        <v>0</v>
      </c>
      <c r="M4823" t="n">
        <v>0</v>
      </c>
      <c r="N4823" t="n">
        <v>0</v>
      </c>
      <c r="O4823" t="n">
        <v>0</v>
      </c>
      <c r="P4823" t="n">
        <v>0</v>
      </c>
      <c r="Q4823" t="n">
        <v>0</v>
      </c>
      <c r="R4823" s="2" t="inlineStr"/>
    </row>
    <row r="4824" ht="15" customHeight="1">
      <c r="A4824" t="inlineStr">
        <is>
          <t>A 34633-2021</t>
        </is>
      </c>
      <c r="B4824" s="1" t="n">
        <v>44382</v>
      </c>
      <c r="C4824" s="1" t="n">
        <v>45357</v>
      </c>
      <c r="D4824" t="inlineStr">
        <is>
          <t>VÄSTERBOTTENS LÄN</t>
        </is>
      </c>
      <c r="E4824" t="inlineStr">
        <is>
          <t>SKELLEFTEÅ</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34488-2021</t>
        </is>
      </c>
      <c r="B4825" s="1" t="n">
        <v>44382</v>
      </c>
      <c r="C4825" s="1" t="n">
        <v>45357</v>
      </c>
      <c r="D4825" t="inlineStr">
        <is>
          <t>VÄSTERBOTTENS LÄN</t>
        </is>
      </c>
      <c r="E4825" t="inlineStr">
        <is>
          <t>UMEÅ</t>
        </is>
      </c>
      <c r="F4825" t="inlineStr">
        <is>
          <t>Holmen skog AB</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34808-2021</t>
        </is>
      </c>
      <c r="B4826" s="1" t="n">
        <v>44382</v>
      </c>
      <c r="C4826" s="1" t="n">
        <v>45357</v>
      </c>
      <c r="D4826" t="inlineStr">
        <is>
          <t>VÄSTERBOTTENS LÄN</t>
        </is>
      </c>
      <c r="E4826" t="inlineStr">
        <is>
          <t>VILHELMINA</t>
        </is>
      </c>
      <c r="F4826" t="inlineStr">
        <is>
          <t>Allmännings- och besparingsskogar</t>
        </is>
      </c>
      <c r="G4826" t="n">
        <v>20.6</v>
      </c>
      <c r="H4826" t="n">
        <v>0</v>
      </c>
      <c r="I4826" t="n">
        <v>0</v>
      </c>
      <c r="J4826" t="n">
        <v>0</v>
      </c>
      <c r="K4826" t="n">
        <v>0</v>
      </c>
      <c r="L4826" t="n">
        <v>0</v>
      </c>
      <c r="M4826" t="n">
        <v>0</v>
      </c>
      <c r="N4826" t="n">
        <v>0</v>
      </c>
      <c r="O4826" t="n">
        <v>0</v>
      </c>
      <c r="P4826" t="n">
        <v>0</v>
      </c>
      <c r="Q4826" t="n">
        <v>0</v>
      </c>
      <c r="R4826" s="2" t="inlineStr"/>
    </row>
    <row r="4827" ht="15" customHeight="1">
      <c r="A4827" t="inlineStr">
        <is>
          <t>A 34754-2021</t>
        </is>
      </c>
      <c r="B4827" s="1" t="n">
        <v>44382</v>
      </c>
      <c r="C4827" s="1" t="n">
        <v>45357</v>
      </c>
      <c r="D4827" t="inlineStr">
        <is>
          <t>VÄSTERBOTTENS LÄN</t>
        </is>
      </c>
      <c r="E4827" t="inlineStr">
        <is>
          <t>UMEÅ</t>
        </is>
      </c>
      <c r="F4827" t="inlineStr">
        <is>
          <t>Holmen skog AB</t>
        </is>
      </c>
      <c r="G4827" t="n">
        <v>12.5</v>
      </c>
      <c r="H4827" t="n">
        <v>0</v>
      </c>
      <c r="I4827" t="n">
        <v>0</v>
      </c>
      <c r="J4827" t="n">
        <v>0</v>
      </c>
      <c r="K4827" t="n">
        <v>0</v>
      </c>
      <c r="L4827" t="n">
        <v>0</v>
      </c>
      <c r="M4827" t="n">
        <v>0</v>
      </c>
      <c r="N4827" t="n">
        <v>0</v>
      </c>
      <c r="O4827" t="n">
        <v>0</v>
      </c>
      <c r="P4827" t="n">
        <v>0</v>
      </c>
      <c r="Q4827" t="n">
        <v>0</v>
      </c>
      <c r="R4827" s="2" t="inlineStr"/>
    </row>
    <row r="4828" ht="15" customHeight="1">
      <c r="A4828" t="inlineStr">
        <is>
          <t>A 34773-2021</t>
        </is>
      </c>
      <c r="B4828" s="1" t="n">
        <v>44382</v>
      </c>
      <c r="C4828" s="1" t="n">
        <v>45357</v>
      </c>
      <c r="D4828" t="inlineStr">
        <is>
          <t>VÄSTERBOTTENS LÄN</t>
        </is>
      </c>
      <c r="E4828" t="inlineStr">
        <is>
          <t>SKELLEFTEÅ</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34883-2021</t>
        </is>
      </c>
      <c r="B4829" s="1" t="n">
        <v>44382</v>
      </c>
      <c r="C4829" s="1" t="n">
        <v>45357</v>
      </c>
      <c r="D4829" t="inlineStr">
        <is>
          <t>VÄSTERBOTTENS LÄN</t>
        </is>
      </c>
      <c r="E4829" t="inlineStr">
        <is>
          <t>NORSJÖ</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34777-2021</t>
        </is>
      </c>
      <c r="B4830" s="1" t="n">
        <v>44382</v>
      </c>
      <c r="C4830" s="1" t="n">
        <v>45357</v>
      </c>
      <c r="D4830" t="inlineStr">
        <is>
          <t>VÄSTERBOTTENS LÄN</t>
        </is>
      </c>
      <c r="E4830" t="inlineStr">
        <is>
          <t>UMEÅ</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34830-2021</t>
        </is>
      </c>
      <c r="B4831" s="1" t="n">
        <v>44383</v>
      </c>
      <c r="C4831" s="1" t="n">
        <v>45357</v>
      </c>
      <c r="D4831" t="inlineStr">
        <is>
          <t>VÄSTERBOTTENS LÄN</t>
        </is>
      </c>
      <c r="E4831" t="inlineStr">
        <is>
          <t>VINDELN</t>
        </is>
      </c>
      <c r="G4831" t="n">
        <v>8.5</v>
      </c>
      <c r="H4831" t="n">
        <v>0</v>
      </c>
      <c r="I4831" t="n">
        <v>0</v>
      </c>
      <c r="J4831" t="n">
        <v>0</v>
      </c>
      <c r="K4831" t="n">
        <v>0</v>
      </c>
      <c r="L4831" t="n">
        <v>0</v>
      </c>
      <c r="M4831" t="n">
        <v>0</v>
      </c>
      <c r="N4831" t="n">
        <v>0</v>
      </c>
      <c r="O4831" t="n">
        <v>0</v>
      </c>
      <c r="P4831" t="n">
        <v>0</v>
      </c>
      <c r="Q4831" t="n">
        <v>0</v>
      </c>
      <c r="R4831" s="2" t="inlineStr"/>
    </row>
    <row r="4832" ht="15" customHeight="1">
      <c r="A4832" t="inlineStr">
        <is>
          <t>A 34900-2021</t>
        </is>
      </c>
      <c r="B4832" s="1" t="n">
        <v>44383</v>
      </c>
      <c r="C4832" s="1" t="n">
        <v>45357</v>
      </c>
      <c r="D4832" t="inlineStr">
        <is>
          <t>VÄSTERBOTTENS LÄN</t>
        </is>
      </c>
      <c r="E4832" t="inlineStr">
        <is>
          <t>NORSJÖ</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35021-2021</t>
        </is>
      </c>
      <c r="B4833" s="1" t="n">
        <v>44383</v>
      </c>
      <c r="C4833" s="1" t="n">
        <v>45357</v>
      </c>
      <c r="D4833" t="inlineStr">
        <is>
          <t>VÄSTERBOTTENS LÄN</t>
        </is>
      </c>
      <c r="E4833" t="inlineStr">
        <is>
          <t>LYCKSELE</t>
        </is>
      </c>
      <c r="F4833" t="inlineStr">
        <is>
          <t>Holmen skog AB</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35040-2021</t>
        </is>
      </c>
      <c r="B4834" s="1" t="n">
        <v>44383</v>
      </c>
      <c r="C4834" s="1" t="n">
        <v>45357</v>
      </c>
      <c r="D4834" t="inlineStr">
        <is>
          <t>VÄSTERBOTTENS LÄN</t>
        </is>
      </c>
      <c r="E4834" t="inlineStr">
        <is>
          <t>DOROTEA</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35049-2021</t>
        </is>
      </c>
      <c r="B4835" s="1" t="n">
        <v>44384</v>
      </c>
      <c r="C4835" s="1" t="n">
        <v>45357</v>
      </c>
      <c r="D4835" t="inlineStr">
        <is>
          <t>VÄSTERBOTTENS LÄN</t>
        </is>
      </c>
      <c r="E4835" t="inlineStr">
        <is>
          <t>SKELLEFTEÅ</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35087-2021</t>
        </is>
      </c>
      <c r="B4836" s="1" t="n">
        <v>44383</v>
      </c>
      <c r="C4836" s="1" t="n">
        <v>45357</v>
      </c>
      <c r="D4836" t="inlineStr">
        <is>
          <t>VÄSTERBOTTENS LÄN</t>
        </is>
      </c>
      <c r="E4836" t="inlineStr">
        <is>
          <t>SKELLEFTEÅ</t>
        </is>
      </c>
      <c r="G4836" t="n">
        <v>7</v>
      </c>
      <c r="H4836" t="n">
        <v>0</v>
      </c>
      <c r="I4836" t="n">
        <v>0</v>
      </c>
      <c r="J4836" t="n">
        <v>0</v>
      </c>
      <c r="K4836" t="n">
        <v>0</v>
      </c>
      <c r="L4836" t="n">
        <v>0</v>
      </c>
      <c r="M4836" t="n">
        <v>0</v>
      </c>
      <c r="N4836" t="n">
        <v>0</v>
      </c>
      <c r="O4836" t="n">
        <v>0</v>
      </c>
      <c r="P4836" t="n">
        <v>0</v>
      </c>
      <c r="Q4836" t="n">
        <v>0</v>
      </c>
      <c r="R4836" s="2" t="inlineStr"/>
    </row>
    <row r="4837" ht="15" customHeight="1">
      <c r="A4837" t="inlineStr">
        <is>
          <t>A 35282-2021</t>
        </is>
      </c>
      <c r="B4837" s="1" t="n">
        <v>44384</v>
      </c>
      <c r="C4837" s="1" t="n">
        <v>45357</v>
      </c>
      <c r="D4837" t="inlineStr">
        <is>
          <t>VÄSTERBOTTENS LÄN</t>
        </is>
      </c>
      <c r="E4837" t="inlineStr">
        <is>
          <t>LYCKSELE</t>
        </is>
      </c>
      <c r="F4837" t="inlineStr">
        <is>
          <t>Holmen skog AB</t>
        </is>
      </c>
      <c r="G4837" t="n">
        <v>17.4</v>
      </c>
      <c r="H4837" t="n">
        <v>0</v>
      </c>
      <c r="I4837" t="n">
        <v>0</v>
      </c>
      <c r="J4837" t="n">
        <v>0</v>
      </c>
      <c r="K4837" t="n">
        <v>0</v>
      </c>
      <c r="L4837" t="n">
        <v>0</v>
      </c>
      <c r="M4837" t="n">
        <v>0</v>
      </c>
      <c r="N4837" t="n">
        <v>0</v>
      </c>
      <c r="O4837" t="n">
        <v>0</v>
      </c>
      <c r="P4837" t="n">
        <v>0</v>
      </c>
      <c r="Q4837" t="n">
        <v>0</v>
      </c>
      <c r="R4837" s="2" t="inlineStr"/>
    </row>
    <row r="4838" ht="15" customHeight="1">
      <c r="A4838" t="inlineStr">
        <is>
          <t>A 35078-2021</t>
        </is>
      </c>
      <c r="B4838" s="1" t="n">
        <v>44384</v>
      </c>
      <c r="C4838" s="1" t="n">
        <v>45357</v>
      </c>
      <c r="D4838" t="inlineStr">
        <is>
          <t>VÄSTERBOTTENS LÄN</t>
        </is>
      </c>
      <c r="E4838" t="inlineStr">
        <is>
          <t>SKELLEFTEÅ</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35379-2021</t>
        </is>
      </c>
      <c r="B4839" s="1" t="n">
        <v>44384</v>
      </c>
      <c r="C4839" s="1" t="n">
        <v>45357</v>
      </c>
      <c r="D4839" t="inlineStr">
        <is>
          <t>VÄSTERBOTTENS LÄN</t>
        </is>
      </c>
      <c r="E4839" t="inlineStr">
        <is>
          <t>VINDELN</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35381-2021</t>
        </is>
      </c>
      <c r="B4840" s="1" t="n">
        <v>44384</v>
      </c>
      <c r="C4840" s="1" t="n">
        <v>45357</v>
      </c>
      <c r="D4840" t="inlineStr">
        <is>
          <t>VÄSTERBOTTENS LÄN</t>
        </is>
      </c>
      <c r="E4840" t="inlineStr">
        <is>
          <t>ROBERTSFORS</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35430-2021</t>
        </is>
      </c>
      <c r="B4841" s="1" t="n">
        <v>44384</v>
      </c>
      <c r="C4841" s="1" t="n">
        <v>45357</v>
      </c>
      <c r="D4841" t="inlineStr">
        <is>
          <t>VÄSTERBOTTENS LÄN</t>
        </is>
      </c>
      <c r="E4841" t="inlineStr">
        <is>
          <t>VINDELN</t>
        </is>
      </c>
      <c r="G4841" t="n">
        <v>12.6</v>
      </c>
      <c r="H4841" t="n">
        <v>0</v>
      </c>
      <c r="I4841" t="n">
        <v>0</v>
      </c>
      <c r="J4841" t="n">
        <v>0</v>
      </c>
      <c r="K4841" t="n">
        <v>0</v>
      </c>
      <c r="L4841" t="n">
        <v>0</v>
      </c>
      <c r="M4841" t="n">
        <v>0</v>
      </c>
      <c r="N4841" t="n">
        <v>0</v>
      </c>
      <c r="O4841" t="n">
        <v>0</v>
      </c>
      <c r="P4841" t="n">
        <v>0</v>
      </c>
      <c r="Q4841" t="n">
        <v>0</v>
      </c>
      <c r="R4841" s="2" t="inlineStr"/>
    </row>
    <row r="4842" ht="15" customHeight="1">
      <c r="A4842" t="inlineStr">
        <is>
          <t>A 35442-2021</t>
        </is>
      </c>
      <c r="B4842" s="1" t="n">
        <v>44384</v>
      </c>
      <c r="C4842" s="1" t="n">
        <v>45357</v>
      </c>
      <c r="D4842" t="inlineStr">
        <is>
          <t>VÄSTERBOTTENS LÄN</t>
        </is>
      </c>
      <c r="E4842" t="inlineStr">
        <is>
          <t>SKELLEFTEÅ</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35432-2021</t>
        </is>
      </c>
      <c r="B4843" s="1" t="n">
        <v>44385</v>
      </c>
      <c r="C4843" s="1" t="n">
        <v>45357</v>
      </c>
      <c r="D4843" t="inlineStr">
        <is>
          <t>VÄSTERBOTTENS LÄN</t>
        </is>
      </c>
      <c r="E4843" t="inlineStr">
        <is>
          <t>VINDELN</t>
        </is>
      </c>
      <c r="F4843" t="inlineStr">
        <is>
          <t>Sveaskog</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35551-2021</t>
        </is>
      </c>
      <c r="B4844" s="1" t="n">
        <v>44385</v>
      </c>
      <c r="C4844" s="1" t="n">
        <v>45357</v>
      </c>
      <c r="D4844" t="inlineStr">
        <is>
          <t>VÄSTERBOTTENS LÄN</t>
        </is>
      </c>
      <c r="E4844" t="inlineStr">
        <is>
          <t>ROBERTSFORS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35435-2021</t>
        </is>
      </c>
      <c r="B4845" s="1" t="n">
        <v>44385</v>
      </c>
      <c r="C4845" s="1" t="n">
        <v>45357</v>
      </c>
      <c r="D4845" t="inlineStr">
        <is>
          <t>VÄSTERBOTTENS LÄN</t>
        </is>
      </c>
      <c r="E4845" t="inlineStr">
        <is>
          <t>SKELLEFTEÅ</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35465-2021</t>
        </is>
      </c>
      <c r="B4846" s="1" t="n">
        <v>44385</v>
      </c>
      <c r="C4846" s="1" t="n">
        <v>45357</v>
      </c>
      <c r="D4846" t="inlineStr">
        <is>
          <t>VÄSTERBOTTENS LÄN</t>
        </is>
      </c>
      <c r="E4846" t="inlineStr">
        <is>
          <t>UMEÅ</t>
        </is>
      </c>
      <c r="F4846" t="inlineStr">
        <is>
          <t>Sveaskog</t>
        </is>
      </c>
      <c r="G4846" t="n">
        <v>5.8</v>
      </c>
      <c r="H4846" t="n">
        <v>0</v>
      </c>
      <c r="I4846" t="n">
        <v>0</v>
      </c>
      <c r="J4846" t="n">
        <v>0</v>
      </c>
      <c r="K4846" t="n">
        <v>0</v>
      </c>
      <c r="L4846" t="n">
        <v>0</v>
      </c>
      <c r="M4846" t="n">
        <v>0</v>
      </c>
      <c r="N4846" t="n">
        <v>0</v>
      </c>
      <c r="O4846" t="n">
        <v>0</v>
      </c>
      <c r="P4846" t="n">
        <v>0</v>
      </c>
      <c r="Q4846" t="n">
        <v>0</v>
      </c>
      <c r="R4846" s="2" t="inlineStr"/>
    </row>
    <row r="4847" ht="15" customHeight="1">
      <c r="A4847" t="inlineStr">
        <is>
          <t>A 35480-2021</t>
        </is>
      </c>
      <c r="B4847" s="1" t="n">
        <v>44385</v>
      </c>
      <c r="C4847" s="1" t="n">
        <v>45357</v>
      </c>
      <c r="D4847" t="inlineStr">
        <is>
          <t>VÄSTERBOTTENS LÄN</t>
        </is>
      </c>
      <c r="E4847" t="inlineStr">
        <is>
          <t>UMEÅ</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35557-2021</t>
        </is>
      </c>
      <c r="B4848" s="1" t="n">
        <v>44385</v>
      </c>
      <c r="C4848" s="1" t="n">
        <v>45357</v>
      </c>
      <c r="D4848" t="inlineStr">
        <is>
          <t>VÄSTERBOTTENS LÄN</t>
        </is>
      </c>
      <c r="E4848" t="inlineStr">
        <is>
          <t>VÄNNÄS</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35989-2021</t>
        </is>
      </c>
      <c r="B4849" s="1" t="n">
        <v>44385</v>
      </c>
      <c r="C4849" s="1" t="n">
        <v>45357</v>
      </c>
      <c r="D4849" t="inlineStr">
        <is>
          <t>VÄSTERBOTTENS LÄN</t>
        </is>
      </c>
      <c r="E4849" t="inlineStr">
        <is>
          <t>MALÅ</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35561-2021</t>
        </is>
      </c>
      <c r="B4850" s="1" t="n">
        <v>44386</v>
      </c>
      <c r="C4850" s="1" t="n">
        <v>45357</v>
      </c>
      <c r="D4850" t="inlineStr">
        <is>
          <t>VÄSTERBOTTENS LÄN</t>
        </is>
      </c>
      <c r="E4850" t="inlineStr">
        <is>
          <t>ÅSELE</t>
        </is>
      </c>
      <c r="F4850" t="inlineStr">
        <is>
          <t>SCA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35578-2021</t>
        </is>
      </c>
      <c r="B4851" s="1" t="n">
        <v>44386</v>
      </c>
      <c r="C4851" s="1" t="n">
        <v>45357</v>
      </c>
      <c r="D4851" t="inlineStr">
        <is>
          <t>VÄSTERBOTTENS LÄN</t>
        </is>
      </c>
      <c r="E4851" t="inlineStr">
        <is>
          <t>SKELLEFTEÅ</t>
        </is>
      </c>
      <c r="F4851" t="inlineStr">
        <is>
          <t>Sveaskog</t>
        </is>
      </c>
      <c r="G4851" t="n">
        <v>15.5</v>
      </c>
      <c r="H4851" t="n">
        <v>0</v>
      </c>
      <c r="I4851" t="n">
        <v>0</v>
      </c>
      <c r="J4851" t="n">
        <v>0</v>
      </c>
      <c r="K4851" t="n">
        <v>0</v>
      </c>
      <c r="L4851" t="n">
        <v>0</v>
      </c>
      <c r="M4851" t="n">
        <v>0</v>
      </c>
      <c r="N4851" t="n">
        <v>0</v>
      </c>
      <c r="O4851" t="n">
        <v>0</v>
      </c>
      <c r="P4851" t="n">
        <v>0</v>
      </c>
      <c r="Q4851" t="n">
        <v>0</v>
      </c>
      <c r="R4851" s="2" t="inlineStr"/>
    </row>
    <row r="4852" ht="15" customHeight="1">
      <c r="A4852" t="inlineStr">
        <is>
          <t>A 35779-2021</t>
        </is>
      </c>
      <c r="B4852" s="1" t="n">
        <v>44386</v>
      </c>
      <c r="C4852" s="1" t="n">
        <v>45357</v>
      </c>
      <c r="D4852" t="inlineStr">
        <is>
          <t>VÄSTERBOTTENS LÄN</t>
        </is>
      </c>
      <c r="E4852" t="inlineStr">
        <is>
          <t>ÅSELE</t>
        </is>
      </c>
      <c r="F4852" t="inlineStr">
        <is>
          <t>Holmen skog AB</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35700-2021</t>
        </is>
      </c>
      <c r="B4853" s="1" t="n">
        <v>44386</v>
      </c>
      <c r="C4853" s="1" t="n">
        <v>45357</v>
      </c>
      <c r="D4853" t="inlineStr">
        <is>
          <t>VÄSTERBOTTENS LÄN</t>
        </is>
      </c>
      <c r="E4853" t="inlineStr">
        <is>
          <t>LYCKSELE</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35754-2021</t>
        </is>
      </c>
      <c r="B4854" s="1" t="n">
        <v>44386</v>
      </c>
      <c r="C4854" s="1" t="n">
        <v>45357</v>
      </c>
      <c r="D4854" t="inlineStr">
        <is>
          <t>VÄSTERBOTTENS LÄN</t>
        </is>
      </c>
      <c r="E4854" t="inlineStr">
        <is>
          <t>ÅSELE</t>
        </is>
      </c>
      <c r="F4854" t="inlineStr">
        <is>
          <t>Holmen skog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35650-2021</t>
        </is>
      </c>
      <c r="B4855" s="1" t="n">
        <v>44386</v>
      </c>
      <c r="C4855" s="1" t="n">
        <v>45357</v>
      </c>
      <c r="D4855" t="inlineStr">
        <is>
          <t>VÄSTERBOTTENS LÄN</t>
        </is>
      </c>
      <c r="E4855" t="inlineStr">
        <is>
          <t>SKELLEFTEÅ</t>
        </is>
      </c>
      <c r="F4855" t="inlineStr">
        <is>
          <t>Holmen skog AB</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35738-2021</t>
        </is>
      </c>
      <c r="B4856" s="1" t="n">
        <v>44386</v>
      </c>
      <c r="C4856" s="1" t="n">
        <v>45357</v>
      </c>
      <c r="D4856" t="inlineStr">
        <is>
          <t>VÄSTERBOTTENS LÄN</t>
        </is>
      </c>
      <c r="E4856" t="inlineStr">
        <is>
          <t>UMEÅ</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35852-2021</t>
        </is>
      </c>
      <c r="B4857" s="1" t="n">
        <v>44386</v>
      </c>
      <c r="C4857" s="1" t="n">
        <v>45357</v>
      </c>
      <c r="D4857" t="inlineStr">
        <is>
          <t>VÄSTERBOTTENS LÄN</t>
        </is>
      </c>
      <c r="E4857" t="inlineStr">
        <is>
          <t>ROBERTSFORS</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35848-2021</t>
        </is>
      </c>
      <c r="B4858" s="1" t="n">
        <v>44386</v>
      </c>
      <c r="C4858" s="1" t="n">
        <v>45357</v>
      </c>
      <c r="D4858" t="inlineStr">
        <is>
          <t>VÄSTERBOTTENS LÄN</t>
        </is>
      </c>
      <c r="E4858" t="inlineStr">
        <is>
          <t>BJURHOLM</t>
        </is>
      </c>
      <c r="G4858" t="n">
        <v>15.2</v>
      </c>
      <c r="H4858" t="n">
        <v>0</v>
      </c>
      <c r="I4858" t="n">
        <v>0</v>
      </c>
      <c r="J4858" t="n">
        <v>0</v>
      </c>
      <c r="K4858" t="n">
        <v>0</v>
      </c>
      <c r="L4858" t="n">
        <v>0</v>
      </c>
      <c r="M4858" t="n">
        <v>0</v>
      </c>
      <c r="N4858" t="n">
        <v>0</v>
      </c>
      <c r="O4858" t="n">
        <v>0</v>
      </c>
      <c r="P4858" t="n">
        <v>0</v>
      </c>
      <c r="Q4858" t="n">
        <v>0</v>
      </c>
      <c r="R4858" s="2" t="inlineStr"/>
    </row>
    <row r="4859" ht="15" customHeight="1">
      <c r="A4859" t="inlineStr">
        <is>
          <t>A 35876-2021</t>
        </is>
      </c>
      <c r="B4859" s="1" t="n">
        <v>44386</v>
      </c>
      <c r="C4859" s="1" t="n">
        <v>45357</v>
      </c>
      <c r="D4859" t="inlineStr">
        <is>
          <t>VÄSTERBOTTENS LÄN</t>
        </is>
      </c>
      <c r="E4859" t="inlineStr">
        <is>
          <t>VILHELMINA</t>
        </is>
      </c>
      <c r="F4859" t="inlineStr">
        <is>
          <t>SCA</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35745-2021</t>
        </is>
      </c>
      <c r="B4860" s="1" t="n">
        <v>44386</v>
      </c>
      <c r="C4860" s="1" t="n">
        <v>45357</v>
      </c>
      <c r="D4860" t="inlineStr">
        <is>
          <t>VÄSTERBOTTENS LÄN</t>
        </is>
      </c>
      <c r="E4860" t="inlineStr">
        <is>
          <t>ÅSELE</t>
        </is>
      </c>
      <c r="F4860" t="inlineStr">
        <is>
          <t>Holmen skog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36023-2021</t>
        </is>
      </c>
      <c r="B4861" s="1" t="n">
        <v>44386</v>
      </c>
      <c r="C4861" s="1" t="n">
        <v>45357</v>
      </c>
      <c r="D4861" t="inlineStr">
        <is>
          <t>VÄSTERBOTTENS LÄN</t>
        </is>
      </c>
      <c r="E4861" t="inlineStr">
        <is>
          <t>ROBERTSFORS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36086-2021</t>
        </is>
      </c>
      <c r="B4862" s="1" t="n">
        <v>44386</v>
      </c>
      <c r="C4862" s="1" t="n">
        <v>45357</v>
      </c>
      <c r="D4862" t="inlineStr">
        <is>
          <t>VÄSTERBOTTENS LÄN</t>
        </is>
      </c>
      <c r="E4862" t="inlineStr">
        <is>
          <t>SKELLEFTEÅ</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36046-2021</t>
        </is>
      </c>
      <c r="B4863" s="1" t="n">
        <v>44386</v>
      </c>
      <c r="C4863" s="1" t="n">
        <v>45357</v>
      </c>
      <c r="D4863" t="inlineStr">
        <is>
          <t>VÄSTERBOTTENS LÄN</t>
        </is>
      </c>
      <c r="E4863" t="inlineStr">
        <is>
          <t>LYCKSELE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35939-2021</t>
        </is>
      </c>
      <c r="B4864" s="1" t="n">
        <v>44388</v>
      </c>
      <c r="C4864" s="1" t="n">
        <v>45357</v>
      </c>
      <c r="D4864" t="inlineStr">
        <is>
          <t>VÄSTERBOTTENS LÄN</t>
        </is>
      </c>
      <c r="E4864" t="inlineStr">
        <is>
          <t>LYCKSELE</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35938-2021</t>
        </is>
      </c>
      <c r="B4865" s="1" t="n">
        <v>44388</v>
      </c>
      <c r="C4865" s="1" t="n">
        <v>45357</v>
      </c>
      <c r="D4865" t="inlineStr">
        <is>
          <t>VÄSTERBOTTENS LÄN</t>
        </is>
      </c>
      <c r="E4865" t="inlineStr">
        <is>
          <t>LYCKSELE</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35937-2021</t>
        </is>
      </c>
      <c r="B4866" s="1" t="n">
        <v>44388</v>
      </c>
      <c r="C4866" s="1" t="n">
        <v>45357</v>
      </c>
      <c r="D4866" t="inlineStr">
        <is>
          <t>VÄSTERBOTTENS LÄN</t>
        </is>
      </c>
      <c r="E4866" t="inlineStr">
        <is>
          <t>LYCKSELE</t>
        </is>
      </c>
      <c r="F4866" t="inlineStr">
        <is>
          <t>Sveaskog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35943-2021</t>
        </is>
      </c>
      <c r="B4867" s="1" t="n">
        <v>44388</v>
      </c>
      <c r="C4867" s="1" t="n">
        <v>45357</v>
      </c>
      <c r="D4867" t="inlineStr">
        <is>
          <t>VÄSTERBOTTENS LÄN</t>
        </is>
      </c>
      <c r="E4867" t="inlineStr">
        <is>
          <t>LYCKSELE</t>
        </is>
      </c>
      <c r="F4867" t="inlineStr">
        <is>
          <t>Sveaskog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36139-2021</t>
        </is>
      </c>
      <c r="B4868" s="1" t="n">
        <v>44389</v>
      </c>
      <c r="C4868" s="1" t="n">
        <v>45357</v>
      </c>
      <c r="D4868" t="inlineStr">
        <is>
          <t>VÄSTERBOTTENS LÄN</t>
        </is>
      </c>
      <c r="E4868" t="inlineStr">
        <is>
          <t>VILHELMINA</t>
        </is>
      </c>
      <c r="F4868" t="inlineStr">
        <is>
          <t>Sveaskog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36142-2021</t>
        </is>
      </c>
      <c r="B4869" s="1" t="n">
        <v>44389</v>
      </c>
      <c r="C4869" s="1" t="n">
        <v>45357</v>
      </c>
      <c r="D4869" t="inlineStr">
        <is>
          <t>VÄSTERBOTTENS LÄN</t>
        </is>
      </c>
      <c r="E4869" t="inlineStr">
        <is>
          <t>VILHELMINA</t>
        </is>
      </c>
      <c r="F4869" t="inlineStr">
        <is>
          <t>Sveaskog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36043-2021</t>
        </is>
      </c>
      <c r="B4870" s="1" t="n">
        <v>44389</v>
      </c>
      <c r="C4870" s="1" t="n">
        <v>45357</v>
      </c>
      <c r="D4870" t="inlineStr">
        <is>
          <t>VÄSTERBOTTENS LÄN</t>
        </is>
      </c>
      <c r="E4870" t="inlineStr">
        <is>
          <t>MALÅ</t>
        </is>
      </c>
      <c r="F4870" t="inlineStr">
        <is>
          <t>Sveaskog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36101-2021</t>
        </is>
      </c>
      <c r="B4871" s="1" t="n">
        <v>44389</v>
      </c>
      <c r="C4871" s="1" t="n">
        <v>45357</v>
      </c>
      <c r="D4871" t="inlineStr">
        <is>
          <t>VÄSTERBOTTENS LÄN</t>
        </is>
      </c>
      <c r="E4871" t="inlineStr">
        <is>
          <t>MALÅ</t>
        </is>
      </c>
      <c r="F4871" t="inlineStr">
        <is>
          <t>Sveaskog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36147-2021</t>
        </is>
      </c>
      <c r="B4872" s="1" t="n">
        <v>44389</v>
      </c>
      <c r="C4872" s="1" t="n">
        <v>45357</v>
      </c>
      <c r="D4872" t="inlineStr">
        <is>
          <t>VÄSTERBOTTENS LÄN</t>
        </is>
      </c>
      <c r="E4872" t="inlineStr">
        <is>
          <t>VILHELMINA</t>
        </is>
      </c>
      <c r="F4872" t="inlineStr">
        <is>
          <t>Sveaskog</t>
        </is>
      </c>
      <c r="G4872" t="n">
        <v>9.300000000000001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36288-2021</t>
        </is>
      </c>
      <c r="B4873" s="1" t="n">
        <v>44389</v>
      </c>
      <c r="C4873" s="1" t="n">
        <v>45357</v>
      </c>
      <c r="D4873" t="inlineStr">
        <is>
          <t>VÄSTERBOTTENS LÄN</t>
        </is>
      </c>
      <c r="E4873" t="inlineStr">
        <is>
          <t>VILHELMINA</t>
        </is>
      </c>
      <c r="G4873" t="n">
        <v>20.5</v>
      </c>
      <c r="H4873" t="n">
        <v>0</v>
      </c>
      <c r="I4873" t="n">
        <v>0</v>
      </c>
      <c r="J4873" t="n">
        <v>0</v>
      </c>
      <c r="K4873" t="n">
        <v>0</v>
      </c>
      <c r="L4873" t="n">
        <v>0</v>
      </c>
      <c r="M4873" t="n">
        <v>0</v>
      </c>
      <c r="N4873" t="n">
        <v>0</v>
      </c>
      <c r="O4873" t="n">
        <v>0</v>
      </c>
      <c r="P4873" t="n">
        <v>0</v>
      </c>
      <c r="Q4873" t="n">
        <v>0</v>
      </c>
      <c r="R4873" s="2" t="inlineStr"/>
    </row>
    <row r="4874" ht="15" customHeight="1">
      <c r="A4874" t="inlineStr">
        <is>
          <t>A 36452-2021</t>
        </is>
      </c>
      <c r="B4874" s="1" t="n">
        <v>44391</v>
      </c>
      <c r="C4874" s="1" t="n">
        <v>45357</v>
      </c>
      <c r="D4874" t="inlineStr">
        <is>
          <t>VÄSTERBOTTENS LÄN</t>
        </is>
      </c>
      <c r="E4874" t="inlineStr">
        <is>
          <t>ÅSELE</t>
        </is>
      </c>
      <c r="F4874" t="inlineStr">
        <is>
          <t>SCA</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36460-2021</t>
        </is>
      </c>
      <c r="B4875" s="1" t="n">
        <v>44390</v>
      </c>
      <c r="C4875" s="1" t="n">
        <v>45357</v>
      </c>
      <c r="D4875" t="inlineStr">
        <is>
          <t>VÄSTERBOTTENS LÄN</t>
        </is>
      </c>
      <c r="E4875" t="inlineStr">
        <is>
          <t>ÅSELE</t>
        </is>
      </c>
      <c r="F4875" t="inlineStr">
        <is>
          <t>SCA</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36449-2021</t>
        </is>
      </c>
      <c r="B4876" s="1" t="n">
        <v>44391</v>
      </c>
      <c r="C4876" s="1" t="n">
        <v>45357</v>
      </c>
      <c r="D4876" t="inlineStr">
        <is>
          <t>VÄSTERBOTTENS LÄN</t>
        </is>
      </c>
      <c r="E4876" t="inlineStr">
        <is>
          <t>ÅSELE</t>
        </is>
      </c>
      <c r="F4876" t="inlineStr">
        <is>
          <t>SCA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36342-2021</t>
        </is>
      </c>
      <c r="B4877" s="1" t="n">
        <v>44390</v>
      </c>
      <c r="C4877" s="1" t="n">
        <v>45357</v>
      </c>
      <c r="D4877" t="inlineStr">
        <is>
          <t>VÄSTERBOTTENS LÄN</t>
        </is>
      </c>
      <c r="E4877" t="inlineStr">
        <is>
          <t>VÄNNÄS</t>
        </is>
      </c>
      <c r="F4877" t="inlineStr">
        <is>
          <t>Övriga Aktiebolag</t>
        </is>
      </c>
      <c r="G4877" t="n">
        <v>10.6</v>
      </c>
      <c r="H4877" t="n">
        <v>0</v>
      </c>
      <c r="I4877" t="n">
        <v>0</v>
      </c>
      <c r="J4877" t="n">
        <v>0</v>
      </c>
      <c r="K4877" t="n">
        <v>0</v>
      </c>
      <c r="L4877" t="n">
        <v>0</v>
      </c>
      <c r="M4877" t="n">
        <v>0</v>
      </c>
      <c r="N4877" t="n">
        <v>0</v>
      </c>
      <c r="O4877" t="n">
        <v>0</v>
      </c>
      <c r="P4877" t="n">
        <v>0</v>
      </c>
      <c r="Q4877" t="n">
        <v>0</v>
      </c>
      <c r="R4877" s="2" t="inlineStr"/>
    </row>
    <row r="4878" ht="15" customHeight="1">
      <c r="A4878" t="inlineStr">
        <is>
          <t>A 36450-2021</t>
        </is>
      </c>
      <c r="B4878" s="1" t="n">
        <v>44390</v>
      </c>
      <c r="C4878" s="1" t="n">
        <v>45357</v>
      </c>
      <c r="D4878" t="inlineStr">
        <is>
          <t>VÄSTERBOTTENS LÄN</t>
        </is>
      </c>
      <c r="E4878" t="inlineStr">
        <is>
          <t>ÅSELE</t>
        </is>
      </c>
      <c r="F4878" t="inlineStr">
        <is>
          <t>SCA</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36564-2021</t>
        </is>
      </c>
      <c r="B4879" s="1" t="n">
        <v>44391</v>
      </c>
      <c r="C4879" s="1" t="n">
        <v>45357</v>
      </c>
      <c r="D4879" t="inlineStr">
        <is>
          <t>VÄSTERBOTTENS LÄN</t>
        </is>
      </c>
      <c r="E4879" t="inlineStr">
        <is>
          <t>SKELLEFTEÅ</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36588-2021</t>
        </is>
      </c>
      <c r="B4880" s="1" t="n">
        <v>44391</v>
      </c>
      <c r="C4880" s="1" t="n">
        <v>45357</v>
      </c>
      <c r="D4880" t="inlineStr">
        <is>
          <t>VÄSTERBOTTENS LÄN</t>
        </is>
      </c>
      <c r="E4880" t="inlineStr">
        <is>
          <t>SKELLEFTEÅ</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36603-2021</t>
        </is>
      </c>
      <c r="B4881" s="1" t="n">
        <v>44391</v>
      </c>
      <c r="C4881" s="1" t="n">
        <v>45357</v>
      </c>
      <c r="D4881" t="inlineStr">
        <is>
          <t>VÄSTERBOTTENS LÄN</t>
        </is>
      </c>
      <c r="E4881" t="inlineStr">
        <is>
          <t>SKELLEFTEÅ</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36609-2021</t>
        </is>
      </c>
      <c r="B4882" s="1" t="n">
        <v>44391</v>
      </c>
      <c r="C4882" s="1" t="n">
        <v>45357</v>
      </c>
      <c r="D4882" t="inlineStr">
        <is>
          <t>VÄSTERBOTTENS LÄN</t>
        </is>
      </c>
      <c r="E4882" t="inlineStr">
        <is>
          <t>SKELLEFTEÅ</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36676-2021</t>
        </is>
      </c>
      <c r="B4883" s="1" t="n">
        <v>44392</v>
      </c>
      <c r="C4883" s="1" t="n">
        <v>45357</v>
      </c>
      <c r="D4883" t="inlineStr">
        <is>
          <t>VÄSTERBOTTENS LÄN</t>
        </is>
      </c>
      <c r="E4883" t="inlineStr">
        <is>
          <t>ÅSELE</t>
        </is>
      </c>
      <c r="F4883" t="inlineStr">
        <is>
          <t>Holmen skog AB</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36719-2021</t>
        </is>
      </c>
      <c r="B4884" s="1" t="n">
        <v>44392</v>
      </c>
      <c r="C4884" s="1" t="n">
        <v>45357</v>
      </c>
      <c r="D4884" t="inlineStr">
        <is>
          <t>VÄSTERBOTTENS LÄN</t>
        </is>
      </c>
      <c r="E4884" t="inlineStr">
        <is>
          <t>STORUMAN</t>
        </is>
      </c>
      <c r="F4884" t="inlineStr">
        <is>
          <t>Sveaskog</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36667-2021</t>
        </is>
      </c>
      <c r="B4885" s="1" t="n">
        <v>44392</v>
      </c>
      <c r="C4885" s="1" t="n">
        <v>45357</v>
      </c>
      <c r="D4885" t="inlineStr">
        <is>
          <t>VÄSTERBOTTENS LÄN</t>
        </is>
      </c>
      <c r="E4885" t="inlineStr">
        <is>
          <t>NORDMALING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36711-2021</t>
        </is>
      </c>
      <c r="B4886" s="1" t="n">
        <v>44392</v>
      </c>
      <c r="C4886" s="1" t="n">
        <v>45357</v>
      </c>
      <c r="D4886" t="inlineStr">
        <is>
          <t>VÄSTERBOTTENS LÄN</t>
        </is>
      </c>
      <c r="E4886" t="inlineStr">
        <is>
          <t>STORUMAN</t>
        </is>
      </c>
      <c r="G4886" t="n">
        <v>24.7</v>
      </c>
      <c r="H4886" t="n">
        <v>0</v>
      </c>
      <c r="I4886" t="n">
        <v>0</v>
      </c>
      <c r="J4886" t="n">
        <v>0</v>
      </c>
      <c r="K4886" t="n">
        <v>0</v>
      </c>
      <c r="L4886" t="n">
        <v>0</v>
      </c>
      <c r="M4886" t="n">
        <v>0</v>
      </c>
      <c r="N4886" t="n">
        <v>0</v>
      </c>
      <c r="O4886" t="n">
        <v>0</v>
      </c>
      <c r="P4886" t="n">
        <v>0</v>
      </c>
      <c r="Q4886" t="n">
        <v>0</v>
      </c>
      <c r="R4886" s="2" t="inlineStr"/>
    </row>
    <row r="4887" ht="15" customHeight="1">
      <c r="A4887" t="inlineStr">
        <is>
          <t>A 36855-2021</t>
        </is>
      </c>
      <c r="B4887" s="1" t="n">
        <v>44393</v>
      </c>
      <c r="C4887" s="1" t="n">
        <v>45357</v>
      </c>
      <c r="D4887" t="inlineStr">
        <is>
          <t>VÄSTERBOTTENS LÄN</t>
        </is>
      </c>
      <c r="E4887" t="inlineStr">
        <is>
          <t>LYCKSELE</t>
        </is>
      </c>
      <c r="F4887" t="inlineStr">
        <is>
          <t>Sveaskog</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36918-2021</t>
        </is>
      </c>
      <c r="B4888" s="1" t="n">
        <v>44393</v>
      </c>
      <c r="C4888" s="1" t="n">
        <v>45357</v>
      </c>
      <c r="D4888" t="inlineStr">
        <is>
          <t>VÄSTERBOTTENS LÄN</t>
        </is>
      </c>
      <c r="E4888" t="inlineStr">
        <is>
          <t>STORUMAN</t>
        </is>
      </c>
      <c r="F4888" t="inlineStr">
        <is>
          <t>Sveaskog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36927-2021</t>
        </is>
      </c>
      <c r="B4889" s="1" t="n">
        <v>44393</v>
      </c>
      <c r="C4889" s="1" t="n">
        <v>45357</v>
      </c>
      <c r="D4889" t="inlineStr">
        <is>
          <t>VÄSTERBOTTENS LÄN</t>
        </is>
      </c>
      <c r="E4889" t="inlineStr">
        <is>
          <t>ÅSELE</t>
        </is>
      </c>
      <c r="F4889" t="inlineStr">
        <is>
          <t>Sveaskog</t>
        </is>
      </c>
      <c r="G4889" t="n">
        <v>8.800000000000001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36940-2021</t>
        </is>
      </c>
      <c r="B4890" s="1" t="n">
        <v>44393</v>
      </c>
      <c r="C4890" s="1" t="n">
        <v>45357</v>
      </c>
      <c r="D4890" t="inlineStr">
        <is>
          <t>VÄSTERBOTTENS LÄN</t>
        </is>
      </c>
      <c r="E4890" t="inlineStr">
        <is>
          <t>ÅSELE</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37210-2021</t>
        </is>
      </c>
      <c r="B4891" s="1" t="n">
        <v>44396</v>
      </c>
      <c r="C4891" s="1" t="n">
        <v>45357</v>
      </c>
      <c r="D4891" t="inlineStr">
        <is>
          <t>VÄSTERBOTTENS LÄN</t>
        </is>
      </c>
      <c r="E4891" t="inlineStr">
        <is>
          <t>SKELLEFTEÅ</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37211-2021</t>
        </is>
      </c>
      <c r="B4892" s="1" t="n">
        <v>44396</v>
      </c>
      <c r="C4892" s="1" t="n">
        <v>45357</v>
      </c>
      <c r="D4892" t="inlineStr">
        <is>
          <t>VÄSTERBOTTENS LÄN</t>
        </is>
      </c>
      <c r="E4892" t="inlineStr">
        <is>
          <t>SKELLEFTEÅ</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37208-2021</t>
        </is>
      </c>
      <c r="B4893" s="1" t="n">
        <v>44396</v>
      </c>
      <c r="C4893" s="1" t="n">
        <v>45357</v>
      </c>
      <c r="D4893" t="inlineStr">
        <is>
          <t>VÄSTERBOTTENS LÄN</t>
        </is>
      </c>
      <c r="E4893" t="inlineStr">
        <is>
          <t>SKELLEFTEÅ</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37328-2021</t>
        </is>
      </c>
      <c r="B4894" s="1" t="n">
        <v>44397</v>
      </c>
      <c r="C4894" s="1" t="n">
        <v>45357</v>
      </c>
      <c r="D4894" t="inlineStr">
        <is>
          <t>VÄSTERBOTTENS LÄN</t>
        </is>
      </c>
      <c r="E4894" t="inlineStr">
        <is>
          <t>BJURHOLM</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37332-2021</t>
        </is>
      </c>
      <c r="B4895" s="1" t="n">
        <v>44397</v>
      </c>
      <c r="C4895" s="1" t="n">
        <v>45357</v>
      </c>
      <c r="D4895" t="inlineStr">
        <is>
          <t>VÄSTERBOTTENS LÄN</t>
        </is>
      </c>
      <c r="E4895" t="inlineStr">
        <is>
          <t>BJURHOLM</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37320-2021</t>
        </is>
      </c>
      <c r="B4896" s="1" t="n">
        <v>44397</v>
      </c>
      <c r="C4896" s="1" t="n">
        <v>45357</v>
      </c>
      <c r="D4896" t="inlineStr">
        <is>
          <t>VÄSTERBOTTENS LÄN</t>
        </is>
      </c>
      <c r="E4896" t="inlineStr">
        <is>
          <t>VILHELMINA</t>
        </is>
      </c>
      <c r="F4896" t="inlineStr">
        <is>
          <t>Kommuner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37483-2021</t>
        </is>
      </c>
      <c r="B4897" s="1" t="n">
        <v>44399</v>
      </c>
      <c r="C4897" s="1" t="n">
        <v>45357</v>
      </c>
      <c r="D4897" t="inlineStr">
        <is>
          <t>VÄSTERBOTTENS LÄN</t>
        </is>
      </c>
      <c r="E4897" t="inlineStr">
        <is>
          <t>ÅSELE</t>
        </is>
      </c>
      <c r="F4897" t="inlineStr">
        <is>
          <t>SCA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37475-2021</t>
        </is>
      </c>
      <c r="B4898" s="1" t="n">
        <v>44398</v>
      </c>
      <c r="C4898" s="1" t="n">
        <v>45357</v>
      </c>
      <c r="D4898" t="inlineStr">
        <is>
          <t>VÄSTERBOTTENS LÄN</t>
        </is>
      </c>
      <c r="E4898" t="inlineStr">
        <is>
          <t>VINDELN</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37498-2021</t>
        </is>
      </c>
      <c r="B4899" s="1" t="n">
        <v>44399</v>
      </c>
      <c r="C4899" s="1" t="n">
        <v>45357</v>
      </c>
      <c r="D4899" t="inlineStr">
        <is>
          <t>VÄSTERBOTTENS LÄN</t>
        </is>
      </c>
      <c r="E4899" t="inlineStr">
        <is>
          <t>SKELLEFTEÅ</t>
        </is>
      </c>
      <c r="G4899" t="n">
        <v>12.8</v>
      </c>
      <c r="H4899" t="n">
        <v>0</v>
      </c>
      <c r="I4899" t="n">
        <v>0</v>
      </c>
      <c r="J4899" t="n">
        <v>0</v>
      </c>
      <c r="K4899" t="n">
        <v>0</v>
      </c>
      <c r="L4899" t="n">
        <v>0</v>
      </c>
      <c r="M4899" t="n">
        <v>0</v>
      </c>
      <c r="N4899" t="n">
        <v>0</v>
      </c>
      <c r="O4899" t="n">
        <v>0</v>
      </c>
      <c r="P4899" t="n">
        <v>0</v>
      </c>
      <c r="Q4899" t="n">
        <v>0</v>
      </c>
      <c r="R4899" s="2" t="inlineStr"/>
    </row>
    <row r="4900" ht="15" customHeight="1">
      <c r="A4900" t="inlineStr">
        <is>
          <t>A 37752-2021</t>
        </is>
      </c>
      <c r="B4900" s="1" t="n">
        <v>44400</v>
      </c>
      <c r="C4900" s="1" t="n">
        <v>45357</v>
      </c>
      <c r="D4900" t="inlineStr">
        <is>
          <t>VÄSTERBOTTENS LÄN</t>
        </is>
      </c>
      <c r="E4900" t="inlineStr">
        <is>
          <t>VINDELN</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37727-2021</t>
        </is>
      </c>
      <c r="B4901" s="1" t="n">
        <v>44400</v>
      </c>
      <c r="C4901" s="1" t="n">
        <v>45357</v>
      </c>
      <c r="D4901" t="inlineStr">
        <is>
          <t>VÄSTERBOTTENS LÄN</t>
        </is>
      </c>
      <c r="E4901" t="inlineStr">
        <is>
          <t>LYCKSELE</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37733-2021</t>
        </is>
      </c>
      <c r="B4902" s="1" t="n">
        <v>44400</v>
      </c>
      <c r="C4902" s="1" t="n">
        <v>45357</v>
      </c>
      <c r="D4902" t="inlineStr">
        <is>
          <t>VÄSTERBOTTENS LÄN</t>
        </is>
      </c>
      <c r="E4902" t="inlineStr">
        <is>
          <t>LYCKSELE</t>
        </is>
      </c>
      <c r="F4902" t="inlineStr">
        <is>
          <t>Sveaskog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37731-2021</t>
        </is>
      </c>
      <c r="B4903" s="1" t="n">
        <v>44400</v>
      </c>
      <c r="C4903" s="1" t="n">
        <v>45357</v>
      </c>
      <c r="D4903" t="inlineStr">
        <is>
          <t>VÄSTERBOTTENS LÄN</t>
        </is>
      </c>
      <c r="E4903" t="inlineStr">
        <is>
          <t>LYCKSELE</t>
        </is>
      </c>
      <c r="F4903" t="inlineStr">
        <is>
          <t>Sveaskog</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37742-2021</t>
        </is>
      </c>
      <c r="B4904" s="1" t="n">
        <v>44400</v>
      </c>
      <c r="C4904" s="1" t="n">
        <v>45357</v>
      </c>
      <c r="D4904" t="inlineStr">
        <is>
          <t>VÄSTERBOTTENS LÄN</t>
        </is>
      </c>
      <c r="E4904" t="inlineStr">
        <is>
          <t>VINDELN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37792-2021</t>
        </is>
      </c>
      <c r="B4905" s="1" t="n">
        <v>44401</v>
      </c>
      <c r="C4905" s="1" t="n">
        <v>45357</v>
      </c>
      <c r="D4905" t="inlineStr">
        <is>
          <t>VÄSTERBOTTENS LÄN</t>
        </is>
      </c>
      <c r="E4905" t="inlineStr">
        <is>
          <t>SKELLEFTEÅ</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37901-2021</t>
        </is>
      </c>
      <c r="B4906" s="1" t="n">
        <v>44403</v>
      </c>
      <c r="C4906" s="1" t="n">
        <v>45357</v>
      </c>
      <c r="D4906" t="inlineStr">
        <is>
          <t>VÄSTERBOTTENS LÄN</t>
        </is>
      </c>
      <c r="E4906" t="inlineStr">
        <is>
          <t>NORDMALING</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37964-2021</t>
        </is>
      </c>
      <c r="B4907" s="1" t="n">
        <v>44404</v>
      </c>
      <c r="C4907" s="1" t="n">
        <v>45357</v>
      </c>
      <c r="D4907" t="inlineStr">
        <is>
          <t>VÄSTERBOTTENS LÄN</t>
        </is>
      </c>
      <c r="E4907" t="inlineStr">
        <is>
          <t>ÅSELE</t>
        </is>
      </c>
      <c r="F4907" t="inlineStr">
        <is>
          <t>SCA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37979-2021</t>
        </is>
      </c>
      <c r="B4908" s="1" t="n">
        <v>44403</v>
      </c>
      <c r="C4908" s="1" t="n">
        <v>45357</v>
      </c>
      <c r="D4908" t="inlineStr">
        <is>
          <t>VÄSTERBOTTENS LÄN</t>
        </is>
      </c>
      <c r="E4908" t="inlineStr">
        <is>
          <t>LYCKSELE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37984-2021</t>
        </is>
      </c>
      <c r="B4909" s="1" t="n">
        <v>44403</v>
      </c>
      <c r="C4909" s="1" t="n">
        <v>45357</v>
      </c>
      <c r="D4909" t="inlineStr">
        <is>
          <t>VÄSTERBOTTENS LÄN</t>
        </is>
      </c>
      <c r="E4909" t="inlineStr">
        <is>
          <t>LYCKSELE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37937-2021</t>
        </is>
      </c>
      <c r="B4910" s="1" t="n">
        <v>44403</v>
      </c>
      <c r="C4910" s="1" t="n">
        <v>45357</v>
      </c>
      <c r="D4910" t="inlineStr">
        <is>
          <t>VÄSTERBOTTENS LÄN</t>
        </is>
      </c>
      <c r="E4910" t="inlineStr">
        <is>
          <t>SKELLEFTEÅ</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37986-2021</t>
        </is>
      </c>
      <c r="B4911" s="1" t="n">
        <v>44403</v>
      </c>
      <c r="C4911" s="1" t="n">
        <v>45357</v>
      </c>
      <c r="D4911" t="inlineStr">
        <is>
          <t>VÄSTERBOTTENS LÄN</t>
        </is>
      </c>
      <c r="E4911" t="inlineStr">
        <is>
          <t>LYCKSELE</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37938-2021</t>
        </is>
      </c>
      <c r="B4912" s="1" t="n">
        <v>44403</v>
      </c>
      <c r="C4912" s="1" t="n">
        <v>45357</v>
      </c>
      <c r="D4912" t="inlineStr">
        <is>
          <t>VÄSTERBOTTENS LÄN</t>
        </is>
      </c>
      <c r="E4912" t="inlineStr">
        <is>
          <t>SKELLEFTEÅ</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37987-2021</t>
        </is>
      </c>
      <c r="B4913" s="1" t="n">
        <v>44403</v>
      </c>
      <c r="C4913" s="1" t="n">
        <v>45357</v>
      </c>
      <c r="D4913" t="inlineStr">
        <is>
          <t>VÄSTERBOTTENS LÄN</t>
        </is>
      </c>
      <c r="E4913" t="inlineStr">
        <is>
          <t>LYCKSELE</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38026-2021</t>
        </is>
      </c>
      <c r="B4914" s="1" t="n">
        <v>44404</v>
      </c>
      <c r="C4914" s="1" t="n">
        <v>45357</v>
      </c>
      <c r="D4914" t="inlineStr">
        <is>
          <t>VÄSTERBOTTENS LÄN</t>
        </is>
      </c>
      <c r="E4914" t="inlineStr">
        <is>
          <t>SKELLEFTEÅ</t>
        </is>
      </c>
      <c r="F4914" t="inlineStr">
        <is>
          <t>Holmen skog AB</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38172-2021</t>
        </is>
      </c>
      <c r="B4915" s="1" t="n">
        <v>44405</v>
      </c>
      <c r="C4915" s="1" t="n">
        <v>45357</v>
      </c>
      <c r="D4915" t="inlineStr">
        <is>
          <t>VÄSTERBOTTENS LÄN</t>
        </is>
      </c>
      <c r="E4915" t="inlineStr">
        <is>
          <t>NORSJÖ</t>
        </is>
      </c>
      <c r="F4915" t="inlineStr">
        <is>
          <t>Holmen skog AB</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38241-2021</t>
        </is>
      </c>
      <c r="B4916" s="1" t="n">
        <v>44405</v>
      </c>
      <c r="C4916" s="1" t="n">
        <v>45357</v>
      </c>
      <c r="D4916" t="inlineStr">
        <is>
          <t>VÄSTERBOTTENS LÄN</t>
        </is>
      </c>
      <c r="E4916" t="inlineStr">
        <is>
          <t>NORSJÖ</t>
        </is>
      </c>
      <c r="F4916" t="inlineStr">
        <is>
          <t>Holmen skog AB</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38210-2021</t>
        </is>
      </c>
      <c r="B4917" s="1" t="n">
        <v>44405</v>
      </c>
      <c r="C4917" s="1" t="n">
        <v>45357</v>
      </c>
      <c r="D4917" t="inlineStr">
        <is>
          <t>VÄSTERBOTTENS LÄN</t>
        </is>
      </c>
      <c r="E4917" t="inlineStr">
        <is>
          <t>NORSJÖ</t>
        </is>
      </c>
      <c r="F4917" t="inlineStr">
        <is>
          <t>Holmen skog AB</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38260-2021</t>
        </is>
      </c>
      <c r="B4918" s="1" t="n">
        <v>44405</v>
      </c>
      <c r="C4918" s="1" t="n">
        <v>45357</v>
      </c>
      <c r="D4918" t="inlineStr">
        <is>
          <t>VÄSTERBOTTENS LÄN</t>
        </is>
      </c>
      <c r="E4918" t="inlineStr">
        <is>
          <t>SKELLEFTEÅ</t>
        </is>
      </c>
      <c r="G4918" t="n">
        <v>8.5</v>
      </c>
      <c r="H4918" t="n">
        <v>0</v>
      </c>
      <c r="I4918" t="n">
        <v>0</v>
      </c>
      <c r="J4918" t="n">
        <v>0</v>
      </c>
      <c r="K4918" t="n">
        <v>0</v>
      </c>
      <c r="L4918" t="n">
        <v>0</v>
      </c>
      <c r="M4918" t="n">
        <v>0</v>
      </c>
      <c r="N4918" t="n">
        <v>0</v>
      </c>
      <c r="O4918" t="n">
        <v>0</v>
      </c>
      <c r="P4918" t="n">
        <v>0</v>
      </c>
      <c r="Q4918" t="n">
        <v>0</v>
      </c>
      <c r="R4918" s="2" t="inlineStr"/>
    </row>
    <row r="4919" ht="15" customHeight="1">
      <c r="A4919" t="inlineStr">
        <is>
          <t>A 38712-2021</t>
        </is>
      </c>
      <c r="B4919" s="1" t="n">
        <v>44405</v>
      </c>
      <c r="C4919" s="1" t="n">
        <v>45357</v>
      </c>
      <c r="D4919" t="inlineStr">
        <is>
          <t>VÄSTERBOTTENS LÄN</t>
        </is>
      </c>
      <c r="E4919" t="inlineStr">
        <is>
          <t>LYCKSELE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38327-2021</t>
        </is>
      </c>
      <c r="B4920" s="1" t="n">
        <v>44406</v>
      </c>
      <c r="C4920" s="1" t="n">
        <v>45357</v>
      </c>
      <c r="D4920" t="inlineStr">
        <is>
          <t>VÄSTERBOTTENS LÄN</t>
        </is>
      </c>
      <c r="E4920" t="inlineStr">
        <is>
          <t>VILHELMINA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38391-2021</t>
        </is>
      </c>
      <c r="B4921" s="1" t="n">
        <v>44406</v>
      </c>
      <c r="C4921" s="1" t="n">
        <v>45357</v>
      </c>
      <c r="D4921" t="inlineStr">
        <is>
          <t>VÄSTERBOTTENS LÄN</t>
        </is>
      </c>
      <c r="E4921" t="inlineStr">
        <is>
          <t>UMEÅ</t>
        </is>
      </c>
      <c r="F4921" t="inlineStr">
        <is>
          <t>Kommuner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38434-2021</t>
        </is>
      </c>
      <c r="B4922" s="1" t="n">
        <v>44406</v>
      </c>
      <c r="C4922" s="1" t="n">
        <v>45357</v>
      </c>
      <c r="D4922" t="inlineStr">
        <is>
          <t>VÄSTERBOTTENS LÄN</t>
        </is>
      </c>
      <c r="E4922" t="inlineStr">
        <is>
          <t>UMEÅ</t>
        </is>
      </c>
      <c r="F4922" t="inlineStr">
        <is>
          <t>Kommuner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38394-2021</t>
        </is>
      </c>
      <c r="B4923" s="1" t="n">
        <v>44406</v>
      </c>
      <c r="C4923" s="1" t="n">
        <v>45357</v>
      </c>
      <c r="D4923" t="inlineStr">
        <is>
          <t>VÄSTERBOTTENS LÄN</t>
        </is>
      </c>
      <c r="E4923" t="inlineStr">
        <is>
          <t>UMEÅ</t>
        </is>
      </c>
      <c r="F4923" t="inlineStr">
        <is>
          <t>Kommuner</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38398-2021</t>
        </is>
      </c>
      <c r="B4924" s="1" t="n">
        <v>44406</v>
      </c>
      <c r="C4924" s="1" t="n">
        <v>45357</v>
      </c>
      <c r="D4924" t="inlineStr">
        <is>
          <t>VÄSTERBOTTENS LÄN</t>
        </is>
      </c>
      <c r="E4924" t="inlineStr">
        <is>
          <t>UMEÅ</t>
        </is>
      </c>
      <c r="F4924" t="inlineStr">
        <is>
          <t>Kommuner</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38403-2021</t>
        </is>
      </c>
      <c r="B4925" s="1" t="n">
        <v>44406</v>
      </c>
      <c r="C4925" s="1" t="n">
        <v>45357</v>
      </c>
      <c r="D4925" t="inlineStr">
        <is>
          <t>VÄSTERBOTTENS LÄN</t>
        </is>
      </c>
      <c r="E4925" t="inlineStr">
        <is>
          <t>UMEÅ</t>
        </is>
      </c>
      <c r="F4925" t="inlineStr">
        <is>
          <t>Övriga statliga verk och myndigheter</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38397-2021</t>
        </is>
      </c>
      <c r="B4926" s="1" t="n">
        <v>44406</v>
      </c>
      <c r="C4926" s="1" t="n">
        <v>45357</v>
      </c>
      <c r="D4926" t="inlineStr">
        <is>
          <t>VÄSTERBOTTENS LÄN</t>
        </is>
      </c>
      <c r="E4926" t="inlineStr">
        <is>
          <t>UMEÅ</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38402-2021</t>
        </is>
      </c>
      <c r="B4927" s="1" t="n">
        <v>44406</v>
      </c>
      <c r="C4927" s="1" t="n">
        <v>45357</v>
      </c>
      <c r="D4927" t="inlineStr">
        <is>
          <t>VÄSTERBOTTENS LÄN</t>
        </is>
      </c>
      <c r="E4927" t="inlineStr">
        <is>
          <t>UMEÅ</t>
        </is>
      </c>
      <c r="F4927" t="inlineStr">
        <is>
          <t>Kommuner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38435-2021</t>
        </is>
      </c>
      <c r="B4928" s="1" t="n">
        <v>44406</v>
      </c>
      <c r="C4928" s="1" t="n">
        <v>45357</v>
      </c>
      <c r="D4928" t="inlineStr">
        <is>
          <t>VÄSTERBOTTENS LÄN</t>
        </is>
      </c>
      <c r="E4928" t="inlineStr">
        <is>
          <t>UMEÅ</t>
        </is>
      </c>
      <c r="F4928" t="inlineStr">
        <is>
          <t>Övriga statliga verk och myndigheter</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38395-2021</t>
        </is>
      </c>
      <c r="B4929" s="1" t="n">
        <v>44406</v>
      </c>
      <c r="C4929" s="1" t="n">
        <v>45357</v>
      </c>
      <c r="D4929" t="inlineStr">
        <is>
          <t>VÄSTERBOTTENS LÄN</t>
        </is>
      </c>
      <c r="E4929" t="inlineStr">
        <is>
          <t>UMEÅ</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38399-2021</t>
        </is>
      </c>
      <c r="B4930" s="1" t="n">
        <v>44406</v>
      </c>
      <c r="C4930" s="1" t="n">
        <v>45357</v>
      </c>
      <c r="D4930" t="inlineStr">
        <is>
          <t>VÄSTERBOTTENS LÄN</t>
        </is>
      </c>
      <c r="E4930" t="inlineStr">
        <is>
          <t>UMEÅ</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38406-2021</t>
        </is>
      </c>
      <c r="B4931" s="1" t="n">
        <v>44406</v>
      </c>
      <c r="C4931" s="1" t="n">
        <v>45357</v>
      </c>
      <c r="D4931" t="inlineStr">
        <is>
          <t>VÄSTERBOTTENS LÄN</t>
        </is>
      </c>
      <c r="E4931" t="inlineStr">
        <is>
          <t>UMEÅ</t>
        </is>
      </c>
      <c r="F4931" t="inlineStr">
        <is>
          <t>Kommuner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38438-2021</t>
        </is>
      </c>
      <c r="B4932" s="1" t="n">
        <v>44406</v>
      </c>
      <c r="C4932" s="1" t="n">
        <v>45357</v>
      </c>
      <c r="D4932" t="inlineStr">
        <is>
          <t>VÄSTERBOTTENS LÄN</t>
        </is>
      </c>
      <c r="E4932" t="inlineStr">
        <is>
          <t>UMEÅ</t>
        </is>
      </c>
      <c r="F4932" t="inlineStr">
        <is>
          <t>Övriga statliga verk och myndigheter</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38445-2021</t>
        </is>
      </c>
      <c r="B4933" s="1" t="n">
        <v>44406</v>
      </c>
      <c r="C4933" s="1" t="n">
        <v>45357</v>
      </c>
      <c r="D4933" t="inlineStr">
        <is>
          <t>VÄSTERBOTTENS LÄN</t>
        </is>
      </c>
      <c r="E4933" t="inlineStr">
        <is>
          <t>UMEÅ</t>
        </is>
      </c>
      <c r="F4933" t="inlineStr">
        <is>
          <t>Övriga statliga verk och myndigheter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38439-2021</t>
        </is>
      </c>
      <c r="B4934" s="1" t="n">
        <v>44406</v>
      </c>
      <c r="C4934" s="1" t="n">
        <v>45357</v>
      </c>
      <c r="D4934" t="inlineStr">
        <is>
          <t>VÄSTERBOTTENS LÄN</t>
        </is>
      </c>
      <c r="E4934" t="inlineStr">
        <is>
          <t>UMEÅ</t>
        </is>
      </c>
      <c r="F4934" t="inlineStr">
        <is>
          <t>Kommuner</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38447-2021</t>
        </is>
      </c>
      <c r="B4935" s="1" t="n">
        <v>44406</v>
      </c>
      <c r="C4935" s="1" t="n">
        <v>45357</v>
      </c>
      <c r="D4935" t="inlineStr">
        <is>
          <t>VÄSTERBOTTENS LÄN</t>
        </is>
      </c>
      <c r="E4935" t="inlineStr">
        <is>
          <t>UMEÅ</t>
        </is>
      </c>
      <c r="F4935" t="inlineStr">
        <is>
          <t>Övriga statliga verk och myndigheter</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38449-2021</t>
        </is>
      </c>
      <c r="B4936" s="1" t="n">
        <v>44406</v>
      </c>
      <c r="C4936" s="1" t="n">
        <v>45357</v>
      </c>
      <c r="D4936" t="inlineStr">
        <is>
          <t>VÄSTERBOTTENS LÄN</t>
        </is>
      </c>
      <c r="E4936" t="inlineStr">
        <is>
          <t>UMEÅ</t>
        </is>
      </c>
      <c r="F4936" t="inlineStr">
        <is>
          <t>Kommuner</t>
        </is>
      </c>
      <c r="G4936" t="n">
        <v>0.1</v>
      </c>
      <c r="H4936" t="n">
        <v>0</v>
      </c>
      <c r="I4936" t="n">
        <v>0</v>
      </c>
      <c r="J4936" t="n">
        <v>0</v>
      </c>
      <c r="K4936" t="n">
        <v>0</v>
      </c>
      <c r="L4936" t="n">
        <v>0</v>
      </c>
      <c r="M4936" t="n">
        <v>0</v>
      </c>
      <c r="N4936" t="n">
        <v>0</v>
      </c>
      <c r="O4936" t="n">
        <v>0</v>
      </c>
      <c r="P4936" t="n">
        <v>0</v>
      </c>
      <c r="Q4936" t="n">
        <v>0</v>
      </c>
      <c r="R4936" s="2" t="inlineStr"/>
    </row>
    <row r="4937" ht="15" customHeight="1">
      <c r="A4937" t="inlineStr">
        <is>
          <t>A 38504-2021</t>
        </is>
      </c>
      <c r="B4937" s="1" t="n">
        <v>44407</v>
      </c>
      <c r="C4937" s="1" t="n">
        <v>45357</v>
      </c>
      <c r="D4937" t="inlineStr">
        <is>
          <t>VÄSTERBOTTENS LÄN</t>
        </is>
      </c>
      <c r="E4937" t="inlineStr">
        <is>
          <t>SKELLEFTEÅ</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38515-2021</t>
        </is>
      </c>
      <c r="B4938" s="1" t="n">
        <v>44407</v>
      </c>
      <c r="C4938" s="1" t="n">
        <v>45357</v>
      </c>
      <c r="D4938" t="inlineStr">
        <is>
          <t>VÄSTERBOTTENS LÄN</t>
        </is>
      </c>
      <c r="E4938" t="inlineStr">
        <is>
          <t>UMEÅ</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38537-2021</t>
        </is>
      </c>
      <c r="B4939" s="1" t="n">
        <v>44407</v>
      </c>
      <c r="C4939" s="1" t="n">
        <v>45357</v>
      </c>
      <c r="D4939" t="inlineStr">
        <is>
          <t>VÄSTERBOTTENS LÄN</t>
        </is>
      </c>
      <c r="E4939" t="inlineStr">
        <is>
          <t>UMEÅ</t>
        </is>
      </c>
      <c r="F4939" t="inlineStr">
        <is>
          <t>Kommuner</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38503-2021</t>
        </is>
      </c>
      <c r="B4940" s="1" t="n">
        <v>44407</v>
      </c>
      <c r="C4940" s="1" t="n">
        <v>45357</v>
      </c>
      <c r="D4940" t="inlineStr">
        <is>
          <t>VÄSTERBOTTENS LÄN</t>
        </is>
      </c>
      <c r="E4940" t="inlineStr">
        <is>
          <t>UMEÅ</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38220-2021</t>
        </is>
      </c>
      <c r="B4941" s="1" t="n">
        <v>44407</v>
      </c>
      <c r="C4941" s="1" t="n">
        <v>45357</v>
      </c>
      <c r="D4941" t="inlineStr">
        <is>
          <t>VÄSTERBOTTENS LÄN</t>
        </is>
      </c>
      <c r="E4941" t="inlineStr">
        <is>
          <t>UMEÅ</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38475-2021</t>
        </is>
      </c>
      <c r="B4942" s="1" t="n">
        <v>44407</v>
      </c>
      <c r="C4942" s="1" t="n">
        <v>45357</v>
      </c>
      <c r="D4942" t="inlineStr">
        <is>
          <t>VÄSTERBOTTENS LÄN</t>
        </is>
      </c>
      <c r="E4942" t="inlineStr">
        <is>
          <t>ÅSELE</t>
        </is>
      </c>
      <c r="F4942" t="inlineStr">
        <is>
          <t>Naturvårdsverket</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38506-2021</t>
        </is>
      </c>
      <c r="B4943" s="1" t="n">
        <v>44407</v>
      </c>
      <c r="C4943" s="1" t="n">
        <v>45357</v>
      </c>
      <c r="D4943" t="inlineStr">
        <is>
          <t>VÄSTERBOTTENS LÄN</t>
        </is>
      </c>
      <c r="E4943" t="inlineStr">
        <is>
          <t>SKELLEFTEÅ</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38472-2021</t>
        </is>
      </c>
      <c r="B4944" s="1" t="n">
        <v>44407</v>
      </c>
      <c r="C4944" s="1" t="n">
        <v>45357</v>
      </c>
      <c r="D4944" t="inlineStr">
        <is>
          <t>VÄSTERBOTTENS LÄN</t>
        </is>
      </c>
      <c r="E4944" t="inlineStr">
        <is>
          <t>ÅSELE</t>
        </is>
      </c>
      <c r="F4944" t="inlineStr">
        <is>
          <t>Holmen skog AB</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38505-2021</t>
        </is>
      </c>
      <c r="B4945" s="1" t="n">
        <v>44407</v>
      </c>
      <c r="C4945" s="1" t="n">
        <v>45357</v>
      </c>
      <c r="D4945" t="inlineStr">
        <is>
          <t>VÄSTERBOTTENS LÄN</t>
        </is>
      </c>
      <c r="E4945" t="inlineStr">
        <is>
          <t>SKELLEFTEÅ</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38514-2021</t>
        </is>
      </c>
      <c r="B4946" s="1" t="n">
        <v>44407</v>
      </c>
      <c r="C4946" s="1" t="n">
        <v>45357</v>
      </c>
      <c r="D4946" t="inlineStr">
        <is>
          <t>VÄSTERBOTTENS LÄN</t>
        </is>
      </c>
      <c r="E4946" t="inlineStr">
        <is>
          <t>UMEÅ</t>
        </is>
      </c>
      <c r="F4946" t="inlineStr">
        <is>
          <t>Kommuner</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38519-2021</t>
        </is>
      </c>
      <c r="B4947" s="1" t="n">
        <v>44407</v>
      </c>
      <c r="C4947" s="1" t="n">
        <v>45357</v>
      </c>
      <c r="D4947" t="inlineStr">
        <is>
          <t>VÄSTERBOTTENS LÄN</t>
        </is>
      </c>
      <c r="E4947" t="inlineStr">
        <is>
          <t>UMEÅ</t>
        </is>
      </c>
      <c r="F4947" t="inlineStr">
        <is>
          <t>Kommuner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38535-2021</t>
        </is>
      </c>
      <c r="B4948" s="1" t="n">
        <v>44407</v>
      </c>
      <c r="C4948" s="1" t="n">
        <v>45357</v>
      </c>
      <c r="D4948" t="inlineStr">
        <is>
          <t>VÄSTERBOTTENS LÄN</t>
        </is>
      </c>
      <c r="E4948" t="inlineStr">
        <is>
          <t>UMEÅ</t>
        </is>
      </c>
      <c r="F4948" t="inlineStr">
        <is>
          <t>Kommuner</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38516-2021</t>
        </is>
      </c>
      <c r="B4949" s="1" t="n">
        <v>44407</v>
      </c>
      <c r="C4949" s="1" t="n">
        <v>45357</v>
      </c>
      <c r="D4949" t="inlineStr">
        <is>
          <t>VÄSTERBOTTENS LÄN</t>
        </is>
      </c>
      <c r="E4949" t="inlineStr">
        <is>
          <t>UMEÅ</t>
        </is>
      </c>
      <c r="F4949" t="inlineStr">
        <is>
          <t>Kommuner</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38523-2021</t>
        </is>
      </c>
      <c r="B4950" s="1" t="n">
        <v>44407</v>
      </c>
      <c r="C4950" s="1" t="n">
        <v>45357</v>
      </c>
      <c r="D4950" t="inlineStr">
        <is>
          <t>VÄSTERBOTTENS LÄN</t>
        </is>
      </c>
      <c r="E4950" t="inlineStr">
        <is>
          <t>UMEÅ</t>
        </is>
      </c>
      <c r="F4950" t="inlineStr">
        <is>
          <t>Kommuner</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38541-2021</t>
        </is>
      </c>
      <c r="B4951" s="1" t="n">
        <v>44407</v>
      </c>
      <c r="C4951" s="1" t="n">
        <v>45357</v>
      </c>
      <c r="D4951" t="inlineStr">
        <is>
          <t>VÄSTERBOTTENS LÄN</t>
        </is>
      </c>
      <c r="E4951" t="inlineStr">
        <is>
          <t>UMEÅ</t>
        </is>
      </c>
      <c r="F4951" t="inlineStr">
        <is>
          <t>Kommuner</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38547-2021</t>
        </is>
      </c>
      <c r="B4952" s="1" t="n">
        <v>44407</v>
      </c>
      <c r="C4952" s="1" t="n">
        <v>45357</v>
      </c>
      <c r="D4952" t="inlineStr">
        <is>
          <t>VÄSTERBOTTENS LÄN</t>
        </is>
      </c>
      <c r="E4952" t="inlineStr">
        <is>
          <t>UMEÅ</t>
        </is>
      </c>
      <c r="F4952" t="inlineStr">
        <is>
          <t>Kommuner</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38544-2021</t>
        </is>
      </c>
      <c r="B4953" s="1" t="n">
        <v>44407</v>
      </c>
      <c r="C4953" s="1" t="n">
        <v>45357</v>
      </c>
      <c r="D4953" t="inlineStr">
        <is>
          <t>VÄSTERBOTTENS LÄN</t>
        </is>
      </c>
      <c r="E4953" t="inlineStr">
        <is>
          <t>LYCKSELE</t>
        </is>
      </c>
      <c r="F4953" t="inlineStr">
        <is>
          <t>Sveaskog</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38559-2021</t>
        </is>
      </c>
      <c r="B4954" s="1" t="n">
        <v>44407</v>
      </c>
      <c r="C4954" s="1" t="n">
        <v>45357</v>
      </c>
      <c r="D4954" t="inlineStr">
        <is>
          <t>VÄSTERBOTTENS LÄN</t>
        </is>
      </c>
      <c r="E4954" t="inlineStr">
        <is>
          <t>UMEÅ</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38517-2021</t>
        </is>
      </c>
      <c r="B4955" s="1" t="n">
        <v>44407</v>
      </c>
      <c r="C4955" s="1" t="n">
        <v>45357</v>
      </c>
      <c r="D4955" t="inlineStr">
        <is>
          <t>VÄSTERBOTTENS LÄN</t>
        </is>
      </c>
      <c r="E4955" t="inlineStr">
        <is>
          <t>UMEÅ</t>
        </is>
      </c>
      <c r="F4955" t="inlineStr">
        <is>
          <t>Kommuner</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38524-2021</t>
        </is>
      </c>
      <c r="B4956" s="1" t="n">
        <v>44407</v>
      </c>
      <c r="C4956" s="1" t="n">
        <v>45357</v>
      </c>
      <c r="D4956" t="inlineStr">
        <is>
          <t>VÄSTERBOTTENS LÄN</t>
        </is>
      </c>
      <c r="E4956" t="inlineStr">
        <is>
          <t>UMEÅ</t>
        </is>
      </c>
      <c r="F4956" t="inlineStr">
        <is>
          <t>Kommuner</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38543-2021</t>
        </is>
      </c>
      <c r="B4957" s="1" t="n">
        <v>44407</v>
      </c>
      <c r="C4957" s="1" t="n">
        <v>45357</v>
      </c>
      <c r="D4957" t="inlineStr">
        <is>
          <t>VÄSTERBOTTENS LÄN</t>
        </is>
      </c>
      <c r="E4957" t="inlineStr">
        <is>
          <t>UMEÅ</t>
        </is>
      </c>
      <c r="F4957" t="inlineStr">
        <is>
          <t>Kommuner</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38560-2021</t>
        </is>
      </c>
      <c r="B4958" s="1" t="n">
        <v>44407</v>
      </c>
      <c r="C4958" s="1" t="n">
        <v>45357</v>
      </c>
      <c r="D4958" t="inlineStr">
        <is>
          <t>VÄSTERBOTTENS LÄN</t>
        </is>
      </c>
      <c r="E4958" t="inlineStr">
        <is>
          <t>UMEÅ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38681-2021</t>
        </is>
      </c>
      <c r="B4959" s="1" t="n">
        <v>44407</v>
      </c>
      <c r="C4959" s="1" t="n">
        <v>45357</v>
      </c>
      <c r="D4959" t="inlineStr">
        <is>
          <t>VÄSTERBOTTENS LÄN</t>
        </is>
      </c>
      <c r="E4959" t="inlineStr">
        <is>
          <t>UMEÅ</t>
        </is>
      </c>
      <c r="F4959" t="inlineStr">
        <is>
          <t>Kommuner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38590-2021</t>
        </is>
      </c>
      <c r="B4960" s="1" t="n">
        <v>44407</v>
      </c>
      <c r="C4960" s="1" t="n">
        <v>45357</v>
      </c>
      <c r="D4960" t="inlineStr">
        <is>
          <t>VÄSTERBOTTENS LÄN</t>
        </is>
      </c>
      <c r="E4960" t="inlineStr">
        <is>
          <t>ÅSELE</t>
        </is>
      </c>
      <c r="F4960" t="inlineStr">
        <is>
          <t>SCA</t>
        </is>
      </c>
      <c r="G4960" t="n">
        <v>107.3</v>
      </c>
      <c r="H4960" t="n">
        <v>0</v>
      </c>
      <c r="I4960" t="n">
        <v>0</v>
      </c>
      <c r="J4960" t="n">
        <v>0</v>
      </c>
      <c r="K4960" t="n">
        <v>0</v>
      </c>
      <c r="L4960" t="n">
        <v>0</v>
      </c>
      <c r="M4960" t="n">
        <v>0</v>
      </c>
      <c r="N4960" t="n">
        <v>0</v>
      </c>
      <c r="O4960" t="n">
        <v>0</v>
      </c>
      <c r="P4960" t="n">
        <v>0</v>
      </c>
      <c r="Q4960" t="n">
        <v>0</v>
      </c>
      <c r="R4960" s="2" t="inlineStr"/>
    </row>
    <row r="4961" ht="15" customHeight="1">
      <c r="A4961" t="inlineStr">
        <is>
          <t>A 38679-2021</t>
        </is>
      </c>
      <c r="B4961" s="1" t="n">
        <v>44407</v>
      </c>
      <c r="C4961" s="1" t="n">
        <v>45357</v>
      </c>
      <c r="D4961" t="inlineStr">
        <is>
          <t>VÄSTERBOTTENS LÄN</t>
        </is>
      </c>
      <c r="E4961" t="inlineStr">
        <is>
          <t>UMEÅ</t>
        </is>
      </c>
      <c r="F4961" t="inlineStr">
        <is>
          <t>Kommuner</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38685-2021</t>
        </is>
      </c>
      <c r="B4962" s="1" t="n">
        <v>44407</v>
      </c>
      <c r="C4962" s="1" t="n">
        <v>45357</v>
      </c>
      <c r="D4962" t="inlineStr">
        <is>
          <t>VÄSTERBOTTENS LÄN</t>
        </is>
      </c>
      <c r="E4962" t="inlineStr">
        <is>
          <t>UMEÅ</t>
        </is>
      </c>
      <c r="F4962" t="inlineStr">
        <is>
          <t>Kommuner</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38690-2021</t>
        </is>
      </c>
      <c r="B4963" s="1" t="n">
        <v>44407</v>
      </c>
      <c r="C4963" s="1" t="n">
        <v>45357</v>
      </c>
      <c r="D4963" t="inlineStr">
        <is>
          <t>VÄSTERBOTTENS LÄN</t>
        </is>
      </c>
      <c r="E4963" t="inlineStr">
        <is>
          <t>UMEÅ</t>
        </is>
      </c>
      <c r="F4963" t="inlineStr">
        <is>
          <t>Kommuner</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38683-2021</t>
        </is>
      </c>
      <c r="B4964" s="1" t="n">
        <v>44407</v>
      </c>
      <c r="C4964" s="1" t="n">
        <v>45357</v>
      </c>
      <c r="D4964" t="inlineStr">
        <is>
          <t>VÄSTERBOTTENS LÄN</t>
        </is>
      </c>
      <c r="E4964" t="inlineStr">
        <is>
          <t>UMEÅ</t>
        </is>
      </c>
      <c r="F4964" t="inlineStr">
        <is>
          <t>Kommuner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38691-2021</t>
        </is>
      </c>
      <c r="B4965" s="1" t="n">
        <v>44407</v>
      </c>
      <c r="C4965" s="1" t="n">
        <v>45357</v>
      </c>
      <c r="D4965" t="inlineStr">
        <is>
          <t>VÄSTERBOTTENS LÄN</t>
        </is>
      </c>
      <c r="E4965" t="inlineStr">
        <is>
          <t>UMEÅ</t>
        </is>
      </c>
      <c r="F4965" t="inlineStr">
        <is>
          <t>Kommuner</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38684-2021</t>
        </is>
      </c>
      <c r="B4966" s="1" t="n">
        <v>44407</v>
      </c>
      <c r="C4966" s="1" t="n">
        <v>45357</v>
      </c>
      <c r="D4966" t="inlineStr">
        <is>
          <t>VÄSTERBOTTENS LÄN</t>
        </is>
      </c>
      <c r="E4966" t="inlineStr">
        <is>
          <t>UMEÅ</t>
        </is>
      </c>
      <c r="F4966" t="inlineStr">
        <is>
          <t>Kommuner</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38729-2021</t>
        </is>
      </c>
      <c r="B4967" s="1" t="n">
        <v>44410</v>
      </c>
      <c r="C4967" s="1" t="n">
        <v>45357</v>
      </c>
      <c r="D4967" t="inlineStr">
        <is>
          <t>VÄSTERBOTTENS LÄN</t>
        </is>
      </c>
      <c r="E4967" t="inlineStr">
        <is>
          <t>UMEÅ</t>
        </is>
      </c>
      <c r="F4967" t="inlineStr">
        <is>
          <t>Kommuner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38746-2021</t>
        </is>
      </c>
      <c r="B4968" s="1" t="n">
        <v>44410</v>
      </c>
      <c r="C4968" s="1" t="n">
        <v>45357</v>
      </c>
      <c r="D4968" t="inlineStr">
        <is>
          <t>VÄSTERBOTTENS LÄN</t>
        </is>
      </c>
      <c r="E4968" t="inlineStr">
        <is>
          <t>UMEÅ</t>
        </is>
      </c>
      <c r="F4968" t="inlineStr">
        <is>
          <t>Övriga statliga verk och myndigheter</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38720-2021</t>
        </is>
      </c>
      <c r="B4969" s="1" t="n">
        <v>44410</v>
      </c>
      <c r="C4969" s="1" t="n">
        <v>45357</v>
      </c>
      <c r="D4969" t="inlineStr">
        <is>
          <t>VÄSTERBOTTENS LÄN</t>
        </is>
      </c>
      <c r="E4969" t="inlineStr">
        <is>
          <t>UMEÅ</t>
        </is>
      </c>
      <c r="F4969" t="inlineStr">
        <is>
          <t>Kommuner</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38725-2021</t>
        </is>
      </c>
      <c r="B4970" s="1" t="n">
        <v>44410</v>
      </c>
      <c r="C4970" s="1" t="n">
        <v>45357</v>
      </c>
      <c r="D4970" t="inlineStr">
        <is>
          <t>VÄSTERBOTTENS LÄN</t>
        </is>
      </c>
      <c r="E4970" t="inlineStr">
        <is>
          <t>UMEÅ</t>
        </is>
      </c>
      <c r="F4970" t="inlineStr">
        <is>
          <t>Övriga statliga verk och myndigheter</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38731-2021</t>
        </is>
      </c>
      <c r="B4971" s="1" t="n">
        <v>44410</v>
      </c>
      <c r="C4971" s="1" t="n">
        <v>45357</v>
      </c>
      <c r="D4971" t="inlineStr">
        <is>
          <t>VÄSTERBOTTENS LÄN</t>
        </is>
      </c>
      <c r="E4971" t="inlineStr">
        <is>
          <t>UMEÅ</t>
        </is>
      </c>
      <c r="F4971" t="inlineStr">
        <is>
          <t>Kommuner</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38739-2021</t>
        </is>
      </c>
      <c r="B4972" s="1" t="n">
        <v>44410</v>
      </c>
      <c r="C4972" s="1" t="n">
        <v>45357</v>
      </c>
      <c r="D4972" t="inlineStr">
        <is>
          <t>VÄSTERBOTTENS LÄN</t>
        </is>
      </c>
      <c r="E4972" t="inlineStr">
        <is>
          <t>UMEÅ</t>
        </is>
      </c>
      <c r="F4972" t="inlineStr">
        <is>
          <t>Kommuner</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38750-2021</t>
        </is>
      </c>
      <c r="B4973" s="1" t="n">
        <v>44410</v>
      </c>
      <c r="C4973" s="1" t="n">
        <v>45357</v>
      </c>
      <c r="D4973" t="inlineStr">
        <is>
          <t>VÄSTERBOTTENS LÄN</t>
        </is>
      </c>
      <c r="E4973" t="inlineStr">
        <is>
          <t>UMEÅ</t>
        </is>
      </c>
      <c r="F4973" t="inlineStr">
        <is>
          <t>Kommuner</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38721-2021</t>
        </is>
      </c>
      <c r="B4974" s="1" t="n">
        <v>44410</v>
      </c>
      <c r="C4974" s="1" t="n">
        <v>45357</v>
      </c>
      <c r="D4974" t="inlineStr">
        <is>
          <t>VÄSTERBOTTENS LÄN</t>
        </is>
      </c>
      <c r="E4974" t="inlineStr">
        <is>
          <t>UMEÅ</t>
        </is>
      </c>
      <c r="F4974" t="inlineStr">
        <is>
          <t>Kommuner</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38717-2021</t>
        </is>
      </c>
      <c r="B4975" s="1" t="n">
        <v>44410</v>
      </c>
      <c r="C4975" s="1" t="n">
        <v>45357</v>
      </c>
      <c r="D4975" t="inlineStr">
        <is>
          <t>VÄSTERBOTTENS LÄN</t>
        </is>
      </c>
      <c r="E4975" t="inlineStr">
        <is>
          <t>UMEÅ</t>
        </is>
      </c>
      <c r="F4975" t="inlineStr">
        <is>
          <t>Kommuner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38722-2021</t>
        </is>
      </c>
      <c r="B4976" s="1" t="n">
        <v>44410</v>
      </c>
      <c r="C4976" s="1" t="n">
        <v>45357</v>
      </c>
      <c r="D4976" t="inlineStr">
        <is>
          <t>VÄSTERBOTTENS LÄN</t>
        </is>
      </c>
      <c r="E4976" t="inlineStr">
        <is>
          <t>UMEÅ</t>
        </is>
      </c>
      <c r="F4976" t="inlineStr">
        <is>
          <t>Övriga statliga verk och myndigheter</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38891-2021</t>
        </is>
      </c>
      <c r="B4977" s="1" t="n">
        <v>44410</v>
      </c>
      <c r="C4977" s="1" t="n">
        <v>45357</v>
      </c>
      <c r="D4977" t="inlineStr">
        <is>
          <t>VÄSTERBOTTENS LÄN</t>
        </is>
      </c>
      <c r="E4977" t="inlineStr">
        <is>
          <t>UMEÅ</t>
        </is>
      </c>
      <c r="F4977" t="inlineStr">
        <is>
          <t>Övriga statliga verk och myndigheter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38814-2021</t>
        </is>
      </c>
      <c r="B4978" s="1" t="n">
        <v>44411</v>
      </c>
      <c r="C4978" s="1" t="n">
        <v>45357</v>
      </c>
      <c r="D4978" t="inlineStr">
        <is>
          <t>VÄSTERBOTTENS LÄN</t>
        </is>
      </c>
      <c r="E4978" t="inlineStr">
        <is>
          <t>SORSELE</t>
        </is>
      </c>
      <c r="F4978" t="inlineStr">
        <is>
          <t>SCA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38893-2021</t>
        </is>
      </c>
      <c r="B4979" s="1" t="n">
        <v>44410</v>
      </c>
      <c r="C4979" s="1" t="n">
        <v>45357</v>
      </c>
      <c r="D4979" t="inlineStr">
        <is>
          <t>VÄSTERBOTTENS LÄN</t>
        </is>
      </c>
      <c r="E4979" t="inlineStr">
        <is>
          <t>UMEÅ</t>
        </is>
      </c>
      <c r="F4979" t="inlineStr">
        <is>
          <t>Övriga statliga verk och myndigheter</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38910-2021</t>
        </is>
      </c>
      <c r="B4980" s="1" t="n">
        <v>44410</v>
      </c>
      <c r="C4980" s="1" t="n">
        <v>45357</v>
      </c>
      <c r="D4980" t="inlineStr">
        <is>
          <t>VÄSTERBOTTENS LÄN</t>
        </is>
      </c>
      <c r="E4980" t="inlineStr">
        <is>
          <t>UMEÅ</t>
        </is>
      </c>
      <c r="F4980" t="inlineStr">
        <is>
          <t>Övriga statliga verk och myndigheter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38920-2021</t>
        </is>
      </c>
      <c r="B4981" s="1" t="n">
        <v>44410</v>
      </c>
      <c r="C4981" s="1" t="n">
        <v>45357</v>
      </c>
      <c r="D4981" t="inlineStr">
        <is>
          <t>VÄSTERBOTTENS LÄN</t>
        </is>
      </c>
      <c r="E4981" t="inlineStr">
        <is>
          <t>UMEÅ</t>
        </is>
      </c>
      <c r="F4981" t="inlineStr">
        <is>
          <t>Övriga statliga verk och myndigheter</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38781-2021</t>
        </is>
      </c>
      <c r="B4982" s="1" t="n">
        <v>44410</v>
      </c>
      <c r="C4982" s="1" t="n">
        <v>45357</v>
      </c>
      <c r="D4982" t="inlineStr">
        <is>
          <t>VÄSTERBOTTENS LÄN</t>
        </is>
      </c>
      <c r="E4982" t="inlineStr">
        <is>
          <t>DOROTEA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38895-2021</t>
        </is>
      </c>
      <c r="B4983" s="1" t="n">
        <v>44410</v>
      </c>
      <c r="C4983" s="1" t="n">
        <v>45357</v>
      </c>
      <c r="D4983" t="inlineStr">
        <is>
          <t>VÄSTERBOTTENS LÄN</t>
        </is>
      </c>
      <c r="E4983" t="inlineStr">
        <is>
          <t>UMEÅ</t>
        </is>
      </c>
      <c r="F4983" t="inlineStr">
        <is>
          <t>Övriga statliga verk och myndigheter</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38912-2021</t>
        </is>
      </c>
      <c r="B4984" s="1" t="n">
        <v>44410</v>
      </c>
      <c r="C4984" s="1" t="n">
        <v>45357</v>
      </c>
      <c r="D4984" t="inlineStr">
        <is>
          <t>VÄSTERBOTTENS LÄN</t>
        </is>
      </c>
      <c r="E4984" t="inlineStr">
        <is>
          <t>UMEÅ</t>
        </is>
      </c>
      <c r="F4984" t="inlineStr">
        <is>
          <t>Övriga statliga verk och myndigheter</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38921-2021</t>
        </is>
      </c>
      <c r="B4985" s="1" t="n">
        <v>44410</v>
      </c>
      <c r="C4985" s="1" t="n">
        <v>45357</v>
      </c>
      <c r="D4985" t="inlineStr">
        <is>
          <t>VÄSTERBOTTENS LÄN</t>
        </is>
      </c>
      <c r="E4985" t="inlineStr">
        <is>
          <t>UMEÅ</t>
        </is>
      </c>
      <c r="F4985" t="inlineStr">
        <is>
          <t>Övriga statliga verk och myndigheter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38906-2021</t>
        </is>
      </c>
      <c r="B4986" s="1" t="n">
        <v>44410</v>
      </c>
      <c r="C4986" s="1" t="n">
        <v>45357</v>
      </c>
      <c r="D4986" t="inlineStr">
        <is>
          <t>VÄSTERBOTTENS LÄN</t>
        </is>
      </c>
      <c r="E4986" t="inlineStr">
        <is>
          <t>UMEÅ</t>
        </is>
      </c>
      <c r="F4986" t="inlineStr">
        <is>
          <t>Övriga statliga verk och myndigheter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38915-2021</t>
        </is>
      </c>
      <c r="B4987" s="1" t="n">
        <v>44410</v>
      </c>
      <c r="C4987" s="1" t="n">
        <v>45357</v>
      </c>
      <c r="D4987" t="inlineStr">
        <is>
          <t>VÄSTERBOTTENS LÄN</t>
        </is>
      </c>
      <c r="E4987" t="inlineStr">
        <is>
          <t>UMEÅ</t>
        </is>
      </c>
      <c r="F4987" t="inlineStr">
        <is>
          <t>Övriga statliga verk och myndigheter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38923-2021</t>
        </is>
      </c>
      <c r="B4988" s="1" t="n">
        <v>44410</v>
      </c>
      <c r="C4988" s="1" t="n">
        <v>45357</v>
      </c>
      <c r="D4988" t="inlineStr">
        <is>
          <t>VÄSTERBOTTENS LÄN</t>
        </is>
      </c>
      <c r="E4988" t="inlineStr">
        <is>
          <t>UMEÅ</t>
        </is>
      </c>
      <c r="F4988" t="inlineStr">
        <is>
          <t>Övriga statliga verk och myndigheter</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38892-2021</t>
        </is>
      </c>
      <c r="B4989" s="1" t="n">
        <v>44410</v>
      </c>
      <c r="C4989" s="1" t="n">
        <v>45357</v>
      </c>
      <c r="D4989" t="inlineStr">
        <is>
          <t>VÄSTERBOTTENS LÄN</t>
        </is>
      </c>
      <c r="E4989" t="inlineStr">
        <is>
          <t>UMEÅ</t>
        </is>
      </c>
      <c r="F4989" t="inlineStr">
        <is>
          <t>Övriga statliga verk och myndigheter</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38909-2021</t>
        </is>
      </c>
      <c r="B4990" s="1" t="n">
        <v>44410</v>
      </c>
      <c r="C4990" s="1" t="n">
        <v>45357</v>
      </c>
      <c r="D4990" t="inlineStr">
        <is>
          <t>VÄSTERBOTTENS LÄN</t>
        </is>
      </c>
      <c r="E4990" t="inlineStr">
        <is>
          <t>UMEÅ</t>
        </is>
      </c>
      <c r="F4990" t="inlineStr">
        <is>
          <t>Övriga statliga verk och myndigheter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38918-2021</t>
        </is>
      </c>
      <c r="B4991" s="1" t="n">
        <v>44410</v>
      </c>
      <c r="C4991" s="1" t="n">
        <v>45357</v>
      </c>
      <c r="D4991" t="inlineStr">
        <is>
          <t>VÄSTERBOTTENS LÄN</t>
        </is>
      </c>
      <c r="E4991" t="inlineStr">
        <is>
          <t>UMEÅ</t>
        </is>
      </c>
      <c r="F4991" t="inlineStr">
        <is>
          <t>Övriga statliga verk och myndigheter</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38924-2021</t>
        </is>
      </c>
      <c r="B4992" s="1" t="n">
        <v>44410</v>
      </c>
      <c r="C4992" s="1" t="n">
        <v>45357</v>
      </c>
      <c r="D4992" t="inlineStr">
        <is>
          <t>VÄSTERBOTTENS LÄN</t>
        </is>
      </c>
      <c r="E4992" t="inlineStr">
        <is>
          <t>UMEÅ</t>
        </is>
      </c>
      <c r="F4992" t="inlineStr">
        <is>
          <t>Övriga statliga verk och myndigheter</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39035-2021</t>
        </is>
      </c>
      <c r="B4993" s="1" t="n">
        <v>44411</v>
      </c>
      <c r="C4993" s="1" t="n">
        <v>45357</v>
      </c>
      <c r="D4993" t="inlineStr">
        <is>
          <t>VÄSTERBOTTENS LÄN</t>
        </is>
      </c>
      <c r="E4993" t="inlineStr">
        <is>
          <t>SKELLEFTEÅ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39165-2021</t>
        </is>
      </c>
      <c r="B4994" s="1" t="n">
        <v>44412</v>
      </c>
      <c r="C4994" s="1" t="n">
        <v>45357</v>
      </c>
      <c r="D4994" t="inlineStr">
        <is>
          <t>VÄSTERBOTTENS LÄN</t>
        </is>
      </c>
      <c r="E4994" t="inlineStr">
        <is>
          <t>LYCKSELE</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39186-2021</t>
        </is>
      </c>
      <c r="B4995" s="1" t="n">
        <v>44412</v>
      </c>
      <c r="C4995" s="1" t="n">
        <v>45357</v>
      </c>
      <c r="D4995" t="inlineStr">
        <is>
          <t>VÄSTERBOTTENS LÄN</t>
        </is>
      </c>
      <c r="E4995" t="inlineStr">
        <is>
          <t>VILHELMINA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39588-2021</t>
        </is>
      </c>
      <c r="B4996" s="1" t="n">
        <v>44413</v>
      </c>
      <c r="C4996" s="1" t="n">
        <v>45357</v>
      </c>
      <c r="D4996" t="inlineStr">
        <is>
          <t>VÄSTERBOTTENS LÄN</t>
        </is>
      </c>
      <c r="E4996" t="inlineStr">
        <is>
          <t>MALÅ</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39623-2021</t>
        </is>
      </c>
      <c r="B4997" s="1" t="n">
        <v>44413</v>
      </c>
      <c r="C4997" s="1" t="n">
        <v>45357</v>
      </c>
      <c r="D4997" t="inlineStr">
        <is>
          <t>VÄSTERBOTTENS LÄN</t>
        </is>
      </c>
      <c r="E4997" t="inlineStr">
        <is>
          <t>SKELLEFTEÅ</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39185-2021</t>
        </is>
      </c>
      <c r="B4998" s="1" t="n">
        <v>44413</v>
      </c>
      <c r="C4998" s="1" t="n">
        <v>45357</v>
      </c>
      <c r="D4998" t="inlineStr">
        <is>
          <t>VÄSTERBOTTENS LÄN</t>
        </is>
      </c>
      <c r="E4998" t="inlineStr">
        <is>
          <t>SKELLEFTEÅ</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39277-2021</t>
        </is>
      </c>
      <c r="B4999" s="1" t="n">
        <v>44413</v>
      </c>
      <c r="C4999" s="1" t="n">
        <v>45357</v>
      </c>
      <c r="D4999" t="inlineStr">
        <is>
          <t>VÄSTERBOTTENS LÄN</t>
        </is>
      </c>
      <c r="E4999" t="inlineStr">
        <is>
          <t>SKELLEFTEÅ</t>
        </is>
      </c>
      <c r="F4999" t="inlineStr">
        <is>
          <t>Holmen skog AB</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39325-2021</t>
        </is>
      </c>
      <c r="B5000" s="1" t="n">
        <v>44414</v>
      </c>
      <c r="C5000" s="1" t="n">
        <v>45357</v>
      </c>
      <c r="D5000" t="inlineStr">
        <is>
          <t>VÄSTERBOTTENS LÄN</t>
        </is>
      </c>
      <c r="E5000" t="inlineStr">
        <is>
          <t>ROBERTSFORS</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39192-2021</t>
        </is>
      </c>
      <c r="B5001" s="1" t="n">
        <v>44413</v>
      </c>
      <c r="C5001" s="1" t="n">
        <v>45357</v>
      </c>
      <c r="D5001" t="inlineStr">
        <is>
          <t>VÄSTERBOTTENS LÄN</t>
        </is>
      </c>
      <c r="E5001" t="inlineStr">
        <is>
          <t>SKELLEFTEÅ</t>
        </is>
      </c>
      <c r="F5001" t="inlineStr">
        <is>
          <t>Holmen skog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39226-2021</t>
        </is>
      </c>
      <c r="B5002" s="1" t="n">
        <v>44413</v>
      </c>
      <c r="C5002" s="1" t="n">
        <v>45357</v>
      </c>
      <c r="D5002" t="inlineStr">
        <is>
          <t>VÄSTERBOTTENS LÄN</t>
        </is>
      </c>
      <c r="E5002" t="inlineStr">
        <is>
          <t>SKELLEFTEÅ</t>
        </is>
      </c>
      <c r="F5002" t="inlineStr">
        <is>
          <t>Holmen skog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39305-2021</t>
        </is>
      </c>
      <c r="B5003" s="1" t="n">
        <v>44413</v>
      </c>
      <c r="C5003" s="1" t="n">
        <v>45357</v>
      </c>
      <c r="D5003" t="inlineStr">
        <is>
          <t>VÄSTERBOTTENS LÄN</t>
        </is>
      </c>
      <c r="E5003" t="inlineStr">
        <is>
          <t>NORSJÖ</t>
        </is>
      </c>
      <c r="F5003" t="inlineStr">
        <is>
          <t>Holmen skog AB</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39589-2021</t>
        </is>
      </c>
      <c r="B5004" s="1" t="n">
        <v>44413</v>
      </c>
      <c r="C5004" s="1" t="n">
        <v>45357</v>
      </c>
      <c r="D5004" t="inlineStr">
        <is>
          <t>VÄSTERBOTTENS LÄN</t>
        </is>
      </c>
      <c r="E5004" t="inlineStr">
        <is>
          <t>SKELLEFTEÅ</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39324-2021</t>
        </is>
      </c>
      <c r="B5005" s="1" t="n">
        <v>44413</v>
      </c>
      <c r="C5005" s="1" t="n">
        <v>45357</v>
      </c>
      <c r="D5005" t="inlineStr">
        <is>
          <t>VÄSTERBOTTENS LÄN</t>
        </is>
      </c>
      <c r="E5005" t="inlineStr">
        <is>
          <t>ROBERTSFORS</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39590-2021</t>
        </is>
      </c>
      <c r="B5006" s="1" t="n">
        <v>44413</v>
      </c>
      <c r="C5006" s="1" t="n">
        <v>45357</v>
      </c>
      <c r="D5006" t="inlineStr">
        <is>
          <t>VÄSTERBOTTENS LÄN</t>
        </is>
      </c>
      <c r="E5006" t="inlineStr">
        <is>
          <t>SKELLEFTEÅ</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39509-2021</t>
        </is>
      </c>
      <c r="B5007" s="1" t="n">
        <v>44415</v>
      </c>
      <c r="C5007" s="1" t="n">
        <v>45357</v>
      </c>
      <c r="D5007" t="inlineStr">
        <is>
          <t>VÄSTERBOTTENS LÄN</t>
        </is>
      </c>
      <c r="E5007" t="inlineStr">
        <is>
          <t>VINDELN</t>
        </is>
      </c>
      <c r="F5007" t="inlineStr">
        <is>
          <t>SCA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39431-2021</t>
        </is>
      </c>
      <c r="B5008" s="1" t="n">
        <v>44414</v>
      </c>
      <c r="C5008" s="1" t="n">
        <v>45357</v>
      </c>
      <c r="D5008" t="inlineStr">
        <is>
          <t>VÄSTERBOTTENS LÄN</t>
        </is>
      </c>
      <c r="E5008" t="inlineStr">
        <is>
          <t>BJURHOLM</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39505-2021</t>
        </is>
      </c>
      <c r="B5009" s="1" t="n">
        <v>44414</v>
      </c>
      <c r="C5009" s="1" t="n">
        <v>45357</v>
      </c>
      <c r="D5009" t="inlineStr">
        <is>
          <t>VÄSTERBOTTENS LÄN</t>
        </is>
      </c>
      <c r="E5009" t="inlineStr">
        <is>
          <t>VINDELN</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39577-2021</t>
        </is>
      </c>
      <c r="B5010" s="1" t="n">
        <v>44416</v>
      </c>
      <c r="C5010" s="1" t="n">
        <v>45357</v>
      </c>
      <c r="D5010" t="inlineStr">
        <is>
          <t>VÄSTERBOTTENS LÄN</t>
        </is>
      </c>
      <c r="E5010" t="inlineStr">
        <is>
          <t>NORSJÖ</t>
        </is>
      </c>
      <c r="G5010" t="n">
        <v>12.2</v>
      </c>
      <c r="H5010" t="n">
        <v>0</v>
      </c>
      <c r="I5010" t="n">
        <v>0</v>
      </c>
      <c r="J5010" t="n">
        <v>0</v>
      </c>
      <c r="K5010" t="n">
        <v>0</v>
      </c>
      <c r="L5010" t="n">
        <v>0</v>
      </c>
      <c r="M5010" t="n">
        <v>0</v>
      </c>
      <c r="N5010" t="n">
        <v>0</v>
      </c>
      <c r="O5010" t="n">
        <v>0</v>
      </c>
      <c r="P5010" t="n">
        <v>0</v>
      </c>
      <c r="Q5010" t="n">
        <v>0</v>
      </c>
      <c r="R5010" s="2" t="inlineStr"/>
    </row>
    <row r="5011" ht="15" customHeight="1">
      <c r="A5011" t="inlineStr">
        <is>
          <t>A 39553-2021</t>
        </is>
      </c>
      <c r="B5011" s="1" t="n">
        <v>44416</v>
      </c>
      <c r="C5011" s="1" t="n">
        <v>45357</v>
      </c>
      <c r="D5011" t="inlineStr">
        <is>
          <t>VÄSTERBOTTENS LÄN</t>
        </is>
      </c>
      <c r="E5011" t="inlineStr">
        <is>
          <t>SKELLEFTEÅ</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39603-2021</t>
        </is>
      </c>
      <c r="B5012" s="1" t="n">
        <v>44417</v>
      </c>
      <c r="C5012" s="1" t="n">
        <v>45357</v>
      </c>
      <c r="D5012" t="inlineStr">
        <is>
          <t>VÄSTERBOTTENS LÄN</t>
        </is>
      </c>
      <c r="E5012" t="inlineStr">
        <is>
          <t>DOROTEA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39810-2021</t>
        </is>
      </c>
      <c r="B5013" s="1" t="n">
        <v>44417</v>
      </c>
      <c r="C5013" s="1" t="n">
        <v>45357</v>
      </c>
      <c r="D5013" t="inlineStr">
        <is>
          <t>VÄSTERBOTTENS LÄN</t>
        </is>
      </c>
      <c r="E5013" t="inlineStr">
        <is>
          <t>STORUMAN</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39827-2021</t>
        </is>
      </c>
      <c r="B5014" s="1" t="n">
        <v>44417</v>
      </c>
      <c r="C5014" s="1" t="n">
        <v>45357</v>
      </c>
      <c r="D5014" t="inlineStr">
        <is>
          <t>VÄSTERBOTTENS LÄN</t>
        </is>
      </c>
      <c r="E5014" t="inlineStr">
        <is>
          <t>SKELLEFTEÅ</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39936-2021</t>
        </is>
      </c>
      <c r="B5015" s="1" t="n">
        <v>44418</v>
      </c>
      <c r="C5015" s="1" t="n">
        <v>45357</v>
      </c>
      <c r="D5015" t="inlineStr">
        <is>
          <t>VÄSTERBOTTENS LÄN</t>
        </is>
      </c>
      <c r="E5015" t="inlineStr">
        <is>
          <t>NORSJÖ</t>
        </is>
      </c>
      <c r="F5015" t="inlineStr">
        <is>
          <t>SCA</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39995-2021</t>
        </is>
      </c>
      <c r="B5016" s="1" t="n">
        <v>44417</v>
      </c>
      <c r="C5016" s="1" t="n">
        <v>45357</v>
      </c>
      <c r="D5016" t="inlineStr">
        <is>
          <t>VÄSTERBOTTENS LÄN</t>
        </is>
      </c>
      <c r="E5016" t="inlineStr">
        <is>
          <t>NORSJÖ</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39938-2021</t>
        </is>
      </c>
      <c r="B5017" s="1" t="n">
        <v>44417</v>
      </c>
      <c r="C5017" s="1" t="n">
        <v>45357</v>
      </c>
      <c r="D5017" t="inlineStr">
        <is>
          <t>VÄSTERBOTTENS LÄN</t>
        </is>
      </c>
      <c r="E5017" t="inlineStr">
        <is>
          <t>ÅSELE</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39973-2021</t>
        </is>
      </c>
      <c r="B5018" s="1" t="n">
        <v>44417</v>
      </c>
      <c r="C5018" s="1" t="n">
        <v>45357</v>
      </c>
      <c r="D5018" t="inlineStr">
        <is>
          <t>VÄSTERBOTTENS LÄN</t>
        </is>
      </c>
      <c r="E5018" t="inlineStr">
        <is>
          <t>STORUMAN</t>
        </is>
      </c>
      <c r="G5018" t="n">
        <v>34.6</v>
      </c>
      <c r="H5018" t="n">
        <v>0</v>
      </c>
      <c r="I5018" t="n">
        <v>0</v>
      </c>
      <c r="J5018" t="n">
        <v>0</v>
      </c>
      <c r="K5018" t="n">
        <v>0</v>
      </c>
      <c r="L5018" t="n">
        <v>0</v>
      </c>
      <c r="M5018" t="n">
        <v>0</v>
      </c>
      <c r="N5018" t="n">
        <v>0</v>
      </c>
      <c r="O5018" t="n">
        <v>0</v>
      </c>
      <c r="P5018" t="n">
        <v>0</v>
      </c>
      <c r="Q5018" t="n">
        <v>0</v>
      </c>
      <c r="R5018" s="2" t="inlineStr"/>
    </row>
    <row r="5019" ht="15" customHeight="1">
      <c r="A5019" t="inlineStr">
        <is>
          <t>A 40053-2021</t>
        </is>
      </c>
      <c r="B5019" s="1" t="n">
        <v>44418</v>
      </c>
      <c r="C5019" s="1" t="n">
        <v>45357</v>
      </c>
      <c r="D5019" t="inlineStr">
        <is>
          <t>VÄSTERBOTTENS LÄN</t>
        </is>
      </c>
      <c r="E5019" t="inlineStr">
        <is>
          <t>NORDMALING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40140-2021</t>
        </is>
      </c>
      <c r="B5020" s="1" t="n">
        <v>44418</v>
      </c>
      <c r="C5020" s="1" t="n">
        <v>45357</v>
      </c>
      <c r="D5020" t="inlineStr">
        <is>
          <t>VÄSTERBOTTENS LÄN</t>
        </is>
      </c>
      <c r="E5020" t="inlineStr">
        <is>
          <t>VINDELN</t>
        </is>
      </c>
      <c r="F5020" t="inlineStr">
        <is>
          <t>Holmen skog AB</t>
        </is>
      </c>
      <c r="G5020" t="n">
        <v>17.3</v>
      </c>
      <c r="H5020" t="n">
        <v>0</v>
      </c>
      <c r="I5020" t="n">
        <v>0</v>
      </c>
      <c r="J5020" t="n">
        <v>0</v>
      </c>
      <c r="K5020" t="n">
        <v>0</v>
      </c>
      <c r="L5020" t="n">
        <v>0</v>
      </c>
      <c r="M5020" t="n">
        <v>0</v>
      </c>
      <c r="N5020" t="n">
        <v>0</v>
      </c>
      <c r="O5020" t="n">
        <v>0</v>
      </c>
      <c r="P5020" t="n">
        <v>0</v>
      </c>
      <c r="Q5020" t="n">
        <v>0</v>
      </c>
      <c r="R5020" s="2" t="inlineStr"/>
    </row>
    <row r="5021" ht="15" customHeight="1">
      <c r="A5021" t="inlineStr">
        <is>
          <t>A 40133-2021</t>
        </is>
      </c>
      <c r="B5021" s="1" t="n">
        <v>44418</v>
      </c>
      <c r="C5021" s="1" t="n">
        <v>45357</v>
      </c>
      <c r="D5021" t="inlineStr">
        <is>
          <t>VÄSTERBOTTENS LÄN</t>
        </is>
      </c>
      <c r="E5021" t="inlineStr">
        <is>
          <t>ÅSELE</t>
        </is>
      </c>
      <c r="F5021" t="inlineStr">
        <is>
          <t>Holmen skog AB</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40372-2021</t>
        </is>
      </c>
      <c r="B5022" s="1" t="n">
        <v>44419</v>
      </c>
      <c r="C5022" s="1" t="n">
        <v>45357</v>
      </c>
      <c r="D5022" t="inlineStr">
        <is>
          <t>VÄSTERBOTTENS LÄN</t>
        </is>
      </c>
      <c r="E5022" t="inlineStr">
        <is>
          <t>VINDELN</t>
        </is>
      </c>
      <c r="F5022" t="inlineStr">
        <is>
          <t>Sveaskog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40373-2021</t>
        </is>
      </c>
      <c r="B5023" s="1" t="n">
        <v>44419</v>
      </c>
      <c r="C5023" s="1" t="n">
        <v>45357</v>
      </c>
      <c r="D5023" t="inlineStr">
        <is>
          <t>VÄSTERBOTTENS LÄN</t>
        </is>
      </c>
      <c r="E5023" t="inlineStr">
        <is>
          <t>VINDELN</t>
        </is>
      </c>
      <c r="F5023" t="inlineStr">
        <is>
          <t>Sveaskog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40348-2021</t>
        </is>
      </c>
      <c r="B5024" s="1" t="n">
        <v>44419</v>
      </c>
      <c r="C5024" s="1" t="n">
        <v>45357</v>
      </c>
      <c r="D5024" t="inlineStr">
        <is>
          <t>VÄSTERBOTTENS LÄN</t>
        </is>
      </c>
      <c r="E5024" t="inlineStr">
        <is>
          <t>UMEÅ</t>
        </is>
      </c>
      <c r="F5024" t="inlineStr">
        <is>
          <t>Kommuner</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40470-2021</t>
        </is>
      </c>
      <c r="B5025" s="1" t="n">
        <v>44420</v>
      </c>
      <c r="C5025" s="1" t="n">
        <v>45357</v>
      </c>
      <c r="D5025" t="inlineStr">
        <is>
          <t>VÄSTERBOTTENS LÄN</t>
        </is>
      </c>
      <c r="E5025" t="inlineStr">
        <is>
          <t>VILHELMINA</t>
        </is>
      </c>
      <c r="F5025" t="inlineStr">
        <is>
          <t>SCA</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40471-2021</t>
        </is>
      </c>
      <c r="B5026" s="1" t="n">
        <v>44420</v>
      </c>
      <c r="C5026" s="1" t="n">
        <v>45357</v>
      </c>
      <c r="D5026" t="inlineStr">
        <is>
          <t>VÄSTERBOTTENS LÄN</t>
        </is>
      </c>
      <c r="E5026" t="inlineStr">
        <is>
          <t>VILHELMINA</t>
        </is>
      </c>
      <c r="F5026" t="inlineStr">
        <is>
          <t>SCA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40477-2021</t>
        </is>
      </c>
      <c r="B5027" s="1" t="n">
        <v>44420</v>
      </c>
      <c r="C5027" s="1" t="n">
        <v>45357</v>
      </c>
      <c r="D5027" t="inlineStr">
        <is>
          <t>VÄSTERBOTTENS LÄN</t>
        </is>
      </c>
      <c r="E5027" t="inlineStr">
        <is>
          <t>VILHELMINA</t>
        </is>
      </c>
      <c r="F5027" t="inlineStr">
        <is>
          <t>SCA</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40468-2021</t>
        </is>
      </c>
      <c r="B5028" s="1" t="n">
        <v>44420</v>
      </c>
      <c r="C5028" s="1" t="n">
        <v>45357</v>
      </c>
      <c r="D5028" t="inlineStr">
        <is>
          <t>VÄSTERBOTTENS LÄN</t>
        </is>
      </c>
      <c r="E5028" t="inlineStr">
        <is>
          <t>VILHELMINA</t>
        </is>
      </c>
      <c r="F5028" t="inlineStr">
        <is>
          <t>SCA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40476-2021</t>
        </is>
      </c>
      <c r="B5029" s="1" t="n">
        <v>44420</v>
      </c>
      <c r="C5029" s="1" t="n">
        <v>45357</v>
      </c>
      <c r="D5029" t="inlineStr">
        <is>
          <t>VÄSTERBOTTENS LÄN</t>
        </is>
      </c>
      <c r="E5029" t="inlineStr">
        <is>
          <t>VILHELMINA</t>
        </is>
      </c>
      <c r="F5029" t="inlineStr">
        <is>
          <t>SCA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40469-2021</t>
        </is>
      </c>
      <c r="B5030" s="1" t="n">
        <v>44420</v>
      </c>
      <c r="C5030" s="1" t="n">
        <v>45357</v>
      </c>
      <c r="D5030" t="inlineStr">
        <is>
          <t>VÄSTERBOTTENS LÄN</t>
        </is>
      </c>
      <c r="E5030" t="inlineStr">
        <is>
          <t>VILHELMINA</t>
        </is>
      </c>
      <c r="F5030" t="inlineStr">
        <is>
          <t>SCA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40474-2021</t>
        </is>
      </c>
      <c r="B5031" s="1" t="n">
        <v>44420</v>
      </c>
      <c r="C5031" s="1" t="n">
        <v>45357</v>
      </c>
      <c r="D5031" t="inlineStr">
        <is>
          <t>VÄSTERBOTTENS LÄN</t>
        </is>
      </c>
      <c r="E5031" t="inlineStr">
        <is>
          <t>VILHELMINA</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40472-2021</t>
        </is>
      </c>
      <c r="B5032" s="1" t="n">
        <v>44419</v>
      </c>
      <c r="C5032" s="1" t="n">
        <v>45357</v>
      </c>
      <c r="D5032" t="inlineStr">
        <is>
          <t>VÄSTERBOTTENS LÄN</t>
        </is>
      </c>
      <c r="E5032" t="inlineStr">
        <is>
          <t>VILHELMINA</t>
        </is>
      </c>
      <c r="F5032" t="inlineStr">
        <is>
          <t>SCA</t>
        </is>
      </c>
      <c r="G5032" t="n">
        <v>16.3</v>
      </c>
      <c r="H5032" t="n">
        <v>0</v>
      </c>
      <c r="I5032" t="n">
        <v>0</v>
      </c>
      <c r="J5032" t="n">
        <v>0</v>
      </c>
      <c r="K5032" t="n">
        <v>0</v>
      </c>
      <c r="L5032" t="n">
        <v>0</v>
      </c>
      <c r="M5032" t="n">
        <v>0</v>
      </c>
      <c r="N5032" t="n">
        <v>0</v>
      </c>
      <c r="O5032" t="n">
        <v>0</v>
      </c>
      <c r="P5032" t="n">
        <v>0</v>
      </c>
      <c r="Q5032" t="n">
        <v>0</v>
      </c>
      <c r="R5032" s="2" t="inlineStr"/>
    </row>
    <row r="5033" ht="15" customHeight="1">
      <c r="A5033" t="inlineStr">
        <is>
          <t>A 40503-2021</t>
        </is>
      </c>
      <c r="B5033" s="1" t="n">
        <v>44420</v>
      </c>
      <c r="C5033" s="1" t="n">
        <v>45357</v>
      </c>
      <c r="D5033" t="inlineStr">
        <is>
          <t>VÄSTERBOTTENS LÄN</t>
        </is>
      </c>
      <c r="E5033" t="inlineStr">
        <is>
          <t>ÅSELE</t>
        </is>
      </c>
      <c r="F5033" t="inlineStr">
        <is>
          <t>Holmen skog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40560-2021</t>
        </is>
      </c>
      <c r="B5034" s="1" t="n">
        <v>44420</v>
      </c>
      <c r="C5034" s="1" t="n">
        <v>45357</v>
      </c>
      <c r="D5034" t="inlineStr">
        <is>
          <t>VÄSTERBOTTENS LÄN</t>
        </is>
      </c>
      <c r="E5034" t="inlineStr">
        <is>
          <t>ÅSELE</t>
        </is>
      </c>
      <c r="F5034" t="inlineStr">
        <is>
          <t>Holmen skog AB</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40683-2021</t>
        </is>
      </c>
      <c r="B5035" s="1" t="n">
        <v>44420</v>
      </c>
      <c r="C5035" s="1" t="n">
        <v>45357</v>
      </c>
      <c r="D5035" t="inlineStr">
        <is>
          <t>VÄSTERBOTTENS LÄN</t>
        </is>
      </c>
      <c r="E5035" t="inlineStr">
        <is>
          <t>SKELLEFTEÅ</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40755-2021</t>
        </is>
      </c>
      <c r="B5036" s="1" t="n">
        <v>44420</v>
      </c>
      <c r="C5036" s="1" t="n">
        <v>45357</v>
      </c>
      <c r="D5036" t="inlineStr">
        <is>
          <t>VÄSTERBOTTENS LÄN</t>
        </is>
      </c>
      <c r="E5036" t="inlineStr">
        <is>
          <t>ÅSELE</t>
        </is>
      </c>
      <c r="F5036" t="inlineStr">
        <is>
          <t>Naturvårdsverket</t>
        </is>
      </c>
      <c r="G5036" t="n">
        <v>21.9</v>
      </c>
      <c r="H5036" t="n">
        <v>0</v>
      </c>
      <c r="I5036" t="n">
        <v>0</v>
      </c>
      <c r="J5036" t="n">
        <v>0</v>
      </c>
      <c r="K5036" t="n">
        <v>0</v>
      </c>
      <c r="L5036" t="n">
        <v>0</v>
      </c>
      <c r="M5036" t="n">
        <v>0</v>
      </c>
      <c r="N5036" t="n">
        <v>0</v>
      </c>
      <c r="O5036" t="n">
        <v>0</v>
      </c>
      <c r="P5036" t="n">
        <v>0</v>
      </c>
      <c r="Q5036" t="n">
        <v>0</v>
      </c>
      <c r="R5036" s="2" t="inlineStr"/>
    </row>
    <row r="5037" ht="15" customHeight="1">
      <c r="A5037" t="inlineStr">
        <is>
          <t>A 40828-2021</t>
        </is>
      </c>
      <c r="B5037" s="1" t="n">
        <v>44421</v>
      </c>
      <c r="C5037" s="1" t="n">
        <v>45357</v>
      </c>
      <c r="D5037" t="inlineStr">
        <is>
          <t>VÄSTERBOTTENS LÄN</t>
        </is>
      </c>
      <c r="E5037" t="inlineStr">
        <is>
          <t>SKELLEFTEÅ</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40906-2021</t>
        </is>
      </c>
      <c r="B5038" s="1" t="n">
        <v>44421</v>
      </c>
      <c r="C5038" s="1" t="n">
        <v>45357</v>
      </c>
      <c r="D5038" t="inlineStr">
        <is>
          <t>VÄSTERBOTTENS LÄN</t>
        </is>
      </c>
      <c r="E5038" t="inlineStr">
        <is>
          <t>SKELLEFTEÅ</t>
        </is>
      </c>
      <c r="F5038" t="inlineStr">
        <is>
          <t>Holmen skog AB</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40929-2021</t>
        </is>
      </c>
      <c r="B5039" s="1" t="n">
        <v>44421</v>
      </c>
      <c r="C5039" s="1" t="n">
        <v>45357</v>
      </c>
      <c r="D5039" t="inlineStr">
        <is>
          <t>VÄSTERBOTTENS LÄN</t>
        </is>
      </c>
      <c r="E5039" t="inlineStr">
        <is>
          <t>SKELLEFTEÅ</t>
        </is>
      </c>
      <c r="F5039" t="inlineStr">
        <is>
          <t>Holmen skog AB</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40962-2021</t>
        </is>
      </c>
      <c r="B5040" s="1" t="n">
        <v>44421</v>
      </c>
      <c r="C5040" s="1" t="n">
        <v>45357</v>
      </c>
      <c r="D5040" t="inlineStr">
        <is>
          <t>VÄSTERBOTTENS LÄN</t>
        </is>
      </c>
      <c r="E5040" t="inlineStr">
        <is>
          <t>UMEÅ</t>
        </is>
      </c>
      <c r="F5040" t="inlineStr">
        <is>
          <t>Holmen skog AB</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40898-2021</t>
        </is>
      </c>
      <c r="B5041" s="1" t="n">
        <v>44421</v>
      </c>
      <c r="C5041" s="1" t="n">
        <v>45357</v>
      </c>
      <c r="D5041" t="inlineStr">
        <is>
          <t>VÄSTERBOTTENS LÄN</t>
        </is>
      </c>
      <c r="E5041" t="inlineStr">
        <is>
          <t>SKELLEFTEÅ</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41113-2021</t>
        </is>
      </c>
      <c r="B5042" s="1" t="n">
        <v>44423</v>
      </c>
      <c r="C5042" s="1" t="n">
        <v>45357</v>
      </c>
      <c r="D5042" t="inlineStr">
        <is>
          <t>VÄSTERBOTTENS LÄN</t>
        </is>
      </c>
      <c r="E5042" t="inlineStr">
        <is>
          <t>VINDELN</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41250-2021</t>
        </is>
      </c>
      <c r="B5043" s="1" t="n">
        <v>44424</v>
      </c>
      <c r="C5043" s="1" t="n">
        <v>45357</v>
      </c>
      <c r="D5043" t="inlineStr">
        <is>
          <t>VÄSTERBOTTENS LÄN</t>
        </is>
      </c>
      <c r="E5043" t="inlineStr">
        <is>
          <t>NORSJÖ</t>
        </is>
      </c>
      <c r="F5043" t="inlineStr">
        <is>
          <t>Kommuner</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41456-2021</t>
        </is>
      </c>
      <c r="B5044" s="1" t="n">
        <v>44424</v>
      </c>
      <c r="C5044" s="1" t="n">
        <v>45357</v>
      </c>
      <c r="D5044" t="inlineStr">
        <is>
          <t>VÄSTERBOTTENS LÄN</t>
        </is>
      </c>
      <c r="E5044" t="inlineStr">
        <is>
          <t>ÅSELE</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41464-2021</t>
        </is>
      </c>
      <c r="B5045" s="1" t="n">
        <v>44424</v>
      </c>
      <c r="C5045" s="1" t="n">
        <v>45357</v>
      </c>
      <c r="D5045" t="inlineStr">
        <is>
          <t>VÄSTERBOTTENS LÄN</t>
        </is>
      </c>
      <c r="E5045" t="inlineStr">
        <is>
          <t>SKELLEFTEÅ</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41503-2021</t>
        </is>
      </c>
      <c r="B5046" s="1" t="n">
        <v>44424</v>
      </c>
      <c r="C5046" s="1" t="n">
        <v>45357</v>
      </c>
      <c r="D5046" t="inlineStr">
        <is>
          <t>VÄSTERBOTTENS LÄN</t>
        </is>
      </c>
      <c r="E5046" t="inlineStr">
        <is>
          <t>BJURHOLM</t>
        </is>
      </c>
      <c r="F5046" t="inlineStr">
        <is>
          <t>SCA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41505-2021</t>
        </is>
      </c>
      <c r="B5047" s="1" t="n">
        <v>44425</v>
      </c>
      <c r="C5047" s="1" t="n">
        <v>45357</v>
      </c>
      <c r="D5047" t="inlineStr">
        <is>
          <t>VÄSTERBOTTENS LÄN</t>
        </is>
      </c>
      <c r="E5047" t="inlineStr">
        <is>
          <t>BJURHOLM</t>
        </is>
      </c>
      <c r="F5047" t="inlineStr">
        <is>
          <t>SCA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41507-2021</t>
        </is>
      </c>
      <c r="B5048" s="1" t="n">
        <v>44425</v>
      </c>
      <c r="C5048" s="1" t="n">
        <v>45357</v>
      </c>
      <c r="D5048" t="inlineStr">
        <is>
          <t>VÄSTERBOTTENS LÄN</t>
        </is>
      </c>
      <c r="E5048" t="inlineStr">
        <is>
          <t>SKELLEFTEÅ</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41497-2021</t>
        </is>
      </c>
      <c r="B5049" s="1" t="n">
        <v>44424</v>
      </c>
      <c r="C5049" s="1" t="n">
        <v>45357</v>
      </c>
      <c r="D5049" t="inlineStr">
        <is>
          <t>VÄSTERBOTTENS LÄN</t>
        </is>
      </c>
      <c r="E5049" t="inlineStr">
        <is>
          <t>LYCKSELE</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41845-2021</t>
        </is>
      </c>
      <c r="B5050" s="1" t="n">
        <v>44426</v>
      </c>
      <c r="C5050" s="1" t="n">
        <v>45357</v>
      </c>
      <c r="D5050" t="inlineStr">
        <is>
          <t>VÄSTERBOTTENS LÄN</t>
        </is>
      </c>
      <c r="E5050" t="inlineStr">
        <is>
          <t>VINDELN</t>
        </is>
      </c>
      <c r="F5050" t="inlineStr">
        <is>
          <t>SCA</t>
        </is>
      </c>
      <c r="G5050" t="n">
        <v>8.9</v>
      </c>
      <c r="H5050" t="n">
        <v>0</v>
      </c>
      <c r="I5050" t="n">
        <v>0</v>
      </c>
      <c r="J5050" t="n">
        <v>0</v>
      </c>
      <c r="K5050" t="n">
        <v>0</v>
      </c>
      <c r="L5050" t="n">
        <v>0</v>
      </c>
      <c r="M5050" t="n">
        <v>0</v>
      </c>
      <c r="N5050" t="n">
        <v>0</v>
      </c>
      <c r="O5050" t="n">
        <v>0</v>
      </c>
      <c r="P5050" t="n">
        <v>0</v>
      </c>
      <c r="Q5050" t="n">
        <v>0</v>
      </c>
      <c r="R5050" s="2" t="inlineStr"/>
    </row>
    <row r="5051" ht="15" customHeight="1">
      <c r="A5051" t="inlineStr">
        <is>
          <t>A 41842-2021</t>
        </is>
      </c>
      <c r="B5051" s="1" t="n">
        <v>44426</v>
      </c>
      <c r="C5051" s="1" t="n">
        <v>45357</v>
      </c>
      <c r="D5051" t="inlineStr">
        <is>
          <t>VÄSTERBOTTENS LÄN</t>
        </is>
      </c>
      <c r="E5051" t="inlineStr">
        <is>
          <t>VINDELN</t>
        </is>
      </c>
      <c r="F5051" t="inlineStr">
        <is>
          <t>SCA</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42057-2021</t>
        </is>
      </c>
      <c r="B5052" s="1" t="n">
        <v>44426</v>
      </c>
      <c r="C5052" s="1" t="n">
        <v>45357</v>
      </c>
      <c r="D5052" t="inlineStr">
        <is>
          <t>VÄSTERBOTTENS LÄN</t>
        </is>
      </c>
      <c r="E5052" t="inlineStr">
        <is>
          <t>SKELLEFTEÅ</t>
        </is>
      </c>
      <c r="F5052" t="inlineStr">
        <is>
          <t>Sveaskog</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41959-2021</t>
        </is>
      </c>
      <c r="B5053" s="1" t="n">
        <v>44426</v>
      </c>
      <c r="C5053" s="1" t="n">
        <v>45357</v>
      </c>
      <c r="D5053" t="inlineStr">
        <is>
          <t>VÄSTERBOTTENS LÄN</t>
        </is>
      </c>
      <c r="E5053" t="inlineStr">
        <is>
          <t>VINDELN</t>
        </is>
      </c>
      <c r="F5053" t="inlineStr">
        <is>
          <t>Holmen skog AB</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41993-2021</t>
        </is>
      </c>
      <c r="B5054" s="1" t="n">
        <v>44426</v>
      </c>
      <c r="C5054" s="1" t="n">
        <v>45357</v>
      </c>
      <c r="D5054" t="inlineStr">
        <is>
          <t>VÄSTERBOTTENS LÄN</t>
        </is>
      </c>
      <c r="E5054" t="inlineStr">
        <is>
          <t>SKELLEFTEÅ</t>
        </is>
      </c>
      <c r="F5054" t="inlineStr">
        <is>
          <t>Sveaskog</t>
        </is>
      </c>
      <c r="G5054" t="n">
        <v>14.3</v>
      </c>
      <c r="H5054" t="n">
        <v>0</v>
      </c>
      <c r="I5054" t="n">
        <v>0</v>
      </c>
      <c r="J5054" t="n">
        <v>0</v>
      </c>
      <c r="K5054" t="n">
        <v>0</v>
      </c>
      <c r="L5054" t="n">
        <v>0</v>
      </c>
      <c r="M5054" t="n">
        <v>0</v>
      </c>
      <c r="N5054" t="n">
        <v>0</v>
      </c>
      <c r="O5054" t="n">
        <v>0</v>
      </c>
      <c r="P5054" t="n">
        <v>0</v>
      </c>
      <c r="Q5054" t="n">
        <v>0</v>
      </c>
      <c r="R5054" s="2" t="inlineStr"/>
    </row>
    <row r="5055" ht="15" customHeight="1">
      <c r="A5055" t="inlineStr">
        <is>
          <t>A 42026-2021</t>
        </is>
      </c>
      <c r="B5055" s="1" t="n">
        <v>44426</v>
      </c>
      <c r="C5055" s="1" t="n">
        <v>45357</v>
      </c>
      <c r="D5055" t="inlineStr">
        <is>
          <t>VÄSTERBOTTENS LÄN</t>
        </is>
      </c>
      <c r="E5055" t="inlineStr">
        <is>
          <t>SKELLEFTEÅ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42153-2021</t>
        </is>
      </c>
      <c r="B5056" s="1" t="n">
        <v>44426</v>
      </c>
      <c r="C5056" s="1" t="n">
        <v>45357</v>
      </c>
      <c r="D5056" t="inlineStr">
        <is>
          <t>VÄSTERBOTTENS LÄN</t>
        </is>
      </c>
      <c r="E5056" t="inlineStr">
        <is>
          <t>VILHELMINA</t>
        </is>
      </c>
      <c r="F5056" t="inlineStr">
        <is>
          <t>Sveaskog</t>
        </is>
      </c>
      <c r="G5056" t="n">
        <v>11.5</v>
      </c>
      <c r="H5056" t="n">
        <v>0</v>
      </c>
      <c r="I5056" t="n">
        <v>0</v>
      </c>
      <c r="J5056" t="n">
        <v>0</v>
      </c>
      <c r="K5056" t="n">
        <v>0</v>
      </c>
      <c r="L5056" t="n">
        <v>0</v>
      </c>
      <c r="M5056" t="n">
        <v>0</v>
      </c>
      <c r="N5056" t="n">
        <v>0</v>
      </c>
      <c r="O5056" t="n">
        <v>0</v>
      </c>
      <c r="P5056" t="n">
        <v>0</v>
      </c>
      <c r="Q5056" t="n">
        <v>0</v>
      </c>
      <c r="R5056" s="2" t="inlineStr"/>
    </row>
    <row r="5057" ht="15" customHeight="1">
      <c r="A5057" t="inlineStr">
        <is>
          <t>A 42167-2021</t>
        </is>
      </c>
      <c r="B5057" s="1" t="n">
        <v>44426</v>
      </c>
      <c r="C5057" s="1" t="n">
        <v>45357</v>
      </c>
      <c r="D5057" t="inlineStr">
        <is>
          <t>VÄSTERBOTTENS LÄN</t>
        </is>
      </c>
      <c r="E5057" t="inlineStr">
        <is>
          <t>SORSELE</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42180-2021</t>
        </is>
      </c>
      <c r="B5058" s="1" t="n">
        <v>44426</v>
      </c>
      <c r="C5058" s="1" t="n">
        <v>45357</v>
      </c>
      <c r="D5058" t="inlineStr">
        <is>
          <t>VÄSTERBOTTENS LÄN</t>
        </is>
      </c>
      <c r="E5058" t="inlineStr">
        <is>
          <t>ÅSELE</t>
        </is>
      </c>
      <c r="F5058" t="inlineStr">
        <is>
          <t>Sveaskog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42193-2021</t>
        </is>
      </c>
      <c r="B5059" s="1" t="n">
        <v>44426</v>
      </c>
      <c r="C5059" s="1" t="n">
        <v>45357</v>
      </c>
      <c r="D5059" t="inlineStr">
        <is>
          <t>VÄSTERBOTTENS LÄN</t>
        </is>
      </c>
      <c r="E5059" t="inlineStr">
        <is>
          <t>ÅSELE</t>
        </is>
      </c>
      <c r="G5059" t="n">
        <v>10.1</v>
      </c>
      <c r="H5059" t="n">
        <v>0</v>
      </c>
      <c r="I5059" t="n">
        <v>0</v>
      </c>
      <c r="J5059" t="n">
        <v>0</v>
      </c>
      <c r="K5059" t="n">
        <v>0</v>
      </c>
      <c r="L5059" t="n">
        <v>0</v>
      </c>
      <c r="M5059" t="n">
        <v>0</v>
      </c>
      <c r="N5059" t="n">
        <v>0</v>
      </c>
      <c r="O5059" t="n">
        <v>0</v>
      </c>
      <c r="P5059" t="n">
        <v>0</v>
      </c>
      <c r="Q5059" t="n">
        <v>0</v>
      </c>
      <c r="R5059" s="2" t="inlineStr"/>
    </row>
    <row r="5060" ht="15" customHeight="1">
      <c r="A5060" t="inlineStr">
        <is>
          <t>A 42144-2021</t>
        </is>
      </c>
      <c r="B5060" s="1" t="n">
        <v>44426</v>
      </c>
      <c r="C5060" s="1" t="n">
        <v>45357</v>
      </c>
      <c r="D5060" t="inlineStr">
        <is>
          <t>VÄSTERBOTTENS LÄN</t>
        </is>
      </c>
      <c r="E5060" t="inlineStr">
        <is>
          <t>LYCKSELE</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42183-2021</t>
        </is>
      </c>
      <c r="B5061" s="1" t="n">
        <v>44426</v>
      </c>
      <c r="C5061" s="1" t="n">
        <v>45357</v>
      </c>
      <c r="D5061" t="inlineStr">
        <is>
          <t>VÄSTERBOTTENS LÄN</t>
        </is>
      </c>
      <c r="E5061" t="inlineStr">
        <is>
          <t>ÅSELE</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42323-2021</t>
        </is>
      </c>
      <c r="B5062" s="1" t="n">
        <v>44426</v>
      </c>
      <c r="C5062" s="1" t="n">
        <v>45357</v>
      </c>
      <c r="D5062" t="inlineStr">
        <is>
          <t>VÄSTERBOTTENS LÄN</t>
        </is>
      </c>
      <c r="E5062" t="inlineStr">
        <is>
          <t>SKELLEFTEÅ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42331-2021</t>
        </is>
      </c>
      <c r="B5063" s="1" t="n">
        <v>44427</v>
      </c>
      <c r="C5063" s="1" t="n">
        <v>45357</v>
      </c>
      <c r="D5063" t="inlineStr">
        <is>
          <t>VÄSTERBOTTENS LÄN</t>
        </is>
      </c>
      <c r="E5063" t="inlineStr">
        <is>
          <t>STORUMAN</t>
        </is>
      </c>
      <c r="G5063" t="n">
        <v>10.8</v>
      </c>
      <c r="H5063" t="n">
        <v>0</v>
      </c>
      <c r="I5063" t="n">
        <v>0</v>
      </c>
      <c r="J5063" t="n">
        <v>0</v>
      </c>
      <c r="K5063" t="n">
        <v>0</v>
      </c>
      <c r="L5063" t="n">
        <v>0</v>
      </c>
      <c r="M5063" t="n">
        <v>0</v>
      </c>
      <c r="N5063" t="n">
        <v>0</v>
      </c>
      <c r="O5063" t="n">
        <v>0</v>
      </c>
      <c r="P5063" t="n">
        <v>0</v>
      </c>
      <c r="Q5063" t="n">
        <v>0</v>
      </c>
      <c r="R5063" s="2" t="inlineStr"/>
    </row>
    <row r="5064" ht="15" customHeight="1">
      <c r="A5064" t="inlineStr">
        <is>
          <t>A 42367-2021</t>
        </is>
      </c>
      <c r="B5064" s="1" t="n">
        <v>44427</v>
      </c>
      <c r="C5064" s="1" t="n">
        <v>45357</v>
      </c>
      <c r="D5064" t="inlineStr">
        <is>
          <t>VÄSTERBOTTENS LÄN</t>
        </is>
      </c>
      <c r="E5064" t="inlineStr">
        <is>
          <t>SKELLEFTEÅ</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42352-2021</t>
        </is>
      </c>
      <c r="B5065" s="1" t="n">
        <v>44427</v>
      </c>
      <c r="C5065" s="1" t="n">
        <v>45357</v>
      </c>
      <c r="D5065" t="inlineStr">
        <is>
          <t>VÄSTERBOTTENS LÄN</t>
        </is>
      </c>
      <c r="E5065" t="inlineStr">
        <is>
          <t>UMEÅ</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42557-2021</t>
        </is>
      </c>
      <c r="B5066" s="1" t="n">
        <v>44428</v>
      </c>
      <c r="C5066" s="1" t="n">
        <v>45357</v>
      </c>
      <c r="D5066" t="inlineStr">
        <is>
          <t>VÄSTERBOTTENS LÄN</t>
        </is>
      </c>
      <c r="E5066" t="inlineStr">
        <is>
          <t>SKELLEFTEÅ</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42609-2021</t>
        </is>
      </c>
      <c r="B5067" s="1" t="n">
        <v>44428</v>
      </c>
      <c r="C5067" s="1" t="n">
        <v>45357</v>
      </c>
      <c r="D5067" t="inlineStr">
        <is>
          <t>VÄSTERBOTTENS LÄN</t>
        </is>
      </c>
      <c r="E5067" t="inlineStr">
        <is>
          <t>SKELLEFTEÅ</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42568-2021</t>
        </is>
      </c>
      <c r="B5068" s="1" t="n">
        <v>44428</v>
      </c>
      <c r="C5068" s="1" t="n">
        <v>45357</v>
      </c>
      <c r="D5068" t="inlineStr">
        <is>
          <t>VÄSTERBOTTENS LÄN</t>
        </is>
      </c>
      <c r="E5068" t="inlineStr">
        <is>
          <t>ÅSELE</t>
        </is>
      </c>
      <c r="F5068" t="inlineStr">
        <is>
          <t>Holmen skog AB</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42818-2021</t>
        </is>
      </c>
      <c r="B5069" s="1" t="n">
        <v>44429</v>
      </c>
      <c r="C5069" s="1" t="n">
        <v>45357</v>
      </c>
      <c r="D5069" t="inlineStr">
        <is>
          <t>VÄSTERBOTTENS LÄN</t>
        </is>
      </c>
      <c r="E5069" t="inlineStr">
        <is>
          <t>LYCKSELE</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42860-2021</t>
        </is>
      </c>
      <c r="B5070" s="1" t="n">
        <v>44430</v>
      </c>
      <c r="C5070" s="1" t="n">
        <v>45357</v>
      </c>
      <c r="D5070" t="inlineStr">
        <is>
          <t>VÄSTERBOTTENS LÄN</t>
        </is>
      </c>
      <c r="E5070" t="inlineStr">
        <is>
          <t>NORDMALING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42859-2021</t>
        </is>
      </c>
      <c r="B5071" s="1" t="n">
        <v>44430</v>
      </c>
      <c r="C5071" s="1" t="n">
        <v>45357</v>
      </c>
      <c r="D5071" t="inlineStr">
        <is>
          <t>VÄSTERBOTTENS LÄN</t>
        </is>
      </c>
      <c r="E5071" t="inlineStr">
        <is>
          <t>NORDMALING</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42885-2021</t>
        </is>
      </c>
      <c r="B5072" s="1" t="n">
        <v>44431</v>
      </c>
      <c r="C5072" s="1" t="n">
        <v>45357</v>
      </c>
      <c r="D5072" t="inlineStr">
        <is>
          <t>VÄSTERBOTTENS LÄN</t>
        </is>
      </c>
      <c r="E5072" t="inlineStr">
        <is>
          <t>NORDMALING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42967-2021</t>
        </is>
      </c>
      <c r="B5073" s="1" t="n">
        <v>44431</v>
      </c>
      <c r="C5073" s="1" t="n">
        <v>45357</v>
      </c>
      <c r="D5073" t="inlineStr">
        <is>
          <t>VÄSTERBOTTENS LÄN</t>
        </is>
      </c>
      <c r="E5073" t="inlineStr">
        <is>
          <t>LYCKSELE</t>
        </is>
      </c>
      <c r="F5073" t="inlineStr">
        <is>
          <t>Holmen skog AB</t>
        </is>
      </c>
      <c r="G5073" t="n">
        <v>17.7</v>
      </c>
      <c r="H5073" t="n">
        <v>0</v>
      </c>
      <c r="I5073" t="n">
        <v>0</v>
      </c>
      <c r="J5073" t="n">
        <v>0</v>
      </c>
      <c r="K5073" t="n">
        <v>0</v>
      </c>
      <c r="L5073" t="n">
        <v>0</v>
      </c>
      <c r="M5073" t="n">
        <v>0</v>
      </c>
      <c r="N5073" t="n">
        <v>0</v>
      </c>
      <c r="O5073" t="n">
        <v>0</v>
      </c>
      <c r="P5073" t="n">
        <v>0</v>
      </c>
      <c r="Q5073" t="n">
        <v>0</v>
      </c>
      <c r="R5073" s="2" t="inlineStr"/>
    </row>
    <row r="5074" ht="15" customHeight="1">
      <c r="A5074" t="inlineStr">
        <is>
          <t>A 42879-2021</t>
        </is>
      </c>
      <c r="B5074" s="1" t="n">
        <v>44431</v>
      </c>
      <c r="C5074" s="1" t="n">
        <v>45357</v>
      </c>
      <c r="D5074" t="inlineStr">
        <is>
          <t>VÄSTERBOTTENS LÄN</t>
        </is>
      </c>
      <c r="E5074" t="inlineStr">
        <is>
          <t>NORDMALING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43209-2021</t>
        </is>
      </c>
      <c r="B5075" s="1" t="n">
        <v>44432</v>
      </c>
      <c r="C5075" s="1" t="n">
        <v>45357</v>
      </c>
      <c r="D5075" t="inlineStr">
        <is>
          <t>VÄSTERBOTTENS LÄN</t>
        </is>
      </c>
      <c r="E5075" t="inlineStr">
        <is>
          <t>NORDMALING</t>
        </is>
      </c>
      <c r="F5075" t="inlineStr">
        <is>
          <t>SCA</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43202-2021</t>
        </is>
      </c>
      <c r="B5076" s="1" t="n">
        <v>44431</v>
      </c>
      <c r="C5076" s="1" t="n">
        <v>45357</v>
      </c>
      <c r="D5076" t="inlineStr">
        <is>
          <t>VÄSTERBOTTENS LÄN</t>
        </is>
      </c>
      <c r="E5076" t="inlineStr">
        <is>
          <t>STORUMAN</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43210-2021</t>
        </is>
      </c>
      <c r="B5077" s="1" t="n">
        <v>44432</v>
      </c>
      <c r="C5077" s="1" t="n">
        <v>45357</v>
      </c>
      <c r="D5077" t="inlineStr">
        <is>
          <t>VÄSTERBOTTENS LÄN</t>
        </is>
      </c>
      <c r="E5077" t="inlineStr">
        <is>
          <t>DOROTEA</t>
        </is>
      </c>
      <c r="F5077" t="inlineStr">
        <is>
          <t>SCA</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43211-2021</t>
        </is>
      </c>
      <c r="B5078" s="1" t="n">
        <v>44431</v>
      </c>
      <c r="C5078" s="1" t="n">
        <v>45357</v>
      </c>
      <c r="D5078" t="inlineStr">
        <is>
          <t>VÄSTERBOTTENS LÄN</t>
        </is>
      </c>
      <c r="E5078" t="inlineStr">
        <is>
          <t>DOROTEA</t>
        </is>
      </c>
      <c r="F5078" t="inlineStr">
        <is>
          <t>SCA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43228-2021</t>
        </is>
      </c>
      <c r="B5079" s="1" t="n">
        <v>44432</v>
      </c>
      <c r="C5079" s="1" t="n">
        <v>45357</v>
      </c>
      <c r="D5079" t="inlineStr">
        <is>
          <t>VÄSTERBOTTENS LÄN</t>
        </is>
      </c>
      <c r="E5079" t="inlineStr">
        <is>
          <t>SKELLEFTEÅ</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43256-2021</t>
        </is>
      </c>
      <c r="B5080" s="1" t="n">
        <v>44432</v>
      </c>
      <c r="C5080" s="1" t="n">
        <v>45357</v>
      </c>
      <c r="D5080" t="inlineStr">
        <is>
          <t>VÄSTERBOTTENS LÄN</t>
        </is>
      </c>
      <c r="E5080" t="inlineStr">
        <is>
          <t>VINDELN</t>
        </is>
      </c>
      <c r="F5080" t="inlineStr">
        <is>
          <t>Sveaskog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43273-2021</t>
        </is>
      </c>
      <c r="B5081" s="1" t="n">
        <v>44432</v>
      </c>
      <c r="C5081" s="1" t="n">
        <v>45357</v>
      </c>
      <c r="D5081" t="inlineStr">
        <is>
          <t>VÄSTERBOTTENS LÄN</t>
        </is>
      </c>
      <c r="E5081" t="inlineStr">
        <is>
          <t>VINDELN</t>
        </is>
      </c>
      <c r="F5081" t="inlineStr">
        <is>
          <t>Sveaskog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43252-2021</t>
        </is>
      </c>
      <c r="B5082" s="1" t="n">
        <v>44432</v>
      </c>
      <c r="C5082" s="1" t="n">
        <v>45357</v>
      </c>
      <c r="D5082" t="inlineStr">
        <is>
          <t>VÄSTERBOTTENS LÄN</t>
        </is>
      </c>
      <c r="E5082" t="inlineStr">
        <is>
          <t>SKELLEFTEÅ</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43258-2021</t>
        </is>
      </c>
      <c r="B5083" s="1" t="n">
        <v>44432</v>
      </c>
      <c r="C5083" s="1" t="n">
        <v>45357</v>
      </c>
      <c r="D5083" t="inlineStr">
        <is>
          <t>VÄSTERBOTTENS LÄN</t>
        </is>
      </c>
      <c r="E5083" t="inlineStr">
        <is>
          <t>VINDELN</t>
        </is>
      </c>
      <c r="F5083" t="inlineStr">
        <is>
          <t>Sveaskog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43276-2021</t>
        </is>
      </c>
      <c r="B5084" s="1" t="n">
        <v>44432</v>
      </c>
      <c r="C5084" s="1" t="n">
        <v>45357</v>
      </c>
      <c r="D5084" t="inlineStr">
        <is>
          <t>VÄSTERBOTTENS LÄN</t>
        </is>
      </c>
      <c r="E5084" t="inlineStr">
        <is>
          <t>SORSELE</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43357-2021</t>
        </is>
      </c>
      <c r="B5085" s="1" t="n">
        <v>44432</v>
      </c>
      <c r="C5085" s="1" t="n">
        <v>45357</v>
      </c>
      <c r="D5085" t="inlineStr">
        <is>
          <t>VÄSTERBOTTENS LÄN</t>
        </is>
      </c>
      <c r="E5085" t="inlineStr">
        <is>
          <t>UMEÅ</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43494-2021</t>
        </is>
      </c>
      <c r="B5086" s="1" t="n">
        <v>44433</v>
      </c>
      <c r="C5086" s="1" t="n">
        <v>45357</v>
      </c>
      <c r="D5086" t="inlineStr">
        <is>
          <t>VÄSTERBOTTENS LÄN</t>
        </is>
      </c>
      <c r="E5086" t="inlineStr">
        <is>
          <t>ÅSELE</t>
        </is>
      </c>
      <c r="F5086" t="inlineStr">
        <is>
          <t>SCA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43591-2021</t>
        </is>
      </c>
      <c r="B5087" s="1" t="n">
        <v>44433</v>
      </c>
      <c r="C5087" s="1" t="n">
        <v>45357</v>
      </c>
      <c r="D5087" t="inlineStr">
        <is>
          <t>VÄSTERBOTTENS LÄN</t>
        </is>
      </c>
      <c r="E5087" t="inlineStr">
        <is>
          <t>UMEÅ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43579-2021</t>
        </is>
      </c>
      <c r="B5088" s="1" t="n">
        <v>44433</v>
      </c>
      <c r="C5088" s="1" t="n">
        <v>45357</v>
      </c>
      <c r="D5088" t="inlineStr">
        <is>
          <t>VÄSTERBOTTENS LÄN</t>
        </is>
      </c>
      <c r="E5088" t="inlineStr">
        <is>
          <t>LYCKSELE</t>
        </is>
      </c>
      <c r="G5088" t="n">
        <v>7.7</v>
      </c>
      <c r="H5088" t="n">
        <v>0</v>
      </c>
      <c r="I5088" t="n">
        <v>0</v>
      </c>
      <c r="J5088" t="n">
        <v>0</v>
      </c>
      <c r="K5088" t="n">
        <v>0</v>
      </c>
      <c r="L5088" t="n">
        <v>0</v>
      </c>
      <c r="M5088" t="n">
        <v>0</v>
      </c>
      <c r="N5088" t="n">
        <v>0</v>
      </c>
      <c r="O5088" t="n">
        <v>0</v>
      </c>
      <c r="P5088" t="n">
        <v>0</v>
      </c>
      <c r="Q5088" t="n">
        <v>0</v>
      </c>
      <c r="R5088" s="2" t="inlineStr"/>
    </row>
    <row r="5089" ht="15" customHeight="1">
      <c r="A5089" t="inlineStr">
        <is>
          <t>A 43755-2021</t>
        </is>
      </c>
      <c r="B5089" s="1" t="n">
        <v>44433</v>
      </c>
      <c r="C5089" s="1" t="n">
        <v>45357</v>
      </c>
      <c r="D5089" t="inlineStr">
        <is>
          <t>VÄSTERBOTTENS LÄN</t>
        </is>
      </c>
      <c r="E5089" t="inlineStr">
        <is>
          <t>VILHELMINA</t>
        </is>
      </c>
      <c r="F5089" t="inlineStr">
        <is>
          <t>Sveaskog</t>
        </is>
      </c>
      <c r="G5089" t="n">
        <v>10.4</v>
      </c>
      <c r="H5089" t="n">
        <v>0</v>
      </c>
      <c r="I5089" t="n">
        <v>0</v>
      </c>
      <c r="J5089" t="n">
        <v>0</v>
      </c>
      <c r="K5089" t="n">
        <v>0</v>
      </c>
      <c r="L5089" t="n">
        <v>0</v>
      </c>
      <c r="M5089" t="n">
        <v>0</v>
      </c>
      <c r="N5089" t="n">
        <v>0</v>
      </c>
      <c r="O5089" t="n">
        <v>0</v>
      </c>
      <c r="P5089" t="n">
        <v>0</v>
      </c>
      <c r="Q5089" t="n">
        <v>0</v>
      </c>
      <c r="R5089" s="2" t="inlineStr"/>
    </row>
    <row r="5090" ht="15" customHeight="1">
      <c r="A5090" t="inlineStr">
        <is>
          <t>A 43737-2021</t>
        </is>
      </c>
      <c r="B5090" s="1" t="n">
        <v>44433</v>
      </c>
      <c r="C5090" s="1" t="n">
        <v>45357</v>
      </c>
      <c r="D5090" t="inlineStr">
        <is>
          <t>VÄSTERBOTTENS LÄN</t>
        </is>
      </c>
      <c r="E5090" t="inlineStr">
        <is>
          <t>ÅSELE</t>
        </is>
      </c>
      <c r="F5090" t="inlineStr">
        <is>
          <t>Naturvårdsverket</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43735-2021</t>
        </is>
      </c>
      <c r="B5091" s="1" t="n">
        <v>44433</v>
      </c>
      <c r="C5091" s="1" t="n">
        <v>45357</v>
      </c>
      <c r="D5091" t="inlineStr">
        <is>
          <t>VÄSTERBOTTENS LÄN</t>
        </is>
      </c>
      <c r="E5091" t="inlineStr">
        <is>
          <t>NORDMALING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43863-2021</t>
        </is>
      </c>
      <c r="B5092" s="1" t="n">
        <v>44433</v>
      </c>
      <c r="C5092" s="1" t="n">
        <v>45357</v>
      </c>
      <c r="D5092" t="inlineStr">
        <is>
          <t>VÄSTERBOTTENS LÄN</t>
        </is>
      </c>
      <c r="E5092" t="inlineStr">
        <is>
          <t>SKELLEFTEÅ</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44136-2021</t>
        </is>
      </c>
      <c r="B5093" s="1" t="n">
        <v>44434</v>
      </c>
      <c r="C5093" s="1" t="n">
        <v>45357</v>
      </c>
      <c r="D5093" t="inlineStr">
        <is>
          <t>VÄSTERBOTTENS LÄN</t>
        </is>
      </c>
      <c r="E5093" t="inlineStr">
        <is>
          <t>VILHELMINA</t>
        </is>
      </c>
      <c r="F5093" t="inlineStr">
        <is>
          <t>Sveaskog</t>
        </is>
      </c>
      <c r="G5093" t="n">
        <v>11.2</v>
      </c>
      <c r="H5093" t="n">
        <v>0</v>
      </c>
      <c r="I5093" t="n">
        <v>0</v>
      </c>
      <c r="J5093" t="n">
        <v>0</v>
      </c>
      <c r="K5093" t="n">
        <v>0</v>
      </c>
      <c r="L5093" t="n">
        <v>0</v>
      </c>
      <c r="M5093" t="n">
        <v>0</v>
      </c>
      <c r="N5093" t="n">
        <v>0</v>
      </c>
      <c r="O5093" t="n">
        <v>0</v>
      </c>
      <c r="P5093" t="n">
        <v>0</v>
      </c>
      <c r="Q5093" t="n">
        <v>0</v>
      </c>
      <c r="R5093" s="2" t="inlineStr"/>
    </row>
    <row r="5094" ht="15" customHeight="1">
      <c r="A5094" t="inlineStr">
        <is>
          <t>A 44090-2021</t>
        </is>
      </c>
      <c r="B5094" s="1" t="n">
        <v>44434</v>
      </c>
      <c r="C5094" s="1" t="n">
        <v>45357</v>
      </c>
      <c r="D5094" t="inlineStr">
        <is>
          <t>VÄSTERBOTTENS LÄN</t>
        </is>
      </c>
      <c r="E5094" t="inlineStr">
        <is>
          <t>SKELLEFTEÅ</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44238-2021</t>
        </is>
      </c>
      <c r="B5095" s="1" t="n">
        <v>44434</v>
      </c>
      <c r="C5095" s="1" t="n">
        <v>45357</v>
      </c>
      <c r="D5095" t="inlineStr">
        <is>
          <t>VÄSTERBOTTENS LÄN</t>
        </is>
      </c>
      <c r="E5095" t="inlineStr">
        <is>
          <t>VILHELMINA</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44239-2021</t>
        </is>
      </c>
      <c r="B5096" s="1" t="n">
        <v>44434</v>
      </c>
      <c r="C5096" s="1" t="n">
        <v>45357</v>
      </c>
      <c r="D5096" t="inlineStr">
        <is>
          <t>VÄSTERBOTTENS LÄN</t>
        </is>
      </c>
      <c r="E5096" t="inlineStr">
        <is>
          <t>VILHELMINA</t>
        </is>
      </c>
      <c r="F5096" t="inlineStr">
        <is>
          <t>SCA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44406-2021</t>
        </is>
      </c>
      <c r="B5097" s="1" t="n">
        <v>44435</v>
      </c>
      <c r="C5097" s="1" t="n">
        <v>45357</v>
      </c>
      <c r="D5097" t="inlineStr">
        <is>
          <t>VÄSTERBOTTENS LÄN</t>
        </is>
      </c>
      <c r="E5097" t="inlineStr">
        <is>
          <t>STORUMAN</t>
        </is>
      </c>
      <c r="G5097" t="n">
        <v>43.8</v>
      </c>
      <c r="H5097" t="n">
        <v>0</v>
      </c>
      <c r="I5097" t="n">
        <v>0</v>
      </c>
      <c r="J5097" t="n">
        <v>0</v>
      </c>
      <c r="K5097" t="n">
        <v>0</v>
      </c>
      <c r="L5097" t="n">
        <v>0</v>
      </c>
      <c r="M5097" t="n">
        <v>0</v>
      </c>
      <c r="N5097" t="n">
        <v>0</v>
      </c>
      <c r="O5097" t="n">
        <v>0</v>
      </c>
      <c r="P5097" t="n">
        <v>0</v>
      </c>
      <c r="Q5097" t="n">
        <v>0</v>
      </c>
      <c r="R5097" s="2" t="inlineStr"/>
    </row>
    <row r="5098" ht="15" customHeight="1">
      <c r="A5098" t="inlineStr">
        <is>
          <t>A 44474-2021</t>
        </is>
      </c>
      <c r="B5098" s="1" t="n">
        <v>44435</v>
      </c>
      <c r="C5098" s="1" t="n">
        <v>45357</v>
      </c>
      <c r="D5098" t="inlineStr">
        <is>
          <t>VÄSTERBOTTENS LÄN</t>
        </is>
      </c>
      <c r="E5098" t="inlineStr">
        <is>
          <t>ROBERTSFORS</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44495-2021</t>
        </is>
      </c>
      <c r="B5099" s="1" t="n">
        <v>44435</v>
      </c>
      <c r="C5099" s="1" t="n">
        <v>45357</v>
      </c>
      <c r="D5099" t="inlineStr">
        <is>
          <t>VÄSTERBOTTENS LÄN</t>
        </is>
      </c>
      <c r="E5099" t="inlineStr">
        <is>
          <t>ROBERTSFORS</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44509-2021</t>
        </is>
      </c>
      <c r="B5100" s="1" t="n">
        <v>44435</v>
      </c>
      <c r="C5100" s="1" t="n">
        <v>45357</v>
      </c>
      <c r="D5100" t="inlineStr">
        <is>
          <t>VÄSTERBOTTENS LÄN</t>
        </is>
      </c>
      <c r="E5100" t="inlineStr">
        <is>
          <t>ROBERTSFORS</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44584-2021</t>
        </is>
      </c>
      <c r="B5101" s="1" t="n">
        <v>44435</v>
      </c>
      <c r="C5101" s="1" t="n">
        <v>45357</v>
      </c>
      <c r="D5101" t="inlineStr">
        <is>
          <t>VÄSTERBOTTENS LÄN</t>
        </is>
      </c>
      <c r="E5101" t="inlineStr">
        <is>
          <t>NORSJÖ</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44582-2021</t>
        </is>
      </c>
      <c r="B5102" s="1" t="n">
        <v>44435</v>
      </c>
      <c r="C5102" s="1" t="n">
        <v>45357</v>
      </c>
      <c r="D5102" t="inlineStr">
        <is>
          <t>VÄSTERBOTTENS LÄN</t>
        </is>
      </c>
      <c r="E5102" t="inlineStr">
        <is>
          <t>NORSJÖ</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44714-2021</t>
        </is>
      </c>
      <c r="B5103" s="1" t="n">
        <v>44435</v>
      </c>
      <c r="C5103" s="1" t="n">
        <v>45357</v>
      </c>
      <c r="D5103" t="inlineStr">
        <is>
          <t>VÄSTERBOTTENS LÄN</t>
        </is>
      </c>
      <c r="E5103" t="inlineStr">
        <is>
          <t>VILHELMINA</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44570-2021</t>
        </is>
      </c>
      <c r="B5104" s="1" t="n">
        <v>44435</v>
      </c>
      <c r="C5104" s="1" t="n">
        <v>45357</v>
      </c>
      <c r="D5104" t="inlineStr">
        <is>
          <t>VÄSTERBOTTENS LÄN</t>
        </is>
      </c>
      <c r="E5104" t="inlineStr">
        <is>
          <t>SKELLEFTEÅ</t>
        </is>
      </c>
      <c r="F5104" t="inlineStr">
        <is>
          <t>Sveaskog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44632-2021</t>
        </is>
      </c>
      <c r="B5105" s="1" t="n">
        <v>44437</v>
      </c>
      <c r="C5105" s="1" t="n">
        <v>45357</v>
      </c>
      <c r="D5105" t="inlineStr">
        <is>
          <t>VÄSTERBOTTENS LÄN</t>
        </is>
      </c>
      <c r="E5105" t="inlineStr">
        <is>
          <t>LYCKSELE</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44820-2021</t>
        </is>
      </c>
      <c r="B5106" s="1" t="n">
        <v>44438</v>
      </c>
      <c r="C5106" s="1" t="n">
        <v>45357</v>
      </c>
      <c r="D5106" t="inlineStr">
        <is>
          <t>VÄSTERBOTTENS LÄN</t>
        </is>
      </c>
      <c r="E5106" t="inlineStr">
        <is>
          <t>ÅSELE</t>
        </is>
      </c>
      <c r="F5106" t="inlineStr">
        <is>
          <t>Holmen skog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44817-2021</t>
        </is>
      </c>
      <c r="B5107" s="1" t="n">
        <v>44438</v>
      </c>
      <c r="C5107" s="1" t="n">
        <v>45357</v>
      </c>
      <c r="D5107" t="inlineStr">
        <is>
          <t>VÄSTERBOTTENS LÄN</t>
        </is>
      </c>
      <c r="E5107" t="inlineStr">
        <is>
          <t>UMEÅ</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44869-2021</t>
        </is>
      </c>
      <c r="B5108" s="1" t="n">
        <v>44438</v>
      </c>
      <c r="C5108" s="1" t="n">
        <v>45357</v>
      </c>
      <c r="D5108" t="inlineStr">
        <is>
          <t>VÄSTERBOTTENS LÄN</t>
        </is>
      </c>
      <c r="E5108" t="inlineStr">
        <is>
          <t>ÅSELE</t>
        </is>
      </c>
      <c r="F5108" t="inlineStr">
        <is>
          <t>Holmen skog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45043-2021</t>
        </is>
      </c>
      <c r="B5109" s="1" t="n">
        <v>44438</v>
      </c>
      <c r="C5109" s="1" t="n">
        <v>45357</v>
      </c>
      <c r="D5109" t="inlineStr">
        <is>
          <t>VÄSTERBOTTENS LÄN</t>
        </is>
      </c>
      <c r="E5109" t="inlineStr">
        <is>
          <t>SKELLEFTEÅ</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45036-2021</t>
        </is>
      </c>
      <c r="B5110" s="1" t="n">
        <v>44438</v>
      </c>
      <c r="C5110" s="1" t="n">
        <v>45357</v>
      </c>
      <c r="D5110" t="inlineStr">
        <is>
          <t>VÄSTERBOTTENS LÄN</t>
        </is>
      </c>
      <c r="E5110" t="inlineStr">
        <is>
          <t>SKELLEFTEÅ</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45090-2021</t>
        </is>
      </c>
      <c r="B5111" s="1" t="n">
        <v>44439</v>
      </c>
      <c r="C5111" s="1" t="n">
        <v>45357</v>
      </c>
      <c r="D5111" t="inlineStr">
        <is>
          <t>VÄSTERBOTTENS LÄN</t>
        </is>
      </c>
      <c r="E5111" t="inlineStr">
        <is>
          <t>MALÅ</t>
        </is>
      </c>
      <c r="F5111" t="inlineStr">
        <is>
          <t>Sveaskog</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45084-2021</t>
        </is>
      </c>
      <c r="B5112" s="1" t="n">
        <v>44439</v>
      </c>
      <c r="C5112" s="1" t="n">
        <v>45357</v>
      </c>
      <c r="D5112" t="inlineStr">
        <is>
          <t>VÄSTERBOTTENS LÄN</t>
        </is>
      </c>
      <c r="E5112" t="inlineStr">
        <is>
          <t>MALÅ</t>
        </is>
      </c>
      <c r="F5112" t="inlineStr">
        <is>
          <t>Sveaskog</t>
        </is>
      </c>
      <c r="G5112" t="n">
        <v>10.7</v>
      </c>
      <c r="H5112" t="n">
        <v>0</v>
      </c>
      <c r="I5112" t="n">
        <v>0</v>
      </c>
      <c r="J5112" t="n">
        <v>0</v>
      </c>
      <c r="K5112" t="n">
        <v>0</v>
      </c>
      <c r="L5112" t="n">
        <v>0</v>
      </c>
      <c r="M5112" t="n">
        <v>0</v>
      </c>
      <c r="N5112" t="n">
        <v>0</v>
      </c>
      <c r="O5112" t="n">
        <v>0</v>
      </c>
      <c r="P5112" t="n">
        <v>0</v>
      </c>
      <c r="Q5112" t="n">
        <v>0</v>
      </c>
      <c r="R5112" s="2" t="inlineStr"/>
    </row>
    <row r="5113" ht="15" customHeight="1">
      <c r="A5113" t="inlineStr">
        <is>
          <t>A 45093-2021</t>
        </is>
      </c>
      <c r="B5113" s="1" t="n">
        <v>44439</v>
      </c>
      <c r="C5113" s="1" t="n">
        <v>45357</v>
      </c>
      <c r="D5113" t="inlineStr">
        <is>
          <t>VÄSTERBOTTENS LÄN</t>
        </is>
      </c>
      <c r="E5113" t="inlineStr">
        <is>
          <t>MALÅ</t>
        </is>
      </c>
      <c r="F5113" t="inlineStr">
        <is>
          <t>Sveaskog</t>
        </is>
      </c>
      <c r="G5113" t="n">
        <v>14.5</v>
      </c>
      <c r="H5113" t="n">
        <v>0</v>
      </c>
      <c r="I5113" t="n">
        <v>0</v>
      </c>
      <c r="J5113" t="n">
        <v>0</v>
      </c>
      <c r="K5113" t="n">
        <v>0</v>
      </c>
      <c r="L5113" t="n">
        <v>0</v>
      </c>
      <c r="M5113" t="n">
        <v>0</v>
      </c>
      <c r="N5113" t="n">
        <v>0</v>
      </c>
      <c r="O5113" t="n">
        <v>0</v>
      </c>
      <c r="P5113" t="n">
        <v>0</v>
      </c>
      <c r="Q5113" t="n">
        <v>0</v>
      </c>
      <c r="R5113" s="2" t="inlineStr"/>
    </row>
    <row r="5114" ht="15" customHeight="1">
      <c r="A5114" t="inlineStr">
        <is>
          <t>A 45114-2021</t>
        </is>
      </c>
      <c r="B5114" s="1" t="n">
        <v>44439</v>
      </c>
      <c r="C5114" s="1" t="n">
        <v>45357</v>
      </c>
      <c r="D5114" t="inlineStr">
        <is>
          <t>VÄSTERBOTTENS LÄN</t>
        </is>
      </c>
      <c r="E5114" t="inlineStr">
        <is>
          <t>MALÅ</t>
        </is>
      </c>
      <c r="F5114" t="inlineStr">
        <is>
          <t>Sveaskog</t>
        </is>
      </c>
      <c r="G5114" t="n">
        <v>48.3</v>
      </c>
      <c r="H5114" t="n">
        <v>0</v>
      </c>
      <c r="I5114" t="n">
        <v>0</v>
      </c>
      <c r="J5114" t="n">
        <v>0</v>
      </c>
      <c r="K5114" t="n">
        <v>0</v>
      </c>
      <c r="L5114" t="n">
        <v>0</v>
      </c>
      <c r="M5114" t="n">
        <v>0</v>
      </c>
      <c r="N5114" t="n">
        <v>0</v>
      </c>
      <c r="O5114" t="n">
        <v>0</v>
      </c>
      <c r="P5114" t="n">
        <v>0</v>
      </c>
      <c r="Q5114" t="n">
        <v>0</v>
      </c>
      <c r="R5114" s="2" t="inlineStr"/>
    </row>
    <row r="5115" ht="15" customHeight="1">
      <c r="A5115" t="inlineStr">
        <is>
          <t>A 45270-2021</t>
        </is>
      </c>
      <c r="B5115" s="1" t="n">
        <v>44439</v>
      </c>
      <c r="C5115" s="1" t="n">
        <v>45357</v>
      </c>
      <c r="D5115" t="inlineStr">
        <is>
          <t>VÄSTERBOTTENS LÄN</t>
        </is>
      </c>
      <c r="E5115" t="inlineStr">
        <is>
          <t>LYCKSELE</t>
        </is>
      </c>
      <c r="F5115" t="inlineStr">
        <is>
          <t>Sveaskog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45297-2021</t>
        </is>
      </c>
      <c r="B5116" s="1" t="n">
        <v>44439</v>
      </c>
      <c r="C5116" s="1" t="n">
        <v>45357</v>
      </c>
      <c r="D5116" t="inlineStr">
        <is>
          <t>VÄSTERBOTTENS LÄN</t>
        </is>
      </c>
      <c r="E5116" t="inlineStr">
        <is>
          <t>VINDELN</t>
        </is>
      </c>
      <c r="F5116" t="inlineStr">
        <is>
          <t>Sveaskog</t>
        </is>
      </c>
      <c r="G5116" t="n">
        <v>22.4</v>
      </c>
      <c r="H5116" t="n">
        <v>0</v>
      </c>
      <c r="I5116" t="n">
        <v>0</v>
      </c>
      <c r="J5116" t="n">
        <v>0</v>
      </c>
      <c r="K5116" t="n">
        <v>0</v>
      </c>
      <c r="L5116" t="n">
        <v>0</v>
      </c>
      <c r="M5116" t="n">
        <v>0</v>
      </c>
      <c r="N5116" t="n">
        <v>0</v>
      </c>
      <c r="O5116" t="n">
        <v>0</v>
      </c>
      <c r="P5116" t="n">
        <v>0</v>
      </c>
      <c r="Q5116" t="n">
        <v>0</v>
      </c>
      <c r="R5116" s="2" t="inlineStr"/>
    </row>
    <row r="5117" ht="15" customHeight="1">
      <c r="A5117" t="inlineStr">
        <is>
          <t>A 45266-2021</t>
        </is>
      </c>
      <c r="B5117" s="1" t="n">
        <v>44439</v>
      </c>
      <c r="C5117" s="1" t="n">
        <v>45357</v>
      </c>
      <c r="D5117" t="inlineStr">
        <is>
          <t>VÄSTERBOTTENS LÄN</t>
        </is>
      </c>
      <c r="E5117" t="inlineStr">
        <is>
          <t>LYCKSELE</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45374-2021</t>
        </is>
      </c>
      <c r="B5118" s="1" t="n">
        <v>44439</v>
      </c>
      <c r="C5118" s="1" t="n">
        <v>45357</v>
      </c>
      <c r="D5118" t="inlineStr">
        <is>
          <t>VÄSTERBOTTENS LÄN</t>
        </is>
      </c>
      <c r="E5118" t="inlineStr">
        <is>
          <t>SORSELE</t>
        </is>
      </c>
      <c r="G5118" t="n">
        <v>7.1</v>
      </c>
      <c r="H5118" t="n">
        <v>0</v>
      </c>
      <c r="I5118" t="n">
        <v>0</v>
      </c>
      <c r="J5118" t="n">
        <v>0</v>
      </c>
      <c r="K5118" t="n">
        <v>0</v>
      </c>
      <c r="L5118" t="n">
        <v>0</v>
      </c>
      <c r="M5118" t="n">
        <v>0</v>
      </c>
      <c r="N5118" t="n">
        <v>0</v>
      </c>
      <c r="O5118" t="n">
        <v>0</v>
      </c>
      <c r="P5118" t="n">
        <v>0</v>
      </c>
      <c r="Q5118" t="n">
        <v>0</v>
      </c>
      <c r="R5118" s="2" t="inlineStr"/>
    </row>
    <row r="5119" ht="15" customHeight="1">
      <c r="A5119" t="inlineStr">
        <is>
          <t>A 45384-2021</t>
        </is>
      </c>
      <c r="B5119" s="1" t="n">
        <v>44440</v>
      </c>
      <c r="C5119" s="1" t="n">
        <v>45357</v>
      </c>
      <c r="D5119" t="inlineStr">
        <is>
          <t>VÄSTERBOTTENS LÄN</t>
        </is>
      </c>
      <c r="E5119" t="inlineStr">
        <is>
          <t>SKELLEFTEÅ</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45553-2021</t>
        </is>
      </c>
      <c r="B5120" s="1" t="n">
        <v>44440</v>
      </c>
      <c r="C5120" s="1" t="n">
        <v>45357</v>
      </c>
      <c r="D5120" t="inlineStr">
        <is>
          <t>VÄSTERBOTTENS LÄN</t>
        </is>
      </c>
      <c r="E5120" t="inlineStr">
        <is>
          <t>BJURHOLM</t>
        </is>
      </c>
      <c r="F5120" t="inlineStr">
        <is>
          <t>Holmen skog AB</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45406-2021</t>
        </is>
      </c>
      <c r="B5121" s="1" t="n">
        <v>44440</v>
      </c>
      <c r="C5121" s="1" t="n">
        <v>45357</v>
      </c>
      <c r="D5121" t="inlineStr">
        <is>
          <t>VÄSTERBOTTENS LÄN</t>
        </is>
      </c>
      <c r="E5121" t="inlineStr">
        <is>
          <t>SKELLEFTEÅ</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45502-2021</t>
        </is>
      </c>
      <c r="B5122" s="1" t="n">
        <v>44440</v>
      </c>
      <c r="C5122" s="1" t="n">
        <v>45357</v>
      </c>
      <c r="D5122" t="inlineStr">
        <is>
          <t>VÄSTERBOTTENS LÄN</t>
        </is>
      </c>
      <c r="E5122" t="inlineStr">
        <is>
          <t>VINDELN</t>
        </is>
      </c>
      <c r="F5122" t="inlineStr">
        <is>
          <t>Holmen skog AB</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45549-2021</t>
        </is>
      </c>
      <c r="B5123" s="1" t="n">
        <v>44440</v>
      </c>
      <c r="C5123" s="1" t="n">
        <v>45357</v>
      </c>
      <c r="D5123" t="inlineStr">
        <is>
          <t>VÄSTERBOTTENS LÄN</t>
        </is>
      </c>
      <c r="E5123" t="inlineStr">
        <is>
          <t>MALÅ</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45503-2021</t>
        </is>
      </c>
      <c r="B5124" s="1" t="n">
        <v>44440</v>
      </c>
      <c r="C5124" s="1" t="n">
        <v>45357</v>
      </c>
      <c r="D5124" t="inlineStr">
        <is>
          <t>VÄSTERBOTTENS LÄN</t>
        </is>
      </c>
      <c r="E5124" t="inlineStr">
        <is>
          <t>LYCKSELE</t>
        </is>
      </c>
      <c r="G5124" t="n">
        <v>29.1</v>
      </c>
      <c r="H5124" t="n">
        <v>0</v>
      </c>
      <c r="I5124" t="n">
        <v>0</v>
      </c>
      <c r="J5124" t="n">
        <v>0</v>
      </c>
      <c r="K5124" t="n">
        <v>0</v>
      </c>
      <c r="L5124" t="n">
        <v>0</v>
      </c>
      <c r="M5124" t="n">
        <v>0</v>
      </c>
      <c r="N5124" t="n">
        <v>0</v>
      </c>
      <c r="O5124" t="n">
        <v>0</v>
      </c>
      <c r="P5124" t="n">
        <v>0</v>
      </c>
      <c r="Q5124" t="n">
        <v>0</v>
      </c>
      <c r="R5124" s="2" t="inlineStr"/>
    </row>
    <row r="5125" ht="15" customHeight="1">
      <c r="A5125" t="inlineStr">
        <is>
          <t>A 45389-2021</t>
        </is>
      </c>
      <c r="B5125" s="1" t="n">
        <v>44440</v>
      </c>
      <c r="C5125" s="1" t="n">
        <v>45357</v>
      </c>
      <c r="D5125" t="inlineStr">
        <is>
          <t>VÄSTERBOTTENS LÄN</t>
        </is>
      </c>
      <c r="E5125" t="inlineStr">
        <is>
          <t>SKELLEFTEÅ</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45618-2021</t>
        </is>
      </c>
      <c r="B5126" s="1" t="n">
        <v>44441</v>
      </c>
      <c r="C5126" s="1" t="n">
        <v>45357</v>
      </c>
      <c r="D5126" t="inlineStr">
        <is>
          <t>VÄSTERBOTTENS LÄN</t>
        </is>
      </c>
      <c r="E5126" t="inlineStr">
        <is>
          <t>NORSJÖ</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45617-2021</t>
        </is>
      </c>
      <c r="B5127" s="1" t="n">
        <v>44440</v>
      </c>
      <c r="C5127" s="1" t="n">
        <v>45357</v>
      </c>
      <c r="D5127" t="inlineStr">
        <is>
          <t>VÄSTERBOTTENS LÄN</t>
        </is>
      </c>
      <c r="E5127" t="inlineStr">
        <is>
          <t>MALÅ</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45703-2021</t>
        </is>
      </c>
      <c r="B5128" s="1" t="n">
        <v>44441</v>
      </c>
      <c r="C5128" s="1" t="n">
        <v>45357</v>
      </c>
      <c r="D5128" t="inlineStr">
        <is>
          <t>VÄSTERBOTTENS LÄN</t>
        </is>
      </c>
      <c r="E5128" t="inlineStr">
        <is>
          <t>VINDELN</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45766-2021</t>
        </is>
      </c>
      <c r="B5129" s="1" t="n">
        <v>44441</v>
      </c>
      <c r="C5129" s="1" t="n">
        <v>45357</v>
      </c>
      <c r="D5129" t="inlineStr">
        <is>
          <t>VÄSTERBOTTENS LÄN</t>
        </is>
      </c>
      <c r="E5129" t="inlineStr">
        <is>
          <t>STORUMAN</t>
        </is>
      </c>
      <c r="F5129" t="inlineStr">
        <is>
          <t>Sveaskog</t>
        </is>
      </c>
      <c r="G5129" t="n">
        <v>13.6</v>
      </c>
      <c r="H5129" t="n">
        <v>0</v>
      </c>
      <c r="I5129" t="n">
        <v>0</v>
      </c>
      <c r="J5129" t="n">
        <v>0</v>
      </c>
      <c r="K5129" t="n">
        <v>0</v>
      </c>
      <c r="L5129" t="n">
        <v>0</v>
      </c>
      <c r="M5129" t="n">
        <v>0</v>
      </c>
      <c r="N5129" t="n">
        <v>0</v>
      </c>
      <c r="O5129" t="n">
        <v>0</v>
      </c>
      <c r="P5129" t="n">
        <v>0</v>
      </c>
      <c r="Q5129" t="n">
        <v>0</v>
      </c>
      <c r="R5129" s="2" t="inlineStr"/>
    </row>
    <row r="5130" ht="15" customHeight="1">
      <c r="A5130" t="inlineStr">
        <is>
          <t>A 46005-2021</t>
        </is>
      </c>
      <c r="B5130" s="1" t="n">
        <v>44441</v>
      </c>
      <c r="C5130" s="1" t="n">
        <v>45357</v>
      </c>
      <c r="D5130" t="inlineStr">
        <is>
          <t>VÄSTERBOTTENS LÄN</t>
        </is>
      </c>
      <c r="E5130" t="inlineStr">
        <is>
          <t>SKELLEFTEÅ</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46046-2021</t>
        </is>
      </c>
      <c r="B5131" s="1" t="n">
        <v>44442</v>
      </c>
      <c r="C5131" s="1" t="n">
        <v>45357</v>
      </c>
      <c r="D5131" t="inlineStr">
        <is>
          <t>VÄSTERBOTTENS LÄN</t>
        </is>
      </c>
      <c r="E5131" t="inlineStr">
        <is>
          <t>VILHELMINA</t>
        </is>
      </c>
      <c r="F5131" t="inlineStr">
        <is>
          <t>SCA</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45844-2021</t>
        </is>
      </c>
      <c r="B5132" s="1" t="n">
        <v>44441</v>
      </c>
      <c r="C5132" s="1" t="n">
        <v>45357</v>
      </c>
      <c r="D5132" t="inlineStr">
        <is>
          <t>VÄSTERBOTTENS LÄN</t>
        </is>
      </c>
      <c r="E5132" t="inlineStr">
        <is>
          <t>BJURHOLM</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45953-2021</t>
        </is>
      </c>
      <c r="B5133" s="1" t="n">
        <v>44441</v>
      </c>
      <c r="C5133" s="1" t="n">
        <v>45357</v>
      </c>
      <c r="D5133" t="inlineStr">
        <is>
          <t>VÄSTERBOTTENS LÄN</t>
        </is>
      </c>
      <c r="E5133" t="inlineStr">
        <is>
          <t>LYCKSELE</t>
        </is>
      </c>
      <c r="F5133" t="inlineStr">
        <is>
          <t>Holmen skog AB</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46018-2021</t>
        </is>
      </c>
      <c r="B5134" s="1" t="n">
        <v>44441</v>
      </c>
      <c r="C5134" s="1" t="n">
        <v>45357</v>
      </c>
      <c r="D5134" t="inlineStr">
        <is>
          <t>VÄSTERBOTTENS LÄN</t>
        </is>
      </c>
      <c r="E5134" t="inlineStr">
        <is>
          <t>NORSJÖ</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46006-2021</t>
        </is>
      </c>
      <c r="B5135" s="1" t="n">
        <v>44441</v>
      </c>
      <c r="C5135" s="1" t="n">
        <v>45357</v>
      </c>
      <c r="D5135" t="inlineStr">
        <is>
          <t>VÄSTERBOTTENS LÄN</t>
        </is>
      </c>
      <c r="E5135" t="inlineStr">
        <is>
          <t>SKELLEFTEÅ</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45946-2021</t>
        </is>
      </c>
      <c r="B5136" s="1" t="n">
        <v>44441</v>
      </c>
      <c r="C5136" s="1" t="n">
        <v>45357</v>
      </c>
      <c r="D5136" t="inlineStr">
        <is>
          <t>VÄSTERBOTTENS LÄN</t>
        </is>
      </c>
      <c r="E5136" t="inlineStr">
        <is>
          <t>LYCKSELE</t>
        </is>
      </c>
      <c r="F5136" t="inlineStr">
        <is>
          <t>Holmen skog AB</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46045-2021</t>
        </is>
      </c>
      <c r="B5137" s="1" t="n">
        <v>44442</v>
      </c>
      <c r="C5137" s="1" t="n">
        <v>45357</v>
      </c>
      <c r="D5137" t="inlineStr">
        <is>
          <t>VÄSTERBOTTENS LÄN</t>
        </is>
      </c>
      <c r="E5137" t="inlineStr">
        <is>
          <t>VILHELMINA</t>
        </is>
      </c>
      <c r="F5137" t="inlineStr">
        <is>
          <t>SCA</t>
        </is>
      </c>
      <c r="G5137" t="n">
        <v>7.8</v>
      </c>
      <c r="H5137" t="n">
        <v>0</v>
      </c>
      <c r="I5137" t="n">
        <v>0</v>
      </c>
      <c r="J5137" t="n">
        <v>0</v>
      </c>
      <c r="K5137" t="n">
        <v>0</v>
      </c>
      <c r="L5137" t="n">
        <v>0</v>
      </c>
      <c r="M5137" t="n">
        <v>0</v>
      </c>
      <c r="N5137" t="n">
        <v>0</v>
      </c>
      <c r="O5137" t="n">
        <v>0</v>
      </c>
      <c r="P5137" t="n">
        <v>0</v>
      </c>
      <c r="Q5137" t="n">
        <v>0</v>
      </c>
      <c r="R5137" s="2" t="inlineStr"/>
    </row>
    <row r="5138" ht="15" customHeight="1">
      <c r="A5138" t="inlineStr">
        <is>
          <t>A 46066-2021</t>
        </is>
      </c>
      <c r="B5138" s="1" t="n">
        <v>44441</v>
      </c>
      <c r="C5138" s="1" t="n">
        <v>45357</v>
      </c>
      <c r="D5138" t="inlineStr">
        <is>
          <t>VÄSTERBOTTENS LÄN</t>
        </is>
      </c>
      <c r="E5138" t="inlineStr">
        <is>
          <t>MALÅ</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46178-2021</t>
        </is>
      </c>
      <c r="B5139" s="1" t="n">
        <v>44441</v>
      </c>
      <c r="C5139" s="1" t="n">
        <v>45357</v>
      </c>
      <c r="D5139" t="inlineStr">
        <is>
          <t>VÄSTERBOTTENS LÄN</t>
        </is>
      </c>
      <c r="E5139" t="inlineStr">
        <is>
          <t>SKELLEFTEÅ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46205-2021</t>
        </is>
      </c>
      <c r="B5140" s="1" t="n">
        <v>44441</v>
      </c>
      <c r="C5140" s="1" t="n">
        <v>45357</v>
      </c>
      <c r="D5140" t="inlineStr">
        <is>
          <t>VÄSTERBOTTENS LÄN</t>
        </is>
      </c>
      <c r="E5140" t="inlineStr">
        <is>
          <t>NORDMALING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46372-2021</t>
        </is>
      </c>
      <c r="B5141" s="1" t="n">
        <v>44443</v>
      </c>
      <c r="C5141" s="1" t="n">
        <v>45357</v>
      </c>
      <c r="D5141" t="inlineStr">
        <is>
          <t>VÄSTERBOTTENS LÄN</t>
        </is>
      </c>
      <c r="E5141" t="inlineStr">
        <is>
          <t>VILHELMINA</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46375-2021</t>
        </is>
      </c>
      <c r="B5142" s="1" t="n">
        <v>44442</v>
      </c>
      <c r="C5142" s="1" t="n">
        <v>45357</v>
      </c>
      <c r="D5142" t="inlineStr">
        <is>
          <t>VÄSTERBOTTENS LÄN</t>
        </is>
      </c>
      <c r="E5142" t="inlineStr">
        <is>
          <t>VILHELMINA</t>
        </is>
      </c>
      <c r="F5142" t="inlineStr">
        <is>
          <t>SCA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46619-2021</t>
        </is>
      </c>
      <c r="B5143" s="1" t="n">
        <v>44442</v>
      </c>
      <c r="C5143" s="1" t="n">
        <v>45357</v>
      </c>
      <c r="D5143" t="inlineStr">
        <is>
          <t>VÄSTERBOTTENS LÄN</t>
        </is>
      </c>
      <c r="E5143" t="inlineStr">
        <is>
          <t>SKELLEFTEÅ</t>
        </is>
      </c>
      <c r="G5143" t="n">
        <v>0</v>
      </c>
      <c r="H5143" t="n">
        <v>0</v>
      </c>
      <c r="I5143" t="n">
        <v>0</v>
      </c>
      <c r="J5143" t="n">
        <v>0</v>
      </c>
      <c r="K5143" t="n">
        <v>0</v>
      </c>
      <c r="L5143" t="n">
        <v>0</v>
      </c>
      <c r="M5143" t="n">
        <v>0</v>
      </c>
      <c r="N5143" t="n">
        <v>0</v>
      </c>
      <c r="O5143" t="n">
        <v>0</v>
      </c>
      <c r="P5143" t="n">
        <v>0</v>
      </c>
      <c r="Q5143" t="n">
        <v>0</v>
      </c>
      <c r="R5143" s="2" t="inlineStr"/>
    </row>
    <row r="5144" ht="15" customHeight="1">
      <c r="A5144" t="inlineStr">
        <is>
          <t>A 46366-2021</t>
        </is>
      </c>
      <c r="B5144" s="1" t="n">
        <v>44442</v>
      </c>
      <c r="C5144" s="1" t="n">
        <v>45357</v>
      </c>
      <c r="D5144" t="inlineStr">
        <is>
          <t>VÄSTERBOTTENS LÄN</t>
        </is>
      </c>
      <c r="E5144" t="inlineStr">
        <is>
          <t>STORUMAN</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46462-2021</t>
        </is>
      </c>
      <c r="B5145" s="1" t="n">
        <v>44442</v>
      </c>
      <c r="C5145" s="1" t="n">
        <v>45357</v>
      </c>
      <c r="D5145" t="inlineStr">
        <is>
          <t>VÄSTERBOTTENS LÄN</t>
        </is>
      </c>
      <c r="E5145" t="inlineStr">
        <is>
          <t>BJURHOLM</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46628-2021</t>
        </is>
      </c>
      <c r="B5146" s="1" t="n">
        <v>44445</v>
      </c>
      <c r="C5146" s="1" t="n">
        <v>45357</v>
      </c>
      <c r="D5146" t="inlineStr">
        <is>
          <t>VÄSTERBOTTENS LÄN</t>
        </is>
      </c>
      <c r="E5146" t="inlineStr">
        <is>
          <t>SKELLEFTEÅ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46776-2021</t>
        </is>
      </c>
      <c r="B5147" s="1" t="n">
        <v>44446</v>
      </c>
      <c r="C5147" s="1" t="n">
        <v>45357</v>
      </c>
      <c r="D5147" t="inlineStr">
        <is>
          <t>VÄSTERBOTTENS LÄN</t>
        </is>
      </c>
      <c r="E5147" t="inlineStr">
        <is>
          <t>NORSJÖ</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46775-2021</t>
        </is>
      </c>
      <c r="B5148" s="1" t="n">
        <v>44446</v>
      </c>
      <c r="C5148" s="1" t="n">
        <v>45357</v>
      </c>
      <c r="D5148" t="inlineStr">
        <is>
          <t>VÄSTERBOTTENS LÄN</t>
        </is>
      </c>
      <c r="E5148" t="inlineStr">
        <is>
          <t>NORSJÖ</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47375-2021</t>
        </is>
      </c>
      <c r="B5149" s="1" t="n">
        <v>44445</v>
      </c>
      <c r="C5149" s="1" t="n">
        <v>45357</v>
      </c>
      <c r="D5149" t="inlineStr">
        <is>
          <t>VÄSTERBOTTENS LÄN</t>
        </is>
      </c>
      <c r="E5149" t="inlineStr">
        <is>
          <t>ROBERTSFORS</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46780-2021</t>
        </is>
      </c>
      <c r="B5150" s="1" t="n">
        <v>44445</v>
      </c>
      <c r="C5150" s="1" t="n">
        <v>45357</v>
      </c>
      <c r="D5150" t="inlineStr">
        <is>
          <t>VÄSTERBOTTENS LÄN</t>
        </is>
      </c>
      <c r="E5150" t="inlineStr">
        <is>
          <t>STORUMAN</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46818-2021</t>
        </is>
      </c>
      <c r="B5151" s="1" t="n">
        <v>44446</v>
      </c>
      <c r="C5151" s="1" t="n">
        <v>45357</v>
      </c>
      <c r="D5151" t="inlineStr">
        <is>
          <t>VÄSTERBOTTENS LÄN</t>
        </is>
      </c>
      <c r="E5151" t="inlineStr">
        <is>
          <t>MALÅ</t>
        </is>
      </c>
      <c r="F5151" t="inlineStr">
        <is>
          <t>Sveaskog</t>
        </is>
      </c>
      <c r="G5151" t="n">
        <v>18.9</v>
      </c>
      <c r="H5151" t="n">
        <v>0</v>
      </c>
      <c r="I5151" t="n">
        <v>0</v>
      </c>
      <c r="J5151" t="n">
        <v>0</v>
      </c>
      <c r="K5151" t="n">
        <v>0</v>
      </c>
      <c r="L5151" t="n">
        <v>0</v>
      </c>
      <c r="M5151" t="n">
        <v>0</v>
      </c>
      <c r="N5151" t="n">
        <v>0</v>
      </c>
      <c r="O5151" t="n">
        <v>0</v>
      </c>
      <c r="P5151" t="n">
        <v>0</v>
      </c>
      <c r="Q5151" t="n">
        <v>0</v>
      </c>
      <c r="R5151" s="2" t="inlineStr"/>
    </row>
    <row r="5152" ht="15" customHeight="1">
      <c r="A5152" t="inlineStr">
        <is>
          <t>A 46950-2021</t>
        </is>
      </c>
      <c r="B5152" s="1" t="n">
        <v>44446</v>
      </c>
      <c r="C5152" s="1" t="n">
        <v>45357</v>
      </c>
      <c r="D5152" t="inlineStr">
        <is>
          <t>VÄSTERBOTTENS LÄN</t>
        </is>
      </c>
      <c r="E5152" t="inlineStr">
        <is>
          <t>VÄNNÄS</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47018-2021</t>
        </is>
      </c>
      <c r="B5153" s="1" t="n">
        <v>44446</v>
      </c>
      <c r="C5153" s="1" t="n">
        <v>45357</v>
      </c>
      <c r="D5153" t="inlineStr">
        <is>
          <t>VÄSTERBOTTENS LÄN</t>
        </is>
      </c>
      <c r="E5153" t="inlineStr">
        <is>
          <t>LYCKSELE</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47067-2021</t>
        </is>
      </c>
      <c r="B5154" s="1" t="n">
        <v>44446</v>
      </c>
      <c r="C5154" s="1" t="n">
        <v>45357</v>
      </c>
      <c r="D5154" t="inlineStr">
        <is>
          <t>VÄSTERBOTTENS LÄN</t>
        </is>
      </c>
      <c r="E5154" t="inlineStr">
        <is>
          <t>LYCKSELE</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47142-2021</t>
        </is>
      </c>
      <c r="B5155" s="1" t="n">
        <v>44447</v>
      </c>
      <c r="C5155" s="1" t="n">
        <v>45357</v>
      </c>
      <c r="D5155" t="inlineStr">
        <is>
          <t>VÄSTERBOTTENS LÄN</t>
        </is>
      </c>
      <c r="E5155" t="inlineStr">
        <is>
          <t>UMEÅ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47109-2021</t>
        </is>
      </c>
      <c r="B5156" s="1" t="n">
        <v>44446</v>
      </c>
      <c r="C5156" s="1" t="n">
        <v>45357</v>
      </c>
      <c r="D5156" t="inlineStr">
        <is>
          <t>VÄSTERBOTTENS LÄN</t>
        </is>
      </c>
      <c r="E5156" t="inlineStr">
        <is>
          <t>VINDELN</t>
        </is>
      </c>
      <c r="F5156" t="inlineStr">
        <is>
          <t>Sveaskog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47141-2021</t>
        </is>
      </c>
      <c r="B5157" s="1" t="n">
        <v>44447</v>
      </c>
      <c r="C5157" s="1" t="n">
        <v>45357</v>
      </c>
      <c r="D5157" t="inlineStr">
        <is>
          <t>VÄSTERBOTTENS LÄN</t>
        </is>
      </c>
      <c r="E5157" t="inlineStr">
        <is>
          <t>UMEÅ</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47100-2021</t>
        </is>
      </c>
      <c r="B5158" s="1" t="n">
        <v>44446</v>
      </c>
      <c r="C5158" s="1" t="n">
        <v>45357</v>
      </c>
      <c r="D5158" t="inlineStr">
        <is>
          <t>VÄSTERBOTTENS LÄN</t>
        </is>
      </c>
      <c r="E5158" t="inlineStr">
        <is>
          <t>VINDELN</t>
        </is>
      </c>
      <c r="F5158" t="inlineStr">
        <is>
          <t>Sveaskog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47151-2021</t>
        </is>
      </c>
      <c r="B5159" s="1" t="n">
        <v>44447</v>
      </c>
      <c r="C5159" s="1" t="n">
        <v>45357</v>
      </c>
      <c r="D5159" t="inlineStr">
        <is>
          <t>VÄSTERBOTTENS LÄN</t>
        </is>
      </c>
      <c r="E5159" t="inlineStr">
        <is>
          <t>VILHELMINA</t>
        </is>
      </c>
      <c r="F5159" t="inlineStr">
        <is>
          <t>SCA</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47039-2021</t>
        </is>
      </c>
      <c r="B5160" s="1" t="n">
        <v>44446</v>
      </c>
      <c r="C5160" s="1" t="n">
        <v>45357</v>
      </c>
      <c r="D5160" t="inlineStr">
        <is>
          <t>VÄSTERBOTTENS LÄN</t>
        </is>
      </c>
      <c r="E5160" t="inlineStr">
        <is>
          <t>SKELLEFTEÅ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47220-2021</t>
        </is>
      </c>
      <c r="B5161" s="1" t="n">
        <v>44447</v>
      </c>
      <c r="C5161" s="1" t="n">
        <v>45357</v>
      </c>
      <c r="D5161" t="inlineStr">
        <is>
          <t>VÄSTERBOTTENS LÄN</t>
        </is>
      </c>
      <c r="E5161" t="inlineStr">
        <is>
          <t>ROBERTSFORS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47225-2021</t>
        </is>
      </c>
      <c r="B5162" s="1" t="n">
        <v>44447</v>
      </c>
      <c r="C5162" s="1" t="n">
        <v>45357</v>
      </c>
      <c r="D5162" t="inlineStr">
        <is>
          <t>VÄSTERBOTTENS LÄN</t>
        </is>
      </c>
      <c r="E5162" t="inlineStr">
        <is>
          <t>ROBERTSFORS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47497-2021</t>
        </is>
      </c>
      <c r="B5163" s="1" t="n">
        <v>44447</v>
      </c>
      <c r="C5163" s="1" t="n">
        <v>45357</v>
      </c>
      <c r="D5163" t="inlineStr">
        <is>
          <t>VÄSTERBOTTENS LÄN</t>
        </is>
      </c>
      <c r="E5163" t="inlineStr">
        <is>
          <t>LYCKSELE</t>
        </is>
      </c>
      <c r="F5163" t="inlineStr">
        <is>
          <t>Sveaskog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47717-2021</t>
        </is>
      </c>
      <c r="B5164" s="1" t="n">
        <v>44448</v>
      </c>
      <c r="C5164" s="1" t="n">
        <v>45357</v>
      </c>
      <c r="D5164" t="inlineStr">
        <is>
          <t>VÄSTERBOTTENS LÄN</t>
        </is>
      </c>
      <c r="E5164" t="inlineStr">
        <is>
          <t>LYCKSELE</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47704-2021</t>
        </is>
      </c>
      <c r="B5165" s="1" t="n">
        <v>44448</v>
      </c>
      <c r="C5165" s="1" t="n">
        <v>45357</v>
      </c>
      <c r="D5165" t="inlineStr">
        <is>
          <t>VÄSTERBOTTENS LÄN</t>
        </is>
      </c>
      <c r="E5165" t="inlineStr">
        <is>
          <t>LYCKSELE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47711-2021</t>
        </is>
      </c>
      <c r="B5166" s="1" t="n">
        <v>44448</v>
      </c>
      <c r="C5166" s="1" t="n">
        <v>45357</v>
      </c>
      <c r="D5166" t="inlineStr">
        <is>
          <t>VÄSTERBOTTENS LÄN</t>
        </is>
      </c>
      <c r="E5166" t="inlineStr">
        <is>
          <t>LYCKSELE</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47610-2021</t>
        </is>
      </c>
      <c r="B5167" s="1" t="n">
        <v>44448</v>
      </c>
      <c r="C5167" s="1" t="n">
        <v>45357</v>
      </c>
      <c r="D5167" t="inlineStr">
        <is>
          <t>VÄSTERBOTTENS LÄN</t>
        </is>
      </c>
      <c r="E5167" t="inlineStr">
        <is>
          <t>SKELLEFTEÅ</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47708-2021</t>
        </is>
      </c>
      <c r="B5168" s="1" t="n">
        <v>44448</v>
      </c>
      <c r="C5168" s="1" t="n">
        <v>45357</v>
      </c>
      <c r="D5168" t="inlineStr">
        <is>
          <t>VÄSTERBOTTENS LÄN</t>
        </is>
      </c>
      <c r="E5168" t="inlineStr">
        <is>
          <t>LYCKSELE</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47697-2021</t>
        </is>
      </c>
      <c r="B5169" s="1" t="n">
        <v>44448</v>
      </c>
      <c r="C5169" s="1" t="n">
        <v>45357</v>
      </c>
      <c r="D5169" t="inlineStr">
        <is>
          <t>VÄSTERBOTTENS LÄN</t>
        </is>
      </c>
      <c r="E5169" t="inlineStr">
        <is>
          <t>LYCKSELE</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47797-2021</t>
        </is>
      </c>
      <c r="B5170" s="1" t="n">
        <v>44448</v>
      </c>
      <c r="C5170" s="1" t="n">
        <v>45357</v>
      </c>
      <c r="D5170" t="inlineStr">
        <is>
          <t>VÄSTERBOTTENS LÄN</t>
        </is>
      </c>
      <c r="E5170" t="inlineStr">
        <is>
          <t>MALÅ</t>
        </is>
      </c>
      <c r="F5170" t="inlineStr">
        <is>
          <t>Sveaskog</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47919-2021</t>
        </is>
      </c>
      <c r="B5171" s="1" t="n">
        <v>44448</v>
      </c>
      <c r="C5171" s="1" t="n">
        <v>45357</v>
      </c>
      <c r="D5171" t="inlineStr">
        <is>
          <t>VÄSTERBOTTENS LÄN</t>
        </is>
      </c>
      <c r="E5171" t="inlineStr">
        <is>
          <t>SORSELE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47974-2021</t>
        </is>
      </c>
      <c r="B5172" s="1" t="n">
        <v>44448</v>
      </c>
      <c r="C5172" s="1" t="n">
        <v>45357</v>
      </c>
      <c r="D5172" t="inlineStr">
        <is>
          <t>VÄSTERBOTTENS LÄN</t>
        </is>
      </c>
      <c r="E5172" t="inlineStr">
        <is>
          <t>SKELLEFTEÅ</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48015-2021</t>
        </is>
      </c>
      <c r="B5173" s="1" t="n">
        <v>44449</v>
      </c>
      <c r="C5173" s="1" t="n">
        <v>45357</v>
      </c>
      <c r="D5173" t="inlineStr">
        <is>
          <t>VÄSTERBOTTENS LÄN</t>
        </is>
      </c>
      <c r="E5173" t="inlineStr">
        <is>
          <t>SKELLEFTEÅ</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48082-2021</t>
        </is>
      </c>
      <c r="B5174" s="1" t="n">
        <v>44449</v>
      </c>
      <c r="C5174" s="1" t="n">
        <v>45357</v>
      </c>
      <c r="D5174" t="inlineStr">
        <is>
          <t>VÄSTERBOTTENS LÄN</t>
        </is>
      </c>
      <c r="E5174" t="inlineStr">
        <is>
          <t>ÅSELE</t>
        </is>
      </c>
      <c r="F5174" t="inlineStr">
        <is>
          <t>Holmen skog AB</t>
        </is>
      </c>
      <c r="G5174" t="n">
        <v>9.800000000000001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48086-2021</t>
        </is>
      </c>
      <c r="B5175" s="1" t="n">
        <v>44449</v>
      </c>
      <c r="C5175" s="1" t="n">
        <v>45357</v>
      </c>
      <c r="D5175" t="inlineStr">
        <is>
          <t>VÄSTERBOTTENS LÄN</t>
        </is>
      </c>
      <c r="E5175" t="inlineStr">
        <is>
          <t>LYCKSELE</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48108-2021</t>
        </is>
      </c>
      <c r="B5176" s="1" t="n">
        <v>44449</v>
      </c>
      <c r="C5176" s="1" t="n">
        <v>45357</v>
      </c>
      <c r="D5176" t="inlineStr">
        <is>
          <t>VÄSTERBOTTENS LÄN</t>
        </is>
      </c>
      <c r="E5176" t="inlineStr">
        <is>
          <t>VINDELN</t>
        </is>
      </c>
      <c r="F5176" t="inlineStr">
        <is>
          <t>Sveaskog</t>
        </is>
      </c>
      <c r="G5176" t="n">
        <v>34.1</v>
      </c>
      <c r="H5176" t="n">
        <v>0</v>
      </c>
      <c r="I5176" t="n">
        <v>0</v>
      </c>
      <c r="J5176" t="n">
        <v>0</v>
      </c>
      <c r="K5176" t="n">
        <v>0</v>
      </c>
      <c r="L5176" t="n">
        <v>0</v>
      </c>
      <c r="M5176" t="n">
        <v>0</v>
      </c>
      <c r="N5176" t="n">
        <v>0</v>
      </c>
      <c r="O5176" t="n">
        <v>0</v>
      </c>
      <c r="P5176" t="n">
        <v>0</v>
      </c>
      <c r="Q5176" t="n">
        <v>0</v>
      </c>
      <c r="R5176" s="2" t="inlineStr"/>
    </row>
    <row r="5177" ht="15" customHeight="1">
      <c r="A5177" t="inlineStr">
        <is>
          <t>A 48207-2021</t>
        </is>
      </c>
      <c r="B5177" s="1" t="n">
        <v>44449</v>
      </c>
      <c r="C5177" s="1" t="n">
        <v>45357</v>
      </c>
      <c r="D5177" t="inlineStr">
        <is>
          <t>VÄSTERBOTTENS LÄN</t>
        </is>
      </c>
      <c r="E5177" t="inlineStr">
        <is>
          <t>VINDELN</t>
        </is>
      </c>
      <c r="F5177" t="inlineStr">
        <is>
          <t>Holmen skog AB</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48258-2021</t>
        </is>
      </c>
      <c r="B5178" s="1" t="n">
        <v>44449</v>
      </c>
      <c r="C5178" s="1" t="n">
        <v>45357</v>
      </c>
      <c r="D5178" t="inlineStr">
        <is>
          <t>VÄSTERBOTTENS LÄN</t>
        </is>
      </c>
      <c r="E5178" t="inlineStr">
        <is>
          <t>BJURHOLM</t>
        </is>
      </c>
      <c r="F5178" t="inlineStr">
        <is>
          <t>Holmen skog AB</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48031-2021</t>
        </is>
      </c>
      <c r="B5179" s="1" t="n">
        <v>44449</v>
      </c>
      <c r="C5179" s="1" t="n">
        <v>45357</v>
      </c>
      <c r="D5179" t="inlineStr">
        <is>
          <t>VÄSTERBOTTENS LÄN</t>
        </is>
      </c>
      <c r="E5179" t="inlineStr">
        <is>
          <t>ÅSELE</t>
        </is>
      </c>
      <c r="F5179" t="inlineStr">
        <is>
          <t>Sveaskog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48332-2021</t>
        </is>
      </c>
      <c r="B5180" s="1" t="n">
        <v>44451</v>
      </c>
      <c r="C5180" s="1" t="n">
        <v>45357</v>
      </c>
      <c r="D5180" t="inlineStr">
        <is>
          <t>VÄSTERBOTTENS LÄN</t>
        </is>
      </c>
      <c r="E5180" t="inlineStr">
        <is>
          <t>STORUMAN</t>
        </is>
      </c>
      <c r="F5180" t="inlineStr">
        <is>
          <t>Sveaskog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48338-2021</t>
        </is>
      </c>
      <c r="B5181" s="1" t="n">
        <v>44451</v>
      </c>
      <c r="C5181" s="1" t="n">
        <v>45357</v>
      </c>
      <c r="D5181" t="inlineStr">
        <is>
          <t>VÄSTERBOTTENS LÄN</t>
        </is>
      </c>
      <c r="E5181" t="inlineStr">
        <is>
          <t>STORUMAN</t>
        </is>
      </c>
      <c r="F5181" t="inlineStr">
        <is>
          <t>Sveaskog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48347-2021</t>
        </is>
      </c>
      <c r="B5182" s="1" t="n">
        <v>44451</v>
      </c>
      <c r="C5182" s="1" t="n">
        <v>45357</v>
      </c>
      <c r="D5182" t="inlineStr">
        <is>
          <t>VÄSTERBOTTENS LÄN</t>
        </is>
      </c>
      <c r="E5182" t="inlineStr">
        <is>
          <t>STORUMAN</t>
        </is>
      </c>
      <c r="F5182" t="inlineStr">
        <is>
          <t>Sveaskog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48346-2021</t>
        </is>
      </c>
      <c r="B5183" s="1" t="n">
        <v>44451</v>
      </c>
      <c r="C5183" s="1" t="n">
        <v>45357</v>
      </c>
      <c r="D5183" t="inlineStr">
        <is>
          <t>VÄSTERBOTTENS LÄN</t>
        </is>
      </c>
      <c r="E5183" t="inlineStr">
        <is>
          <t>STORUMAN</t>
        </is>
      </c>
      <c r="F5183" t="inlineStr">
        <is>
          <t>Sveaskog</t>
        </is>
      </c>
      <c r="G5183" t="n">
        <v>49.4</v>
      </c>
      <c r="H5183" t="n">
        <v>0</v>
      </c>
      <c r="I5183" t="n">
        <v>0</v>
      </c>
      <c r="J5183" t="n">
        <v>0</v>
      </c>
      <c r="K5183" t="n">
        <v>0</v>
      </c>
      <c r="L5183" t="n">
        <v>0</v>
      </c>
      <c r="M5183" t="n">
        <v>0</v>
      </c>
      <c r="N5183" t="n">
        <v>0</v>
      </c>
      <c r="O5183" t="n">
        <v>0</v>
      </c>
      <c r="P5183" t="n">
        <v>0</v>
      </c>
      <c r="Q5183" t="n">
        <v>0</v>
      </c>
      <c r="R5183" s="2" t="inlineStr"/>
    </row>
    <row r="5184" ht="15" customHeight="1">
      <c r="A5184" t="inlineStr">
        <is>
          <t>A 48538-2021</t>
        </is>
      </c>
      <c r="B5184" s="1" t="n">
        <v>44451</v>
      </c>
      <c r="C5184" s="1" t="n">
        <v>45357</v>
      </c>
      <c r="D5184" t="inlineStr">
        <is>
          <t>VÄSTERBOTTENS LÄN</t>
        </is>
      </c>
      <c r="E5184" t="inlineStr">
        <is>
          <t>SKELLEFTEÅ</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48467-2021</t>
        </is>
      </c>
      <c r="B5185" s="1" t="n">
        <v>44452</v>
      </c>
      <c r="C5185" s="1" t="n">
        <v>45357</v>
      </c>
      <c r="D5185" t="inlineStr">
        <is>
          <t>VÄSTERBOTTENS LÄN</t>
        </is>
      </c>
      <c r="E5185" t="inlineStr">
        <is>
          <t>VINDELN</t>
        </is>
      </c>
      <c r="F5185" t="inlineStr">
        <is>
          <t>Holmen skog AB</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48607-2021</t>
        </is>
      </c>
      <c r="B5186" s="1" t="n">
        <v>44452</v>
      </c>
      <c r="C5186" s="1" t="n">
        <v>45357</v>
      </c>
      <c r="D5186" t="inlineStr">
        <is>
          <t>VÄSTERBOTTENS LÄN</t>
        </is>
      </c>
      <c r="E5186" t="inlineStr">
        <is>
          <t>UMEÅ</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48754-2021</t>
        </is>
      </c>
      <c r="B5187" s="1" t="n">
        <v>44452</v>
      </c>
      <c r="C5187" s="1" t="n">
        <v>45357</v>
      </c>
      <c r="D5187" t="inlineStr">
        <is>
          <t>VÄSTERBOTTENS LÄN</t>
        </is>
      </c>
      <c r="E5187" t="inlineStr">
        <is>
          <t>VILHELMINA</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48613-2021</t>
        </is>
      </c>
      <c r="B5188" s="1" t="n">
        <v>44452</v>
      </c>
      <c r="C5188" s="1" t="n">
        <v>45357</v>
      </c>
      <c r="D5188" t="inlineStr">
        <is>
          <t>VÄSTERBOTTENS LÄN</t>
        </is>
      </c>
      <c r="E5188" t="inlineStr">
        <is>
          <t>UMEÅ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48823-2021</t>
        </is>
      </c>
      <c r="B5189" s="1" t="n">
        <v>44453</v>
      </c>
      <c r="C5189" s="1" t="n">
        <v>45357</v>
      </c>
      <c r="D5189" t="inlineStr">
        <is>
          <t>VÄSTERBOTTENS LÄN</t>
        </is>
      </c>
      <c r="E5189" t="inlineStr">
        <is>
          <t>ROBERTSFORS</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48600-2021</t>
        </is>
      </c>
      <c r="B5190" s="1" t="n">
        <v>44452</v>
      </c>
      <c r="C5190" s="1" t="n">
        <v>45357</v>
      </c>
      <c r="D5190" t="inlineStr">
        <is>
          <t>VÄSTERBOTTENS LÄN</t>
        </is>
      </c>
      <c r="E5190" t="inlineStr">
        <is>
          <t>VILHELMINA</t>
        </is>
      </c>
      <c r="F5190" t="inlineStr">
        <is>
          <t>Allmännings- och besparingsskogar</t>
        </is>
      </c>
      <c r="G5190" t="n">
        <v>48.6</v>
      </c>
      <c r="H5190" t="n">
        <v>0</v>
      </c>
      <c r="I5190" t="n">
        <v>0</v>
      </c>
      <c r="J5190" t="n">
        <v>0</v>
      </c>
      <c r="K5190" t="n">
        <v>0</v>
      </c>
      <c r="L5190" t="n">
        <v>0</v>
      </c>
      <c r="M5190" t="n">
        <v>0</v>
      </c>
      <c r="N5190" t="n">
        <v>0</v>
      </c>
      <c r="O5190" t="n">
        <v>0</v>
      </c>
      <c r="P5190" t="n">
        <v>0</v>
      </c>
      <c r="Q5190" t="n">
        <v>0</v>
      </c>
      <c r="R5190" s="2" t="inlineStr"/>
    </row>
    <row r="5191" ht="15" customHeight="1">
      <c r="A5191" t="inlineStr">
        <is>
          <t>A 48756-2021</t>
        </is>
      </c>
      <c r="B5191" s="1" t="n">
        <v>44452</v>
      </c>
      <c r="C5191" s="1" t="n">
        <v>45357</v>
      </c>
      <c r="D5191" t="inlineStr">
        <is>
          <t>VÄSTERBOTTENS LÄN</t>
        </is>
      </c>
      <c r="E5191" t="inlineStr">
        <is>
          <t>VILHELMINA</t>
        </is>
      </c>
      <c r="G5191" t="n">
        <v>13.3</v>
      </c>
      <c r="H5191" t="n">
        <v>0</v>
      </c>
      <c r="I5191" t="n">
        <v>0</v>
      </c>
      <c r="J5191" t="n">
        <v>0</v>
      </c>
      <c r="K5191" t="n">
        <v>0</v>
      </c>
      <c r="L5191" t="n">
        <v>0</v>
      </c>
      <c r="M5191" t="n">
        <v>0</v>
      </c>
      <c r="N5191" t="n">
        <v>0</v>
      </c>
      <c r="O5191" t="n">
        <v>0</v>
      </c>
      <c r="P5191" t="n">
        <v>0</v>
      </c>
      <c r="Q5191" t="n">
        <v>0</v>
      </c>
      <c r="R5191" s="2" t="inlineStr"/>
    </row>
    <row r="5192" ht="15" customHeight="1">
      <c r="A5192" t="inlineStr">
        <is>
          <t>A 48783-2021</t>
        </is>
      </c>
      <c r="B5192" s="1" t="n">
        <v>44452</v>
      </c>
      <c r="C5192" s="1" t="n">
        <v>45357</v>
      </c>
      <c r="D5192" t="inlineStr">
        <is>
          <t>VÄSTERBOTTENS LÄN</t>
        </is>
      </c>
      <c r="E5192" t="inlineStr">
        <is>
          <t>VILHELMINA</t>
        </is>
      </c>
      <c r="F5192" t="inlineStr">
        <is>
          <t>Allmännings- och besparingsskogar</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48811-2021</t>
        </is>
      </c>
      <c r="B5193" s="1" t="n">
        <v>44452</v>
      </c>
      <c r="C5193" s="1" t="n">
        <v>45357</v>
      </c>
      <c r="D5193" t="inlineStr">
        <is>
          <t>VÄSTERBOTTENS LÄN</t>
        </is>
      </c>
      <c r="E5193" t="inlineStr">
        <is>
          <t>NORDMALING</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48830-2021</t>
        </is>
      </c>
      <c r="B5194" s="1" t="n">
        <v>44453</v>
      </c>
      <c r="C5194" s="1" t="n">
        <v>45357</v>
      </c>
      <c r="D5194" t="inlineStr">
        <is>
          <t>VÄSTERBOTTENS LÄN</t>
        </is>
      </c>
      <c r="E5194" t="inlineStr">
        <is>
          <t>ÅSELE</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48824-2021</t>
        </is>
      </c>
      <c r="B5195" s="1" t="n">
        <v>44453</v>
      </c>
      <c r="C5195" s="1" t="n">
        <v>45357</v>
      </c>
      <c r="D5195" t="inlineStr">
        <is>
          <t>VÄSTERBOTTENS LÄN</t>
        </is>
      </c>
      <c r="E5195" t="inlineStr">
        <is>
          <t>ROBERTSFORS</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48837-2021</t>
        </is>
      </c>
      <c r="B5196" s="1" t="n">
        <v>44453</v>
      </c>
      <c r="C5196" s="1" t="n">
        <v>45357</v>
      </c>
      <c r="D5196" t="inlineStr">
        <is>
          <t>VÄSTERBOTTENS LÄN</t>
        </is>
      </c>
      <c r="E5196" t="inlineStr">
        <is>
          <t>UMEÅ</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48574-2021</t>
        </is>
      </c>
      <c r="B5197" s="1" t="n">
        <v>44452</v>
      </c>
      <c r="C5197" s="1" t="n">
        <v>45357</v>
      </c>
      <c r="D5197" t="inlineStr">
        <is>
          <t>VÄSTERBOTTENS LÄN</t>
        </is>
      </c>
      <c r="E5197" t="inlineStr">
        <is>
          <t>VILHELMINA</t>
        </is>
      </c>
      <c r="F5197" t="inlineStr">
        <is>
          <t>Allmännings- och besparingsskogar</t>
        </is>
      </c>
      <c r="G5197" t="n">
        <v>85.09999999999999</v>
      </c>
      <c r="H5197" t="n">
        <v>0</v>
      </c>
      <c r="I5197" t="n">
        <v>0</v>
      </c>
      <c r="J5197" t="n">
        <v>0</v>
      </c>
      <c r="K5197" t="n">
        <v>0</v>
      </c>
      <c r="L5197" t="n">
        <v>0</v>
      </c>
      <c r="M5197" t="n">
        <v>0</v>
      </c>
      <c r="N5197" t="n">
        <v>0</v>
      </c>
      <c r="O5197" t="n">
        <v>0</v>
      </c>
      <c r="P5197" t="n">
        <v>0</v>
      </c>
      <c r="Q5197" t="n">
        <v>0</v>
      </c>
      <c r="R5197" s="2" t="inlineStr"/>
    </row>
    <row r="5198" ht="15" customHeight="1">
      <c r="A5198" t="inlineStr">
        <is>
          <t>A 48834-2021</t>
        </is>
      </c>
      <c r="B5198" s="1" t="n">
        <v>44453</v>
      </c>
      <c r="C5198" s="1" t="n">
        <v>45357</v>
      </c>
      <c r="D5198" t="inlineStr">
        <is>
          <t>VÄSTERBOTTENS LÄN</t>
        </is>
      </c>
      <c r="E5198" t="inlineStr">
        <is>
          <t>ROBERTSFORS</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48890-2021</t>
        </is>
      </c>
      <c r="B5199" s="1" t="n">
        <v>44452</v>
      </c>
      <c r="C5199" s="1" t="n">
        <v>45357</v>
      </c>
      <c r="D5199" t="inlineStr">
        <is>
          <t>VÄSTERBOTTENS LÄN</t>
        </is>
      </c>
      <c r="E5199" t="inlineStr">
        <is>
          <t>VÄNNÄS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48987-2021</t>
        </is>
      </c>
      <c r="B5200" s="1" t="n">
        <v>44453</v>
      </c>
      <c r="C5200" s="1" t="n">
        <v>45357</v>
      </c>
      <c r="D5200" t="inlineStr">
        <is>
          <t>VÄSTERBOTTENS LÄN</t>
        </is>
      </c>
      <c r="E5200" t="inlineStr">
        <is>
          <t>LYCKSELE</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48997-2021</t>
        </is>
      </c>
      <c r="B5201" s="1" t="n">
        <v>44453</v>
      </c>
      <c r="C5201" s="1" t="n">
        <v>45357</v>
      </c>
      <c r="D5201" t="inlineStr">
        <is>
          <t>VÄSTERBOTTENS LÄN</t>
        </is>
      </c>
      <c r="E5201" t="inlineStr">
        <is>
          <t>LYCKSELE</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49063-2021</t>
        </is>
      </c>
      <c r="B5202" s="1" t="n">
        <v>44453</v>
      </c>
      <c r="C5202" s="1" t="n">
        <v>45357</v>
      </c>
      <c r="D5202" t="inlineStr">
        <is>
          <t>VÄSTERBOTTENS LÄN</t>
        </is>
      </c>
      <c r="E5202" t="inlineStr">
        <is>
          <t>VILHELMINA</t>
        </is>
      </c>
      <c r="F5202" t="inlineStr">
        <is>
          <t>Övriga statliga verk och myndigheter</t>
        </is>
      </c>
      <c r="G5202" t="n">
        <v>42.7</v>
      </c>
      <c r="H5202" t="n">
        <v>0</v>
      </c>
      <c r="I5202" t="n">
        <v>0</v>
      </c>
      <c r="J5202" t="n">
        <v>0</v>
      </c>
      <c r="K5202" t="n">
        <v>0</v>
      </c>
      <c r="L5202" t="n">
        <v>0</v>
      </c>
      <c r="M5202" t="n">
        <v>0</v>
      </c>
      <c r="N5202" t="n">
        <v>0</v>
      </c>
      <c r="O5202" t="n">
        <v>0</v>
      </c>
      <c r="P5202" t="n">
        <v>0</v>
      </c>
      <c r="Q5202" t="n">
        <v>0</v>
      </c>
      <c r="R5202" s="2" t="inlineStr"/>
    </row>
    <row r="5203" ht="15" customHeight="1">
      <c r="A5203" t="inlineStr">
        <is>
          <t>A 49173-2021</t>
        </is>
      </c>
      <c r="B5203" s="1" t="n">
        <v>44453</v>
      </c>
      <c r="C5203" s="1" t="n">
        <v>45357</v>
      </c>
      <c r="D5203" t="inlineStr">
        <is>
          <t>VÄSTERBOTTENS LÄN</t>
        </is>
      </c>
      <c r="E5203" t="inlineStr">
        <is>
          <t>NORSJÖ</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49353-2021</t>
        </is>
      </c>
      <c r="B5204" s="1" t="n">
        <v>44453</v>
      </c>
      <c r="C5204" s="1" t="n">
        <v>45357</v>
      </c>
      <c r="D5204" t="inlineStr">
        <is>
          <t>VÄSTERBOTTENS LÄN</t>
        </is>
      </c>
      <c r="E5204" t="inlineStr">
        <is>
          <t>UMEÅ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49644-2021</t>
        </is>
      </c>
      <c r="B5205" s="1" t="n">
        <v>44454</v>
      </c>
      <c r="C5205" s="1" t="n">
        <v>45357</v>
      </c>
      <c r="D5205" t="inlineStr">
        <is>
          <t>VÄSTERBOTTENS LÄN</t>
        </is>
      </c>
      <c r="E5205" t="inlineStr">
        <is>
          <t>VÄNNÄS</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49816-2021</t>
        </is>
      </c>
      <c r="B5206" s="1" t="n">
        <v>44454</v>
      </c>
      <c r="C5206" s="1" t="n">
        <v>45357</v>
      </c>
      <c r="D5206" t="inlineStr">
        <is>
          <t>VÄSTERBOTTENS LÄN</t>
        </is>
      </c>
      <c r="E5206" t="inlineStr">
        <is>
          <t>LYCKSELE</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49850-2021</t>
        </is>
      </c>
      <c r="B5207" s="1" t="n">
        <v>44455</v>
      </c>
      <c r="C5207" s="1" t="n">
        <v>45357</v>
      </c>
      <c r="D5207" t="inlineStr">
        <is>
          <t>VÄSTERBOTTENS LÄN</t>
        </is>
      </c>
      <c r="E5207" t="inlineStr">
        <is>
          <t>UMEÅ</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49580-2021</t>
        </is>
      </c>
      <c r="B5208" s="1" t="n">
        <v>44455</v>
      </c>
      <c r="C5208" s="1" t="n">
        <v>45357</v>
      </c>
      <c r="D5208" t="inlineStr">
        <is>
          <t>VÄSTERBOTTENS LÄN</t>
        </is>
      </c>
      <c r="E5208" t="inlineStr">
        <is>
          <t>VINDELN</t>
        </is>
      </c>
      <c r="G5208" t="n">
        <v>9.300000000000001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49635-2021</t>
        </is>
      </c>
      <c r="B5209" s="1" t="n">
        <v>44455</v>
      </c>
      <c r="C5209" s="1" t="n">
        <v>45357</v>
      </c>
      <c r="D5209" t="inlineStr">
        <is>
          <t>VÄSTERBOTTENS LÄN</t>
        </is>
      </c>
      <c r="E5209" t="inlineStr">
        <is>
          <t>VINDELN</t>
        </is>
      </c>
      <c r="F5209" t="inlineStr">
        <is>
          <t>Sveaskog</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49672-2021</t>
        </is>
      </c>
      <c r="B5210" s="1" t="n">
        <v>44455</v>
      </c>
      <c r="C5210" s="1" t="n">
        <v>45357</v>
      </c>
      <c r="D5210" t="inlineStr">
        <is>
          <t>VÄSTERBOTTENS LÄN</t>
        </is>
      </c>
      <c r="E5210" t="inlineStr">
        <is>
          <t>VINDELN</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49803-2021</t>
        </is>
      </c>
      <c r="B5211" s="1" t="n">
        <v>44455</v>
      </c>
      <c r="C5211" s="1" t="n">
        <v>45357</v>
      </c>
      <c r="D5211" t="inlineStr">
        <is>
          <t>VÄSTERBOTTENS LÄN</t>
        </is>
      </c>
      <c r="E5211" t="inlineStr">
        <is>
          <t>ÅSELE</t>
        </is>
      </c>
      <c r="F5211" t="inlineStr">
        <is>
          <t>Holmen skog AB</t>
        </is>
      </c>
      <c r="G5211" t="n">
        <v>13.7</v>
      </c>
      <c r="H5211" t="n">
        <v>0</v>
      </c>
      <c r="I5211" t="n">
        <v>0</v>
      </c>
      <c r="J5211" t="n">
        <v>0</v>
      </c>
      <c r="K5211" t="n">
        <v>0</v>
      </c>
      <c r="L5211" t="n">
        <v>0</v>
      </c>
      <c r="M5211" t="n">
        <v>0</v>
      </c>
      <c r="N5211" t="n">
        <v>0</v>
      </c>
      <c r="O5211" t="n">
        <v>0</v>
      </c>
      <c r="P5211" t="n">
        <v>0</v>
      </c>
      <c r="Q5211" t="n">
        <v>0</v>
      </c>
      <c r="R5211" s="2" t="inlineStr"/>
    </row>
    <row r="5212" ht="15" customHeight="1">
      <c r="A5212" t="inlineStr">
        <is>
          <t>A 49594-2021</t>
        </is>
      </c>
      <c r="B5212" s="1" t="n">
        <v>44455</v>
      </c>
      <c r="C5212" s="1" t="n">
        <v>45357</v>
      </c>
      <c r="D5212" t="inlineStr">
        <is>
          <t>VÄSTERBOTTENS LÄN</t>
        </is>
      </c>
      <c r="E5212" t="inlineStr">
        <is>
          <t>ROBERTSFORS</t>
        </is>
      </c>
      <c r="F5212" t="inlineStr">
        <is>
          <t>Holmen skog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49629-2021</t>
        </is>
      </c>
      <c r="B5213" s="1" t="n">
        <v>44455</v>
      </c>
      <c r="C5213" s="1" t="n">
        <v>45357</v>
      </c>
      <c r="D5213" t="inlineStr">
        <is>
          <t>VÄSTERBOTTENS LÄN</t>
        </is>
      </c>
      <c r="E5213" t="inlineStr">
        <is>
          <t>VINDELN</t>
        </is>
      </c>
      <c r="F5213" t="inlineStr">
        <is>
          <t>Sveaskog</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50090-2021</t>
        </is>
      </c>
      <c r="B5214" s="1" t="n">
        <v>44455</v>
      </c>
      <c r="C5214" s="1" t="n">
        <v>45357</v>
      </c>
      <c r="D5214" t="inlineStr">
        <is>
          <t>VÄSTERBOTTENS LÄN</t>
        </is>
      </c>
      <c r="E5214" t="inlineStr">
        <is>
          <t>VINDELN</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50048-2021</t>
        </is>
      </c>
      <c r="B5215" s="1" t="n">
        <v>44456</v>
      </c>
      <c r="C5215" s="1" t="n">
        <v>45357</v>
      </c>
      <c r="D5215" t="inlineStr">
        <is>
          <t>VÄSTERBOTTENS LÄN</t>
        </is>
      </c>
      <c r="E5215" t="inlineStr">
        <is>
          <t>LYCKSELE</t>
        </is>
      </c>
      <c r="F5215" t="inlineStr">
        <is>
          <t>Holmen skog AB</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50044-2021</t>
        </is>
      </c>
      <c r="B5216" s="1" t="n">
        <v>44456</v>
      </c>
      <c r="C5216" s="1" t="n">
        <v>45357</v>
      </c>
      <c r="D5216" t="inlineStr">
        <is>
          <t>VÄSTERBOTTENS LÄN</t>
        </is>
      </c>
      <c r="E5216" t="inlineStr">
        <is>
          <t>LYCKSELE</t>
        </is>
      </c>
      <c r="F5216" t="inlineStr">
        <is>
          <t>Holmen skog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50084-2021</t>
        </is>
      </c>
      <c r="B5217" s="1" t="n">
        <v>44456</v>
      </c>
      <c r="C5217" s="1" t="n">
        <v>45357</v>
      </c>
      <c r="D5217" t="inlineStr">
        <is>
          <t>VÄSTERBOTTENS LÄN</t>
        </is>
      </c>
      <c r="E5217" t="inlineStr">
        <is>
          <t>UMEÅ</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50110-2021</t>
        </is>
      </c>
      <c r="B5218" s="1" t="n">
        <v>44456</v>
      </c>
      <c r="C5218" s="1" t="n">
        <v>45357</v>
      </c>
      <c r="D5218" t="inlineStr">
        <is>
          <t>VÄSTERBOTTENS LÄN</t>
        </is>
      </c>
      <c r="E5218" t="inlineStr">
        <is>
          <t>UMEÅ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50279-2021</t>
        </is>
      </c>
      <c r="B5219" s="1" t="n">
        <v>44459</v>
      </c>
      <c r="C5219" s="1" t="n">
        <v>45357</v>
      </c>
      <c r="D5219" t="inlineStr">
        <is>
          <t>VÄSTERBOTTENS LÄN</t>
        </is>
      </c>
      <c r="E5219" t="inlineStr">
        <is>
          <t>LYCKSELE</t>
        </is>
      </c>
      <c r="F5219" t="inlineStr">
        <is>
          <t>Sveaskog</t>
        </is>
      </c>
      <c r="G5219" t="n">
        <v>10.9</v>
      </c>
      <c r="H5219" t="n">
        <v>0</v>
      </c>
      <c r="I5219" t="n">
        <v>0</v>
      </c>
      <c r="J5219" t="n">
        <v>0</v>
      </c>
      <c r="K5219" t="n">
        <v>0</v>
      </c>
      <c r="L5219" t="n">
        <v>0</v>
      </c>
      <c r="M5219" t="n">
        <v>0</v>
      </c>
      <c r="N5219" t="n">
        <v>0</v>
      </c>
      <c r="O5219" t="n">
        <v>0</v>
      </c>
      <c r="P5219" t="n">
        <v>0</v>
      </c>
      <c r="Q5219" t="n">
        <v>0</v>
      </c>
      <c r="R5219" s="2" t="inlineStr"/>
    </row>
    <row r="5220" ht="15" customHeight="1">
      <c r="A5220" t="inlineStr">
        <is>
          <t>A 50398-2021</t>
        </is>
      </c>
      <c r="B5220" s="1" t="n">
        <v>44459</v>
      </c>
      <c r="C5220" s="1" t="n">
        <v>45357</v>
      </c>
      <c r="D5220" t="inlineStr">
        <is>
          <t>VÄSTERBOTTENS LÄN</t>
        </is>
      </c>
      <c r="E5220" t="inlineStr">
        <is>
          <t>VINDELN</t>
        </is>
      </c>
      <c r="F5220" t="inlineStr">
        <is>
          <t>Holmen skog AB</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50424-2021</t>
        </is>
      </c>
      <c r="B5221" s="1" t="n">
        <v>44459</v>
      </c>
      <c r="C5221" s="1" t="n">
        <v>45357</v>
      </c>
      <c r="D5221" t="inlineStr">
        <is>
          <t>VÄSTERBOTTENS LÄN</t>
        </is>
      </c>
      <c r="E5221" t="inlineStr">
        <is>
          <t>ÅSELE</t>
        </is>
      </c>
      <c r="F5221" t="inlineStr">
        <is>
          <t>Holmen skog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50340-2021</t>
        </is>
      </c>
      <c r="B5222" s="1" t="n">
        <v>44459</v>
      </c>
      <c r="C5222" s="1" t="n">
        <v>45357</v>
      </c>
      <c r="D5222" t="inlineStr">
        <is>
          <t>VÄSTERBOTTENS LÄN</t>
        </is>
      </c>
      <c r="E5222" t="inlineStr">
        <is>
          <t>LYCKSELE</t>
        </is>
      </c>
      <c r="F5222" t="inlineStr">
        <is>
          <t>Sveaskog</t>
        </is>
      </c>
      <c r="G5222" t="n">
        <v>14.1</v>
      </c>
      <c r="H5222" t="n">
        <v>0</v>
      </c>
      <c r="I5222" t="n">
        <v>0</v>
      </c>
      <c r="J5222" t="n">
        <v>0</v>
      </c>
      <c r="K5222" t="n">
        <v>0</v>
      </c>
      <c r="L5222" t="n">
        <v>0</v>
      </c>
      <c r="M5222" t="n">
        <v>0</v>
      </c>
      <c r="N5222" t="n">
        <v>0</v>
      </c>
      <c r="O5222" t="n">
        <v>0</v>
      </c>
      <c r="P5222" t="n">
        <v>0</v>
      </c>
      <c r="Q5222" t="n">
        <v>0</v>
      </c>
      <c r="R5222" s="2" t="inlineStr"/>
    </row>
    <row r="5223" ht="15" customHeight="1">
      <c r="A5223" t="inlineStr">
        <is>
          <t>A 50603-2021</t>
        </is>
      </c>
      <c r="B5223" s="1" t="n">
        <v>44459</v>
      </c>
      <c r="C5223" s="1" t="n">
        <v>45357</v>
      </c>
      <c r="D5223" t="inlineStr">
        <is>
          <t>VÄSTERBOTTENS LÄN</t>
        </is>
      </c>
      <c r="E5223" t="inlineStr">
        <is>
          <t>SKELLEFTEÅ</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50635-2021</t>
        </is>
      </c>
      <c r="B5224" s="1" t="n">
        <v>44459</v>
      </c>
      <c r="C5224" s="1" t="n">
        <v>45357</v>
      </c>
      <c r="D5224" t="inlineStr">
        <is>
          <t>VÄSTERBOTTENS LÄN</t>
        </is>
      </c>
      <c r="E5224" t="inlineStr">
        <is>
          <t>VILHELMINA</t>
        </is>
      </c>
      <c r="F5224" t="inlineStr">
        <is>
          <t>Kommuner</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50908-2021</t>
        </is>
      </c>
      <c r="B5225" s="1" t="n">
        <v>44459</v>
      </c>
      <c r="C5225" s="1" t="n">
        <v>45357</v>
      </c>
      <c r="D5225" t="inlineStr">
        <is>
          <t>VÄSTERBOTTENS LÄN</t>
        </is>
      </c>
      <c r="E5225" t="inlineStr">
        <is>
          <t>NORDMALING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50772-2021</t>
        </is>
      </c>
      <c r="B5226" s="1" t="n">
        <v>44460</v>
      </c>
      <c r="C5226" s="1" t="n">
        <v>45357</v>
      </c>
      <c r="D5226" t="inlineStr">
        <is>
          <t>VÄSTERBOTTENS LÄN</t>
        </is>
      </c>
      <c r="E5226" t="inlineStr">
        <is>
          <t>SKELLEFTEÅ</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50700-2021</t>
        </is>
      </c>
      <c r="B5227" s="1" t="n">
        <v>44460</v>
      </c>
      <c r="C5227" s="1" t="n">
        <v>45357</v>
      </c>
      <c r="D5227" t="inlineStr">
        <is>
          <t>VÄSTERBOTTENS LÄN</t>
        </is>
      </c>
      <c r="E5227" t="inlineStr">
        <is>
          <t>UMEÅ</t>
        </is>
      </c>
      <c r="F5227" t="inlineStr">
        <is>
          <t>Övriga Aktiebolag</t>
        </is>
      </c>
      <c r="G5227" t="n">
        <v>54.2</v>
      </c>
      <c r="H5227" t="n">
        <v>0</v>
      </c>
      <c r="I5227" t="n">
        <v>0</v>
      </c>
      <c r="J5227" t="n">
        <v>0</v>
      </c>
      <c r="K5227" t="n">
        <v>0</v>
      </c>
      <c r="L5227" t="n">
        <v>0</v>
      </c>
      <c r="M5227" t="n">
        <v>0</v>
      </c>
      <c r="N5227" t="n">
        <v>0</v>
      </c>
      <c r="O5227" t="n">
        <v>0</v>
      </c>
      <c r="P5227" t="n">
        <v>0</v>
      </c>
      <c r="Q5227" t="n">
        <v>0</v>
      </c>
      <c r="R5227" s="2" t="inlineStr"/>
    </row>
    <row r="5228" ht="15" customHeight="1">
      <c r="A5228" t="inlineStr">
        <is>
          <t>A 51016-2021</t>
        </is>
      </c>
      <c r="B5228" s="1" t="n">
        <v>44461</v>
      </c>
      <c r="C5228" s="1" t="n">
        <v>45357</v>
      </c>
      <c r="D5228" t="inlineStr">
        <is>
          <t>VÄSTERBOTTENS LÄN</t>
        </is>
      </c>
      <c r="E5228" t="inlineStr">
        <is>
          <t>VILHELMINA</t>
        </is>
      </c>
      <c r="F5228" t="inlineStr">
        <is>
          <t>SCA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51018-2021</t>
        </is>
      </c>
      <c r="B5229" s="1" t="n">
        <v>44461</v>
      </c>
      <c r="C5229" s="1" t="n">
        <v>45357</v>
      </c>
      <c r="D5229" t="inlineStr">
        <is>
          <t>VÄSTERBOTTENS LÄN</t>
        </is>
      </c>
      <c r="E5229" t="inlineStr">
        <is>
          <t>VILHELMINA</t>
        </is>
      </c>
      <c r="F5229" t="inlineStr">
        <is>
          <t>SCA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51297-2021</t>
        </is>
      </c>
      <c r="B5230" s="1" t="n">
        <v>44461</v>
      </c>
      <c r="C5230" s="1" t="n">
        <v>45357</v>
      </c>
      <c r="D5230" t="inlineStr">
        <is>
          <t>VÄSTERBOTTENS LÄN</t>
        </is>
      </c>
      <c r="E5230" t="inlineStr">
        <is>
          <t>NORSJÖ</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51368-2021</t>
        </is>
      </c>
      <c r="B5231" s="1" t="n">
        <v>44461</v>
      </c>
      <c r="C5231" s="1" t="n">
        <v>45357</v>
      </c>
      <c r="D5231" t="inlineStr">
        <is>
          <t>VÄSTERBOTTENS LÄN</t>
        </is>
      </c>
      <c r="E5231" t="inlineStr">
        <is>
          <t>BJURHOLM</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51361-2021</t>
        </is>
      </c>
      <c r="B5232" s="1" t="n">
        <v>44461</v>
      </c>
      <c r="C5232" s="1" t="n">
        <v>45357</v>
      </c>
      <c r="D5232" t="inlineStr">
        <is>
          <t>VÄSTERBOTTENS LÄN</t>
        </is>
      </c>
      <c r="E5232" t="inlineStr">
        <is>
          <t>BJURHOLM</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51789-2021</t>
        </is>
      </c>
      <c r="B5233" s="1" t="n">
        <v>44461</v>
      </c>
      <c r="C5233" s="1" t="n">
        <v>45357</v>
      </c>
      <c r="D5233" t="inlineStr">
        <is>
          <t>VÄSTERBOTTENS LÄN</t>
        </is>
      </c>
      <c r="E5233" t="inlineStr">
        <is>
          <t>SKELLEFTEÅ</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51734-2021</t>
        </is>
      </c>
      <c r="B5234" s="1" t="n">
        <v>44461</v>
      </c>
      <c r="C5234" s="1" t="n">
        <v>45357</v>
      </c>
      <c r="D5234" t="inlineStr">
        <is>
          <t>VÄSTERBOTTENS LÄN</t>
        </is>
      </c>
      <c r="E5234" t="inlineStr">
        <is>
          <t>SKELLEFTEÅ</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51406-2021</t>
        </is>
      </c>
      <c r="B5235" s="1" t="n">
        <v>44461</v>
      </c>
      <c r="C5235" s="1" t="n">
        <v>45357</v>
      </c>
      <c r="D5235" t="inlineStr">
        <is>
          <t>VÄSTERBOTTENS LÄN</t>
        </is>
      </c>
      <c r="E5235" t="inlineStr">
        <is>
          <t>BJURHOLM</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51671-2021</t>
        </is>
      </c>
      <c r="B5236" s="1" t="n">
        <v>44462</v>
      </c>
      <c r="C5236" s="1" t="n">
        <v>45357</v>
      </c>
      <c r="D5236" t="inlineStr">
        <is>
          <t>VÄSTERBOTTENS LÄN</t>
        </is>
      </c>
      <c r="E5236" t="inlineStr">
        <is>
          <t>SORSELE</t>
        </is>
      </c>
      <c r="F5236" t="inlineStr">
        <is>
          <t>Sveaskog</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51679-2021</t>
        </is>
      </c>
      <c r="B5237" s="1" t="n">
        <v>44462</v>
      </c>
      <c r="C5237" s="1" t="n">
        <v>45357</v>
      </c>
      <c r="D5237" t="inlineStr">
        <is>
          <t>VÄSTERBOTTENS LÄN</t>
        </is>
      </c>
      <c r="E5237" t="inlineStr">
        <is>
          <t>VINDELN</t>
        </is>
      </c>
      <c r="F5237" t="inlineStr">
        <is>
          <t>Holmen skog AB</t>
        </is>
      </c>
      <c r="G5237" t="n">
        <v>13.1</v>
      </c>
      <c r="H5237" t="n">
        <v>0</v>
      </c>
      <c r="I5237" t="n">
        <v>0</v>
      </c>
      <c r="J5237" t="n">
        <v>0</v>
      </c>
      <c r="K5237" t="n">
        <v>0</v>
      </c>
      <c r="L5237" t="n">
        <v>0</v>
      </c>
      <c r="M5237" t="n">
        <v>0</v>
      </c>
      <c r="N5237" t="n">
        <v>0</v>
      </c>
      <c r="O5237" t="n">
        <v>0</v>
      </c>
      <c r="P5237" t="n">
        <v>0</v>
      </c>
      <c r="Q5237" t="n">
        <v>0</v>
      </c>
      <c r="R5237" s="2" t="inlineStr"/>
    </row>
    <row r="5238" ht="15" customHeight="1">
      <c r="A5238" t="inlineStr">
        <is>
          <t>A 51703-2021</t>
        </is>
      </c>
      <c r="B5238" s="1" t="n">
        <v>44462</v>
      </c>
      <c r="C5238" s="1" t="n">
        <v>45357</v>
      </c>
      <c r="D5238" t="inlineStr">
        <is>
          <t>VÄSTERBOTTENS LÄN</t>
        </is>
      </c>
      <c r="E5238" t="inlineStr">
        <is>
          <t>VINDELN</t>
        </is>
      </c>
      <c r="F5238" t="inlineStr">
        <is>
          <t>Sveaskog</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51476-2021</t>
        </is>
      </c>
      <c r="B5239" s="1" t="n">
        <v>44462</v>
      </c>
      <c r="C5239" s="1" t="n">
        <v>45357</v>
      </c>
      <c r="D5239" t="inlineStr">
        <is>
          <t>VÄSTERBOTTENS LÄN</t>
        </is>
      </c>
      <c r="E5239" t="inlineStr">
        <is>
          <t>SKELLEFTEÅ</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51568-2021</t>
        </is>
      </c>
      <c r="B5240" s="1" t="n">
        <v>44462</v>
      </c>
      <c r="C5240" s="1" t="n">
        <v>45357</v>
      </c>
      <c r="D5240" t="inlineStr">
        <is>
          <t>VÄSTERBOTTENS LÄN</t>
        </is>
      </c>
      <c r="E5240" t="inlineStr">
        <is>
          <t>VINDELN</t>
        </is>
      </c>
      <c r="F5240" t="inlineStr">
        <is>
          <t>Holmen skog AB</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51555-2021</t>
        </is>
      </c>
      <c r="B5241" s="1" t="n">
        <v>44462</v>
      </c>
      <c r="C5241" s="1" t="n">
        <v>45357</v>
      </c>
      <c r="D5241" t="inlineStr">
        <is>
          <t>VÄSTERBOTTENS LÄN</t>
        </is>
      </c>
      <c r="E5241" t="inlineStr">
        <is>
          <t>NORDMALING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51587-2021</t>
        </is>
      </c>
      <c r="B5242" s="1" t="n">
        <v>44462</v>
      </c>
      <c r="C5242" s="1" t="n">
        <v>45357</v>
      </c>
      <c r="D5242" t="inlineStr">
        <is>
          <t>VÄSTERBOTTENS LÄN</t>
        </is>
      </c>
      <c r="E5242" t="inlineStr">
        <is>
          <t>SKELLEFTEÅ</t>
        </is>
      </c>
      <c r="F5242" t="inlineStr">
        <is>
          <t>Holmen skog AB</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51507-2021</t>
        </is>
      </c>
      <c r="B5243" s="1" t="n">
        <v>44462</v>
      </c>
      <c r="C5243" s="1" t="n">
        <v>45357</v>
      </c>
      <c r="D5243" t="inlineStr">
        <is>
          <t>VÄSTERBOTTENS LÄN</t>
        </is>
      </c>
      <c r="E5243" t="inlineStr">
        <is>
          <t>UMEÅ</t>
        </is>
      </c>
      <c r="F5243" t="inlineStr">
        <is>
          <t>Holmen skog AB</t>
        </is>
      </c>
      <c r="G5243" t="n">
        <v>17.5</v>
      </c>
      <c r="H5243" t="n">
        <v>0</v>
      </c>
      <c r="I5243" t="n">
        <v>0</v>
      </c>
      <c r="J5243" t="n">
        <v>0</v>
      </c>
      <c r="K5243" t="n">
        <v>0</v>
      </c>
      <c r="L5243" t="n">
        <v>0</v>
      </c>
      <c r="M5243" t="n">
        <v>0</v>
      </c>
      <c r="N5243" t="n">
        <v>0</v>
      </c>
      <c r="O5243" t="n">
        <v>0</v>
      </c>
      <c r="P5243" t="n">
        <v>0</v>
      </c>
      <c r="Q5243" t="n">
        <v>0</v>
      </c>
      <c r="R5243" s="2" t="inlineStr"/>
    </row>
    <row r="5244" ht="15" customHeight="1">
      <c r="A5244" t="inlineStr">
        <is>
          <t>A 51544-2021</t>
        </is>
      </c>
      <c r="B5244" s="1" t="n">
        <v>44462</v>
      </c>
      <c r="C5244" s="1" t="n">
        <v>45357</v>
      </c>
      <c r="D5244" t="inlineStr">
        <is>
          <t>VÄSTERBOTTENS LÄN</t>
        </is>
      </c>
      <c r="E5244" t="inlineStr">
        <is>
          <t>SKELLEFTEÅ</t>
        </is>
      </c>
      <c r="F5244" t="inlineStr">
        <is>
          <t>Holmen skog AB</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51580-2021</t>
        </is>
      </c>
      <c r="B5245" s="1" t="n">
        <v>44462</v>
      </c>
      <c r="C5245" s="1" t="n">
        <v>45357</v>
      </c>
      <c r="D5245" t="inlineStr">
        <is>
          <t>VÄSTERBOTTENS LÄN</t>
        </is>
      </c>
      <c r="E5245" t="inlineStr">
        <is>
          <t>LYCKSELE</t>
        </is>
      </c>
      <c r="F5245" t="inlineStr">
        <is>
          <t>Sveaskog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51623-2021</t>
        </is>
      </c>
      <c r="B5246" s="1" t="n">
        <v>44462</v>
      </c>
      <c r="C5246" s="1" t="n">
        <v>45357</v>
      </c>
      <c r="D5246" t="inlineStr">
        <is>
          <t>VÄSTERBOTTENS LÄN</t>
        </is>
      </c>
      <c r="E5246" t="inlineStr">
        <is>
          <t>SORSELE</t>
        </is>
      </c>
      <c r="F5246" t="inlineStr">
        <is>
          <t>Sveaskog</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51673-2021</t>
        </is>
      </c>
      <c r="B5247" s="1" t="n">
        <v>44462</v>
      </c>
      <c r="C5247" s="1" t="n">
        <v>45357</v>
      </c>
      <c r="D5247" t="inlineStr">
        <is>
          <t>VÄSTERBOTTENS LÄN</t>
        </is>
      </c>
      <c r="E5247" t="inlineStr">
        <is>
          <t>SORSELE</t>
        </is>
      </c>
      <c r="F5247" t="inlineStr">
        <is>
          <t>Sveaskog</t>
        </is>
      </c>
      <c r="G5247" t="n">
        <v>16.6</v>
      </c>
      <c r="H5247" t="n">
        <v>0</v>
      </c>
      <c r="I5247" t="n">
        <v>0</v>
      </c>
      <c r="J5247" t="n">
        <v>0</v>
      </c>
      <c r="K5247" t="n">
        <v>0</v>
      </c>
      <c r="L5247" t="n">
        <v>0</v>
      </c>
      <c r="M5247" t="n">
        <v>0</v>
      </c>
      <c r="N5247" t="n">
        <v>0</v>
      </c>
      <c r="O5247" t="n">
        <v>0</v>
      </c>
      <c r="P5247" t="n">
        <v>0</v>
      </c>
      <c r="Q5247" t="n">
        <v>0</v>
      </c>
      <c r="R5247" s="2" t="inlineStr"/>
    </row>
    <row r="5248" ht="15" customHeight="1">
      <c r="A5248" t="inlineStr">
        <is>
          <t>A 51682-2021</t>
        </is>
      </c>
      <c r="B5248" s="1" t="n">
        <v>44462</v>
      </c>
      <c r="C5248" s="1" t="n">
        <v>45357</v>
      </c>
      <c r="D5248" t="inlineStr">
        <is>
          <t>VÄSTERBOTTENS LÄN</t>
        </is>
      </c>
      <c r="E5248" t="inlineStr">
        <is>
          <t>NORSJÖ</t>
        </is>
      </c>
      <c r="F5248" t="inlineStr">
        <is>
          <t>Sveaskog</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51746-2021</t>
        </is>
      </c>
      <c r="B5249" s="1" t="n">
        <v>44462</v>
      </c>
      <c r="C5249" s="1" t="n">
        <v>45357</v>
      </c>
      <c r="D5249" t="inlineStr">
        <is>
          <t>VÄSTERBOTTENS LÄN</t>
        </is>
      </c>
      <c r="E5249" t="inlineStr">
        <is>
          <t>NORDMALING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51931-2021</t>
        </is>
      </c>
      <c r="B5250" s="1" t="n">
        <v>44463</v>
      </c>
      <c r="C5250" s="1" t="n">
        <v>45357</v>
      </c>
      <c r="D5250" t="inlineStr">
        <is>
          <t>VÄSTERBOTTENS LÄN</t>
        </is>
      </c>
      <c r="E5250" t="inlineStr">
        <is>
          <t>LYCKSELE</t>
        </is>
      </c>
      <c r="F5250" t="inlineStr">
        <is>
          <t>SCA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51935-2021</t>
        </is>
      </c>
      <c r="B5251" s="1" t="n">
        <v>44462</v>
      </c>
      <c r="C5251" s="1" t="n">
        <v>45357</v>
      </c>
      <c r="D5251" t="inlineStr">
        <is>
          <t>VÄSTERBOTTENS LÄN</t>
        </is>
      </c>
      <c r="E5251" t="inlineStr">
        <is>
          <t>VILHELMINA</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51933-2021</t>
        </is>
      </c>
      <c r="B5252" s="1" t="n">
        <v>44463</v>
      </c>
      <c r="C5252" s="1" t="n">
        <v>45357</v>
      </c>
      <c r="D5252" t="inlineStr">
        <is>
          <t>VÄSTERBOTTENS LÄN</t>
        </is>
      </c>
      <c r="E5252" t="inlineStr">
        <is>
          <t>VILHELMINA</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51934-2021</t>
        </is>
      </c>
      <c r="B5253" s="1" t="n">
        <v>44463</v>
      </c>
      <c r="C5253" s="1" t="n">
        <v>45357</v>
      </c>
      <c r="D5253" t="inlineStr">
        <is>
          <t>VÄSTERBOTTENS LÄN</t>
        </is>
      </c>
      <c r="E5253" t="inlineStr">
        <is>
          <t>SORSELE</t>
        </is>
      </c>
      <c r="F5253" t="inlineStr">
        <is>
          <t>SCA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52111-2021</t>
        </is>
      </c>
      <c r="B5254" s="1" t="n">
        <v>44462</v>
      </c>
      <c r="C5254" s="1" t="n">
        <v>45357</v>
      </c>
      <c r="D5254" t="inlineStr">
        <is>
          <t>VÄSTERBOTTENS LÄN</t>
        </is>
      </c>
      <c r="E5254" t="inlineStr">
        <is>
          <t>BJURHOLM</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51932-2021</t>
        </is>
      </c>
      <c r="B5255" s="1" t="n">
        <v>44462</v>
      </c>
      <c r="C5255" s="1" t="n">
        <v>45357</v>
      </c>
      <c r="D5255" t="inlineStr">
        <is>
          <t>VÄSTERBOTTENS LÄN</t>
        </is>
      </c>
      <c r="E5255" t="inlineStr">
        <is>
          <t>LYCKSELE</t>
        </is>
      </c>
      <c r="F5255" t="inlineStr">
        <is>
          <t>SCA</t>
        </is>
      </c>
      <c r="G5255" t="n">
        <v>10</v>
      </c>
      <c r="H5255" t="n">
        <v>0</v>
      </c>
      <c r="I5255" t="n">
        <v>0</v>
      </c>
      <c r="J5255" t="n">
        <v>0</v>
      </c>
      <c r="K5255" t="n">
        <v>0</v>
      </c>
      <c r="L5255" t="n">
        <v>0</v>
      </c>
      <c r="M5255" t="n">
        <v>0</v>
      </c>
      <c r="N5255" t="n">
        <v>0</v>
      </c>
      <c r="O5255" t="n">
        <v>0</v>
      </c>
      <c r="P5255" t="n">
        <v>0</v>
      </c>
      <c r="Q5255" t="n">
        <v>0</v>
      </c>
      <c r="R5255" s="2" t="inlineStr"/>
    </row>
    <row r="5256" ht="15" customHeight="1">
      <c r="A5256" t="inlineStr">
        <is>
          <t>A 52069-2021</t>
        </is>
      </c>
      <c r="B5256" s="1" t="n">
        <v>44462</v>
      </c>
      <c r="C5256" s="1" t="n">
        <v>45357</v>
      </c>
      <c r="D5256" t="inlineStr">
        <is>
          <t>VÄSTERBOTTENS LÄN</t>
        </is>
      </c>
      <c r="E5256" t="inlineStr">
        <is>
          <t>SKELLEFTEÅ</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51981-2021</t>
        </is>
      </c>
      <c r="B5257" s="1" t="n">
        <v>44462</v>
      </c>
      <c r="C5257" s="1" t="n">
        <v>45357</v>
      </c>
      <c r="D5257" t="inlineStr">
        <is>
          <t>VÄSTERBOTTENS LÄN</t>
        </is>
      </c>
      <c r="E5257" t="inlineStr">
        <is>
          <t>STORUMAN</t>
        </is>
      </c>
      <c r="G5257" t="n">
        <v>20.9</v>
      </c>
      <c r="H5257" t="n">
        <v>0</v>
      </c>
      <c r="I5257" t="n">
        <v>0</v>
      </c>
      <c r="J5257" t="n">
        <v>0</v>
      </c>
      <c r="K5257" t="n">
        <v>0</v>
      </c>
      <c r="L5257" t="n">
        <v>0</v>
      </c>
      <c r="M5257" t="n">
        <v>0</v>
      </c>
      <c r="N5257" t="n">
        <v>0</v>
      </c>
      <c r="O5257" t="n">
        <v>0</v>
      </c>
      <c r="P5257" t="n">
        <v>0</v>
      </c>
      <c r="Q5257" t="n">
        <v>0</v>
      </c>
      <c r="R5257" s="2" t="inlineStr"/>
    </row>
    <row r="5258" ht="15" customHeight="1">
      <c r="A5258" t="inlineStr">
        <is>
          <t>A 52080-2021</t>
        </is>
      </c>
      <c r="B5258" s="1" t="n">
        <v>44463</v>
      </c>
      <c r="C5258" s="1" t="n">
        <v>45357</v>
      </c>
      <c r="D5258" t="inlineStr">
        <is>
          <t>VÄSTERBOTTENS LÄN</t>
        </is>
      </c>
      <c r="E5258" t="inlineStr">
        <is>
          <t>SKELLEFTEÅ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52095-2021</t>
        </is>
      </c>
      <c r="B5259" s="1" t="n">
        <v>44463</v>
      </c>
      <c r="C5259" s="1" t="n">
        <v>45357</v>
      </c>
      <c r="D5259" t="inlineStr">
        <is>
          <t>VÄSTERBOTTENS LÄN</t>
        </is>
      </c>
      <c r="E5259" t="inlineStr">
        <is>
          <t>VINDELN</t>
        </is>
      </c>
      <c r="F5259" t="inlineStr">
        <is>
          <t>Naturvårdsverket</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52103-2021</t>
        </is>
      </c>
      <c r="B5260" s="1" t="n">
        <v>44463</v>
      </c>
      <c r="C5260" s="1" t="n">
        <v>45357</v>
      </c>
      <c r="D5260" t="inlineStr">
        <is>
          <t>VÄSTERBOTTENS LÄN</t>
        </is>
      </c>
      <c r="E5260" t="inlineStr">
        <is>
          <t>VINDELN</t>
        </is>
      </c>
      <c r="F5260" t="inlineStr">
        <is>
          <t>Sveaskog</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52086-2021</t>
        </is>
      </c>
      <c r="B5261" s="1" t="n">
        <v>44463</v>
      </c>
      <c r="C5261" s="1" t="n">
        <v>45357</v>
      </c>
      <c r="D5261" t="inlineStr">
        <is>
          <t>VÄSTERBOTTENS LÄN</t>
        </is>
      </c>
      <c r="E5261" t="inlineStr">
        <is>
          <t>SKELLEFTEÅ</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52210-2021</t>
        </is>
      </c>
      <c r="B5262" s="1" t="n">
        <v>44463</v>
      </c>
      <c r="C5262" s="1" t="n">
        <v>45357</v>
      </c>
      <c r="D5262" t="inlineStr">
        <is>
          <t>VÄSTERBOTTENS LÄN</t>
        </is>
      </c>
      <c r="E5262" t="inlineStr">
        <is>
          <t>LYCKSELE</t>
        </is>
      </c>
      <c r="F5262" t="inlineStr">
        <is>
          <t>Sveaskog</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52314-2021</t>
        </is>
      </c>
      <c r="B5263" s="1" t="n">
        <v>44464</v>
      </c>
      <c r="C5263" s="1" t="n">
        <v>45357</v>
      </c>
      <c r="D5263" t="inlineStr">
        <is>
          <t>VÄSTERBOTTENS LÄN</t>
        </is>
      </c>
      <c r="E5263" t="inlineStr">
        <is>
          <t>UMEÅ</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52311-2021</t>
        </is>
      </c>
      <c r="B5264" s="1" t="n">
        <v>44464</v>
      </c>
      <c r="C5264" s="1" t="n">
        <v>45357</v>
      </c>
      <c r="D5264" t="inlineStr">
        <is>
          <t>VÄSTERBOTTENS LÄN</t>
        </is>
      </c>
      <c r="E5264" t="inlineStr">
        <is>
          <t>UMEÅ</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52484-2021</t>
        </is>
      </c>
      <c r="B5265" s="1" t="n">
        <v>44463</v>
      </c>
      <c r="C5265" s="1" t="n">
        <v>45357</v>
      </c>
      <c r="D5265" t="inlineStr">
        <is>
          <t>VÄSTERBOTTENS LÄN</t>
        </is>
      </c>
      <c r="E5265" t="inlineStr">
        <is>
          <t>BJURHOLM</t>
        </is>
      </c>
      <c r="G5265" t="n">
        <v>12.1</v>
      </c>
      <c r="H5265" t="n">
        <v>0</v>
      </c>
      <c r="I5265" t="n">
        <v>0</v>
      </c>
      <c r="J5265" t="n">
        <v>0</v>
      </c>
      <c r="K5265" t="n">
        <v>0</v>
      </c>
      <c r="L5265" t="n">
        <v>0</v>
      </c>
      <c r="M5265" t="n">
        <v>0</v>
      </c>
      <c r="N5265" t="n">
        <v>0</v>
      </c>
      <c r="O5265" t="n">
        <v>0</v>
      </c>
      <c r="P5265" t="n">
        <v>0</v>
      </c>
      <c r="Q5265" t="n">
        <v>0</v>
      </c>
      <c r="R5265" s="2" t="inlineStr"/>
    </row>
    <row r="5266" ht="15" customHeight="1">
      <c r="A5266" t="inlineStr">
        <is>
          <t>A 52412-2021</t>
        </is>
      </c>
      <c r="B5266" s="1" t="n">
        <v>44463</v>
      </c>
      <c r="C5266" s="1" t="n">
        <v>45357</v>
      </c>
      <c r="D5266" t="inlineStr">
        <is>
          <t>VÄSTERBOTTENS LÄN</t>
        </is>
      </c>
      <c r="E5266" t="inlineStr">
        <is>
          <t>NORDMALING</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52453-2021</t>
        </is>
      </c>
      <c r="B5267" s="1" t="n">
        <v>44463</v>
      </c>
      <c r="C5267" s="1" t="n">
        <v>45357</v>
      </c>
      <c r="D5267" t="inlineStr">
        <is>
          <t>VÄSTERBOTTENS LÄN</t>
        </is>
      </c>
      <c r="E5267" t="inlineStr">
        <is>
          <t>SKELLEFTEÅ</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52309-2021</t>
        </is>
      </c>
      <c r="B5268" s="1" t="n">
        <v>44463</v>
      </c>
      <c r="C5268" s="1" t="n">
        <v>45357</v>
      </c>
      <c r="D5268" t="inlineStr">
        <is>
          <t>VÄSTERBOTTENS LÄN</t>
        </is>
      </c>
      <c r="E5268" t="inlineStr">
        <is>
          <t>UMEÅ</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52462-2021</t>
        </is>
      </c>
      <c r="B5269" s="1" t="n">
        <v>44463</v>
      </c>
      <c r="C5269" s="1" t="n">
        <v>45357</v>
      </c>
      <c r="D5269" t="inlineStr">
        <is>
          <t>VÄSTERBOTTENS LÄN</t>
        </is>
      </c>
      <c r="E5269" t="inlineStr">
        <is>
          <t>SKELLEFTEÅ</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52361-2021</t>
        </is>
      </c>
      <c r="B5270" s="1" t="n">
        <v>44465</v>
      </c>
      <c r="C5270" s="1" t="n">
        <v>45357</v>
      </c>
      <c r="D5270" t="inlineStr">
        <is>
          <t>VÄSTERBOTTENS LÄN</t>
        </is>
      </c>
      <c r="E5270" t="inlineStr">
        <is>
          <t>DOROTEA</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52362-2021</t>
        </is>
      </c>
      <c r="B5271" s="1" t="n">
        <v>44465</v>
      </c>
      <c r="C5271" s="1" t="n">
        <v>45357</v>
      </c>
      <c r="D5271" t="inlineStr">
        <is>
          <t>VÄSTERBOTTENS LÄN</t>
        </is>
      </c>
      <c r="E5271" t="inlineStr">
        <is>
          <t>DOROTEA</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52363-2021</t>
        </is>
      </c>
      <c r="B5272" s="1" t="n">
        <v>44465</v>
      </c>
      <c r="C5272" s="1" t="n">
        <v>45357</v>
      </c>
      <c r="D5272" t="inlineStr">
        <is>
          <t>VÄSTERBOTTENS LÄN</t>
        </is>
      </c>
      <c r="E5272" t="inlineStr">
        <is>
          <t>DOROTEA</t>
        </is>
      </c>
      <c r="G5272" t="n">
        <v>7.7</v>
      </c>
      <c r="H5272" t="n">
        <v>0</v>
      </c>
      <c r="I5272" t="n">
        <v>0</v>
      </c>
      <c r="J5272" t="n">
        <v>0</v>
      </c>
      <c r="K5272" t="n">
        <v>0</v>
      </c>
      <c r="L5272" t="n">
        <v>0</v>
      </c>
      <c r="M5272" t="n">
        <v>0</v>
      </c>
      <c r="N5272" t="n">
        <v>0</v>
      </c>
      <c r="O5272" t="n">
        <v>0</v>
      </c>
      <c r="P5272" t="n">
        <v>0</v>
      </c>
      <c r="Q5272" t="n">
        <v>0</v>
      </c>
      <c r="R5272" s="2" t="inlineStr"/>
    </row>
    <row r="5273" ht="15" customHeight="1">
      <c r="A5273" t="inlineStr">
        <is>
          <t>A 52552-2021</t>
        </is>
      </c>
      <c r="B5273" s="1" t="n">
        <v>44466</v>
      </c>
      <c r="C5273" s="1" t="n">
        <v>45357</v>
      </c>
      <c r="D5273" t="inlineStr">
        <is>
          <t>VÄSTERBOTTENS LÄN</t>
        </is>
      </c>
      <c r="E5273" t="inlineStr">
        <is>
          <t>NORSJÖ</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52922-2021</t>
        </is>
      </c>
      <c r="B5274" s="1" t="n">
        <v>44466</v>
      </c>
      <c r="C5274" s="1" t="n">
        <v>45357</v>
      </c>
      <c r="D5274" t="inlineStr">
        <is>
          <t>VÄSTERBOTTENS LÄN</t>
        </is>
      </c>
      <c r="E5274" t="inlineStr">
        <is>
          <t>STORUMAN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52680-2021</t>
        </is>
      </c>
      <c r="B5275" s="1" t="n">
        <v>44466</v>
      </c>
      <c r="C5275" s="1" t="n">
        <v>45357</v>
      </c>
      <c r="D5275" t="inlineStr">
        <is>
          <t>VÄSTERBOTTENS LÄN</t>
        </is>
      </c>
      <c r="E5275" t="inlineStr">
        <is>
          <t>SORSELE</t>
        </is>
      </c>
      <c r="G5275" t="n">
        <v>10.5</v>
      </c>
      <c r="H5275" t="n">
        <v>0</v>
      </c>
      <c r="I5275" t="n">
        <v>0</v>
      </c>
      <c r="J5275" t="n">
        <v>0</v>
      </c>
      <c r="K5275" t="n">
        <v>0</v>
      </c>
      <c r="L5275" t="n">
        <v>0</v>
      </c>
      <c r="M5275" t="n">
        <v>0</v>
      </c>
      <c r="N5275" t="n">
        <v>0</v>
      </c>
      <c r="O5275" t="n">
        <v>0</v>
      </c>
      <c r="P5275" t="n">
        <v>0</v>
      </c>
      <c r="Q5275" t="n">
        <v>0</v>
      </c>
      <c r="R5275" s="2" t="inlineStr"/>
    </row>
    <row r="5276" ht="15" customHeight="1">
      <c r="A5276" t="inlineStr">
        <is>
          <t>A 52699-2021</t>
        </is>
      </c>
      <c r="B5276" s="1" t="n">
        <v>44466</v>
      </c>
      <c r="C5276" s="1" t="n">
        <v>45357</v>
      </c>
      <c r="D5276" t="inlineStr">
        <is>
          <t>VÄSTERBOTTENS LÄN</t>
        </is>
      </c>
      <c r="E5276" t="inlineStr">
        <is>
          <t>LYCKSELE</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52911-2021</t>
        </is>
      </c>
      <c r="B5277" s="1" t="n">
        <v>44466</v>
      </c>
      <c r="C5277" s="1" t="n">
        <v>45357</v>
      </c>
      <c r="D5277" t="inlineStr">
        <is>
          <t>VÄSTERBOTTENS LÄN</t>
        </is>
      </c>
      <c r="E5277" t="inlineStr">
        <is>
          <t>STORUMAN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52740-2021</t>
        </is>
      </c>
      <c r="B5278" s="1" t="n">
        <v>44467</v>
      </c>
      <c r="C5278" s="1" t="n">
        <v>45357</v>
      </c>
      <c r="D5278" t="inlineStr">
        <is>
          <t>VÄSTERBOTTENS LÄN</t>
        </is>
      </c>
      <c r="E5278" t="inlineStr">
        <is>
          <t>UMEÅ</t>
        </is>
      </c>
      <c r="F5278" t="inlineStr">
        <is>
          <t>Sveaskog</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52746-2021</t>
        </is>
      </c>
      <c r="B5279" s="1" t="n">
        <v>44467</v>
      </c>
      <c r="C5279" s="1" t="n">
        <v>45357</v>
      </c>
      <c r="D5279" t="inlineStr">
        <is>
          <t>VÄSTERBOTTENS LÄN</t>
        </is>
      </c>
      <c r="E5279" t="inlineStr">
        <is>
          <t>SKELLEFTEÅ</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53181-2021</t>
        </is>
      </c>
      <c r="B5280" s="1" t="n">
        <v>44467</v>
      </c>
      <c r="C5280" s="1" t="n">
        <v>45357</v>
      </c>
      <c r="D5280" t="inlineStr">
        <is>
          <t>VÄSTERBOTTENS LÄN</t>
        </is>
      </c>
      <c r="E5280" t="inlineStr">
        <is>
          <t>UMEÅ</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53271-2021</t>
        </is>
      </c>
      <c r="B5281" s="1" t="n">
        <v>44467</v>
      </c>
      <c r="C5281" s="1" t="n">
        <v>45357</v>
      </c>
      <c r="D5281" t="inlineStr">
        <is>
          <t>VÄSTERBOTTENS LÄN</t>
        </is>
      </c>
      <c r="E5281" t="inlineStr">
        <is>
          <t>ROBERTSFORS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53152-2021</t>
        </is>
      </c>
      <c r="B5282" s="1" t="n">
        <v>44468</v>
      </c>
      <c r="C5282" s="1" t="n">
        <v>45357</v>
      </c>
      <c r="D5282" t="inlineStr">
        <is>
          <t>VÄSTERBOTTENS LÄN</t>
        </is>
      </c>
      <c r="E5282" t="inlineStr">
        <is>
          <t>SKELLEFTEÅ</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53323-2021</t>
        </is>
      </c>
      <c r="B5283" s="1" t="n">
        <v>44468</v>
      </c>
      <c r="C5283" s="1" t="n">
        <v>45357</v>
      </c>
      <c r="D5283" t="inlineStr">
        <is>
          <t>VÄSTERBOTTENS LÄN</t>
        </is>
      </c>
      <c r="E5283" t="inlineStr">
        <is>
          <t>LYCKSELE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53320-2021</t>
        </is>
      </c>
      <c r="B5284" s="1" t="n">
        <v>44468</v>
      </c>
      <c r="C5284" s="1" t="n">
        <v>45357</v>
      </c>
      <c r="D5284" t="inlineStr">
        <is>
          <t>VÄSTERBOTTENS LÄN</t>
        </is>
      </c>
      <c r="E5284" t="inlineStr">
        <is>
          <t>LYCKSELE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53363-2021</t>
        </is>
      </c>
      <c r="B5285" s="1" t="n">
        <v>44468</v>
      </c>
      <c r="C5285" s="1" t="n">
        <v>45357</v>
      </c>
      <c r="D5285" t="inlineStr">
        <is>
          <t>VÄSTERBOTTENS LÄN</t>
        </is>
      </c>
      <c r="E5285" t="inlineStr">
        <is>
          <t>SORSELE</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53557-2021</t>
        </is>
      </c>
      <c r="B5286" s="1" t="n">
        <v>44468</v>
      </c>
      <c r="C5286" s="1" t="n">
        <v>45357</v>
      </c>
      <c r="D5286" t="inlineStr">
        <is>
          <t>VÄSTERBOTTENS LÄN</t>
        </is>
      </c>
      <c r="E5286" t="inlineStr">
        <is>
          <t>NORSJÖ</t>
        </is>
      </c>
      <c r="F5286" t="inlineStr">
        <is>
          <t>Övriga Aktiebolag</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53570-2021</t>
        </is>
      </c>
      <c r="B5287" s="1" t="n">
        <v>44469</v>
      </c>
      <c r="C5287" s="1" t="n">
        <v>45357</v>
      </c>
      <c r="D5287" t="inlineStr">
        <is>
          <t>VÄSTERBOTTENS LÄN</t>
        </is>
      </c>
      <c r="E5287" t="inlineStr">
        <is>
          <t>UMEÅ</t>
        </is>
      </c>
      <c r="F5287" t="inlineStr">
        <is>
          <t>Holmen skog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53614-2021</t>
        </is>
      </c>
      <c r="B5288" s="1" t="n">
        <v>44469</v>
      </c>
      <c r="C5288" s="1" t="n">
        <v>45357</v>
      </c>
      <c r="D5288" t="inlineStr">
        <is>
          <t>VÄSTERBOTTENS LÄN</t>
        </is>
      </c>
      <c r="E5288" t="inlineStr">
        <is>
          <t>LYCKSELE</t>
        </is>
      </c>
      <c r="F5288" t="inlineStr">
        <is>
          <t>Holmen skog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53736-2021</t>
        </is>
      </c>
      <c r="B5289" s="1" t="n">
        <v>44469</v>
      </c>
      <c r="C5289" s="1" t="n">
        <v>45357</v>
      </c>
      <c r="D5289" t="inlineStr">
        <is>
          <t>VÄSTERBOTTENS LÄN</t>
        </is>
      </c>
      <c r="E5289" t="inlineStr">
        <is>
          <t>NORDMALING</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53767-2021</t>
        </is>
      </c>
      <c r="B5290" s="1" t="n">
        <v>44469</v>
      </c>
      <c r="C5290" s="1" t="n">
        <v>45357</v>
      </c>
      <c r="D5290" t="inlineStr">
        <is>
          <t>VÄSTERBOTTENS LÄN</t>
        </is>
      </c>
      <c r="E5290" t="inlineStr">
        <is>
          <t>MALÅ</t>
        </is>
      </c>
      <c r="F5290" t="inlineStr">
        <is>
          <t>Sveaskog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53958-2021</t>
        </is>
      </c>
      <c r="B5291" s="1" t="n">
        <v>44469</v>
      </c>
      <c r="C5291" s="1" t="n">
        <v>45357</v>
      </c>
      <c r="D5291" t="inlineStr">
        <is>
          <t>VÄSTERBOTTENS LÄN</t>
        </is>
      </c>
      <c r="E5291" t="inlineStr">
        <is>
          <t>VILHELMINA</t>
        </is>
      </c>
      <c r="F5291" t="inlineStr">
        <is>
          <t>SCA</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53974-2021</t>
        </is>
      </c>
      <c r="B5292" s="1" t="n">
        <v>44469</v>
      </c>
      <c r="C5292" s="1" t="n">
        <v>45357</v>
      </c>
      <c r="D5292" t="inlineStr">
        <is>
          <t>VÄSTERBOTTENS LÄN</t>
        </is>
      </c>
      <c r="E5292" t="inlineStr">
        <is>
          <t>LYCKSELE</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53979-2021</t>
        </is>
      </c>
      <c r="B5293" s="1" t="n">
        <v>44469</v>
      </c>
      <c r="C5293" s="1" t="n">
        <v>45357</v>
      </c>
      <c r="D5293" t="inlineStr">
        <is>
          <t>VÄSTERBOTTENS LÄN</t>
        </is>
      </c>
      <c r="E5293" t="inlineStr">
        <is>
          <t>LYCKSELE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54098-2021</t>
        </is>
      </c>
      <c r="B5294" s="1" t="n">
        <v>44470</v>
      </c>
      <c r="C5294" s="1" t="n">
        <v>45357</v>
      </c>
      <c r="D5294" t="inlineStr">
        <is>
          <t>VÄSTERBOTTENS LÄN</t>
        </is>
      </c>
      <c r="E5294" t="inlineStr">
        <is>
          <t>ÅSELE</t>
        </is>
      </c>
      <c r="F5294" t="inlineStr">
        <is>
          <t>Sveaskog</t>
        </is>
      </c>
      <c r="G5294" t="n">
        <v>18.6</v>
      </c>
      <c r="H5294" t="n">
        <v>0</v>
      </c>
      <c r="I5294" t="n">
        <v>0</v>
      </c>
      <c r="J5294" t="n">
        <v>0</v>
      </c>
      <c r="K5294" t="n">
        <v>0</v>
      </c>
      <c r="L5294" t="n">
        <v>0</v>
      </c>
      <c r="M5294" t="n">
        <v>0</v>
      </c>
      <c r="N5294" t="n">
        <v>0</v>
      </c>
      <c r="O5294" t="n">
        <v>0</v>
      </c>
      <c r="P5294" t="n">
        <v>0</v>
      </c>
      <c r="Q5294" t="n">
        <v>0</v>
      </c>
      <c r="R5294" s="2" t="inlineStr"/>
    </row>
    <row r="5295" ht="15" customHeight="1">
      <c r="A5295" t="inlineStr">
        <is>
          <t>A 53987-2021</t>
        </is>
      </c>
      <c r="B5295" s="1" t="n">
        <v>44470</v>
      </c>
      <c r="C5295" s="1" t="n">
        <v>45357</v>
      </c>
      <c r="D5295" t="inlineStr">
        <is>
          <t>VÄSTERBOTTENS LÄN</t>
        </is>
      </c>
      <c r="E5295" t="inlineStr">
        <is>
          <t>VILHELMINA</t>
        </is>
      </c>
      <c r="F5295" t="inlineStr">
        <is>
          <t>Kommuner</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54136-2021</t>
        </is>
      </c>
      <c r="B5296" s="1" t="n">
        <v>44470</v>
      </c>
      <c r="C5296" s="1" t="n">
        <v>45357</v>
      </c>
      <c r="D5296" t="inlineStr">
        <is>
          <t>VÄSTERBOTTENS LÄN</t>
        </is>
      </c>
      <c r="E5296" t="inlineStr">
        <is>
          <t>ÅSELE</t>
        </is>
      </c>
      <c r="F5296" t="inlineStr">
        <is>
          <t>Holmen skog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54225-2021</t>
        </is>
      </c>
      <c r="B5297" s="1" t="n">
        <v>44470</v>
      </c>
      <c r="C5297" s="1" t="n">
        <v>45357</v>
      </c>
      <c r="D5297" t="inlineStr">
        <is>
          <t>VÄSTERBOTTENS LÄN</t>
        </is>
      </c>
      <c r="E5297" t="inlineStr">
        <is>
          <t>UMEÅ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54249-2021</t>
        </is>
      </c>
      <c r="B5298" s="1" t="n">
        <v>44470</v>
      </c>
      <c r="C5298" s="1" t="n">
        <v>45357</v>
      </c>
      <c r="D5298" t="inlineStr">
        <is>
          <t>VÄSTERBOTTENS LÄN</t>
        </is>
      </c>
      <c r="E5298" t="inlineStr">
        <is>
          <t>LYCKSELE</t>
        </is>
      </c>
      <c r="F5298" t="inlineStr">
        <is>
          <t>Sveaskog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54388-2021</t>
        </is>
      </c>
      <c r="B5299" s="1" t="n">
        <v>44470</v>
      </c>
      <c r="C5299" s="1" t="n">
        <v>45357</v>
      </c>
      <c r="D5299" t="inlineStr">
        <is>
          <t>VÄSTERBOTTENS LÄN</t>
        </is>
      </c>
      <c r="E5299" t="inlineStr">
        <is>
          <t>NORSJÖ</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54245-2021</t>
        </is>
      </c>
      <c r="B5300" s="1" t="n">
        <v>44470</v>
      </c>
      <c r="C5300" s="1" t="n">
        <v>45357</v>
      </c>
      <c r="D5300" t="inlineStr">
        <is>
          <t>VÄSTERBOTTENS LÄN</t>
        </is>
      </c>
      <c r="E5300" t="inlineStr">
        <is>
          <t>LYCKSELE</t>
        </is>
      </c>
      <c r="F5300" t="inlineStr">
        <is>
          <t>Sveaskog</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54193-2021</t>
        </is>
      </c>
      <c r="B5301" s="1" t="n">
        <v>44470</v>
      </c>
      <c r="C5301" s="1" t="n">
        <v>45357</v>
      </c>
      <c r="D5301" t="inlineStr">
        <is>
          <t>VÄSTERBOTTENS LÄN</t>
        </is>
      </c>
      <c r="E5301" t="inlineStr">
        <is>
          <t>SKELLEFTEÅ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54280-2021</t>
        </is>
      </c>
      <c r="B5302" s="1" t="n">
        <v>44470</v>
      </c>
      <c r="C5302" s="1" t="n">
        <v>45357</v>
      </c>
      <c r="D5302" t="inlineStr">
        <is>
          <t>VÄSTERBOTTENS LÄN</t>
        </is>
      </c>
      <c r="E5302" t="inlineStr">
        <is>
          <t>SKELLEFTEÅ</t>
        </is>
      </c>
      <c r="F5302" t="inlineStr">
        <is>
          <t>Sveaskog</t>
        </is>
      </c>
      <c r="G5302" t="n">
        <v>22.6</v>
      </c>
      <c r="H5302" t="n">
        <v>0</v>
      </c>
      <c r="I5302" t="n">
        <v>0</v>
      </c>
      <c r="J5302" t="n">
        <v>0</v>
      </c>
      <c r="K5302" t="n">
        <v>0</v>
      </c>
      <c r="L5302" t="n">
        <v>0</v>
      </c>
      <c r="M5302" t="n">
        <v>0</v>
      </c>
      <c r="N5302" t="n">
        <v>0</v>
      </c>
      <c r="O5302" t="n">
        <v>0</v>
      </c>
      <c r="P5302" t="n">
        <v>0</v>
      </c>
      <c r="Q5302" t="n">
        <v>0</v>
      </c>
      <c r="R5302" s="2" t="inlineStr"/>
    </row>
    <row r="5303" ht="15" customHeight="1">
      <c r="A5303" t="inlineStr">
        <is>
          <t>A 54288-2021</t>
        </is>
      </c>
      <c r="B5303" s="1" t="n">
        <v>44471</v>
      </c>
      <c r="C5303" s="1" t="n">
        <v>45357</v>
      </c>
      <c r="D5303" t="inlineStr">
        <is>
          <t>VÄSTERBOTTENS LÄN</t>
        </is>
      </c>
      <c r="E5303" t="inlineStr">
        <is>
          <t>SKELLEFTEÅ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54287-2021</t>
        </is>
      </c>
      <c r="B5304" s="1" t="n">
        <v>44471</v>
      </c>
      <c r="C5304" s="1" t="n">
        <v>45357</v>
      </c>
      <c r="D5304" t="inlineStr">
        <is>
          <t>VÄSTERBOTTENS LÄN</t>
        </is>
      </c>
      <c r="E5304" t="inlineStr">
        <is>
          <t>SKELLEFTEÅ</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54296-2021</t>
        </is>
      </c>
      <c r="B5305" s="1" t="n">
        <v>44471</v>
      </c>
      <c r="C5305" s="1" t="n">
        <v>45357</v>
      </c>
      <c r="D5305" t="inlineStr">
        <is>
          <t>VÄSTERBOTTENS LÄN</t>
        </is>
      </c>
      <c r="E5305" t="inlineStr">
        <is>
          <t>MALÅ</t>
        </is>
      </c>
      <c r="G5305" t="n">
        <v>12.9</v>
      </c>
      <c r="H5305" t="n">
        <v>0</v>
      </c>
      <c r="I5305" t="n">
        <v>0</v>
      </c>
      <c r="J5305" t="n">
        <v>0</v>
      </c>
      <c r="K5305" t="n">
        <v>0</v>
      </c>
      <c r="L5305" t="n">
        <v>0</v>
      </c>
      <c r="M5305" t="n">
        <v>0</v>
      </c>
      <c r="N5305" t="n">
        <v>0</v>
      </c>
      <c r="O5305" t="n">
        <v>0</v>
      </c>
      <c r="P5305" t="n">
        <v>0</v>
      </c>
      <c r="Q5305" t="n">
        <v>0</v>
      </c>
      <c r="R5305" s="2" t="inlineStr"/>
    </row>
    <row r="5306" ht="15" customHeight="1">
      <c r="A5306" t="inlineStr">
        <is>
          <t>A 54298-2021</t>
        </is>
      </c>
      <c r="B5306" s="1" t="n">
        <v>44472</v>
      </c>
      <c r="C5306" s="1" t="n">
        <v>45357</v>
      </c>
      <c r="D5306" t="inlineStr">
        <is>
          <t>VÄSTERBOTTENS LÄN</t>
        </is>
      </c>
      <c r="E5306" t="inlineStr">
        <is>
          <t>MALÅ</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54432-2021</t>
        </is>
      </c>
      <c r="B5307" s="1" t="n">
        <v>44472</v>
      </c>
      <c r="C5307" s="1" t="n">
        <v>45357</v>
      </c>
      <c r="D5307" t="inlineStr">
        <is>
          <t>VÄSTERBOTTENS LÄN</t>
        </is>
      </c>
      <c r="E5307" t="inlineStr">
        <is>
          <t>ÅSELE</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54297-2021</t>
        </is>
      </c>
      <c r="B5308" s="1" t="n">
        <v>44472</v>
      </c>
      <c r="C5308" s="1" t="n">
        <v>45357</v>
      </c>
      <c r="D5308" t="inlineStr">
        <is>
          <t>VÄSTERBOTTENS LÄN</t>
        </is>
      </c>
      <c r="E5308" t="inlineStr">
        <is>
          <t>MALÅ</t>
        </is>
      </c>
      <c r="G5308" t="n">
        <v>8.800000000000001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54384-2021</t>
        </is>
      </c>
      <c r="B5309" s="1" t="n">
        <v>44473</v>
      </c>
      <c r="C5309" s="1" t="n">
        <v>45357</v>
      </c>
      <c r="D5309" t="inlineStr">
        <is>
          <t>VÄSTERBOTTENS LÄN</t>
        </is>
      </c>
      <c r="E5309" t="inlineStr">
        <is>
          <t>SKELLEFTEÅ</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54439-2021</t>
        </is>
      </c>
      <c r="B5310" s="1" t="n">
        <v>44473</v>
      </c>
      <c r="C5310" s="1" t="n">
        <v>45357</v>
      </c>
      <c r="D5310" t="inlineStr">
        <is>
          <t>VÄSTERBOTTENS LÄN</t>
        </is>
      </c>
      <c r="E5310" t="inlineStr">
        <is>
          <t>UMEÅ</t>
        </is>
      </c>
      <c r="F5310" t="inlineStr">
        <is>
          <t>Holmen skog AB</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54354-2021</t>
        </is>
      </c>
      <c r="B5311" s="1" t="n">
        <v>44473</v>
      </c>
      <c r="C5311" s="1" t="n">
        <v>45357</v>
      </c>
      <c r="D5311" t="inlineStr">
        <is>
          <t>VÄSTERBOTTENS LÄN</t>
        </is>
      </c>
      <c r="E5311" t="inlineStr">
        <is>
          <t>UMEÅ</t>
        </is>
      </c>
      <c r="F5311" t="inlineStr">
        <is>
          <t>Holmen skog AB</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54403-2021</t>
        </is>
      </c>
      <c r="B5312" s="1" t="n">
        <v>44473</v>
      </c>
      <c r="C5312" s="1" t="n">
        <v>45357</v>
      </c>
      <c r="D5312" t="inlineStr">
        <is>
          <t>VÄSTERBOTTENS LÄN</t>
        </is>
      </c>
      <c r="E5312" t="inlineStr">
        <is>
          <t>ROBERTSFORS</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54423-2021</t>
        </is>
      </c>
      <c r="B5313" s="1" t="n">
        <v>44473</v>
      </c>
      <c r="C5313" s="1" t="n">
        <v>45357</v>
      </c>
      <c r="D5313" t="inlineStr">
        <is>
          <t>VÄSTERBOTTENS LÄN</t>
        </is>
      </c>
      <c r="E5313" t="inlineStr">
        <is>
          <t>ROBERTSFORS</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54507-2021</t>
        </is>
      </c>
      <c r="B5314" s="1" t="n">
        <v>44473</v>
      </c>
      <c r="C5314" s="1" t="n">
        <v>45357</v>
      </c>
      <c r="D5314" t="inlineStr">
        <is>
          <t>VÄSTERBOTTENS LÄN</t>
        </is>
      </c>
      <c r="E5314" t="inlineStr">
        <is>
          <t>VINDELN</t>
        </is>
      </c>
      <c r="F5314" t="inlineStr">
        <is>
          <t>Holmen skog AB</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54502-2021</t>
        </is>
      </c>
      <c r="B5315" s="1" t="n">
        <v>44473</v>
      </c>
      <c r="C5315" s="1" t="n">
        <v>45357</v>
      </c>
      <c r="D5315" t="inlineStr">
        <is>
          <t>VÄSTERBOTTENS LÄN</t>
        </is>
      </c>
      <c r="E5315" t="inlineStr">
        <is>
          <t>ROBERTSFORS</t>
        </is>
      </c>
      <c r="F5315" t="inlineStr">
        <is>
          <t>Sveaskog</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54568-2021</t>
        </is>
      </c>
      <c r="B5316" s="1" t="n">
        <v>44473</v>
      </c>
      <c r="C5316" s="1" t="n">
        <v>45357</v>
      </c>
      <c r="D5316" t="inlineStr">
        <is>
          <t>VÄSTERBOTTENS LÄN</t>
        </is>
      </c>
      <c r="E5316" t="inlineStr">
        <is>
          <t>SORSELE</t>
        </is>
      </c>
      <c r="F5316" t="inlineStr">
        <is>
          <t>Sveaskog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54624-2021</t>
        </is>
      </c>
      <c r="B5317" s="1" t="n">
        <v>44473</v>
      </c>
      <c r="C5317" s="1" t="n">
        <v>45357</v>
      </c>
      <c r="D5317" t="inlineStr">
        <is>
          <t>VÄSTERBOTTENS LÄN</t>
        </is>
      </c>
      <c r="E5317" t="inlineStr">
        <is>
          <t>ÅSELE</t>
        </is>
      </c>
      <c r="F5317" t="inlineStr">
        <is>
          <t>Sveaskog</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54582-2021</t>
        </is>
      </c>
      <c r="B5318" s="1" t="n">
        <v>44473</v>
      </c>
      <c r="C5318" s="1" t="n">
        <v>45357</v>
      </c>
      <c r="D5318" t="inlineStr">
        <is>
          <t>VÄSTERBOTTENS LÄN</t>
        </is>
      </c>
      <c r="E5318" t="inlineStr">
        <is>
          <t>VINDELN</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54619-2021</t>
        </is>
      </c>
      <c r="B5319" s="1" t="n">
        <v>44473</v>
      </c>
      <c r="C5319" s="1" t="n">
        <v>45357</v>
      </c>
      <c r="D5319" t="inlineStr">
        <is>
          <t>VÄSTERBOTTENS LÄN</t>
        </is>
      </c>
      <c r="E5319" t="inlineStr">
        <is>
          <t>ÅSELE</t>
        </is>
      </c>
      <c r="F5319" t="inlineStr">
        <is>
          <t>Sveaskog</t>
        </is>
      </c>
      <c r="G5319" t="n">
        <v>14.2</v>
      </c>
      <c r="H5319" t="n">
        <v>0</v>
      </c>
      <c r="I5319" t="n">
        <v>0</v>
      </c>
      <c r="J5319" t="n">
        <v>0</v>
      </c>
      <c r="K5319" t="n">
        <v>0</v>
      </c>
      <c r="L5319" t="n">
        <v>0</v>
      </c>
      <c r="M5319" t="n">
        <v>0</v>
      </c>
      <c r="N5319" t="n">
        <v>0</v>
      </c>
      <c r="O5319" t="n">
        <v>0</v>
      </c>
      <c r="P5319" t="n">
        <v>0</v>
      </c>
      <c r="Q5319" t="n">
        <v>0</v>
      </c>
      <c r="R5319" s="2" t="inlineStr"/>
    </row>
    <row r="5320" ht="15" customHeight="1">
      <c r="A5320" t="inlineStr">
        <is>
          <t>A 54765-2021</t>
        </is>
      </c>
      <c r="B5320" s="1" t="n">
        <v>44473</v>
      </c>
      <c r="C5320" s="1" t="n">
        <v>45357</v>
      </c>
      <c r="D5320" t="inlineStr">
        <is>
          <t>VÄSTERBOTTENS LÄN</t>
        </is>
      </c>
      <c r="E5320" t="inlineStr">
        <is>
          <t>VILHELMINA</t>
        </is>
      </c>
      <c r="F5320" t="inlineStr">
        <is>
          <t>SCA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54784-2021</t>
        </is>
      </c>
      <c r="B5321" s="1" t="n">
        <v>44474</v>
      </c>
      <c r="C5321" s="1" t="n">
        <v>45357</v>
      </c>
      <c r="D5321" t="inlineStr">
        <is>
          <t>VÄSTERBOTTENS LÄN</t>
        </is>
      </c>
      <c r="E5321" t="inlineStr">
        <is>
          <t>NORDMALING</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54769-2021</t>
        </is>
      </c>
      <c r="B5322" s="1" t="n">
        <v>44473</v>
      </c>
      <c r="C5322" s="1" t="n">
        <v>45357</v>
      </c>
      <c r="D5322" t="inlineStr">
        <is>
          <t>VÄSTERBOTTENS LÄN</t>
        </is>
      </c>
      <c r="E5322" t="inlineStr">
        <is>
          <t>SORSELE</t>
        </is>
      </c>
      <c r="F5322" t="inlineStr">
        <is>
          <t>SCA</t>
        </is>
      </c>
      <c r="G5322" t="n">
        <v>15.8</v>
      </c>
      <c r="H5322" t="n">
        <v>0</v>
      </c>
      <c r="I5322" t="n">
        <v>0</v>
      </c>
      <c r="J5322" t="n">
        <v>0</v>
      </c>
      <c r="K5322" t="n">
        <v>0</v>
      </c>
      <c r="L5322" t="n">
        <v>0</v>
      </c>
      <c r="M5322" t="n">
        <v>0</v>
      </c>
      <c r="N5322" t="n">
        <v>0</v>
      </c>
      <c r="O5322" t="n">
        <v>0</v>
      </c>
      <c r="P5322" t="n">
        <v>0</v>
      </c>
      <c r="Q5322" t="n">
        <v>0</v>
      </c>
      <c r="R5322" s="2" t="inlineStr"/>
    </row>
    <row r="5323" ht="15" customHeight="1">
      <c r="A5323" t="inlineStr">
        <is>
          <t>A 54792-2021</t>
        </is>
      </c>
      <c r="B5323" s="1" t="n">
        <v>44474</v>
      </c>
      <c r="C5323" s="1" t="n">
        <v>45357</v>
      </c>
      <c r="D5323" t="inlineStr">
        <is>
          <t>VÄSTERBOTTENS LÄN</t>
        </is>
      </c>
      <c r="E5323" t="inlineStr">
        <is>
          <t>STORUMAN</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54790-2021</t>
        </is>
      </c>
      <c r="B5324" s="1" t="n">
        <v>44473</v>
      </c>
      <c r="C5324" s="1" t="n">
        <v>45357</v>
      </c>
      <c r="D5324" t="inlineStr">
        <is>
          <t>VÄSTERBOTTENS LÄN</t>
        </is>
      </c>
      <c r="E5324" t="inlineStr">
        <is>
          <t>LYCKSELE</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54735-2021</t>
        </is>
      </c>
      <c r="B5325" s="1" t="n">
        <v>44473</v>
      </c>
      <c r="C5325" s="1" t="n">
        <v>45357</v>
      </c>
      <c r="D5325" t="inlineStr">
        <is>
          <t>VÄSTERBOTTENS LÄN</t>
        </is>
      </c>
      <c r="E5325" t="inlineStr">
        <is>
          <t>LYCKSELE</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54771-2021</t>
        </is>
      </c>
      <c r="B5326" s="1" t="n">
        <v>44474</v>
      </c>
      <c r="C5326" s="1" t="n">
        <v>45357</v>
      </c>
      <c r="D5326" t="inlineStr">
        <is>
          <t>VÄSTERBOTTENS LÄN</t>
        </is>
      </c>
      <c r="E5326" t="inlineStr">
        <is>
          <t>LYCKSELE</t>
        </is>
      </c>
      <c r="F5326" t="inlineStr">
        <is>
          <t>SCA</t>
        </is>
      </c>
      <c r="G5326" t="n">
        <v>9.5</v>
      </c>
      <c r="H5326" t="n">
        <v>0</v>
      </c>
      <c r="I5326" t="n">
        <v>0</v>
      </c>
      <c r="J5326" t="n">
        <v>0</v>
      </c>
      <c r="K5326" t="n">
        <v>0</v>
      </c>
      <c r="L5326" t="n">
        <v>0</v>
      </c>
      <c r="M5326" t="n">
        <v>0</v>
      </c>
      <c r="N5326" t="n">
        <v>0</v>
      </c>
      <c r="O5326" t="n">
        <v>0</v>
      </c>
      <c r="P5326" t="n">
        <v>0</v>
      </c>
      <c r="Q5326" t="n">
        <v>0</v>
      </c>
      <c r="R5326" s="2" t="inlineStr"/>
    </row>
    <row r="5327" ht="15" customHeight="1">
      <c r="A5327" t="inlineStr">
        <is>
          <t>A 54794-2021</t>
        </is>
      </c>
      <c r="B5327" s="1" t="n">
        <v>44474</v>
      </c>
      <c r="C5327" s="1" t="n">
        <v>45357</v>
      </c>
      <c r="D5327" t="inlineStr">
        <is>
          <t>VÄSTERBOTTENS LÄN</t>
        </is>
      </c>
      <c r="E5327" t="inlineStr">
        <is>
          <t>LYCKSELE</t>
        </is>
      </c>
      <c r="F5327" t="inlineStr">
        <is>
          <t>SCA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54807-2021</t>
        </is>
      </c>
      <c r="B5328" s="1" t="n">
        <v>44474</v>
      </c>
      <c r="C5328" s="1" t="n">
        <v>45357</v>
      </c>
      <c r="D5328" t="inlineStr">
        <is>
          <t>VÄSTERBOTTENS LÄN</t>
        </is>
      </c>
      <c r="E5328" t="inlineStr">
        <is>
          <t>STORUMAN</t>
        </is>
      </c>
      <c r="F5328" t="inlineStr">
        <is>
          <t>SCA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54872-2021</t>
        </is>
      </c>
      <c r="B5329" s="1" t="n">
        <v>44473</v>
      </c>
      <c r="C5329" s="1" t="n">
        <v>45357</v>
      </c>
      <c r="D5329" t="inlineStr">
        <is>
          <t>VÄSTERBOTTENS LÄN</t>
        </is>
      </c>
      <c r="E5329" t="inlineStr">
        <is>
          <t>NORDMALING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54863-2021</t>
        </is>
      </c>
      <c r="B5330" s="1" t="n">
        <v>44473</v>
      </c>
      <c r="C5330" s="1" t="n">
        <v>45357</v>
      </c>
      <c r="D5330" t="inlineStr">
        <is>
          <t>VÄSTERBOTTENS LÄN</t>
        </is>
      </c>
      <c r="E5330" t="inlineStr">
        <is>
          <t>SKELLEFTEÅ</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54796-2021</t>
        </is>
      </c>
      <c r="B5331" s="1" t="n">
        <v>44474</v>
      </c>
      <c r="C5331" s="1" t="n">
        <v>45357</v>
      </c>
      <c r="D5331" t="inlineStr">
        <is>
          <t>VÄSTERBOTTENS LÄN</t>
        </is>
      </c>
      <c r="E5331" t="inlineStr">
        <is>
          <t>STORUMAN</t>
        </is>
      </c>
      <c r="F5331" t="inlineStr">
        <is>
          <t>SCA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54850-2021</t>
        </is>
      </c>
      <c r="B5332" s="1" t="n">
        <v>44473</v>
      </c>
      <c r="C5332" s="1" t="n">
        <v>45357</v>
      </c>
      <c r="D5332" t="inlineStr">
        <is>
          <t>VÄSTERBOTTENS LÄN</t>
        </is>
      </c>
      <c r="E5332" t="inlineStr">
        <is>
          <t>SKELLEFTEÅ</t>
        </is>
      </c>
      <c r="G5332" t="n">
        <v>18.4</v>
      </c>
      <c r="H5332" t="n">
        <v>0</v>
      </c>
      <c r="I5332" t="n">
        <v>0</v>
      </c>
      <c r="J5332" t="n">
        <v>0</v>
      </c>
      <c r="K5332" t="n">
        <v>0</v>
      </c>
      <c r="L5332" t="n">
        <v>0</v>
      </c>
      <c r="M5332" t="n">
        <v>0</v>
      </c>
      <c r="N5332" t="n">
        <v>0</v>
      </c>
      <c r="O5332" t="n">
        <v>0</v>
      </c>
      <c r="P5332" t="n">
        <v>0</v>
      </c>
      <c r="Q5332" t="n">
        <v>0</v>
      </c>
      <c r="R5332" s="2" t="inlineStr"/>
    </row>
    <row r="5333" ht="15" customHeight="1">
      <c r="A5333" t="inlineStr">
        <is>
          <t>A 55067-2021</t>
        </is>
      </c>
      <c r="B5333" s="1" t="n">
        <v>44474</v>
      </c>
      <c r="C5333" s="1" t="n">
        <v>45357</v>
      </c>
      <c r="D5333" t="inlineStr">
        <is>
          <t>VÄSTERBOTTENS LÄN</t>
        </is>
      </c>
      <c r="E5333" t="inlineStr">
        <is>
          <t>SKELLEFTEÅ</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55032-2021</t>
        </is>
      </c>
      <c r="B5334" s="1" t="n">
        <v>44474</v>
      </c>
      <c r="C5334" s="1" t="n">
        <v>45357</v>
      </c>
      <c r="D5334" t="inlineStr">
        <is>
          <t>VÄSTERBOTTENS LÄN</t>
        </is>
      </c>
      <c r="E5334" t="inlineStr">
        <is>
          <t>SKELLEFTEÅ</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55160-2021</t>
        </is>
      </c>
      <c r="B5335" s="1" t="n">
        <v>44475</v>
      </c>
      <c r="C5335" s="1" t="n">
        <v>45357</v>
      </c>
      <c r="D5335" t="inlineStr">
        <is>
          <t>VÄSTERBOTTENS LÄN</t>
        </is>
      </c>
      <c r="E5335" t="inlineStr">
        <is>
          <t>NORSJÖ</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54911-2021</t>
        </is>
      </c>
      <c r="B5336" s="1" t="n">
        <v>44474</v>
      </c>
      <c r="C5336" s="1" t="n">
        <v>45357</v>
      </c>
      <c r="D5336" t="inlineStr">
        <is>
          <t>VÄSTERBOTTENS LÄN</t>
        </is>
      </c>
      <c r="E5336" t="inlineStr">
        <is>
          <t>ÅSELE</t>
        </is>
      </c>
      <c r="F5336" t="inlineStr">
        <is>
          <t>Holmen skog AB</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55159-2021</t>
        </is>
      </c>
      <c r="B5337" s="1" t="n">
        <v>44475</v>
      </c>
      <c r="C5337" s="1" t="n">
        <v>45357</v>
      </c>
      <c r="D5337" t="inlineStr">
        <is>
          <t>VÄSTERBOTTENS LÄN</t>
        </is>
      </c>
      <c r="E5337" t="inlineStr">
        <is>
          <t>NORSJÖ</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55168-2021</t>
        </is>
      </c>
      <c r="B5338" s="1" t="n">
        <v>44475</v>
      </c>
      <c r="C5338" s="1" t="n">
        <v>45357</v>
      </c>
      <c r="D5338" t="inlineStr">
        <is>
          <t>VÄSTERBOTTENS LÄN</t>
        </is>
      </c>
      <c r="E5338" t="inlineStr">
        <is>
          <t>SKELLEFTEÅ</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55206-2021</t>
        </is>
      </c>
      <c r="B5339" s="1" t="n">
        <v>44475</v>
      </c>
      <c r="C5339" s="1" t="n">
        <v>45357</v>
      </c>
      <c r="D5339" t="inlineStr">
        <is>
          <t>VÄSTERBOTTENS LÄN</t>
        </is>
      </c>
      <c r="E5339" t="inlineStr">
        <is>
          <t>SKELLEFTEÅ</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55182-2021</t>
        </is>
      </c>
      <c r="B5340" s="1" t="n">
        <v>44475</v>
      </c>
      <c r="C5340" s="1" t="n">
        <v>45357</v>
      </c>
      <c r="D5340" t="inlineStr">
        <is>
          <t>VÄSTERBOTTENS LÄN</t>
        </is>
      </c>
      <c r="E5340" t="inlineStr">
        <is>
          <t>SKELLEFTEÅ</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55471-2021</t>
        </is>
      </c>
      <c r="B5341" s="1" t="n">
        <v>44475</v>
      </c>
      <c r="C5341" s="1" t="n">
        <v>45357</v>
      </c>
      <c r="D5341" t="inlineStr">
        <is>
          <t>VÄSTERBOTTENS LÄN</t>
        </is>
      </c>
      <c r="E5341" t="inlineStr">
        <is>
          <t>SKELLEFTEÅ</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55484-2021</t>
        </is>
      </c>
      <c r="B5342" s="1" t="n">
        <v>44475</v>
      </c>
      <c r="C5342" s="1" t="n">
        <v>45357</v>
      </c>
      <c r="D5342" t="inlineStr">
        <is>
          <t>VÄSTERBOTTENS LÄN</t>
        </is>
      </c>
      <c r="E5342" t="inlineStr">
        <is>
          <t>ROBERTSFORS</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55458-2021</t>
        </is>
      </c>
      <c r="B5343" s="1" t="n">
        <v>44475</v>
      </c>
      <c r="C5343" s="1" t="n">
        <v>45357</v>
      </c>
      <c r="D5343" t="inlineStr">
        <is>
          <t>VÄSTERBOTTENS LÄN</t>
        </is>
      </c>
      <c r="E5343" t="inlineStr">
        <is>
          <t>VINDELN</t>
        </is>
      </c>
      <c r="F5343" t="inlineStr">
        <is>
          <t>Sveaskog</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55469-2021</t>
        </is>
      </c>
      <c r="B5344" s="1" t="n">
        <v>44475</v>
      </c>
      <c r="C5344" s="1" t="n">
        <v>45357</v>
      </c>
      <c r="D5344" t="inlineStr">
        <is>
          <t>VÄSTERBOTTENS LÄN</t>
        </is>
      </c>
      <c r="E5344" t="inlineStr">
        <is>
          <t>ROBERTSFORS</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55474-2021</t>
        </is>
      </c>
      <c r="B5345" s="1" t="n">
        <v>44475</v>
      </c>
      <c r="C5345" s="1" t="n">
        <v>45357</v>
      </c>
      <c r="D5345" t="inlineStr">
        <is>
          <t>VÄSTERBOTTENS LÄN</t>
        </is>
      </c>
      <c r="E5345" t="inlineStr">
        <is>
          <t>BJURHOLM</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55512-2021</t>
        </is>
      </c>
      <c r="B5346" s="1" t="n">
        <v>44475</v>
      </c>
      <c r="C5346" s="1" t="n">
        <v>45357</v>
      </c>
      <c r="D5346" t="inlineStr">
        <is>
          <t>VÄSTERBOTTENS LÄN</t>
        </is>
      </c>
      <c r="E5346" t="inlineStr">
        <is>
          <t>BJURHOLM</t>
        </is>
      </c>
      <c r="F5346" t="inlineStr">
        <is>
          <t>Holmen skog AB</t>
        </is>
      </c>
      <c r="G5346" t="n">
        <v>28.3</v>
      </c>
      <c r="H5346" t="n">
        <v>0</v>
      </c>
      <c r="I5346" t="n">
        <v>0</v>
      </c>
      <c r="J5346" t="n">
        <v>0</v>
      </c>
      <c r="K5346" t="n">
        <v>0</v>
      </c>
      <c r="L5346" t="n">
        <v>0</v>
      </c>
      <c r="M5346" t="n">
        <v>0</v>
      </c>
      <c r="N5346" t="n">
        <v>0</v>
      </c>
      <c r="O5346" t="n">
        <v>0</v>
      </c>
      <c r="P5346" t="n">
        <v>0</v>
      </c>
      <c r="Q5346" t="n">
        <v>0</v>
      </c>
      <c r="R5346" s="2" t="inlineStr"/>
    </row>
    <row r="5347" ht="15" customHeight="1">
      <c r="A5347" t="inlineStr">
        <is>
          <t>A 55565-2021</t>
        </is>
      </c>
      <c r="B5347" s="1" t="n">
        <v>44475</v>
      </c>
      <c r="C5347" s="1" t="n">
        <v>45357</v>
      </c>
      <c r="D5347" t="inlineStr">
        <is>
          <t>VÄSTERBOTTENS LÄN</t>
        </is>
      </c>
      <c r="E5347" t="inlineStr">
        <is>
          <t>LYCKSELE</t>
        </is>
      </c>
      <c r="F5347" t="inlineStr">
        <is>
          <t>Holmen skog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55568-2021</t>
        </is>
      </c>
      <c r="B5348" s="1" t="n">
        <v>44475</v>
      </c>
      <c r="C5348" s="1" t="n">
        <v>45357</v>
      </c>
      <c r="D5348" t="inlineStr">
        <is>
          <t>VÄSTERBOTTENS LÄN</t>
        </is>
      </c>
      <c r="E5348" t="inlineStr">
        <is>
          <t>SKELLEFTEÅ</t>
        </is>
      </c>
      <c r="F5348" t="inlineStr">
        <is>
          <t>Sveaskog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55590-2021</t>
        </is>
      </c>
      <c r="B5349" s="1" t="n">
        <v>44476</v>
      </c>
      <c r="C5349" s="1" t="n">
        <v>45357</v>
      </c>
      <c r="D5349" t="inlineStr">
        <is>
          <t>VÄSTERBOTTENS LÄN</t>
        </is>
      </c>
      <c r="E5349" t="inlineStr">
        <is>
          <t>UMEÅ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55743-2021</t>
        </is>
      </c>
      <c r="B5350" s="1" t="n">
        <v>44476</v>
      </c>
      <c r="C5350" s="1" t="n">
        <v>45357</v>
      </c>
      <c r="D5350" t="inlineStr">
        <is>
          <t>VÄSTERBOTTENS LÄN</t>
        </is>
      </c>
      <c r="E5350" t="inlineStr">
        <is>
          <t>NORSJÖ</t>
        </is>
      </c>
      <c r="F5350" t="inlineStr">
        <is>
          <t>Sveaskog</t>
        </is>
      </c>
      <c r="G5350" t="n">
        <v>10.2</v>
      </c>
      <c r="H5350" t="n">
        <v>0</v>
      </c>
      <c r="I5350" t="n">
        <v>0</v>
      </c>
      <c r="J5350" t="n">
        <v>0</v>
      </c>
      <c r="K5350" t="n">
        <v>0</v>
      </c>
      <c r="L5350" t="n">
        <v>0</v>
      </c>
      <c r="M5350" t="n">
        <v>0</v>
      </c>
      <c r="N5350" t="n">
        <v>0</v>
      </c>
      <c r="O5350" t="n">
        <v>0</v>
      </c>
      <c r="P5350" t="n">
        <v>0</v>
      </c>
      <c r="Q5350" t="n">
        <v>0</v>
      </c>
      <c r="R5350" s="2" t="inlineStr"/>
    </row>
    <row r="5351" ht="15" customHeight="1">
      <c r="A5351" t="inlineStr">
        <is>
          <t>A 55658-2021</t>
        </is>
      </c>
      <c r="B5351" s="1" t="n">
        <v>44476</v>
      </c>
      <c r="C5351" s="1" t="n">
        <v>45357</v>
      </c>
      <c r="D5351" t="inlineStr">
        <is>
          <t>VÄSTERBOTTENS LÄN</t>
        </is>
      </c>
      <c r="E5351" t="inlineStr">
        <is>
          <t>LYCKSELE</t>
        </is>
      </c>
      <c r="F5351" t="inlineStr">
        <is>
          <t>Sveaskog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55741-2021</t>
        </is>
      </c>
      <c r="B5352" s="1" t="n">
        <v>44476</v>
      </c>
      <c r="C5352" s="1" t="n">
        <v>45357</v>
      </c>
      <c r="D5352" t="inlineStr">
        <is>
          <t>VÄSTERBOTTENS LÄN</t>
        </is>
      </c>
      <c r="E5352" t="inlineStr">
        <is>
          <t>NORSJÖ</t>
        </is>
      </c>
      <c r="F5352" t="inlineStr">
        <is>
          <t>Sveaskog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55814-2021</t>
        </is>
      </c>
      <c r="B5353" s="1" t="n">
        <v>44476</v>
      </c>
      <c r="C5353" s="1" t="n">
        <v>45357</v>
      </c>
      <c r="D5353" t="inlineStr">
        <is>
          <t>VÄSTERBOTTENS LÄN</t>
        </is>
      </c>
      <c r="E5353" t="inlineStr">
        <is>
          <t>SKELLEFTEÅ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55921-2021</t>
        </is>
      </c>
      <c r="B5354" s="1" t="n">
        <v>44476</v>
      </c>
      <c r="C5354" s="1" t="n">
        <v>45357</v>
      </c>
      <c r="D5354" t="inlineStr">
        <is>
          <t>VÄSTERBOTTENS LÄN</t>
        </is>
      </c>
      <c r="E5354" t="inlineStr">
        <is>
          <t>ÅSELE</t>
        </is>
      </c>
      <c r="F5354" t="inlineStr">
        <is>
          <t>SCA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55929-2021</t>
        </is>
      </c>
      <c r="B5355" s="1" t="n">
        <v>44476</v>
      </c>
      <c r="C5355" s="1" t="n">
        <v>45357</v>
      </c>
      <c r="D5355" t="inlineStr">
        <is>
          <t>VÄSTERBOTTENS LÄN</t>
        </is>
      </c>
      <c r="E5355" t="inlineStr">
        <is>
          <t>VILHELMINA</t>
        </is>
      </c>
      <c r="F5355" t="inlineStr">
        <is>
          <t>SCA</t>
        </is>
      </c>
      <c r="G5355" t="n">
        <v>10.9</v>
      </c>
      <c r="H5355" t="n">
        <v>0</v>
      </c>
      <c r="I5355" t="n">
        <v>0</v>
      </c>
      <c r="J5355" t="n">
        <v>0</v>
      </c>
      <c r="K5355" t="n">
        <v>0</v>
      </c>
      <c r="L5355" t="n">
        <v>0</v>
      </c>
      <c r="M5355" t="n">
        <v>0</v>
      </c>
      <c r="N5355" t="n">
        <v>0</v>
      </c>
      <c r="O5355" t="n">
        <v>0</v>
      </c>
      <c r="P5355" t="n">
        <v>0</v>
      </c>
      <c r="Q5355" t="n">
        <v>0</v>
      </c>
      <c r="R5355" s="2" t="inlineStr"/>
    </row>
    <row r="5356" ht="15" customHeight="1">
      <c r="A5356" t="inlineStr">
        <is>
          <t>A 55922-2021</t>
        </is>
      </c>
      <c r="B5356" s="1" t="n">
        <v>44476</v>
      </c>
      <c r="C5356" s="1" t="n">
        <v>45357</v>
      </c>
      <c r="D5356" t="inlineStr">
        <is>
          <t>VÄSTERBOTTENS LÄN</t>
        </is>
      </c>
      <c r="E5356" t="inlineStr">
        <is>
          <t>ÅSELE</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55931-2021</t>
        </is>
      </c>
      <c r="B5357" s="1" t="n">
        <v>44476</v>
      </c>
      <c r="C5357" s="1" t="n">
        <v>45357</v>
      </c>
      <c r="D5357" t="inlineStr">
        <is>
          <t>VÄSTERBOTTENS LÄN</t>
        </is>
      </c>
      <c r="E5357" t="inlineStr">
        <is>
          <t>VILHELMINA</t>
        </is>
      </c>
      <c r="F5357" t="inlineStr">
        <is>
          <t>SCA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55910-2021</t>
        </is>
      </c>
      <c r="B5358" s="1" t="n">
        <v>44476</v>
      </c>
      <c r="C5358" s="1" t="n">
        <v>45357</v>
      </c>
      <c r="D5358" t="inlineStr">
        <is>
          <t>VÄSTERBOTTENS LÄN</t>
        </is>
      </c>
      <c r="E5358" t="inlineStr">
        <is>
          <t>UMEÅ</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55984-2021</t>
        </is>
      </c>
      <c r="B5359" s="1" t="n">
        <v>44477</v>
      </c>
      <c r="C5359" s="1" t="n">
        <v>45357</v>
      </c>
      <c r="D5359" t="inlineStr">
        <is>
          <t>VÄSTERBOTTENS LÄN</t>
        </is>
      </c>
      <c r="E5359" t="inlineStr">
        <is>
          <t>ÅSELE</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56060-2021</t>
        </is>
      </c>
      <c r="B5360" s="1" t="n">
        <v>44477</v>
      </c>
      <c r="C5360" s="1" t="n">
        <v>45357</v>
      </c>
      <c r="D5360" t="inlineStr">
        <is>
          <t>VÄSTERBOTTENS LÄN</t>
        </is>
      </c>
      <c r="E5360" t="inlineStr">
        <is>
          <t>ÅSELE</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56084-2021</t>
        </is>
      </c>
      <c r="B5361" s="1" t="n">
        <v>44477</v>
      </c>
      <c r="C5361" s="1" t="n">
        <v>45357</v>
      </c>
      <c r="D5361" t="inlineStr">
        <is>
          <t>VÄSTERBOTTENS LÄN</t>
        </is>
      </c>
      <c r="E5361" t="inlineStr">
        <is>
          <t>SKELLEFTEÅ</t>
        </is>
      </c>
      <c r="F5361" t="inlineStr">
        <is>
          <t>Holmen skog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56206-2021</t>
        </is>
      </c>
      <c r="B5362" s="1" t="n">
        <v>44477</v>
      </c>
      <c r="C5362" s="1" t="n">
        <v>45357</v>
      </c>
      <c r="D5362" t="inlineStr">
        <is>
          <t>VÄSTERBOTTENS LÄN</t>
        </is>
      </c>
      <c r="E5362" t="inlineStr">
        <is>
          <t>LYCKSELE</t>
        </is>
      </c>
      <c r="F5362" t="inlineStr">
        <is>
          <t>SCA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56134-2021</t>
        </is>
      </c>
      <c r="B5363" s="1" t="n">
        <v>44477</v>
      </c>
      <c r="C5363" s="1" t="n">
        <v>45357</v>
      </c>
      <c r="D5363" t="inlineStr">
        <is>
          <t>VÄSTERBOTTENS LÄN</t>
        </is>
      </c>
      <c r="E5363" t="inlineStr">
        <is>
          <t>SKELLEFTEÅ</t>
        </is>
      </c>
      <c r="F5363" t="inlineStr">
        <is>
          <t>Holmen skog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56401-2021</t>
        </is>
      </c>
      <c r="B5364" s="1" t="n">
        <v>44477</v>
      </c>
      <c r="C5364" s="1" t="n">
        <v>45357</v>
      </c>
      <c r="D5364" t="inlineStr">
        <is>
          <t>VÄSTERBOTTENS LÄN</t>
        </is>
      </c>
      <c r="E5364" t="inlineStr">
        <is>
          <t>LYCKSELE</t>
        </is>
      </c>
      <c r="G5364" t="n">
        <v>11.5</v>
      </c>
      <c r="H5364" t="n">
        <v>0</v>
      </c>
      <c r="I5364" t="n">
        <v>0</v>
      </c>
      <c r="J5364" t="n">
        <v>0</v>
      </c>
      <c r="K5364" t="n">
        <v>0</v>
      </c>
      <c r="L5364" t="n">
        <v>0</v>
      </c>
      <c r="M5364" t="n">
        <v>0</v>
      </c>
      <c r="N5364" t="n">
        <v>0</v>
      </c>
      <c r="O5364" t="n">
        <v>0</v>
      </c>
      <c r="P5364" t="n">
        <v>0</v>
      </c>
      <c r="Q5364" t="n">
        <v>0</v>
      </c>
      <c r="R5364" s="2" t="inlineStr"/>
    </row>
    <row r="5365" ht="15" customHeight="1">
      <c r="A5365" t="inlineStr">
        <is>
          <t>A 56001-2021</t>
        </is>
      </c>
      <c r="B5365" s="1" t="n">
        <v>44477</v>
      </c>
      <c r="C5365" s="1" t="n">
        <v>45357</v>
      </c>
      <c r="D5365" t="inlineStr">
        <is>
          <t>VÄSTERBOTTENS LÄN</t>
        </is>
      </c>
      <c r="E5365" t="inlineStr">
        <is>
          <t>SKELLEFTEÅ</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56447-2021</t>
        </is>
      </c>
      <c r="B5366" s="1" t="n">
        <v>44479</v>
      </c>
      <c r="C5366" s="1" t="n">
        <v>45357</v>
      </c>
      <c r="D5366" t="inlineStr">
        <is>
          <t>VÄSTERBOTTENS LÄN</t>
        </is>
      </c>
      <c r="E5366" t="inlineStr">
        <is>
          <t>VINDELN</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56530-2021</t>
        </is>
      </c>
      <c r="B5367" s="1" t="n">
        <v>44480</v>
      </c>
      <c r="C5367" s="1" t="n">
        <v>45357</v>
      </c>
      <c r="D5367" t="inlineStr">
        <is>
          <t>VÄSTERBOTTENS LÄN</t>
        </is>
      </c>
      <c r="E5367" t="inlineStr">
        <is>
          <t>STORUMAN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56517-2021</t>
        </is>
      </c>
      <c r="B5368" s="1" t="n">
        <v>44480</v>
      </c>
      <c r="C5368" s="1" t="n">
        <v>45357</v>
      </c>
      <c r="D5368" t="inlineStr">
        <is>
          <t>VÄSTERBOTTENS LÄN</t>
        </is>
      </c>
      <c r="E5368" t="inlineStr">
        <is>
          <t>STORUMAN</t>
        </is>
      </c>
      <c r="G5368" t="n">
        <v>9.9</v>
      </c>
      <c r="H5368" t="n">
        <v>0</v>
      </c>
      <c r="I5368" t="n">
        <v>0</v>
      </c>
      <c r="J5368" t="n">
        <v>0</v>
      </c>
      <c r="K5368" t="n">
        <v>0</v>
      </c>
      <c r="L5368" t="n">
        <v>0</v>
      </c>
      <c r="M5368" t="n">
        <v>0</v>
      </c>
      <c r="N5368" t="n">
        <v>0</v>
      </c>
      <c r="O5368" t="n">
        <v>0</v>
      </c>
      <c r="P5368" t="n">
        <v>0</v>
      </c>
      <c r="Q5368" t="n">
        <v>0</v>
      </c>
      <c r="R5368" s="2" t="inlineStr"/>
    </row>
    <row r="5369" ht="15" customHeight="1">
      <c r="A5369" t="inlineStr">
        <is>
          <t>A 56563-2021</t>
        </is>
      </c>
      <c r="B5369" s="1" t="n">
        <v>44480</v>
      </c>
      <c r="C5369" s="1" t="n">
        <v>45357</v>
      </c>
      <c r="D5369" t="inlineStr">
        <is>
          <t>VÄSTERBOTTENS LÄN</t>
        </is>
      </c>
      <c r="E5369" t="inlineStr">
        <is>
          <t>UMEÅ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56536-2021</t>
        </is>
      </c>
      <c r="B5370" s="1" t="n">
        <v>44480</v>
      </c>
      <c r="C5370" s="1" t="n">
        <v>45357</v>
      </c>
      <c r="D5370" t="inlineStr">
        <is>
          <t>VÄSTERBOTTENS LÄN</t>
        </is>
      </c>
      <c r="E5370" t="inlineStr">
        <is>
          <t>SKELLEFTEÅ</t>
        </is>
      </c>
      <c r="F5370" t="inlineStr">
        <is>
          <t>Holmen skog AB</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56533-2021</t>
        </is>
      </c>
      <c r="B5371" s="1" t="n">
        <v>44480</v>
      </c>
      <c r="C5371" s="1" t="n">
        <v>45357</v>
      </c>
      <c r="D5371" t="inlineStr">
        <is>
          <t>VÄSTERBOTTENS LÄN</t>
        </is>
      </c>
      <c r="E5371" t="inlineStr">
        <is>
          <t>STORUMAN</t>
        </is>
      </c>
      <c r="G5371" t="n">
        <v>19.4</v>
      </c>
      <c r="H5371" t="n">
        <v>0</v>
      </c>
      <c r="I5371" t="n">
        <v>0</v>
      </c>
      <c r="J5371" t="n">
        <v>0</v>
      </c>
      <c r="K5371" t="n">
        <v>0</v>
      </c>
      <c r="L5371" t="n">
        <v>0</v>
      </c>
      <c r="M5371" t="n">
        <v>0</v>
      </c>
      <c r="N5371" t="n">
        <v>0</v>
      </c>
      <c r="O5371" t="n">
        <v>0</v>
      </c>
      <c r="P5371" t="n">
        <v>0</v>
      </c>
      <c r="Q5371" t="n">
        <v>0</v>
      </c>
      <c r="R5371" s="2" t="inlineStr"/>
    </row>
    <row r="5372" ht="15" customHeight="1">
      <c r="A5372" t="inlineStr">
        <is>
          <t>A 56540-2021</t>
        </is>
      </c>
      <c r="B5372" s="1" t="n">
        <v>44480</v>
      </c>
      <c r="C5372" s="1" t="n">
        <v>45357</v>
      </c>
      <c r="D5372" t="inlineStr">
        <is>
          <t>VÄSTERBOTTENS LÄN</t>
        </is>
      </c>
      <c r="E5372" t="inlineStr">
        <is>
          <t>SKELLEFTEÅ</t>
        </is>
      </c>
      <c r="G5372" t="n">
        <v>10.5</v>
      </c>
      <c r="H5372" t="n">
        <v>0</v>
      </c>
      <c r="I5372" t="n">
        <v>0</v>
      </c>
      <c r="J5372" t="n">
        <v>0</v>
      </c>
      <c r="K5372" t="n">
        <v>0</v>
      </c>
      <c r="L5372" t="n">
        <v>0</v>
      </c>
      <c r="M5372" t="n">
        <v>0</v>
      </c>
      <c r="N5372" t="n">
        <v>0</v>
      </c>
      <c r="O5372" t="n">
        <v>0</v>
      </c>
      <c r="P5372" t="n">
        <v>0</v>
      </c>
      <c r="Q5372" t="n">
        <v>0</v>
      </c>
      <c r="R5372" s="2" t="inlineStr"/>
    </row>
    <row r="5373" ht="15" customHeight="1">
      <c r="A5373" t="inlineStr">
        <is>
          <t>A 56674-2021</t>
        </is>
      </c>
      <c r="B5373" s="1" t="n">
        <v>44480</v>
      </c>
      <c r="C5373" s="1" t="n">
        <v>45357</v>
      </c>
      <c r="D5373" t="inlineStr">
        <is>
          <t>VÄSTERBOTTENS LÄN</t>
        </is>
      </c>
      <c r="E5373" t="inlineStr">
        <is>
          <t>NORDMALING</t>
        </is>
      </c>
      <c r="G5373" t="n">
        <v>12.5</v>
      </c>
      <c r="H5373" t="n">
        <v>0</v>
      </c>
      <c r="I5373" t="n">
        <v>0</v>
      </c>
      <c r="J5373" t="n">
        <v>0</v>
      </c>
      <c r="K5373" t="n">
        <v>0</v>
      </c>
      <c r="L5373" t="n">
        <v>0</v>
      </c>
      <c r="M5373" t="n">
        <v>0</v>
      </c>
      <c r="N5373" t="n">
        <v>0</v>
      </c>
      <c r="O5373" t="n">
        <v>0</v>
      </c>
      <c r="P5373" t="n">
        <v>0</v>
      </c>
      <c r="Q5373" t="n">
        <v>0</v>
      </c>
      <c r="R5373" s="2" t="inlineStr"/>
    </row>
    <row r="5374" ht="15" customHeight="1">
      <c r="A5374" t="inlineStr">
        <is>
          <t>A 56627-2021</t>
        </is>
      </c>
      <c r="B5374" s="1" t="n">
        <v>44480</v>
      </c>
      <c r="C5374" s="1" t="n">
        <v>45357</v>
      </c>
      <c r="D5374" t="inlineStr">
        <is>
          <t>VÄSTERBOTTENS LÄN</t>
        </is>
      </c>
      <c r="E5374" t="inlineStr">
        <is>
          <t>SKELLEFTEÅ</t>
        </is>
      </c>
      <c r="F5374" t="inlineStr">
        <is>
          <t>Sveaskog</t>
        </is>
      </c>
      <c r="G5374" t="n">
        <v>20.1</v>
      </c>
      <c r="H5374" t="n">
        <v>0</v>
      </c>
      <c r="I5374" t="n">
        <v>0</v>
      </c>
      <c r="J5374" t="n">
        <v>0</v>
      </c>
      <c r="K5374" t="n">
        <v>0</v>
      </c>
      <c r="L5374" t="n">
        <v>0</v>
      </c>
      <c r="M5374" t="n">
        <v>0</v>
      </c>
      <c r="N5374" t="n">
        <v>0</v>
      </c>
      <c r="O5374" t="n">
        <v>0</v>
      </c>
      <c r="P5374" t="n">
        <v>0</v>
      </c>
      <c r="Q5374" t="n">
        <v>0</v>
      </c>
      <c r="R5374" s="2" t="inlineStr"/>
    </row>
    <row r="5375" ht="15" customHeight="1">
      <c r="A5375" t="inlineStr">
        <is>
          <t>A 56675-2021</t>
        </is>
      </c>
      <c r="B5375" s="1" t="n">
        <v>44481</v>
      </c>
      <c r="C5375" s="1" t="n">
        <v>45357</v>
      </c>
      <c r="D5375" t="inlineStr">
        <is>
          <t>VÄSTERBOTTENS LÄN</t>
        </is>
      </c>
      <c r="E5375" t="inlineStr">
        <is>
          <t>UMEÅ</t>
        </is>
      </c>
      <c r="F5375" t="inlineStr">
        <is>
          <t>Sveaskog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56898-2021</t>
        </is>
      </c>
      <c r="B5376" s="1" t="n">
        <v>44481</v>
      </c>
      <c r="C5376" s="1" t="n">
        <v>45357</v>
      </c>
      <c r="D5376" t="inlineStr">
        <is>
          <t>VÄSTERBOTTENS LÄN</t>
        </is>
      </c>
      <c r="E5376" t="inlineStr">
        <is>
          <t>LYCKSELE</t>
        </is>
      </c>
      <c r="F5376" t="inlineStr">
        <is>
          <t>Naturvårdsverket</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56676-2021</t>
        </is>
      </c>
      <c r="B5377" s="1" t="n">
        <v>44481</v>
      </c>
      <c r="C5377" s="1" t="n">
        <v>45357</v>
      </c>
      <c r="D5377" t="inlineStr">
        <is>
          <t>VÄSTERBOTTENS LÄN</t>
        </is>
      </c>
      <c r="E5377" t="inlineStr">
        <is>
          <t>UMEÅ</t>
        </is>
      </c>
      <c r="F5377" t="inlineStr">
        <is>
          <t>Sveaskog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56807-2021</t>
        </is>
      </c>
      <c r="B5378" s="1" t="n">
        <v>44481</v>
      </c>
      <c r="C5378" s="1" t="n">
        <v>45357</v>
      </c>
      <c r="D5378" t="inlineStr">
        <is>
          <t>VÄSTERBOTTENS LÄN</t>
        </is>
      </c>
      <c r="E5378" t="inlineStr">
        <is>
          <t>DOROTEA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56879-2021</t>
        </is>
      </c>
      <c r="B5379" s="1" t="n">
        <v>44481</v>
      </c>
      <c r="C5379" s="1" t="n">
        <v>45357</v>
      </c>
      <c r="D5379" t="inlineStr">
        <is>
          <t>VÄSTERBOTTENS LÄN</t>
        </is>
      </c>
      <c r="E5379" t="inlineStr">
        <is>
          <t>STORUMAN</t>
        </is>
      </c>
      <c r="G5379" t="n">
        <v>32.2</v>
      </c>
      <c r="H5379" t="n">
        <v>0</v>
      </c>
      <c r="I5379" t="n">
        <v>0</v>
      </c>
      <c r="J5379" t="n">
        <v>0</v>
      </c>
      <c r="K5379" t="n">
        <v>0</v>
      </c>
      <c r="L5379" t="n">
        <v>0</v>
      </c>
      <c r="M5379" t="n">
        <v>0</v>
      </c>
      <c r="N5379" t="n">
        <v>0</v>
      </c>
      <c r="O5379" t="n">
        <v>0</v>
      </c>
      <c r="P5379" t="n">
        <v>0</v>
      </c>
      <c r="Q5379" t="n">
        <v>0</v>
      </c>
      <c r="R5379" s="2" t="inlineStr"/>
    </row>
    <row r="5380" ht="15" customHeight="1">
      <c r="A5380" t="inlineStr">
        <is>
          <t>A 56947-2021</t>
        </is>
      </c>
      <c r="B5380" s="1" t="n">
        <v>44481</v>
      </c>
      <c r="C5380" s="1" t="n">
        <v>45357</v>
      </c>
      <c r="D5380" t="inlineStr">
        <is>
          <t>VÄSTERBOTTENS LÄN</t>
        </is>
      </c>
      <c r="E5380" t="inlineStr">
        <is>
          <t>VILHELMINA</t>
        </is>
      </c>
      <c r="F5380" t="inlineStr">
        <is>
          <t>Övriga statliga verk och myndigheter</t>
        </is>
      </c>
      <c r="G5380" t="n">
        <v>22.3</v>
      </c>
      <c r="H5380" t="n">
        <v>0</v>
      </c>
      <c r="I5380" t="n">
        <v>0</v>
      </c>
      <c r="J5380" t="n">
        <v>0</v>
      </c>
      <c r="K5380" t="n">
        <v>0</v>
      </c>
      <c r="L5380" t="n">
        <v>0</v>
      </c>
      <c r="M5380" t="n">
        <v>0</v>
      </c>
      <c r="N5380" t="n">
        <v>0</v>
      </c>
      <c r="O5380" t="n">
        <v>0</v>
      </c>
      <c r="P5380" t="n">
        <v>0</v>
      </c>
      <c r="Q5380" t="n">
        <v>0</v>
      </c>
      <c r="R5380" s="2" t="inlineStr"/>
    </row>
    <row r="5381" ht="15" customHeight="1">
      <c r="A5381" t="inlineStr">
        <is>
          <t>A 57086-2021</t>
        </is>
      </c>
      <c r="B5381" s="1" t="n">
        <v>44482</v>
      </c>
      <c r="C5381" s="1" t="n">
        <v>45357</v>
      </c>
      <c r="D5381" t="inlineStr">
        <is>
          <t>VÄSTERBOTTENS LÄN</t>
        </is>
      </c>
      <c r="E5381" t="inlineStr">
        <is>
          <t>VILHELMINA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56963-2021</t>
        </is>
      </c>
      <c r="B5382" s="1" t="n">
        <v>44482</v>
      </c>
      <c r="C5382" s="1" t="n">
        <v>45357</v>
      </c>
      <c r="D5382" t="inlineStr">
        <is>
          <t>VÄSTERBOTTENS LÄN</t>
        </is>
      </c>
      <c r="E5382" t="inlineStr">
        <is>
          <t>UMEÅ</t>
        </is>
      </c>
      <c r="F5382" t="inlineStr">
        <is>
          <t>Sveaskog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57195-2021</t>
        </is>
      </c>
      <c r="B5383" s="1" t="n">
        <v>44483</v>
      </c>
      <c r="C5383" s="1" t="n">
        <v>45357</v>
      </c>
      <c r="D5383" t="inlineStr">
        <is>
          <t>VÄSTERBOTTENS LÄN</t>
        </is>
      </c>
      <c r="E5383" t="inlineStr">
        <is>
          <t>NORSJÖ</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57126-2021</t>
        </is>
      </c>
      <c r="B5384" s="1" t="n">
        <v>44482</v>
      </c>
      <c r="C5384" s="1" t="n">
        <v>45357</v>
      </c>
      <c r="D5384" t="inlineStr">
        <is>
          <t>VÄSTERBOTTENS LÄN</t>
        </is>
      </c>
      <c r="E5384" t="inlineStr">
        <is>
          <t>NORSJÖ</t>
        </is>
      </c>
      <c r="F5384" t="inlineStr">
        <is>
          <t>Holmen skog AB</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57167-2021</t>
        </is>
      </c>
      <c r="B5385" s="1" t="n">
        <v>44482</v>
      </c>
      <c r="C5385" s="1" t="n">
        <v>45357</v>
      </c>
      <c r="D5385" t="inlineStr">
        <is>
          <t>VÄSTERBOTTENS LÄN</t>
        </is>
      </c>
      <c r="E5385" t="inlineStr">
        <is>
          <t>VILHELMINA</t>
        </is>
      </c>
      <c r="F5385" t="inlineStr">
        <is>
          <t>Kommuner</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57189-2021</t>
        </is>
      </c>
      <c r="B5386" s="1" t="n">
        <v>44483</v>
      </c>
      <c r="C5386" s="1" t="n">
        <v>45357</v>
      </c>
      <c r="D5386" t="inlineStr">
        <is>
          <t>VÄSTERBOTTENS LÄN</t>
        </is>
      </c>
      <c r="E5386" t="inlineStr">
        <is>
          <t>ROBERTSFORS</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57166-2021</t>
        </is>
      </c>
      <c r="B5387" s="1" t="n">
        <v>44482</v>
      </c>
      <c r="C5387" s="1" t="n">
        <v>45357</v>
      </c>
      <c r="D5387" t="inlineStr">
        <is>
          <t>VÄSTERBOTTENS LÄN</t>
        </is>
      </c>
      <c r="E5387" t="inlineStr">
        <is>
          <t>VILHELMINA</t>
        </is>
      </c>
      <c r="F5387" t="inlineStr">
        <is>
          <t>Kommuner</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57197-2021</t>
        </is>
      </c>
      <c r="B5388" s="1" t="n">
        <v>44483</v>
      </c>
      <c r="C5388" s="1" t="n">
        <v>45357</v>
      </c>
      <c r="D5388" t="inlineStr">
        <is>
          <t>VÄSTERBOTTENS LÄN</t>
        </is>
      </c>
      <c r="E5388" t="inlineStr">
        <is>
          <t>SKELLEFTEÅ</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57329-2021</t>
        </is>
      </c>
      <c r="B5389" s="1" t="n">
        <v>44482</v>
      </c>
      <c r="C5389" s="1" t="n">
        <v>45357</v>
      </c>
      <c r="D5389" t="inlineStr">
        <is>
          <t>VÄSTERBOTTENS LÄN</t>
        </is>
      </c>
      <c r="E5389" t="inlineStr">
        <is>
          <t>NORDMALING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57573-2021</t>
        </is>
      </c>
      <c r="B5390" s="1" t="n">
        <v>44482</v>
      </c>
      <c r="C5390" s="1" t="n">
        <v>45357</v>
      </c>
      <c r="D5390" t="inlineStr">
        <is>
          <t>VÄSTERBOTTENS LÄN</t>
        </is>
      </c>
      <c r="E5390" t="inlineStr">
        <is>
          <t>DOROTEA</t>
        </is>
      </c>
      <c r="F5390" t="inlineStr">
        <is>
          <t>Övriga statliga verk och myndigheter</t>
        </is>
      </c>
      <c r="G5390" t="n">
        <v>12.3</v>
      </c>
      <c r="H5390" t="n">
        <v>0</v>
      </c>
      <c r="I5390" t="n">
        <v>0</v>
      </c>
      <c r="J5390" t="n">
        <v>0</v>
      </c>
      <c r="K5390" t="n">
        <v>0</v>
      </c>
      <c r="L5390" t="n">
        <v>0</v>
      </c>
      <c r="M5390" t="n">
        <v>0</v>
      </c>
      <c r="N5390" t="n">
        <v>0</v>
      </c>
      <c r="O5390" t="n">
        <v>0</v>
      </c>
      <c r="P5390" t="n">
        <v>0</v>
      </c>
      <c r="Q5390" t="n">
        <v>0</v>
      </c>
      <c r="R5390" s="2" t="inlineStr"/>
    </row>
    <row r="5391" ht="15" customHeight="1">
      <c r="A5391" t="inlineStr">
        <is>
          <t>A 57580-2021</t>
        </is>
      </c>
      <c r="B5391" s="1" t="n">
        <v>44482</v>
      </c>
      <c r="C5391" s="1" t="n">
        <v>45357</v>
      </c>
      <c r="D5391" t="inlineStr">
        <is>
          <t>VÄSTERBOTTENS LÄN</t>
        </is>
      </c>
      <c r="E5391" t="inlineStr">
        <is>
          <t>DOROTEA</t>
        </is>
      </c>
      <c r="F5391" t="inlineStr">
        <is>
          <t>Övriga statliga verk och myndigheter</t>
        </is>
      </c>
      <c r="G5391" t="n">
        <v>7.5</v>
      </c>
      <c r="H5391" t="n">
        <v>0</v>
      </c>
      <c r="I5391" t="n">
        <v>0</v>
      </c>
      <c r="J5391" t="n">
        <v>0</v>
      </c>
      <c r="K5391" t="n">
        <v>0</v>
      </c>
      <c r="L5391" t="n">
        <v>0</v>
      </c>
      <c r="M5391" t="n">
        <v>0</v>
      </c>
      <c r="N5391" t="n">
        <v>0</v>
      </c>
      <c r="O5391" t="n">
        <v>0</v>
      </c>
      <c r="P5391" t="n">
        <v>0</v>
      </c>
      <c r="Q5391" t="n">
        <v>0</v>
      </c>
      <c r="R5391" s="2" t="inlineStr"/>
    </row>
    <row r="5392" ht="15" customHeight="1">
      <c r="A5392" t="inlineStr">
        <is>
          <t>A 57370-2021</t>
        </is>
      </c>
      <c r="B5392" s="1" t="n">
        <v>44483</v>
      </c>
      <c r="C5392" s="1" t="n">
        <v>45357</v>
      </c>
      <c r="D5392" t="inlineStr">
        <is>
          <t>VÄSTERBOTTENS LÄN</t>
        </is>
      </c>
      <c r="E5392" t="inlineStr">
        <is>
          <t>SKELLEFTEÅ</t>
        </is>
      </c>
      <c r="F5392" t="inlineStr">
        <is>
          <t>Holmen skog AB</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57311-2021</t>
        </is>
      </c>
      <c r="B5393" s="1" t="n">
        <v>44483</v>
      </c>
      <c r="C5393" s="1" t="n">
        <v>45357</v>
      </c>
      <c r="D5393" t="inlineStr">
        <is>
          <t>VÄSTERBOTTENS LÄN</t>
        </is>
      </c>
      <c r="E5393" t="inlineStr">
        <is>
          <t>ÅSELE</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57484-2021</t>
        </is>
      </c>
      <c r="B5394" s="1" t="n">
        <v>44483</v>
      </c>
      <c r="C5394" s="1" t="n">
        <v>45357</v>
      </c>
      <c r="D5394" t="inlineStr">
        <is>
          <t>VÄSTERBOTTENS LÄN</t>
        </is>
      </c>
      <c r="E5394" t="inlineStr">
        <is>
          <t>VINDELN</t>
        </is>
      </c>
      <c r="F5394" t="inlineStr">
        <is>
          <t>Holmen skog AB</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57585-2021</t>
        </is>
      </c>
      <c r="B5395" s="1" t="n">
        <v>44483</v>
      </c>
      <c r="C5395" s="1" t="n">
        <v>45357</v>
      </c>
      <c r="D5395" t="inlineStr">
        <is>
          <t>VÄSTERBOTTENS LÄN</t>
        </is>
      </c>
      <c r="E5395" t="inlineStr">
        <is>
          <t>DOROTEA</t>
        </is>
      </c>
      <c r="F5395" t="inlineStr">
        <is>
          <t>Övriga statliga verk och myndigheter</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57530-2021</t>
        </is>
      </c>
      <c r="B5396" s="1" t="n">
        <v>44483</v>
      </c>
      <c r="C5396" s="1" t="n">
        <v>45357</v>
      </c>
      <c r="D5396" t="inlineStr">
        <is>
          <t>VÄSTERBOTTENS LÄN</t>
        </is>
      </c>
      <c r="E5396" t="inlineStr">
        <is>
          <t>SKELLEFTEÅ</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57538-2021</t>
        </is>
      </c>
      <c r="B5397" s="1" t="n">
        <v>44483</v>
      </c>
      <c r="C5397" s="1" t="n">
        <v>45357</v>
      </c>
      <c r="D5397" t="inlineStr">
        <is>
          <t>VÄSTERBOTTENS LÄN</t>
        </is>
      </c>
      <c r="E5397" t="inlineStr">
        <is>
          <t>NORDMALING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57603-2021</t>
        </is>
      </c>
      <c r="B5398" s="1" t="n">
        <v>44483</v>
      </c>
      <c r="C5398" s="1" t="n">
        <v>45357</v>
      </c>
      <c r="D5398" t="inlineStr">
        <is>
          <t>VÄSTERBOTTENS LÄN</t>
        </is>
      </c>
      <c r="E5398" t="inlineStr">
        <is>
          <t>UMEÅ</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57579-2021</t>
        </is>
      </c>
      <c r="B5399" s="1" t="n">
        <v>44483</v>
      </c>
      <c r="C5399" s="1" t="n">
        <v>45357</v>
      </c>
      <c r="D5399" t="inlineStr">
        <is>
          <t>VÄSTERBOTTENS LÄN</t>
        </is>
      </c>
      <c r="E5399" t="inlineStr">
        <is>
          <t>DOROTEA</t>
        </is>
      </c>
      <c r="F5399" t="inlineStr">
        <is>
          <t>Övriga statliga verk och myndigheter</t>
        </is>
      </c>
      <c r="G5399" t="n">
        <v>22.9</v>
      </c>
      <c r="H5399" t="n">
        <v>0</v>
      </c>
      <c r="I5399" t="n">
        <v>0</v>
      </c>
      <c r="J5399" t="n">
        <v>0</v>
      </c>
      <c r="K5399" t="n">
        <v>0</v>
      </c>
      <c r="L5399" t="n">
        <v>0</v>
      </c>
      <c r="M5399" t="n">
        <v>0</v>
      </c>
      <c r="N5399" t="n">
        <v>0</v>
      </c>
      <c r="O5399" t="n">
        <v>0</v>
      </c>
      <c r="P5399" t="n">
        <v>0</v>
      </c>
      <c r="Q5399" t="n">
        <v>0</v>
      </c>
      <c r="R5399" s="2" t="inlineStr"/>
    </row>
    <row r="5400" ht="15" customHeight="1">
      <c r="A5400" t="inlineStr">
        <is>
          <t>A 57666-2021</t>
        </is>
      </c>
      <c r="B5400" s="1" t="n">
        <v>44484</v>
      </c>
      <c r="C5400" s="1" t="n">
        <v>45357</v>
      </c>
      <c r="D5400" t="inlineStr">
        <is>
          <t>VÄSTERBOTTENS LÄN</t>
        </is>
      </c>
      <c r="E5400" t="inlineStr">
        <is>
          <t>LYCKSELE</t>
        </is>
      </c>
      <c r="F5400" t="inlineStr">
        <is>
          <t>Sveaskog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57708-2021</t>
        </is>
      </c>
      <c r="B5401" s="1" t="n">
        <v>44484</v>
      </c>
      <c r="C5401" s="1" t="n">
        <v>45357</v>
      </c>
      <c r="D5401" t="inlineStr">
        <is>
          <t>VÄSTERBOTTENS LÄN</t>
        </is>
      </c>
      <c r="E5401" t="inlineStr">
        <is>
          <t>VINDELN</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57848-2021</t>
        </is>
      </c>
      <c r="B5402" s="1" t="n">
        <v>44484</v>
      </c>
      <c r="C5402" s="1" t="n">
        <v>45357</v>
      </c>
      <c r="D5402" t="inlineStr">
        <is>
          <t>VÄSTERBOTTENS LÄN</t>
        </is>
      </c>
      <c r="E5402" t="inlineStr">
        <is>
          <t>LYCKSELE</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57866-2021</t>
        </is>
      </c>
      <c r="B5403" s="1" t="n">
        <v>44485</v>
      </c>
      <c r="C5403" s="1" t="n">
        <v>45357</v>
      </c>
      <c r="D5403" t="inlineStr">
        <is>
          <t>VÄSTERBOTTENS LÄN</t>
        </is>
      </c>
      <c r="E5403" t="inlineStr">
        <is>
          <t>BJURHOLM</t>
        </is>
      </c>
      <c r="F5403" t="inlineStr">
        <is>
          <t>SCA</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57874-2021</t>
        </is>
      </c>
      <c r="B5404" s="1" t="n">
        <v>44484</v>
      </c>
      <c r="C5404" s="1" t="n">
        <v>45357</v>
      </c>
      <c r="D5404" t="inlineStr">
        <is>
          <t>VÄSTERBOTTENS LÄN</t>
        </is>
      </c>
      <c r="E5404" t="inlineStr">
        <is>
          <t>VILHELMINA</t>
        </is>
      </c>
      <c r="F5404" t="inlineStr">
        <is>
          <t>SCA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57955-2021</t>
        </is>
      </c>
      <c r="B5405" s="1" t="n">
        <v>44484</v>
      </c>
      <c r="C5405" s="1" t="n">
        <v>45357</v>
      </c>
      <c r="D5405" t="inlineStr">
        <is>
          <t>VÄSTERBOTTENS LÄN</t>
        </is>
      </c>
      <c r="E5405" t="inlineStr">
        <is>
          <t>DOROTEA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57978-2021</t>
        </is>
      </c>
      <c r="B5406" s="1" t="n">
        <v>44484</v>
      </c>
      <c r="C5406" s="1" t="n">
        <v>45357</v>
      </c>
      <c r="D5406" t="inlineStr">
        <is>
          <t>VÄSTERBOTTENS LÄN</t>
        </is>
      </c>
      <c r="E5406" t="inlineStr">
        <is>
          <t>SKELLEFTEÅ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57875-2021</t>
        </is>
      </c>
      <c r="B5407" s="1" t="n">
        <v>44485</v>
      </c>
      <c r="C5407" s="1" t="n">
        <v>45357</v>
      </c>
      <c r="D5407" t="inlineStr">
        <is>
          <t>VÄSTERBOTTENS LÄN</t>
        </is>
      </c>
      <c r="E5407" t="inlineStr">
        <is>
          <t>VILHELMINA</t>
        </is>
      </c>
      <c r="F5407" t="inlineStr">
        <is>
          <t>SCA</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57714-2021</t>
        </is>
      </c>
      <c r="B5408" s="1" t="n">
        <v>44484</v>
      </c>
      <c r="C5408" s="1" t="n">
        <v>45357</v>
      </c>
      <c r="D5408" t="inlineStr">
        <is>
          <t>VÄSTERBOTTENS LÄN</t>
        </is>
      </c>
      <c r="E5408" t="inlineStr">
        <is>
          <t>SKELLEFTEÅ</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57818-2021</t>
        </is>
      </c>
      <c r="B5409" s="1" t="n">
        <v>44484</v>
      </c>
      <c r="C5409" s="1" t="n">
        <v>45357</v>
      </c>
      <c r="D5409" t="inlineStr">
        <is>
          <t>VÄSTERBOTTENS LÄN</t>
        </is>
      </c>
      <c r="E5409" t="inlineStr">
        <is>
          <t>LYCKSELE</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57867-2021</t>
        </is>
      </c>
      <c r="B5410" s="1" t="n">
        <v>44485</v>
      </c>
      <c r="C5410" s="1" t="n">
        <v>45357</v>
      </c>
      <c r="D5410" t="inlineStr">
        <is>
          <t>VÄSTERBOTTENS LÄN</t>
        </is>
      </c>
      <c r="E5410" t="inlineStr">
        <is>
          <t>BJURHOLM</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57966-2021</t>
        </is>
      </c>
      <c r="B5411" s="1" t="n">
        <v>44484</v>
      </c>
      <c r="C5411" s="1" t="n">
        <v>45357</v>
      </c>
      <c r="D5411" t="inlineStr">
        <is>
          <t>VÄSTERBOTTENS LÄN</t>
        </is>
      </c>
      <c r="E5411" t="inlineStr">
        <is>
          <t>SKELLEFTEÅ</t>
        </is>
      </c>
      <c r="F5411" t="inlineStr">
        <is>
          <t>Holmen skog AB</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57898-2021</t>
        </is>
      </c>
      <c r="B5412" s="1" t="n">
        <v>44486</v>
      </c>
      <c r="C5412" s="1" t="n">
        <v>45357</v>
      </c>
      <c r="D5412" t="inlineStr">
        <is>
          <t>VÄSTERBOTTENS LÄN</t>
        </is>
      </c>
      <c r="E5412" t="inlineStr">
        <is>
          <t>LYCKSELE</t>
        </is>
      </c>
      <c r="G5412" t="n">
        <v>14.7</v>
      </c>
      <c r="H5412" t="n">
        <v>0</v>
      </c>
      <c r="I5412" t="n">
        <v>0</v>
      </c>
      <c r="J5412" t="n">
        <v>0</v>
      </c>
      <c r="K5412" t="n">
        <v>0</v>
      </c>
      <c r="L5412" t="n">
        <v>0</v>
      </c>
      <c r="M5412" t="n">
        <v>0</v>
      </c>
      <c r="N5412" t="n">
        <v>0</v>
      </c>
      <c r="O5412" t="n">
        <v>0</v>
      </c>
      <c r="P5412" t="n">
        <v>0</v>
      </c>
      <c r="Q5412" t="n">
        <v>0</v>
      </c>
      <c r="R5412" s="2" t="inlineStr"/>
    </row>
    <row r="5413" ht="15" customHeight="1">
      <c r="A5413" t="inlineStr">
        <is>
          <t>A 58252-2021</t>
        </is>
      </c>
      <c r="B5413" s="1" t="n">
        <v>44487</v>
      </c>
      <c r="C5413" s="1" t="n">
        <v>45357</v>
      </c>
      <c r="D5413" t="inlineStr">
        <is>
          <t>VÄSTERBOTTENS LÄN</t>
        </is>
      </c>
      <c r="E5413" t="inlineStr">
        <is>
          <t>MALÅ</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57979-2021</t>
        </is>
      </c>
      <c r="B5414" s="1" t="n">
        <v>44487</v>
      </c>
      <c r="C5414" s="1" t="n">
        <v>45357</v>
      </c>
      <c r="D5414" t="inlineStr">
        <is>
          <t>VÄSTERBOTTENS LÄN</t>
        </is>
      </c>
      <c r="E5414" t="inlineStr">
        <is>
          <t>ROBERTSFORS</t>
        </is>
      </c>
      <c r="F5414" t="inlineStr">
        <is>
          <t>Holmen skog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58046-2021</t>
        </is>
      </c>
      <c r="B5415" s="1" t="n">
        <v>44487</v>
      </c>
      <c r="C5415" s="1" t="n">
        <v>45357</v>
      </c>
      <c r="D5415" t="inlineStr">
        <is>
          <t>VÄSTERBOTTENS LÄN</t>
        </is>
      </c>
      <c r="E5415" t="inlineStr">
        <is>
          <t>NORDMALING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58034-2021</t>
        </is>
      </c>
      <c r="B5416" s="1" t="n">
        <v>44487</v>
      </c>
      <c r="C5416" s="1" t="n">
        <v>45357</v>
      </c>
      <c r="D5416" t="inlineStr">
        <is>
          <t>VÄSTERBOTTENS LÄN</t>
        </is>
      </c>
      <c r="E5416" t="inlineStr">
        <is>
          <t>NORDMALING</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58058-2021</t>
        </is>
      </c>
      <c r="B5417" s="1" t="n">
        <v>44487</v>
      </c>
      <c r="C5417" s="1" t="n">
        <v>45357</v>
      </c>
      <c r="D5417" t="inlineStr">
        <is>
          <t>VÄSTERBOTTENS LÄN</t>
        </is>
      </c>
      <c r="E5417" t="inlineStr">
        <is>
          <t>BJURHOLM</t>
        </is>
      </c>
      <c r="F5417" t="inlineStr">
        <is>
          <t>Holmen skog AB</t>
        </is>
      </c>
      <c r="G5417" t="n">
        <v>14.5</v>
      </c>
      <c r="H5417" t="n">
        <v>0</v>
      </c>
      <c r="I5417" t="n">
        <v>0</v>
      </c>
      <c r="J5417" t="n">
        <v>0</v>
      </c>
      <c r="K5417" t="n">
        <v>0</v>
      </c>
      <c r="L5417" t="n">
        <v>0</v>
      </c>
      <c r="M5417" t="n">
        <v>0</v>
      </c>
      <c r="N5417" t="n">
        <v>0</v>
      </c>
      <c r="O5417" t="n">
        <v>0</v>
      </c>
      <c r="P5417" t="n">
        <v>0</v>
      </c>
      <c r="Q5417" t="n">
        <v>0</v>
      </c>
      <c r="R5417" s="2" t="inlineStr"/>
    </row>
    <row r="5418" ht="15" customHeight="1">
      <c r="A5418" t="inlineStr">
        <is>
          <t>A 57974-2021</t>
        </is>
      </c>
      <c r="B5418" s="1" t="n">
        <v>44487</v>
      </c>
      <c r="C5418" s="1" t="n">
        <v>45357</v>
      </c>
      <c r="D5418" t="inlineStr">
        <is>
          <t>VÄSTERBOTTENS LÄN</t>
        </is>
      </c>
      <c r="E5418" t="inlineStr">
        <is>
          <t>DOROTEA</t>
        </is>
      </c>
      <c r="F5418" t="inlineStr">
        <is>
          <t>Övriga statliga verk och myndigheter</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58005-2021</t>
        </is>
      </c>
      <c r="B5419" s="1" t="n">
        <v>44487</v>
      </c>
      <c r="C5419" s="1" t="n">
        <v>45357</v>
      </c>
      <c r="D5419" t="inlineStr">
        <is>
          <t>VÄSTERBOTTENS LÄN</t>
        </is>
      </c>
      <c r="E5419" t="inlineStr">
        <is>
          <t>NORSJÖ</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58204-2021</t>
        </is>
      </c>
      <c r="B5420" s="1" t="n">
        <v>44487</v>
      </c>
      <c r="C5420" s="1" t="n">
        <v>45357</v>
      </c>
      <c r="D5420" t="inlineStr">
        <is>
          <t>VÄSTERBOTTENS LÄN</t>
        </is>
      </c>
      <c r="E5420" t="inlineStr">
        <is>
          <t>NORSJÖ</t>
        </is>
      </c>
      <c r="G5420" t="n">
        <v>10.3</v>
      </c>
      <c r="H5420" t="n">
        <v>0</v>
      </c>
      <c r="I5420" t="n">
        <v>0</v>
      </c>
      <c r="J5420" t="n">
        <v>0</v>
      </c>
      <c r="K5420" t="n">
        <v>0</v>
      </c>
      <c r="L5420" t="n">
        <v>0</v>
      </c>
      <c r="M5420" t="n">
        <v>0</v>
      </c>
      <c r="N5420" t="n">
        <v>0</v>
      </c>
      <c r="O5420" t="n">
        <v>0</v>
      </c>
      <c r="P5420" t="n">
        <v>0</v>
      </c>
      <c r="Q5420" t="n">
        <v>0</v>
      </c>
      <c r="R5420" s="2" t="inlineStr"/>
    </row>
    <row r="5421" ht="15" customHeight="1">
      <c r="A5421" t="inlineStr">
        <is>
          <t>A 58251-2021</t>
        </is>
      </c>
      <c r="B5421" s="1" t="n">
        <v>44487</v>
      </c>
      <c r="C5421" s="1" t="n">
        <v>45357</v>
      </c>
      <c r="D5421" t="inlineStr">
        <is>
          <t>VÄSTERBOTTENS LÄN</t>
        </is>
      </c>
      <c r="E5421" t="inlineStr">
        <is>
          <t>MALÅ</t>
        </is>
      </c>
      <c r="G5421" t="n">
        <v>8.5</v>
      </c>
      <c r="H5421" t="n">
        <v>0</v>
      </c>
      <c r="I5421" t="n">
        <v>0</v>
      </c>
      <c r="J5421" t="n">
        <v>0</v>
      </c>
      <c r="K5421" t="n">
        <v>0</v>
      </c>
      <c r="L5421" t="n">
        <v>0</v>
      </c>
      <c r="M5421" t="n">
        <v>0</v>
      </c>
      <c r="N5421" t="n">
        <v>0</v>
      </c>
      <c r="O5421" t="n">
        <v>0</v>
      </c>
      <c r="P5421" t="n">
        <v>0</v>
      </c>
      <c r="Q5421" t="n">
        <v>0</v>
      </c>
      <c r="R5421" s="2" t="inlineStr"/>
    </row>
    <row r="5422" ht="15" customHeight="1">
      <c r="A5422" t="inlineStr">
        <is>
          <t>A 58284-2021</t>
        </is>
      </c>
      <c r="B5422" s="1" t="n">
        <v>44488</v>
      </c>
      <c r="C5422" s="1" t="n">
        <v>45357</v>
      </c>
      <c r="D5422" t="inlineStr">
        <is>
          <t>VÄSTERBOTTENS LÄN</t>
        </is>
      </c>
      <c r="E5422" t="inlineStr">
        <is>
          <t>UMEÅ</t>
        </is>
      </c>
      <c r="F5422" t="inlineStr">
        <is>
          <t>Kommuner</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58303-2021</t>
        </is>
      </c>
      <c r="B5423" s="1" t="n">
        <v>44488</v>
      </c>
      <c r="C5423" s="1" t="n">
        <v>45357</v>
      </c>
      <c r="D5423" t="inlineStr">
        <is>
          <t>VÄSTERBOTTENS LÄN</t>
        </is>
      </c>
      <c r="E5423" t="inlineStr">
        <is>
          <t>SKELLEFTEÅ</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58377-2021</t>
        </is>
      </c>
      <c r="B5424" s="1" t="n">
        <v>44488</v>
      </c>
      <c r="C5424" s="1" t="n">
        <v>45357</v>
      </c>
      <c r="D5424" t="inlineStr">
        <is>
          <t>VÄSTERBOTTENS LÄN</t>
        </is>
      </c>
      <c r="E5424" t="inlineStr">
        <is>
          <t>VILHELMINA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58466-2021</t>
        </is>
      </c>
      <c r="B5425" s="1" t="n">
        <v>44488</v>
      </c>
      <c r="C5425" s="1" t="n">
        <v>45357</v>
      </c>
      <c r="D5425" t="inlineStr">
        <is>
          <t>VÄSTERBOTTENS LÄN</t>
        </is>
      </c>
      <c r="E5425" t="inlineStr">
        <is>
          <t>VINDELN</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58428-2021</t>
        </is>
      </c>
      <c r="B5426" s="1" t="n">
        <v>44488</v>
      </c>
      <c r="C5426" s="1" t="n">
        <v>45357</v>
      </c>
      <c r="D5426" t="inlineStr">
        <is>
          <t>VÄSTERBOTTENS LÄN</t>
        </is>
      </c>
      <c r="E5426" t="inlineStr">
        <is>
          <t>STORUMAN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58363-2021</t>
        </is>
      </c>
      <c r="B5427" s="1" t="n">
        <v>44488</v>
      </c>
      <c r="C5427" s="1" t="n">
        <v>45357</v>
      </c>
      <c r="D5427" t="inlineStr">
        <is>
          <t>VÄSTERBOTTENS LÄN</t>
        </is>
      </c>
      <c r="E5427" t="inlineStr">
        <is>
          <t>VILHELMINA</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58538-2021</t>
        </is>
      </c>
      <c r="B5428" s="1" t="n">
        <v>44488</v>
      </c>
      <c r="C5428" s="1" t="n">
        <v>45357</v>
      </c>
      <c r="D5428" t="inlineStr">
        <is>
          <t>VÄSTERBOTTENS LÄN</t>
        </is>
      </c>
      <c r="E5428" t="inlineStr">
        <is>
          <t>UMEÅ</t>
        </is>
      </c>
      <c r="F5428" t="inlineStr">
        <is>
          <t>Sveaskog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58570-2021</t>
        </is>
      </c>
      <c r="B5429" s="1" t="n">
        <v>44489</v>
      </c>
      <c r="C5429" s="1" t="n">
        <v>45357</v>
      </c>
      <c r="D5429" t="inlineStr">
        <is>
          <t>VÄSTERBOTTENS LÄN</t>
        </is>
      </c>
      <c r="E5429" t="inlineStr">
        <is>
          <t>SKELLEFTEÅ</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58631-2021</t>
        </is>
      </c>
      <c r="B5430" s="1" t="n">
        <v>44488</v>
      </c>
      <c r="C5430" s="1" t="n">
        <v>45357</v>
      </c>
      <c r="D5430" t="inlineStr">
        <is>
          <t>VÄSTERBOTTENS LÄN</t>
        </is>
      </c>
      <c r="E5430" t="inlineStr">
        <is>
          <t>ROBERTSFORS</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58639-2021</t>
        </is>
      </c>
      <c r="B5431" s="1" t="n">
        <v>44488</v>
      </c>
      <c r="C5431" s="1" t="n">
        <v>45357</v>
      </c>
      <c r="D5431" t="inlineStr">
        <is>
          <t>VÄSTERBOTTENS LÄN</t>
        </is>
      </c>
      <c r="E5431" t="inlineStr">
        <is>
          <t>VINDELN</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58612-2021</t>
        </is>
      </c>
      <c r="B5432" s="1" t="n">
        <v>44489</v>
      </c>
      <c r="C5432" s="1" t="n">
        <v>45357</v>
      </c>
      <c r="D5432" t="inlineStr">
        <is>
          <t>VÄSTERBOTTENS LÄN</t>
        </is>
      </c>
      <c r="E5432" t="inlineStr">
        <is>
          <t>UMEÅ</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58674-2021</t>
        </is>
      </c>
      <c r="B5433" s="1" t="n">
        <v>44489</v>
      </c>
      <c r="C5433" s="1" t="n">
        <v>45357</v>
      </c>
      <c r="D5433" t="inlineStr">
        <is>
          <t>VÄSTERBOTTENS LÄN</t>
        </is>
      </c>
      <c r="E5433" t="inlineStr">
        <is>
          <t>ÅSELE</t>
        </is>
      </c>
      <c r="F5433" t="inlineStr">
        <is>
          <t>Holmen skog AB</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58808-2021</t>
        </is>
      </c>
      <c r="B5434" s="1" t="n">
        <v>44489</v>
      </c>
      <c r="C5434" s="1" t="n">
        <v>45357</v>
      </c>
      <c r="D5434" t="inlineStr">
        <is>
          <t>VÄSTERBOTTENS LÄN</t>
        </is>
      </c>
      <c r="E5434" t="inlineStr">
        <is>
          <t>SKELLEFTEÅ</t>
        </is>
      </c>
      <c r="F5434" t="inlineStr">
        <is>
          <t>Sveaskog</t>
        </is>
      </c>
      <c r="G5434" t="n">
        <v>15.5</v>
      </c>
      <c r="H5434" t="n">
        <v>0</v>
      </c>
      <c r="I5434" t="n">
        <v>0</v>
      </c>
      <c r="J5434" t="n">
        <v>0</v>
      </c>
      <c r="K5434" t="n">
        <v>0</v>
      </c>
      <c r="L5434" t="n">
        <v>0</v>
      </c>
      <c r="M5434" t="n">
        <v>0</v>
      </c>
      <c r="N5434" t="n">
        <v>0</v>
      </c>
      <c r="O5434" t="n">
        <v>0</v>
      </c>
      <c r="P5434" t="n">
        <v>0</v>
      </c>
      <c r="Q5434" t="n">
        <v>0</v>
      </c>
      <c r="R5434" s="2" t="inlineStr"/>
    </row>
    <row r="5435" ht="15" customHeight="1">
      <c r="A5435" t="inlineStr">
        <is>
          <t>A 58844-2021</t>
        </is>
      </c>
      <c r="B5435" s="1" t="n">
        <v>44489</v>
      </c>
      <c r="C5435" s="1" t="n">
        <v>45357</v>
      </c>
      <c r="D5435" t="inlineStr">
        <is>
          <t>VÄSTERBOTTENS LÄN</t>
        </is>
      </c>
      <c r="E5435" t="inlineStr">
        <is>
          <t>SKELLEFTEÅ</t>
        </is>
      </c>
      <c r="F5435" t="inlineStr">
        <is>
          <t>Sveaskog</t>
        </is>
      </c>
      <c r="G5435" t="n">
        <v>5.5</v>
      </c>
      <c r="H5435" t="n">
        <v>0</v>
      </c>
      <c r="I5435" t="n">
        <v>0</v>
      </c>
      <c r="J5435" t="n">
        <v>0</v>
      </c>
      <c r="K5435" t="n">
        <v>0</v>
      </c>
      <c r="L5435" t="n">
        <v>0</v>
      </c>
      <c r="M5435" t="n">
        <v>0</v>
      </c>
      <c r="N5435" t="n">
        <v>0</v>
      </c>
      <c r="O5435" t="n">
        <v>0</v>
      </c>
      <c r="P5435" t="n">
        <v>0</v>
      </c>
      <c r="Q5435" t="n">
        <v>0</v>
      </c>
      <c r="R5435" s="2" t="inlineStr"/>
    </row>
    <row r="5436" ht="15" customHeight="1">
      <c r="A5436" t="inlineStr">
        <is>
          <t>A 58643-2021</t>
        </is>
      </c>
      <c r="B5436" s="1" t="n">
        <v>44489</v>
      </c>
      <c r="C5436" s="1" t="n">
        <v>45357</v>
      </c>
      <c r="D5436" t="inlineStr">
        <is>
          <t>VÄSTERBOTTENS LÄN</t>
        </is>
      </c>
      <c r="E5436" t="inlineStr">
        <is>
          <t>VILHELMINA</t>
        </is>
      </c>
      <c r="F5436" t="inlineStr">
        <is>
          <t>Övriga Aktiebolag</t>
        </is>
      </c>
      <c r="G5436" t="n">
        <v>30.4</v>
      </c>
      <c r="H5436" t="n">
        <v>0</v>
      </c>
      <c r="I5436" t="n">
        <v>0</v>
      </c>
      <c r="J5436" t="n">
        <v>0</v>
      </c>
      <c r="K5436" t="n">
        <v>0</v>
      </c>
      <c r="L5436" t="n">
        <v>0</v>
      </c>
      <c r="M5436" t="n">
        <v>0</v>
      </c>
      <c r="N5436" t="n">
        <v>0</v>
      </c>
      <c r="O5436" t="n">
        <v>0</v>
      </c>
      <c r="P5436" t="n">
        <v>0</v>
      </c>
      <c r="Q5436" t="n">
        <v>0</v>
      </c>
      <c r="R5436" s="2" t="inlineStr"/>
    </row>
    <row r="5437" ht="15" customHeight="1">
      <c r="A5437" t="inlineStr">
        <is>
          <t>A 58813-2021</t>
        </is>
      </c>
      <c r="B5437" s="1" t="n">
        <v>44489</v>
      </c>
      <c r="C5437" s="1" t="n">
        <v>45357</v>
      </c>
      <c r="D5437" t="inlineStr">
        <is>
          <t>VÄSTERBOTTENS LÄN</t>
        </is>
      </c>
      <c r="E5437" t="inlineStr">
        <is>
          <t>SKELLEFTEÅ</t>
        </is>
      </c>
      <c r="F5437" t="inlineStr">
        <is>
          <t>Sveaskog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58847-2021</t>
        </is>
      </c>
      <c r="B5438" s="1" t="n">
        <v>44489</v>
      </c>
      <c r="C5438" s="1" t="n">
        <v>45357</v>
      </c>
      <c r="D5438" t="inlineStr">
        <is>
          <t>VÄSTERBOTTENS LÄN</t>
        </is>
      </c>
      <c r="E5438" t="inlineStr">
        <is>
          <t>SKELLEFTEÅ</t>
        </is>
      </c>
      <c r="F5438" t="inlineStr">
        <is>
          <t>Sveaskog</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58860-2021</t>
        </is>
      </c>
      <c r="B5439" s="1" t="n">
        <v>44489</v>
      </c>
      <c r="C5439" s="1" t="n">
        <v>45357</v>
      </c>
      <c r="D5439" t="inlineStr">
        <is>
          <t>VÄSTERBOTTENS LÄN</t>
        </is>
      </c>
      <c r="E5439" t="inlineStr">
        <is>
          <t>VINDELN</t>
        </is>
      </c>
      <c r="F5439" t="inlineStr">
        <is>
          <t>Holmen skog AB</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58872-2021</t>
        </is>
      </c>
      <c r="B5440" s="1" t="n">
        <v>44489</v>
      </c>
      <c r="C5440" s="1" t="n">
        <v>45357</v>
      </c>
      <c r="D5440" t="inlineStr">
        <is>
          <t>VÄSTERBOTTENS LÄN</t>
        </is>
      </c>
      <c r="E5440" t="inlineStr">
        <is>
          <t>SKELLEFTEÅ</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58911-2021</t>
        </is>
      </c>
      <c r="B5441" s="1" t="n">
        <v>44489</v>
      </c>
      <c r="C5441" s="1" t="n">
        <v>45357</v>
      </c>
      <c r="D5441" t="inlineStr">
        <is>
          <t>VÄSTERBOTTENS LÄN</t>
        </is>
      </c>
      <c r="E5441" t="inlineStr">
        <is>
          <t>LYCKSELE</t>
        </is>
      </c>
      <c r="F5441" t="inlineStr">
        <is>
          <t>Sveaskog</t>
        </is>
      </c>
      <c r="G5441" t="n">
        <v>10.6</v>
      </c>
      <c r="H5441" t="n">
        <v>0</v>
      </c>
      <c r="I5441" t="n">
        <v>0</v>
      </c>
      <c r="J5441" t="n">
        <v>0</v>
      </c>
      <c r="K5441" t="n">
        <v>0</v>
      </c>
      <c r="L5441" t="n">
        <v>0</v>
      </c>
      <c r="M5441" t="n">
        <v>0</v>
      </c>
      <c r="N5441" t="n">
        <v>0</v>
      </c>
      <c r="O5441" t="n">
        <v>0</v>
      </c>
      <c r="P5441" t="n">
        <v>0</v>
      </c>
      <c r="Q5441" t="n">
        <v>0</v>
      </c>
      <c r="R5441" s="2" t="inlineStr"/>
    </row>
    <row r="5442" ht="15" customHeight="1">
      <c r="A5442" t="inlineStr">
        <is>
          <t>A 58811-2021</t>
        </is>
      </c>
      <c r="B5442" s="1" t="n">
        <v>44489</v>
      </c>
      <c r="C5442" s="1" t="n">
        <v>45357</v>
      </c>
      <c r="D5442" t="inlineStr">
        <is>
          <t>VÄSTERBOTTENS LÄN</t>
        </is>
      </c>
      <c r="E5442" t="inlineStr">
        <is>
          <t>SKELLEFTEÅ</t>
        </is>
      </c>
      <c r="F5442" t="inlineStr">
        <is>
          <t>Holmen skog AB</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59074-2021</t>
        </is>
      </c>
      <c r="B5443" s="1" t="n">
        <v>44489</v>
      </c>
      <c r="C5443" s="1" t="n">
        <v>45357</v>
      </c>
      <c r="D5443" t="inlineStr">
        <is>
          <t>VÄSTERBOTTENS LÄN</t>
        </is>
      </c>
      <c r="E5443" t="inlineStr">
        <is>
          <t>LYCKSELE</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59180-2021</t>
        </is>
      </c>
      <c r="B5444" s="1" t="n">
        <v>44489</v>
      </c>
      <c r="C5444" s="1" t="n">
        <v>45357</v>
      </c>
      <c r="D5444" t="inlineStr">
        <is>
          <t>VÄSTERBOTTENS LÄN</t>
        </is>
      </c>
      <c r="E5444" t="inlineStr">
        <is>
          <t>SKELLEFTEÅ</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59171-2021</t>
        </is>
      </c>
      <c r="B5445" s="1" t="n">
        <v>44489</v>
      </c>
      <c r="C5445" s="1" t="n">
        <v>45357</v>
      </c>
      <c r="D5445" t="inlineStr">
        <is>
          <t>VÄSTERBOTTENS LÄN</t>
        </is>
      </c>
      <c r="E5445" t="inlineStr">
        <is>
          <t>SKELLEFTEÅ</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58892-2021</t>
        </is>
      </c>
      <c r="B5446" s="1" t="n">
        <v>44489</v>
      </c>
      <c r="C5446" s="1" t="n">
        <v>45357</v>
      </c>
      <c r="D5446" t="inlineStr">
        <is>
          <t>VÄSTERBOTTENS LÄN</t>
        </is>
      </c>
      <c r="E5446" t="inlineStr">
        <is>
          <t>SKELLEFTEÅ</t>
        </is>
      </c>
      <c r="F5446" t="inlineStr">
        <is>
          <t>Sveaskog</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58946-2021</t>
        </is>
      </c>
      <c r="B5447" s="1" t="n">
        <v>44490</v>
      </c>
      <c r="C5447" s="1" t="n">
        <v>45357</v>
      </c>
      <c r="D5447" t="inlineStr">
        <is>
          <t>VÄSTERBOTTENS LÄN</t>
        </is>
      </c>
      <c r="E5447" t="inlineStr">
        <is>
          <t>LYCKSELE</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59133-2021</t>
        </is>
      </c>
      <c r="B5448" s="1" t="n">
        <v>44490</v>
      </c>
      <c r="C5448" s="1" t="n">
        <v>45357</v>
      </c>
      <c r="D5448" t="inlineStr">
        <is>
          <t>VÄSTERBOTTENS LÄN</t>
        </is>
      </c>
      <c r="E5448" t="inlineStr">
        <is>
          <t>NORSJÖ</t>
        </is>
      </c>
      <c r="F5448" t="inlineStr">
        <is>
          <t>Sveaskog</t>
        </is>
      </c>
      <c r="G5448" t="n">
        <v>9.9</v>
      </c>
      <c r="H5448" t="n">
        <v>0</v>
      </c>
      <c r="I5448" t="n">
        <v>0</v>
      </c>
      <c r="J5448" t="n">
        <v>0</v>
      </c>
      <c r="K5448" t="n">
        <v>0</v>
      </c>
      <c r="L5448" t="n">
        <v>0</v>
      </c>
      <c r="M5448" t="n">
        <v>0</v>
      </c>
      <c r="N5448" t="n">
        <v>0</v>
      </c>
      <c r="O5448" t="n">
        <v>0</v>
      </c>
      <c r="P5448" t="n">
        <v>0</v>
      </c>
      <c r="Q5448" t="n">
        <v>0</v>
      </c>
      <c r="R5448" s="2" t="inlineStr"/>
    </row>
    <row r="5449" ht="15" customHeight="1">
      <c r="A5449" t="inlineStr">
        <is>
          <t>A 59081-2021</t>
        </is>
      </c>
      <c r="B5449" s="1" t="n">
        <v>44490</v>
      </c>
      <c r="C5449" s="1" t="n">
        <v>45357</v>
      </c>
      <c r="D5449" t="inlineStr">
        <is>
          <t>VÄSTERBOTTENS LÄN</t>
        </is>
      </c>
      <c r="E5449" t="inlineStr">
        <is>
          <t>ROBERTSFORS</t>
        </is>
      </c>
      <c r="F5449" t="inlineStr">
        <is>
          <t>Holmen skog AB</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59136-2021</t>
        </is>
      </c>
      <c r="B5450" s="1" t="n">
        <v>44490</v>
      </c>
      <c r="C5450" s="1" t="n">
        <v>45357</v>
      </c>
      <c r="D5450" t="inlineStr">
        <is>
          <t>VÄSTERBOTTENS LÄN</t>
        </is>
      </c>
      <c r="E5450" t="inlineStr">
        <is>
          <t>NORSJÖ</t>
        </is>
      </c>
      <c r="F5450" t="inlineStr">
        <is>
          <t>Sveaskog</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59160-2021</t>
        </is>
      </c>
      <c r="B5451" s="1" t="n">
        <v>44490</v>
      </c>
      <c r="C5451" s="1" t="n">
        <v>45357</v>
      </c>
      <c r="D5451" t="inlineStr">
        <is>
          <t>VÄSTERBOTTENS LÄN</t>
        </is>
      </c>
      <c r="E5451" t="inlineStr">
        <is>
          <t>VINDELN</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59177-2021</t>
        </is>
      </c>
      <c r="B5452" s="1" t="n">
        <v>44490</v>
      </c>
      <c r="C5452" s="1" t="n">
        <v>45357</v>
      </c>
      <c r="D5452" t="inlineStr">
        <is>
          <t>VÄSTERBOTTENS LÄN</t>
        </is>
      </c>
      <c r="E5452" t="inlineStr">
        <is>
          <t>ROBERTSFORS</t>
        </is>
      </c>
      <c r="F5452" t="inlineStr">
        <is>
          <t>Holmen skog AB</t>
        </is>
      </c>
      <c r="G5452" t="n">
        <v>15.5</v>
      </c>
      <c r="H5452" t="n">
        <v>0</v>
      </c>
      <c r="I5452" t="n">
        <v>0</v>
      </c>
      <c r="J5452" t="n">
        <v>0</v>
      </c>
      <c r="K5452" t="n">
        <v>0</v>
      </c>
      <c r="L5452" t="n">
        <v>0</v>
      </c>
      <c r="M5452" t="n">
        <v>0</v>
      </c>
      <c r="N5452" t="n">
        <v>0</v>
      </c>
      <c r="O5452" t="n">
        <v>0</v>
      </c>
      <c r="P5452" t="n">
        <v>0</v>
      </c>
      <c r="Q5452" t="n">
        <v>0</v>
      </c>
      <c r="R5452" s="2" t="inlineStr"/>
    </row>
    <row r="5453" ht="15" customHeight="1">
      <c r="A5453" t="inlineStr">
        <is>
          <t>A 59172-2021</t>
        </is>
      </c>
      <c r="B5453" s="1" t="n">
        <v>44490</v>
      </c>
      <c r="C5453" s="1" t="n">
        <v>45357</v>
      </c>
      <c r="D5453" t="inlineStr">
        <is>
          <t>VÄSTERBOTTENS LÄN</t>
        </is>
      </c>
      <c r="E5453" t="inlineStr">
        <is>
          <t>VILHELMINA</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59198-2021</t>
        </is>
      </c>
      <c r="B5454" s="1" t="n">
        <v>44490</v>
      </c>
      <c r="C5454" s="1" t="n">
        <v>45357</v>
      </c>
      <c r="D5454" t="inlineStr">
        <is>
          <t>VÄSTERBOTTENS LÄN</t>
        </is>
      </c>
      <c r="E5454" t="inlineStr">
        <is>
          <t>MALÅ</t>
        </is>
      </c>
      <c r="F5454" t="inlineStr">
        <is>
          <t>Sveaskog</t>
        </is>
      </c>
      <c r="G5454" t="n">
        <v>18.4</v>
      </c>
      <c r="H5454" t="n">
        <v>0</v>
      </c>
      <c r="I5454" t="n">
        <v>0</v>
      </c>
      <c r="J5454" t="n">
        <v>0</v>
      </c>
      <c r="K5454" t="n">
        <v>0</v>
      </c>
      <c r="L5454" t="n">
        <v>0</v>
      </c>
      <c r="M5454" t="n">
        <v>0</v>
      </c>
      <c r="N5454" t="n">
        <v>0</v>
      </c>
      <c r="O5454" t="n">
        <v>0</v>
      </c>
      <c r="P5454" t="n">
        <v>0</v>
      </c>
      <c r="Q5454" t="n">
        <v>0</v>
      </c>
      <c r="R5454" s="2" t="inlineStr"/>
    </row>
    <row r="5455" ht="15" customHeight="1">
      <c r="A5455" t="inlineStr">
        <is>
          <t>A 59206-2021</t>
        </is>
      </c>
      <c r="B5455" s="1" t="n">
        <v>44490</v>
      </c>
      <c r="C5455" s="1" t="n">
        <v>45357</v>
      </c>
      <c r="D5455" t="inlineStr">
        <is>
          <t>VÄSTERBOTTENS LÄN</t>
        </is>
      </c>
      <c r="E5455" t="inlineStr">
        <is>
          <t>ÅSELE</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59249-2021</t>
        </is>
      </c>
      <c r="B5456" s="1" t="n">
        <v>44490</v>
      </c>
      <c r="C5456" s="1" t="n">
        <v>45357</v>
      </c>
      <c r="D5456" t="inlineStr">
        <is>
          <t>VÄSTERBOTTENS LÄN</t>
        </is>
      </c>
      <c r="E5456" t="inlineStr">
        <is>
          <t>ÅSELE</t>
        </is>
      </c>
      <c r="F5456" t="inlineStr">
        <is>
          <t>Holmen skog AB</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59280-2021</t>
        </is>
      </c>
      <c r="B5457" s="1" t="n">
        <v>44490</v>
      </c>
      <c r="C5457" s="1" t="n">
        <v>45357</v>
      </c>
      <c r="D5457" t="inlineStr">
        <is>
          <t>VÄSTERBOTTENS LÄN</t>
        </is>
      </c>
      <c r="E5457" t="inlineStr">
        <is>
          <t>NORSJÖ</t>
        </is>
      </c>
      <c r="F5457" t="inlineStr">
        <is>
          <t>Holmen skog AB</t>
        </is>
      </c>
      <c r="G5457" t="n">
        <v>7.2</v>
      </c>
      <c r="H5457" t="n">
        <v>0</v>
      </c>
      <c r="I5457" t="n">
        <v>0</v>
      </c>
      <c r="J5457" t="n">
        <v>0</v>
      </c>
      <c r="K5457" t="n">
        <v>0</v>
      </c>
      <c r="L5457" t="n">
        <v>0</v>
      </c>
      <c r="M5457" t="n">
        <v>0</v>
      </c>
      <c r="N5457" t="n">
        <v>0</v>
      </c>
      <c r="O5457" t="n">
        <v>0</v>
      </c>
      <c r="P5457" t="n">
        <v>0</v>
      </c>
      <c r="Q5457" t="n">
        <v>0</v>
      </c>
      <c r="R5457" s="2" t="inlineStr"/>
    </row>
    <row r="5458" ht="15" customHeight="1">
      <c r="A5458" t="inlineStr">
        <is>
          <t>A 59445-2021</t>
        </is>
      </c>
      <c r="B5458" s="1" t="n">
        <v>44490</v>
      </c>
      <c r="C5458" s="1" t="n">
        <v>45357</v>
      </c>
      <c r="D5458" t="inlineStr">
        <is>
          <t>VÄSTERBOTTENS LÄN</t>
        </is>
      </c>
      <c r="E5458" t="inlineStr">
        <is>
          <t>LYCKSELE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59178-2021</t>
        </is>
      </c>
      <c r="B5459" s="1" t="n">
        <v>44490</v>
      </c>
      <c r="C5459" s="1" t="n">
        <v>45357</v>
      </c>
      <c r="D5459" t="inlineStr">
        <is>
          <t>VÄSTERBOTTENS LÄN</t>
        </is>
      </c>
      <c r="E5459" t="inlineStr">
        <is>
          <t>BJURHOLM</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59202-2021</t>
        </is>
      </c>
      <c r="B5460" s="1" t="n">
        <v>44490</v>
      </c>
      <c r="C5460" s="1" t="n">
        <v>45357</v>
      </c>
      <c r="D5460" t="inlineStr">
        <is>
          <t>VÄSTERBOTTENS LÄN</t>
        </is>
      </c>
      <c r="E5460" t="inlineStr">
        <is>
          <t>MALÅ</t>
        </is>
      </c>
      <c r="F5460" t="inlineStr">
        <is>
          <t>Sveaskog</t>
        </is>
      </c>
      <c r="G5460" t="n">
        <v>14.5</v>
      </c>
      <c r="H5460" t="n">
        <v>0</v>
      </c>
      <c r="I5460" t="n">
        <v>0</v>
      </c>
      <c r="J5460" t="n">
        <v>0</v>
      </c>
      <c r="K5460" t="n">
        <v>0</v>
      </c>
      <c r="L5460" t="n">
        <v>0</v>
      </c>
      <c r="M5460" t="n">
        <v>0</v>
      </c>
      <c r="N5460" t="n">
        <v>0</v>
      </c>
      <c r="O5460" t="n">
        <v>0</v>
      </c>
      <c r="P5460" t="n">
        <v>0</v>
      </c>
      <c r="Q5460" t="n">
        <v>0</v>
      </c>
      <c r="R5460" s="2" t="inlineStr"/>
    </row>
    <row r="5461" ht="15" customHeight="1">
      <c r="A5461" t="inlineStr">
        <is>
          <t>A 59257-2021</t>
        </is>
      </c>
      <c r="B5461" s="1" t="n">
        <v>44490</v>
      </c>
      <c r="C5461" s="1" t="n">
        <v>45357</v>
      </c>
      <c r="D5461" t="inlineStr">
        <is>
          <t>VÄSTERBOTTENS LÄN</t>
        </is>
      </c>
      <c r="E5461" t="inlineStr">
        <is>
          <t>BJURHOLM</t>
        </is>
      </c>
      <c r="F5461" t="inlineStr">
        <is>
          <t>Holmen skog AB</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59330-2021</t>
        </is>
      </c>
      <c r="B5462" s="1" t="n">
        <v>44491</v>
      </c>
      <c r="C5462" s="1" t="n">
        <v>45357</v>
      </c>
      <c r="D5462" t="inlineStr">
        <is>
          <t>VÄSTERBOTTENS LÄN</t>
        </is>
      </c>
      <c r="E5462" t="inlineStr">
        <is>
          <t>VILHELMINA</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59457-2021</t>
        </is>
      </c>
      <c r="B5463" s="1" t="n">
        <v>44491</v>
      </c>
      <c r="C5463" s="1" t="n">
        <v>45357</v>
      </c>
      <c r="D5463" t="inlineStr">
        <is>
          <t>VÄSTERBOTTENS LÄN</t>
        </is>
      </c>
      <c r="E5463" t="inlineStr">
        <is>
          <t>SKELLEFTEÅ</t>
        </is>
      </c>
      <c r="F5463" t="inlineStr">
        <is>
          <t>Sveaskog</t>
        </is>
      </c>
      <c r="G5463" t="n">
        <v>10.4</v>
      </c>
      <c r="H5463" t="n">
        <v>0</v>
      </c>
      <c r="I5463" t="n">
        <v>0</v>
      </c>
      <c r="J5463" t="n">
        <v>0</v>
      </c>
      <c r="K5463" t="n">
        <v>0</v>
      </c>
      <c r="L5463" t="n">
        <v>0</v>
      </c>
      <c r="M5463" t="n">
        <v>0</v>
      </c>
      <c r="N5463" t="n">
        <v>0</v>
      </c>
      <c r="O5463" t="n">
        <v>0</v>
      </c>
      <c r="P5463" t="n">
        <v>0</v>
      </c>
      <c r="Q5463" t="n">
        <v>0</v>
      </c>
      <c r="R5463" s="2" t="inlineStr"/>
    </row>
    <row r="5464" ht="15" customHeight="1">
      <c r="A5464" t="inlineStr">
        <is>
          <t>A 59475-2021</t>
        </is>
      </c>
      <c r="B5464" s="1" t="n">
        <v>44491</v>
      </c>
      <c r="C5464" s="1" t="n">
        <v>45357</v>
      </c>
      <c r="D5464" t="inlineStr">
        <is>
          <t>VÄSTERBOTTENS LÄN</t>
        </is>
      </c>
      <c r="E5464" t="inlineStr">
        <is>
          <t>MALÅ</t>
        </is>
      </c>
      <c r="F5464" t="inlineStr">
        <is>
          <t>Sveaskog</t>
        </is>
      </c>
      <c r="G5464" t="n">
        <v>18.5</v>
      </c>
      <c r="H5464" t="n">
        <v>0</v>
      </c>
      <c r="I5464" t="n">
        <v>0</v>
      </c>
      <c r="J5464" t="n">
        <v>0</v>
      </c>
      <c r="K5464" t="n">
        <v>0</v>
      </c>
      <c r="L5464" t="n">
        <v>0</v>
      </c>
      <c r="M5464" t="n">
        <v>0</v>
      </c>
      <c r="N5464" t="n">
        <v>0</v>
      </c>
      <c r="O5464" t="n">
        <v>0</v>
      </c>
      <c r="P5464" t="n">
        <v>0</v>
      </c>
      <c r="Q5464" t="n">
        <v>0</v>
      </c>
      <c r="R5464" s="2" t="inlineStr"/>
    </row>
    <row r="5465" ht="15" customHeight="1">
      <c r="A5465" t="inlineStr">
        <is>
          <t>A 59372-2021</t>
        </is>
      </c>
      <c r="B5465" s="1" t="n">
        <v>44491</v>
      </c>
      <c r="C5465" s="1" t="n">
        <v>45357</v>
      </c>
      <c r="D5465" t="inlineStr">
        <is>
          <t>VÄSTERBOTTENS LÄN</t>
        </is>
      </c>
      <c r="E5465" t="inlineStr">
        <is>
          <t>SKELLEFTEÅ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59516-2021</t>
        </is>
      </c>
      <c r="B5466" s="1" t="n">
        <v>44491</v>
      </c>
      <c r="C5466" s="1" t="n">
        <v>45357</v>
      </c>
      <c r="D5466" t="inlineStr">
        <is>
          <t>VÄSTERBOTTENS LÄN</t>
        </is>
      </c>
      <c r="E5466" t="inlineStr">
        <is>
          <t>LYCKSELE</t>
        </is>
      </c>
      <c r="F5466" t="inlineStr">
        <is>
          <t>Holmen skog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59851-2021</t>
        </is>
      </c>
      <c r="B5467" s="1" t="n">
        <v>44491</v>
      </c>
      <c r="C5467" s="1" t="n">
        <v>45357</v>
      </c>
      <c r="D5467" t="inlineStr">
        <is>
          <t>VÄSTERBOTTENS LÄN</t>
        </is>
      </c>
      <c r="E5467" t="inlineStr">
        <is>
          <t>SKELLEFTEÅ</t>
        </is>
      </c>
      <c r="G5467" t="n">
        <v>11.6</v>
      </c>
      <c r="H5467" t="n">
        <v>0</v>
      </c>
      <c r="I5467" t="n">
        <v>0</v>
      </c>
      <c r="J5467" t="n">
        <v>0</v>
      </c>
      <c r="K5467" t="n">
        <v>0</v>
      </c>
      <c r="L5467" t="n">
        <v>0</v>
      </c>
      <c r="M5467" t="n">
        <v>0</v>
      </c>
      <c r="N5467" t="n">
        <v>0</v>
      </c>
      <c r="O5467" t="n">
        <v>0</v>
      </c>
      <c r="P5467" t="n">
        <v>0</v>
      </c>
      <c r="Q5467" t="n">
        <v>0</v>
      </c>
      <c r="R5467" s="2" t="inlineStr"/>
    </row>
    <row r="5468" ht="15" customHeight="1">
      <c r="A5468" t="inlineStr">
        <is>
          <t>A 59522-2021</t>
        </is>
      </c>
      <c r="B5468" s="1" t="n">
        <v>44491</v>
      </c>
      <c r="C5468" s="1" t="n">
        <v>45357</v>
      </c>
      <c r="D5468" t="inlineStr">
        <is>
          <t>VÄSTERBOTTENS LÄN</t>
        </is>
      </c>
      <c r="E5468" t="inlineStr">
        <is>
          <t>SKELLEFTEÅ</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59555-2021</t>
        </is>
      </c>
      <c r="B5469" s="1" t="n">
        <v>44491</v>
      </c>
      <c r="C5469" s="1" t="n">
        <v>45357</v>
      </c>
      <c r="D5469" t="inlineStr">
        <is>
          <t>VÄSTERBOTTENS LÄN</t>
        </is>
      </c>
      <c r="E5469" t="inlineStr">
        <is>
          <t>LYCKSELE</t>
        </is>
      </c>
      <c r="F5469" t="inlineStr">
        <is>
          <t>Holmen skog AB</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59801-2021</t>
        </is>
      </c>
      <c r="B5470" s="1" t="n">
        <v>44491</v>
      </c>
      <c r="C5470" s="1" t="n">
        <v>45357</v>
      </c>
      <c r="D5470" t="inlineStr">
        <is>
          <t>VÄSTERBOTTENS LÄN</t>
        </is>
      </c>
      <c r="E5470" t="inlineStr">
        <is>
          <t>MALÅ</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59659-2021</t>
        </is>
      </c>
      <c r="B5471" s="1" t="n">
        <v>44491</v>
      </c>
      <c r="C5471" s="1" t="n">
        <v>45357</v>
      </c>
      <c r="D5471" t="inlineStr">
        <is>
          <t>VÄSTERBOTTENS LÄN</t>
        </is>
      </c>
      <c r="E5471" t="inlineStr">
        <is>
          <t>SKELLEFTEÅ</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59799-2021</t>
        </is>
      </c>
      <c r="B5472" s="1" t="n">
        <v>44491</v>
      </c>
      <c r="C5472" s="1" t="n">
        <v>45357</v>
      </c>
      <c r="D5472" t="inlineStr">
        <is>
          <t>VÄSTERBOTTENS LÄN</t>
        </is>
      </c>
      <c r="E5472" t="inlineStr">
        <is>
          <t>VINDELN</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59866-2021</t>
        </is>
      </c>
      <c r="B5473" s="1" t="n">
        <v>44491</v>
      </c>
      <c r="C5473" s="1" t="n">
        <v>45357</v>
      </c>
      <c r="D5473" t="inlineStr">
        <is>
          <t>VÄSTERBOTTENS LÄN</t>
        </is>
      </c>
      <c r="E5473" t="inlineStr">
        <is>
          <t>MALÅ</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59888-2021</t>
        </is>
      </c>
      <c r="B5474" s="1" t="n">
        <v>44491</v>
      </c>
      <c r="C5474" s="1" t="n">
        <v>45357</v>
      </c>
      <c r="D5474" t="inlineStr">
        <is>
          <t>VÄSTERBOTTENS LÄN</t>
        </is>
      </c>
      <c r="E5474" t="inlineStr">
        <is>
          <t>MALÅ</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59647-2021</t>
        </is>
      </c>
      <c r="B5475" s="1" t="n">
        <v>44493</v>
      </c>
      <c r="C5475" s="1" t="n">
        <v>45357</v>
      </c>
      <c r="D5475" t="inlineStr">
        <is>
          <t>VÄSTERBOTTENS LÄN</t>
        </is>
      </c>
      <c r="E5475" t="inlineStr">
        <is>
          <t>SKELLEFTEÅ</t>
        </is>
      </c>
      <c r="F5475" t="inlineStr">
        <is>
          <t>Sveaskog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59711-2021</t>
        </is>
      </c>
      <c r="B5476" s="1" t="n">
        <v>44494</v>
      </c>
      <c r="C5476" s="1" t="n">
        <v>45357</v>
      </c>
      <c r="D5476" t="inlineStr">
        <is>
          <t>VÄSTERBOTTENS LÄN</t>
        </is>
      </c>
      <c r="E5476" t="inlineStr">
        <is>
          <t>SKELLEFTEÅ</t>
        </is>
      </c>
      <c r="F5476" t="inlineStr">
        <is>
          <t>Sveaskog</t>
        </is>
      </c>
      <c r="G5476" t="n">
        <v>33.9</v>
      </c>
      <c r="H5476" t="n">
        <v>0</v>
      </c>
      <c r="I5476" t="n">
        <v>0</v>
      </c>
      <c r="J5476" t="n">
        <v>0</v>
      </c>
      <c r="K5476" t="n">
        <v>0</v>
      </c>
      <c r="L5476" t="n">
        <v>0</v>
      </c>
      <c r="M5476" t="n">
        <v>0</v>
      </c>
      <c r="N5476" t="n">
        <v>0</v>
      </c>
      <c r="O5476" t="n">
        <v>0</v>
      </c>
      <c r="P5476" t="n">
        <v>0</v>
      </c>
      <c r="Q5476" t="n">
        <v>0</v>
      </c>
      <c r="R5476" s="2" t="inlineStr"/>
    </row>
    <row r="5477" ht="15" customHeight="1">
      <c r="A5477" t="inlineStr">
        <is>
          <t>A 59748-2021</t>
        </is>
      </c>
      <c r="B5477" s="1" t="n">
        <v>44494</v>
      </c>
      <c r="C5477" s="1" t="n">
        <v>45357</v>
      </c>
      <c r="D5477" t="inlineStr">
        <is>
          <t>VÄSTERBOTTENS LÄN</t>
        </is>
      </c>
      <c r="E5477" t="inlineStr">
        <is>
          <t>SKELLEFTEÅ</t>
        </is>
      </c>
      <c r="F5477" t="inlineStr">
        <is>
          <t>Sveaskog</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59675-2021</t>
        </is>
      </c>
      <c r="B5478" s="1" t="n">
        <v>44494</v>
      </c>
      <c r="C5478" s="1" t="n">
        <v>45357</v>
      </c>
      <c r="D5478" t="inlineStr">
        <is>
          <t>VÄSTERBOTTENS LÄN</t>
        </is>
      </c>
      <c r="E5478" t="inlineStr">
        <is>
          <t>BJURHOLM</t>
        </is>
      </c>
      <c r="G5478" t="n">
        <v>0.1</v>
      </c>
      <c r="H5478" t="n">
        <v>0</v>
      </c>
      <c r="I5478" t="n">
        <v>0</v>
      </c>
      <c r="J5478" t="n">
        <v>0</v>
      </c>
      <c r="K5478" t="n">
        <v>0</v>
      </c>
      <c r="L5478" t="n">
        <v>0</v>
      </c>
      <c r="M5478" t="n">
        <v>0</v>
      </c>
      <c r="N5478" t="n">
        <v>0</v>
      </c>
      <c r="O5478" t="n">
        <v>0</v>
      </c>
      <c r="P5478" t="n">
        <v>0</v>
      </c>
      <c r="Q5478" t="n">
        <v>0</v>
      </c>
      <c r="R5478" s="2" t="inlineStr"/>
    </row>
    <row r="5479" ht="15" customHeight="1">
      <c r="A5479" t="inlineStr">
        <is>
          <t>A 59717-2021</t>
        </is>
      </c>
      <c r="B5479" s="1" t="n">
        <v>44494</v>
      </c>
      <c r="C5479" s="1" t="n">
        <v>45357</v>
      </c>
      <c r="D5479" t="inlineStr">
        <is>
          <t>VÄSTERBOTTENS LÄN</t>
        </is>
      </c>
      <c r="E5479" t="inlineStr">
        <is>
          <t>SKELLEFTEÅ</t>
        </is>
      </c>
      <c r="F5479" t="inlineStr">
        <is>
          <t>Sveaskog</t>
        </is>
      </c>
      <c r="G5479" t="n">
        <v>16.2</v>
      </c>
      <c r="H5479" t="n">
        <v>0</v>
      </c>
      <c r="I5479" t="n">
        <v>0</v>
      </c>
      <c r="J5479" t="n">
        <v>0</v>
      </c>
      <c r="K5479" t="n">
        <v>0</v>
      </c>
      <c r="L5479" t="n">
        <v>0</v>
      </c>
      <c r="M5479" t="n">
        <v>0</v>
      </c>
      <c r="N5479" t="n">
        <v>0</v>
      </c>
      <c r="O5479" t="n">
        <v>0</v>
      </c>
      <c r="P5479" t="n">
        <v>0</v>
      </c>
      <c r="Q5479" t="n">
        <v>0</v>
      </c>
      <c r="R5479" s="2" t="inlineStr"/>
    </row>
    <row r="5480" ht="15" customHeight="1">
      <c r="A5480" t="inlineStr">
        <is>
          <t>A 59736-2021</t>
        </is>
      </c>
      <c r="B5480" s="1" t="n">
        <v>44494</v>
      </c>
      <c r="C5480" s="1" t="n">
        <v>45357</v>
      </c>
      <c r="D5480" t="inlineStr">
        <is>
          <t>VÄSTERBOTTENS LÄN</t>
        </is>
      </c>
      <c r="E5480" t="inlineStr">
        <is>
          <t>SKELLEFTEÅ</t>
        </is>
      </c>
      <c r="F5480" t="inlineStr">
        <is>
          <t>Sveaskog</t>
        </is>
      </c>
      <c r="G5480" t="n">
        <v>13.1</v>
      </c>
      <c r="H5480" t="n">
        <v>0</v>
      </c>
      <c r="I5480" t="n">
        <v>0</v>
      </c>
      <c r="J5480" t="n">
        <v>0</v>
      </c>
      <c r="K5480" t="n">
        <v>0</v>
      </c>
      <c r="L5480" t="n">
        <v>0</v>
      </c>
      <c r="M5480" t="n">
        <v>0</v>
      </c>
      <c r="N5480" t="n">
        <v>0</v>
      </c>
      <c r="O5480" t="n">
        <v>0</v>
      </c>
      <c r="P5480" t="n">
        <v>0</v>
      </c>
      <c r="Q5480" t="n">
        <v>0</v>
      </c>
      <c r="R5480" s="2" t="inlineStr"/>
    </row>
    <row r="5481" ht="15" customHeight="1">
      <c r="A5481" t="inlineStr">
        <is>
          <t>A 59859-2021</t>
        </is>
      </c>
      <c r="B5481" s="1" t="n">
        <v>44494</v>
      </c>
      <c r="C5481" s="1" t="n">
        <v>45357</v>
      </c>
      <c r="D5481" t="inlineStr">
        <is>
          <t>VÄSTERBOTTENS LÄN</t>
        </is>
      </c>
      <c r="E5481" t="inlineStr">
        <is>
          <t>SKELLEFTEÅ</t>
        </is>
      </c>
      <c r="F5481" t="inlineStr">
        <is>
          <t>Holmen skog AB</t>
        </is>
      </c>
      <c r="G5481" t="n">
        <v>13.8</v>
      </c>
      <c r="H5481" t="n">
        <v>0</v>
      </c>
      <c r="I5481" t="n">
        <v>0</v>
      </c>
      <c r="J5481" t="n">
        <v>0</v>
      </c>
      <c r="K5481" t="n">
        <v>0</v>
      </c>
      <c r="L5481" t="n">
        <v>0</v>
      </c>
      <c r="M5481" t="n">
        <v>0</v>
      </c>
      <c r="N5481" t="n">
        <v>0</v>
      </c>
      <c r="O5481" t="n">
        <v>0</v>
      </c>
      <c r="P5481" t="n">
        <v>0</v>
      </c>
      <c r="Q5481" t="n">
        <v>0</v>
      </c>
      <c r="R5481" s="2" t="inlineStr"/>
    </row>
    <row r="5482" ht="15" customHeight="1">
      <c r="A5482" t="inlineStr">
        <is>
          <t>A 59798-2021</t>
        </is>
      </c>
      <c r="B5482" s="1" t="n">
        <v>44494</v>
      </c>
      <c r="C5482" s="1" t="n">
        <v>45357</v>
      </c>
      <c r="D5482" t="inlineStr">
        <is>
          <t>VÄSTERBOTTENS LÄN</t>
        </is>
      </c>
      <c r="E5482" t="inlineStr">
        <is>
          <t>BJURHOLM</t>
        </is>
      </c>
      <c r="G5482" t="n">
        <v>8.5</v>
      </c>
      <c r="H5482" t="n">
        <v>0</v>
      </c>
      <c r="I5482" t="n">
        <v>0</v>
      </c>
      <c r="J5482" t="n">
        <v>0</v>
      </c>
      <c r="K5482" t="n">
        <v>0</v>
      </c>
      <c r="L5482" t="n">
        <v>0</v>
      </c>
      <c r="M5482" t="n">
        <v>0</v>
      </c>
      <c r="N5482" t="n">
        <v>0</v>
      </c>
      <c r="O5482" t="n">
        <v>0</v>
      </c>
      <c r="P5482" t="n">
        <v>0</v>
      </c>
      <c r="Q5482" t="n">
        <v>0</v>
      </c>
      <c r="R5482" s="2" t="inlineStr"/>
    </row>
    <row r="5483" ht="15" customHeight="1">
      <c r="A5483" t="inlineStr">
        <is>
          <t>A 60066-2021</t>
        </is>
      </c>
      <c r="B5483" s="1" t="n">
        <v>44494</v>
      </c>
      <c r="C5483" s="1" t="n">
        <v>45357</v>
      </c>
      <c r="D5483" t="inlineStr">
        <is>
          <t>VÄSTERBOTTENS LÄN</t>
        </is>
      </c>
      <c r="E5483" t="inlineStr">
        <is>
          <t>SKELLEFTEÅ</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60094-2021</t>
        </is>
      </c>
      <c r="B5484" s="1" t="n">
        <v>44494</v>
      </c>
      <c r="C5484" s="1" t="n">
        <v>45357</v>
      </c>
      <c r="D5484" t="inlineStr">
        <is>
          <t>VÄSTERBOTTENS LÄN</t>
        </is>
      </c>
      <c r="E5484" t="inlineStr">
        <is>
          <t>VINDELN</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60145-2021</t>
        </is>
      </c>
      <c r="B5485" s="1" t="n">
        <v>44494</v>
      </c>
      <c r="C5485" s="1" t="n">
        <v>45357</v>
      </c>
      <c r="D5485" t="inlineStr">
        <is>
          <t>VÄSTERBOTTENS LÄN</t>
        </is>
      </c>
      <c r="E5485" t="inlineStr">
        <is>
          <t>DOROTEA</t>
        </is>
      </c>
      <c r="G5485" t="n">
        <v>13.3</v>
      </c>
      <c r="H5485" t="n">
        <v>0</v>
      </c>
      <c r="I5485" t="n">
        <v>0</v>
      </c>
      <c r="J5485" t="n">
        <v>0</v>
      </c>
      <c r="K5485" t="n">
        <v>0</v>
      </c>
      <c r="L5485" t="n">
        <v>0</v>
      </c>
      <c r="M5485" t="n">
        <v>0</v>
      </c>
      <c r="N5485" t="n">
        <v>0</v>
      </c>
      <c r="O5485" t="n">
        <v>0</v>
      </c>
      <c r="P5485" t="n">
        <v>0</v>
      </c>
      <c r="Q5485" t="n">
        <v>0</v>
      </c>
      <c r="R5485" s="2" t="inlineStr"/>
    </row>
    <row r="5486" ht="15" customHeight="1">
      <c r="A5486" t="inlineStr">
        <is>
          <t>A 59920-2021</t>
        </is>
      </c>
      <c r="B5486" s="1" t="n">
        <v>44494</v>
      </c>
      <c r="C5486" s="1" t="n">
        <v>45357</v>
      </c>
      <c r="D5486" t="inlineStr">
        <is>
          <t>VÄSTERBOTTENS LÄN</t>
        </is>
      </c>
      <c r="E5486" t="inlineStr">
        <is>
          <t>LYCKSELE</t>
        </is>
      </c>
      <c r="F5486" t="inlineStr">
        <is>
          <t>Sveaskog</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59908-2021</t>
        </is>
      </c>
      <c r="B5487" s="1" t="n">
        <v>44494</v>
      </c>
      <c r="C5487" s="1" t="n">
        <v>45357</v>
      </c>
      <c r="D5487" t="inlineStr">
        <is>
          <t>VÄSTERBOTTENS LÄN</t>
        </is>
      </c>
      <c r="E5487" t="inlineStr">
        <is>
          <t>NORDMALING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60092-2021</t>
        </is>
      </c>
      <c r="B5488" s="1" t="n">
        <v>44494</v>
      </c>
      <c r="C5488" s="1" t="n">
        <v>45357</v>
      </c>
      <c r="D5488" t="inlineStr">
        <is>
          <t>VÄSTERBOTTENS LÄN</t>
        </is>
      </c>
      <c r="E5488" t="inlineStr">
        <is>
          <t>VINDELN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60173-2021</t>
        </is>
      </c>
      <c r="B5489" s="1" t="n">
        <v>44494</v>
      </c>
      <c r="C5489" s="1" t="n">
        <v>45357</v>
      </c>
      <c r="D5489" t="inlineStr">
        <is>
          <t>VÄSTERBOTTENS LÄN</t>
        </is>
      </c>
      <c r="E5489" t="inlineStr">
        <is>
          <t>NORDMALING</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60072-2021</t>
        </is>
      </c>
      <c r="B5490" s="1" t="n">
        <v>44494</v>
      </c>
      <c r="C5490" s="1" t="n">
        <v>45357</v>
      </c>
      <c r="D5490" t="inlineStr">
        <is>
          <t>VÄSTERBOTTENS LÄN</t>
        </is>
      </c>
      <c r="E5490" t="inlineStr">
        <is>
          <t>SORSELE</t>
        </is>
      </c>
      <c r="G5490" t="n">
        <v>9.9</v>
      </c>
      <c r="H5490" t="n">
        <v>0</v>
      </c>
      <c r="I5490" t="n">
        <v>0</v>
      </c>
      <c r="J5490" t="n">
        <v>0</v>
      </c>
      <c r="K5490" t="n">
        <v>0</v>
      </c>
      <c r="L5490" t="n">
        <v>0</v>
      </c>
      <c r="M5490" t="n">
        <v>0</v>
      </c>
      <c r="N5490" t="n">
        <v>0</v>
      </c>
      <c r="O5490" t="n">
        <v>0</v>
      </c>
      <c r="P5490" t="n">
        <v>0</v>
      </c>
      <c r="Q5490" t="n">
        <v>0</v>
      </c>
      <c r="R5490" s="2" t="inlineStr"/>
    </row>
    <row r="5491" ht="15" customHeight="1">
      <c r="A5491" t="inlineStr">
        <is>
          <t>A 60102-2021</t>
        </is>
      </c>
      <c r="B5491" s="1" t="n">
        <v>44494</v>
      </c>
      <c r="C5491" s="1" t="n">
        <v>45357</v>
      </c>
      <c r="D5491" t="inlineStr">
        <is>
          <t>VÄSTERBOTTENS LÄN</t>
        </is>
      </c>
      <c r="E5491" t="inlineStr">
        <is>
          <t>VINDELN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60088-2021</t>
        </is>
      </c>
      <c r="B5492" s="1" t="n">
        <v>44495</v>
      </c>
      <c r="C5492" s="1" t="n">
        <v>45357</v>
      </c>
      <c r="D5492" t="inlineStr">
        <is>
          <t>VÄSTERBOTTENS LÄN</t>
        </is>
      </c>
      <c r="E5492" t="inlineStr">
        <is>
          <t>UMEÅ</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60116-2021</t>
        </is>
      </c>
      <c r="B5493" s="1" t="n">
        <v>44495</v>
      </c>
      <c r="C5493" s="1" t="n">
        <v>45357</v>
      </c>
      <c r="D5493" t="inlineStr">
        <is>
          <t>VÄSTERBOTTENS LÄN</t>
        </is>
      </c>
      <c r="E5493" t="inlineStr">
        <is>
          <t>LYCKSELE</t>
        </is>
      </c>
      <c r="F5493" t="inlineStr">
        <is>
          <t>Sveaskog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60107-2021</t>
        </is>
      </c>
      <c r="B5494" s="1" t="n">
        <v>44495</v>
      </c>
      <c r="C5494" s="1" t="n">
        <v>45357</v>
      </c>
      <c r="D5494" t="inlineStr">
        <is>
          <t>VÄSTERBOTTENS LÄN</t>
        </is>
      </c>
      <c r="E5494" t="inlineStr">
        <is>
          <t>SKELLEFTEÅ</t>
        </is>
      </c>
      <c r="F5494" t="inlineStr">
        <is>
          <t>Holmen skog AB</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60044-2021</t>
        </is>
      </c>
      <c r="B5495" s="1" t="n">
        <v>44495</v>
      </c>
      <c r="C5495" s="1" t="n">
        <v>45357</v>
      </c>
      <c r="D5495" t="inlineStr">
        <is>
          <t>VÄSTERBOTTENS LÄN</t>
        </is>
      </c>
      <c r="E5495" t="inlineStr">
        <is>
          <t>LYCKSELE</t>
        </is>
      </c>
      <c r="F5495" t="inlineStr">
        <is>
          <t>Sveaskog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60203-2021</t>
        </is>
      </c>
      <c r="B5496" s="1" t="n">
        <v>44495</v>
      </c>
      <c r="C5496" s="1" t="n">
        <v>45357</v>
      </c>
      <c r="D5496" t="inlineStr">
        <is>
          <t>VÄSTERBOTTENS LÄN</t>
        </is>
      </c>
      <c r="E5496" t="inlineStr">
        <is>
          <t>LYCKSELE</t>
        </is>
      </c>
      <c r="F5496" t="inlineStr">
        <is>
          <t>Sveaskog</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60317-2021</t>
        </is>
      </c>
      <c r="B5497" s="1" t="n">
        <v>44496</v>
      </c>
      <c r="C5497" s="1" t="n">
        <v>45357</v>
      </c>
      <c r="D5497" t="inlineStr">
        <is>
          <t>VÄSTERBOTTENS LÄN</t>
        </is>
      </c>
      <c r="E5497" t="inlineStr">
        <is>
          <t>VILHELMINA</t>
        </is>
      </c>
      <c r="F5497" t="inlineStr">
        <is>
          <t>SCA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60539-2021</t>
        </is>
      </c>
      <c r="B5498" s="1" t="n">
        <v>44495</v>
      </c>
      <c r="C5498" s="1" t="n">
        <v>45357</v>
      </c>
      <c r="D5498" t="inlineStr">
        <is>
          <t>VÄSTERBOTTENS LÄN</t>
        </is>
      </c>
      <c r="E5498" t="inlineStr">
        <is>
          <t>SKELLEFTEÅ</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60413-2021</t>
        </is>
      </c>
      <c r="B5499" s="1" t="n">
        <v>44496</v>
      </c>
      <c r="C5499" s="1" t="n">
        <v>45357</v>
      </c>
      <c r="D5499" t="inlineStr">
        <is>
          <t>VÄSTERBOTTENS LÄN</t>
        </is>
      </c>
      <c r="E5499" t="inlineStr">
        <is>
          <t>ÅSELE</t>
        </is>
      </c>
      <c r="F5499" t="inlineStr">
        <is>
          <t>Holmen skog AB</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60425-2021</t>
        </is>
      </c>
      <c r="B5500" s="1" t="n">
        <v>44496</v>
      </c>
      <c r="C5500" s="1" t="n">
        <v>45357</v>
      </c>
      <c r="D5500" t="inlineStr">
        <is>
          <t>VÄSTERBOTTENS LÄN</t>
        </is>
      </c>
      <c r="E5500" t="inlineStr">
        <is>
          <t>LYCKSELE</t>
        </is>
      </c>
      <c r="F5500" t="inlineStr">
        <is>
          <t>Sveaskog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60437-2021</t>
        </is>
      </c>
      <c r="B5501" s="1" t="n">
        <v>44496</v>
      </c>
      <c r="C5501" s="1" t="n">
        <v>45357</v>
      </c>
      <c r="D5501" t="inlineStr">
        <is>
          <t>VÄSTERBOTTENS LÄN</t>
        </is>
      </c>
      <c r="E5501" t="inlineStr">
        <is>
          <t>LYCKSELE</t>
        </is>
      </c>
      <c r="F5501" t="inlineStr">
        <is>
          <t>Sveaskog</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60514-2021</t>
        </is>
      </c>
      <c r="B5502" s="1" t="n">
        <v>44496</v>
      </c>
      <c r="C5502" s="1" t="n">
        <v>45357</v>
      </c>
      <c r="D5502" t="inlineStr">
        <is>
          <t>VÄSTERBOTTENS LÄN</t>
        </is>
      </c>
      <c r="E5502" t="inlineStr">
        <is>
          <t>ÅSELE</t>
        </is>
      </c>
      <c r="F5502" t="inlineStr">
        <is>
          <t>Sveaskog</t>
        </is>
      </c>
      <c r="G5502" t="n">
        <v>20.9</v>
      </c>
      <c r="H5502" t="n">
        <v>0</v>
      </c>
      <c r="I5502" t="n">
        <v>0</v>
      </c>
      <c r="J5502" t="n">
        <v>0</v>
      </c>
      <c r="K5502" t="n">
        <v>0</v>
      </c>
      <c r="L5502" t="n">
        <v>0</v>
      </c>
      <c r="M5502" t="n">
        <v>0</v>
      </c>
      <c r="N5502" t="n">
        <v>0</v>
      </c>
      <c r="O5502" t="n">
        <v>0</v>
      </c>
      <c r="P5502" t="n">
        <v>0</v>
      </c>
      <c r="Q5502" t="n">
        <v>0</v>
      </c>
      <c r="R5502" s="2" t="inlineStr"/>
    </row>
    <row r="5503" ht="15" customHeight="1">
      <c r="A5503" t="inlineStr">
        <is>
          <t>A 60575-2021</t>
        </is>
      </c>
      <c r="B5503" s="1" t="n">
        <v>44496</v>
      </c>
      <c r="C5503" s="1" t="n">
        <v>45357</v>
      </c>
      <c r="D5503" t="inlineStr">
        <is>
          <t>VÄSTERBOTTENS LÄN</t>
        </is>
      </c>
      <c r="E5503" t="inlineStr">
        <is>
          <t>ÅSELE</t>
        </is>
      </c>
      <c r="F5503" t="inlineStr">
        <is>
          <t>Holmen skog AB</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60586-2021</t>
        </is>
      </c>
      <c r="B5504" s="1" t="n">
        <v>44496</v>
      </c>
      <c r="C5504" s="1" t="n">
        <v>45357</v>
      </c>
      <c r="D5504" t="inlineStr">
        <is>
          <t>VÄSTERBOTTENS LÄN</t>
        </is>
      </c>
      <c r="E5504" t="inlineStr">
        <is>
          <t>LYCKSELE</t>
        </is>
      </c>
      <c r="F5504" t="inlineStr">
        <is>
          <t>Sveaskog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60440-2021</t>
        </is>
      </c>
      <c r="B5505" s="1" t="n">
        <v>44496</v>
      </c>
      <c r="C5505" s="1" t="n">
        <v>45357</v>
      </c>
      <c r="D5505" t="inlineStr">
        <is>
          <t>VÄSTERBOTTENS LÄN</t>
        </is>
      </c>
      <c r="E5505" t="inlineStr">
        <is>
          <t>LYCKSELE</t>
        </is>
      </c>
      <c r="F5505" t="inlineStr">
        <is>
          <t>Sveaskog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60517-2021</t>
        </is>
      </c>
      <c r="B5506" s="1" t="n">
        <v>44496</v>
      </c>
      <c r="C5506" s="1" t="n">
        <v>45357</v>
      </c>
      <c r="D5506" t="inlineStr">
        <is>
          <t>VÄSTERBOTTENS LÄN</t>
        </is>
      </c>
      <c r="E5506" t="inlineStr">
        <is>
          <t>ÅSELE</t>
        </is>
      </c>
      <c r="F5506" t="inlineStr">
        <is>
          <t>Sveaskog</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60524-2021</t>
        </is>
      </c>
      <c r="B5507" s="1" t="n">
        <v>44496</v>
      </c>
      <c r="C5507" s="1" t="n">
        <v>45357</v>
      </c>
      <c r="D5507" t="inlineStr">
        <is>
          <t>VÄSTERBOTTENS LÄN</t>
        </is>
      </c>
      <c r="E5507" t="inlineStr">
        <is>
          <t>ÅSELE</t>
        </is>
      </c>
      <c r="F5507" t="inlineStr">
        <is>
          <t>Holmen skog AB</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60832-2021</t>
        </is>
      </c>
      <c r="B5508" s="1" t="n">
        <v>44496</v>
      </c>
      <c r="C5508" s="1" t="n">
        <v>45357</v>
      </c>
      <c r="D5508" t="inlineStr">
        <is>
          <t>VÄSTERBOTTENS LÄN</t>
        </is>
      </c>
      <c r="E5508" t="inlineStr">
        <is>
          <t>UMEÅ</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60909-2021</t>
        </is>
      </c>
      <c r="B5509" s="1" t="n">
        <v>44496</v>
      </c>
      <c r="C5509" s="1" t="n">
        <v>45357</v>
      </c>
      <c r="D5509" t="inlineStr">
        <is>
          <t>VÄSTERBOTTENS LÄN</t>
        </is>
      </c>
      <c r="E5509" t="inlineStr">
        <is>
          <t>SORSELE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60896-2021</t>
        </is>
      </c>
      <c r="B5510" s="1" t="n">
        <v>44496</v>
      </c>
      <c r="C5510" s="1" t="n">
        <v>45357</v>
      </c>
      <c r="D5510" t="inlineStr">
        <is>
          <t>VÄSTERBOTTENS LÄN</t>
        </is>
      </c>
      <c r="E5510" t="inlineStr">
        <is>
          <t>SORSELE</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61023-2021</t>
        </is>
      </c>
      <c r="B5511" s="1" t="n">
        <v>44497</v>
      </c>
      <c r="C5511" s="1" t="n">
        <v>45357</v>
      </c>
      <c r="D5511" t="inlineStr">
        <is>
          <t>VÄSTERBOTTENS LÄN</t>
        </is>
      </c>
      <c r="E5511" t="inlineStr">
        <is>
          <t>ÅSELE</t>
        </is>
      </c>
      <c r="F5511" t="inlineStr">
        <is>
          <t>Holmen skog AB</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60844-2021</t>
        </is>
      </c>
      <c r="B5512" s="1" t="n">
        <v>44497</v>
      </c>
      <c r="C5512" s="1" t="n">
        <v>45357</v>
      </c>
      <c r="D5512" t="inlineStr">
        <is>
          <t>VÄSTERBOTTENS LÄN</t>
        </is>
      </c>
      <c r="E5512" t="inlineStr">
        <is>
          <t>ROBERTSFORS</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60984-2021</t>
        </is>
      </c>
      <c r="B5513" s="1" t="n">
        <v>44497</v>
      </c>
      <c r="C5513" s="1" t="n">
        <v>45357</v>
      </c>
      <c r="D5513" t="inlineStr">
        <is>
          <t>VÄSTERBOTTENS LÄN</t>
        </is>
      </c>
      <c r="E5513" t="inlineStr">
        <is>
          <t>ÅSELE</t>
        </is>
      </c>
      <c r="F5513" t="inlineStr">
        <is>
          <t>Holmen skog AB</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61169-2021</t>
        </is>
      </c>
      <c r="B5514" s="1" t="n">
        <v>44498</v>
      </c>
      <c r="C5514" s="1" t="n">
        <v>45357</v>
      </c>
      <c r="D5514" t="inlineStr">
        <is>
          <t>VÄSTERBOTTENS LÄN</t>
        </is>
      </c>
      <c r="E5514" t="inlineStr">
        <is>
          <t>LYCKSELE</t>
        </is>
      </c>
      <c r="F5514" t="inlineStr">
        <is>
          <t>Sveaskog</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61289-2021</t>
        </is>
      </c>
      <c r="B5515" s="1" t="n">
        <v>44498</v>
      </c>
      <c r="C5515" s="1" t="n">
        <v>45357</v>
      </c>
      <c r="D5515" t="inlineStr">
        <is>
          <t>VÄSTERBOTTENS LÄN</t>
        </is>
      </c>
      <c r="E5515" t="inlineStr">
        <is>
          <t>ÅSELE</t>
        </is>
      </c>
      <c r="F5515" t="inlineStr">
        <is>
          <t>Sveaskog</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61296-2021</t>
        </is>
      </c>
      <c r="B5516" s="1" t="n">
        <v>44498</v>
      </c>
      <c r="C5516" s="1" t="n">
        <v>45357</v>
      </c>
      <c r="D5516" t="inlineStr">
        <is>
          <t>VÄSTERBOTTENS LÄN</t>
        </is>
      </c>
      <c r="E5516" t="inlineStr">
        <is>
          <t>ÅSELE</t>
        </is>
      </c>
      <c r="F5516" t="inlineStr">
        <is>
          <t>Sveaskog</t>
        </is>
      </c>
      <c r="G5516" t="n">
        <v>12.2</v>
      </c>
      <c r="H5516" t="n">
        <v>0</v>
      </c>
      <c r="I5516" t="n">
        <v>0</v>
      </c>
      <c r="J5516" t="n">
        <v>0</v>
      </c>
      <c r="K5516" t="n">
        <v>0</v>
      </c>
      <c r="L5516" t="n">
        <v>0</v>
      </c>
      <c r="M5516" t="n">
        <v>0</v>
      </c>
      <c r="N5516" t="n">
        <v>0</v>
      </c>
      <c r="O5516" t="n">
        <v>0</v>
      </c>
      <c r="P5516" t="n">
        <v>0</v>
      </c>
      <c r="Q5516" t="n">
        <v>0</v>
      </c>
      <c r="R5516" s="2" t="inlineStr"/>
    </row>
    <row r="5517" ht="15" customHeight="1">
      <c r="A5517" t="inlineStr">
        <is>
          <t>A 61295-2021</t>
        </is>
      </c>
      <c r="B5517" s="1" t="n">
        <v>44498</v>
      </c>
      <c r="C5517" s="1" t="n">
        <v>45357</v>
      </c>
      <c r="D5517" t="inlineStr">
        <is>
          <t>VÄSTERBOTTENS LÄN</t>
        </is>
      </c>
      <c r="E5517" t="inlineStr">
        <is>
          <t>ÅSELE</t>
        </is>
      </c>
      <c r="F5517" t="inlineStr">
        <is>
          <t>Sveaskog</t>
        </is>
      </c>
      <c r="G5517" t="n">
        <v>13.4</v>
      </c>
      <c r="H5517" t="n">
        <v>0</v>
      </c>
      <c r="I5517" t="n">
        <v>0</v>
      </c>
      <c r="J5517" t="n">
        <v>0</v>
      </c>
      <c r="K5517" t="n">
        <v>0</v>
      </c>
      <c r="L5517" t="n">
        <v>0</v>
      </c>
      <c r="M5517" t="n">
        <v>0</v>
      </c>
      <c r="N5517" t="n">
        <v>0</v>
      </c>
      <c r="O5517" t="n">
        <v>0</v>
      </c>
      <c r="P5517" t="n">
        <v>0</v>
      </c>
      <c r="Q5517" t="n">
        <v>0</v>
      </c>
      <c r="R5517" s="2" t="inlineStr"/>
    </row>
    <row r="5518" ht="15" customHeight="1">
      <c r="A5518" t="inlineStr">
        <is>
          <t>A 61299-2021</t>
        </is>
      </c>
      <c r="B5518" s="1" t="n">
        <v>44498</v>
      </c>
      <c r="C5518" s="1" t="n">
        <v>45357</v>
      </c>
      <c r="D5518" t="inlineStr">
        <is>
          <t>VÄSTERBOTTENS LÄN</t>
        </is>
      </c>
      <c r="E5518" t="inlineStr">
        <is>
          <t>ÅSELE</t>
        </is>
      </c>
      <c r="F5518" t="inlineStr">
        <is>
          <t>Sveaskog</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61297-2021</t>
        </is>
      </c>
      <c r="B5519" s="1" t="n">
        <v>44498</v>
      </c>
      <c r="C5519" s="1" t="n">
        <v>45357</v>
      </c>
      <c r="D5519" t="inlineStr">
        <is>
          <t>VÄSTERBOTTENS LÄN</t>
        </is>
      </c>
      <c r="E5519" t="inlineStr">
        <is>
          <t>ÅSELE</t>
        </is>
      </c>
      <c r="F5519" t="inlineStr">
        <is>
          <t>Sveaskog</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61640-2021</t>
        </is>
      </c>
      <c r="B5520" s="1" t="n">
        <v>44498</v>
      </c>
      <c r="C5520" s="1" t="n">
        <v>45357</v>
      </c>
      <c r="D5520" t="inlineStr">
        <is>
          <t>VÄSTERBOTTENS LÄN</t>
        </is>
      </c>
      <c r="E5520" t="inlineStr">
        <is>
          <t>VILHELMINA</t>
        </is>
      </c>
      <c r="F5520" t="inlineStr">
        <is>
          <t>Övriga Aktiebolag</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61432-2021</t>
        </is>
      </c>
      <c r="B5521" s="1" t="n">
        <v>44500</v>
      </c>
      <c r="C5521" s="1" t="n">
        <v>45357</v>
      </c>
      <c r="D5521" t="inlineStr">
        <is>
          <t>VÄSTERBOTTENS LÄN</t>
        </is>
      </c>
      <c r="E5521" t="inlineStr">
        <is>
          <t>LYCKSELE</t>
        </is>
      </c>
      <c r="F5521" t="inlineStr">
        <is>
          <t>SCA</t>
        </is>
      </c>
      <c r="G5521" t="n">
        <v>0.2</v>
      </c>
      <c r="H5521" t="n">
        <v>0</v>
      </c>
      <c r="I5521" t="n">
        <v>0</v>
      </c>
      <c r="J5521" t="n">
        <v>0</v>
      </c>
      <c r="K5521" t="n">
        <v>0</v>
      </c>
      <c r="L5521" t="n">
        <v>0</v>
      </c>
      <c r="M5521" t="n">
        <v>0</v>
      </c>
      <c r="N5521" t="n">
        <v>0</v>
      </c>
      <c r="O5521" t="n">
        <v>0</v>
      </c>
      <c r="P5521" t="n">
        <v>0</v>
      </c>
      <c r="Q5521" t="n">
        <v>0</v>
      </c>
      <c r="R5521" s="2" t="inlineStr"/>
    </row>
    <row r="5522" ht="15" customHeight="1">
      <c r="A5522" t="inlineStr">
        <is>
          <t>A 61475-2021</t>
        </is>
      </c>
      <c r="B5522" s="1" t="n">
        <v>44500</v>
      </c>
      <c r="C5522" s="1" t="n">
        <v>45357</v>
      </c>
      <c r="D5522" t="inlineStr">
        <is>
          <t>VÄSTERBOTTENS LÄN</t>
        </is>
      </c>
      <c r="E5522" t="inlineStr">
        <is>
          <t>VILHELMINA</t>
        </is>
      </c>
      <c r="F5522" t="inlineStr">
        <is>
          <t>SCA</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61430-2021</t>
        </is>
      </c>
      <c r="B5523" s="1" t="n">
        <v>44500</v>
      </c>
      <c r="C5523" s="1" t="n">
        <v>45357</v>
      </c>
      <c r="D5523" t="inlineStr">
        <is>
          <t>VÄSTERBOTTENS LÄN</t>
        </is>
      </c>
      <c r="E5523" t="inlineStr">
        <is>
          <t>VINDELN</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61431-2021</t>
        </is>
      </c>
      <c r="B5524" s="1" t="n">
        <v>44500</v>
      </c>
      <c r="C5524" s="1" t="n">
        <v>45357</v>
      </c>
      <c r="D5524" t="inlineStr">
        <is>
          <t>VÄSTERBOTTENS LÄN</t>
        </is>
      </c>
      <c r="E5524" t="inlineStr">
        <is>
          <t>STORUMAN</t>
        </is>
      </c>
      <c r="F5524" t="inlineStr">
        <is>
          <t>SCA</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61554-2021</t>
        </is>
      </c>
      <c r="B5525" s="1" t="n">
        <v>44501</v>
      </c>
      <c r="C5525" s="1" t="n">
        <v>45357</v>
      </c>
      <c r="D5525" t="inlineStr">
        <is>
          <t>VÄSTERBOTTENS LÄN</t>
        </is>
      </c>
      <c r="E5525" t="inlineStr">
        <is>
          <t>LYCKSELE</t>
        </is>
      </c>
      <c r="F5525" t="inlineStr">
        <is>
          <t>Sveaskog</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61511-2021</t>
        </is>
      </c>
      <c r="B5526" s="1" t="n">
        <v>44501</v>
      </c>
      <c r="C5526" s="1" t="n">
        <v>45357</v>
      </c>
      <c r="D5526" t="inlineStr">
        <is>
          <t>VÄSTERBOTTENS LÄN</t>
        </is>
      </c>
      <c r="E5526" t="inlineStr">
        <is>
          <t>LYCKSELE</t>
        </is>
      </c>
      <c r="F5526" t="inlineStr">
        <is>
          <t>Sveaskog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61651-2021</t>
        </is>
      </c>
      <c r="B5527" s="1" t="n">
        <v>44501</v>
      </c>
      <c r="C5527" s="1" t="n">
        <v>45357</v>
      </c>
      <c r="D5527" t="inlineStr">
        <is>
          <t>VÄSTERBOTTENS LÄN</t>
        </is>
      </c>
      <c r="E5527" t="inlineStr">
        <is>
          <t>LYCKSELE</t>
        </is>
      </c>
      <c r="F5527" t="inlineStr">
        <is>
          <t>Sveaskog</t>
        </is>
      </c>
      <c r="G5527" t="n">
        <v>10.7</v>
      </c>
      <c r="H5527" t="n">
        <v>0</v>
      </c>
      <c r="I5527" t="n">
        <v>0</v>
      </c>
      <c r="J5527" t="n">
        <v>0</v>
      </c>
      <c r="K5527" t="n">
        <v>0</v>
      </c>
      <c r="L5527" t="n">
        <v>0</v>
      </c>
      <c r="M5527" t="n">
        <v>0</v>
      </c>
      <c r="N5527" t="n">
        <v>0</v>
      </c>
      <c r="O5527" t="n">
        <v>0</v>
      </c>
      <c r="P5527" t="n">
        <v>0</v>
      </c>
      <c r="Q5527" t="n">
        <v>0</v>
      </c>
      <c r="R5527" s="2" t="inlineStr"/>
    </row>
    <row r="5528" ht="15" customHeight="1">
      <c r="A5528" t="inlineStr">
        <is>
          <t>A 61542-2021</t>
        </is>
      </c>
      <c r="B5528" s="1" t="n">
        <v>44501</v>
      </c>
      <c r="C5528" s="1" t="n">
        <v>45357</v>
      </c>
      <c r="D5528" t="inlineStr">
        <is>
          <t>VÄSTERBOTTENS LÄN</t>
        </is>
      </c>
      <c r="E5528" t="inlineStr">
        <is>
          <t>ÅSELE</t>
        </is>
      </c>
      <c r="F5528" t="inlineStr">
        <is>
          <t>Sveaskog</t>
        </is>
      </c>
      <c r="G5528" t="n">
        <v>16.1</v>
      </c>
      <c r="H5528" t="n">
        <v>0</v>
      </c>
      <c r="I5528" t="n">
        <v>0</v>
      </c>
      <c r="J5528" t="n">
        <v>0</v>
      </c>
      <c r="K5528" t="n">
        <v>0</v>
      </c>
      <c r="L5528" t="n">
        <v>0</v>
      </c>
      <c r="M5528" t="n">
        <v>0</v>
      </c>
      <c r="N5528" t="n">
        <v>0</v>
      </c>
      <c r="O5528" t="n">
        <v>0</v>
      </c>
      <c r="P5528" t="n">
        <v>0</v>
      </c>
      <c r="Q5528" t="n">
        <v>0</v>
      </c>
      <c r="R5528" s="2" t="inlineStr"/>
    </row>
    <row r="5529" ht="15" customHeight="1">
      <c r="A5529" t="inlineStr">
        <is>
          <t>A 61573-2021</t>
        </is>
      </c>
      <c r="B5529" s="1" t="n">
        <v>44501</v>
      </c>
      <c r="C5529" s="1" t="n">
        <v>45357</v>
      </c>
      <c r="D5529" t="inlineStr">
        <is>
          <t>VÄSTERBOTTENS LÄN</t>
        </is>
      </c>
      <c r="E5529" t="inlineStr">
        <is>
          <t>LYCKSELE</t>
        </is>
      </c>
      <c r="F5529" t="inlineStr">
        <is>
          <t>Sveaskog</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61588-2021</t>
        </is>
      </c>
      <c r="B5530" s="1" t="n">
        <v>44501</v>
      </c>
      <c r="C5530" s="1" t="n">
        <v>45357</v>
      </c>
      <c r="D5530" t="inlineStr">
        <is>
          <t>VÄSTERBOTTENS LÄN</t>
        </is>
      </c>
      <c r="E5530" t="inlineStr">
        <is>
          <t>LYCKSELE</t>
        </is>
      </c>
      <c r="F5530" t="inlineStr">
        <is>
          <t>Sveaskog</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61506-2021</t>
        </is>
      </c>
      <c r="B5531" s="1" t="n">
        <v>44501</v>
      </c>
      <c r="C5531" s="1" t="n">
        <v>45357</v>
      </c>
      <c r="D5531" t="inlineStr">
        <is>
          <t>VÄSTERBOTTENS LÄN</t>
        </is>
      </c>
      <c r="E5531" t="inlineStr">
        <is>
          <t>LYCKSELE</t>
        </is>
      </c>
      <c r="F5531" t="inlineStr">
        <is>
          <t>Sveaskog</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61656-2021</t>
        </is>
      </c>
      <c r="B5532" s="1" t="n">
        <v>44501</v>
      </c>
      <c r="C5532" s="1" t="n">
        <v>45357</v>
      </c>
      <c r="D5532" t="inlineStr">
        <is>
          <t>VÄSTERBOTTENS LÄN</t>
        </is>
      </c>
      <c r="E5532" t="inlineStr">
        <is>
          <t>SKELLEFTEÅ</t>
        </is>
      </c>
      <c r="F5532" t="inlineStr">
        <is>
          <t>Sveaskog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61811-2021</t>
        </is>
      </c>
      <c r="B5533" s="1" t="n">
        <v>44501</v>
      </c>
      <c r="C5533" s="1" t="n">
        <v>45357</v>
      </c>
      <c r="D5533" t="inlineStr">
        <is>
          <t>VÄSTERBOTTENS LÄN</t>
        </is>
      </c>
      <c r="E5533" t="inlineStr">
        <is>
          <t>SKELLEFTEÅ</t>
        </is>
      </c>
      <c r="F5533" t="inlineStr">
        <is>
          <t>Sveaskog</t>
        </is>
      </c>
      <c r="G5533" t="n">
        <v>12.8</v>
      </c>
      <c r="H5533" t="n">
        <v>0</v>
      </c>
      <c r="I5533" t="n">
        <v>0</v>
      </c>
      <c r="J5533" t="n">
        <v>0</v>
      </c>
      <c r="K5533" t="n">
        <v>0</v>
      </c>
      <c r="L5533" t="n">
        <v>0</v>
      </c>
      <c r="M5533" t="n">
        <v>0</v>
      </c>
      <c r="N5533" t="n">
        <v>0</v>
      </c>
      <c r="O5533" t="n">
        <v>0</v>
      </c>
      <c r="P5533" t="n">
        <v>0</v>
      </c>
      <c r="Q5533" t="n">
        <v>0</v>
      </c>
      <c r="R5533" s="2" t="inlineStr"/>
    </row>
    <row r="5534" ht="15" customHeight="1">
      <c r="A5534" t="inlineStr">
        <is>
          <t>A 61844-2021</t>
        </is>
      </c>
      <c r="B5534" s="1" t="n">
        <v>44501</v>
      </c>
      <c r="C5534" s="1" t="n">
        <v>45357</v>
      </c>
      <c r="D5534" t="inlineStr">
        <is>
          <t>VÄSTERBOTTENS LÄN</t>
        </is>
      </c>
      <c r="E5534" t="inlineStr">
        <is>
          <t>SKELLEFTEÅ</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61853-2021</t>
        </is>
      </c>
      <c r="B5535" s="1" t="n">
        <v>44501</v>
      </c>
      <c r="C5535" s="1" t="n">
        <v>45357</v>
      </c>
      <c r="D5535" t="inlineStr">
        <is>
          <t>VÄSTERBOTTENS LÄN</t>
        </is>
      </c>
      <c r="E5535" t="inlineStr">
        <is>
          <t>VILHELMINA</t>
        </is>
      </c>
      <c r="F5535" t="inlineStr">
        <is>
          <t>SCA</t>
        </is>
      </c>
      <c r="G5535" t="n">
        <v>24.8</v>
      </c>
      <c r="H5535" t="n">
        <v>0</v>
      </c>
      <c r="I5535" t="n">
        <v>0</v>
      </c>
      <c r="J5535" t="n">
        <v>0</v>
      </c>
      <c r="K5535" t="n">
        <v>0</v>
      </c>
      <c r="L5535" t="n">
        <v>0</v>
      </c>
      <c r="M5535" t="n">
        <v>0</v>
      </c>
      <c r="N5535" t="n">
        <v>0</v>
      </c>
      <c r="O5535" t="n">
        <v>0</v>
      </c>
      <c r="P5535" t="n">
        <v>0</v>
      </c>
      <c r="Q5535" t="n">
        <v>0</v>
      </c>
      <c r="R5535" s="2" t="inlineStr"/>
    </row>
    <row r="5536" ht="15" customHeight="1">
      <c r="A5536" t="inlineStr">
        <is>
          <t>A 62038-2021</t>
        </is>
      </c>
      <c r="B5536" s="1" t="n">
        <v>44501</v>
      </c>
      <c r="C5536" s="1" t="n">
        <v>45357</v>
      </c>
      <c r="D5536" t="inlineStr">
        <is>
          <t>VÄSTERBOTTENS LÄN</t>
        </is>
      </c>
      <c r="E5536" t="inlineStr">
        <is>
          <t>SORSELE</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62227-2021</t>
        </is>
      </c>
      <c r="B5537" s="1" t="n">
        <v>44501</v>
      </c>
      <c r="C5537" s="1" t="n">
        <v>45357</v>
      </c>
      <c r="D5537" t="inlineStr">
        <is>
          <t>VÄSTERBOTTENS LÄN</t>
        </is>
      </c>
      <c r="E5537" t="inlineStr">
        <is>
          <t>SKELLEFTEÅ</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62553-2021</t>
        </is>
      </c>
      <c r="B5538" s="1" t="n">
        <v>44501</v>
      </c>
      <c r="C5538" s="1" t="n">
        <v>45357</v>
      </c>
      <c r="D5538" t="inlineStr">
        <is>
          <t>VÄSTERBOTTENS LÄN</t>
        </is>
      </c>
      <c r="E5538" t="inlineStr">
        <is>
          <t>VÄNNÄS</t>
        </is>
      </c>
      <c r="G5538" t="n">
        <v>10.2</v>
      </c>
      <c r="H5538" t="n">
        <v>0</v>
      </c>
      <c r="I5538" t="n">
        <v>0</v>
      </c>
      <c r="J5538" t="n">
        <v>0</v>
      </c>
      <c r="K5538" t="n">
        <v>0</v>
      </c>
      <c r="L5538" t="n">
        <v>0</v>
      </c>
      <c r="M5538" t="n">
        <v>0</v>
      </c>
      <c r="N5538" t="n">
        <v>0</v>
      </c>
      <c r="O5538" t="n">
        <v>0</v>
      </c>
      <c r="P5538" t="n">
        <v>0</v>
      </c>
      <c r="Q5538" t="n">
        <v>0</v>
      </c>
      <c r="R5538" s="2" t="inlineStr"/>
    </row>
    <row r="5539" ht="15" customHeight="1">
      <c r="A5539" t="inlineStr">
        <is>
          <t>A 61940-2021</t>
        </is>
      </c>
      <c r="B5539" s="1" t="n">
        <v>44502</v>
      </c>
      <c r="C5539" s="1" t="n">
        <v>45357</v>
      </c>
      <c r="D5539" t="inlineStr">
        <is>
          <t>VÄSTERBOTTENS LÄN</t>
        </is>
      </c>
      <c r="E5539" t="inlineStr">
        <is>
          <t>LYCKSELE</t>
        </is>
      </c>
      <c r="F5539" t="inlineStr">
        <is>
          <t>Sveaskog</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61900-2021</t>
        </is>
      </c>
      <c r="B5540" s="1" t="n">
        <v>44502</v>
      </c>
      <c r="C5540" s="1" t="n">
        <v>45357</v>
      </c>
      <c r="D5540" t="inlineStr">
        <is>
          <t>VÄSTERBOTTENS LÄN</t>
        </is>
      </c>
      <c r="E5540" t="inlineStr">
        <is>
          <t>LYCKSELE</t>
        </is>
      </c>
      <c r="F5540" t="inlineStr">
        <is>
          <t>Sveaskog</t>
        </is>
      </c>
      <c r="G5540" t="n">
        <v>11.5</v>
      </c>
      <c r="H5540" t="n">
        <v>0</v>
      </c>
      <c r="I5540" t="n">
        <v>0</v>
      </c>
      <c r="J5540" t="n">
        <v>0</v>
      </c>
      <c r="K5540" t="n">
        <v>0</v>
      </c>
      <c r="L5540" t="n">
        <v>0</v>
      </c>
      <c r="M5540" t="n">
        <v>0</v>
      </c>
      <c r="N5540" t="n">
        <v>0</v>
      </c>
      <c r="O5540" t="n">
        <v>0</v>
      </c>
      <c r="P5540" t="n">
        <v>0</v>
      </c>
      <c r="Q5540" t="n">
        <v>0</v>
      </c>
      <c r="R5540" s="2" t="inlineStr"/>
    </row>
    <row r="5541" ht="15" customHeight="1">
      <c r="A5541" t="inlineStr">
        <is>
          <t>A 61907-2021</t>
        </is>
      </c>
      <c r="B5541" s="1" t="n">
        <v>44502</v>
      </c>
      <c r="C5541" s="1" t="n">
        <v>45357</v>
      </c>
      <c r="D5541" t="inlineStr">
        <is>
          <t>VÄSTERBOTTENS LÄN</t>
        </is>
      </c>
      <c r="E5541" t="inlineStr">
        <is>
          <t>LYCKSELE</t>
        </is>
      </c>
      <c r="F5541" t="inlineStr">
        <is>
          <t>Sveaskog</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62084-2021</t>
        </is>
      </c>
      <c r="B5542" s="1" t="n">
        <v>44502</v>
      </c>
      <c r="C5542" s="1" t="n">
        <v>45357</v>
      </c>
      <c r="D5542" t="inlineStr">
        <is>
          <t>VÄSTERBOTTENS LÄN</t>
        </is>
      </c>
      <c r="E5542" t="inlineStr">
        <is>
          <t>UMEÅ</t>
        </is>
      </c>
      <c r="F5542" t="inlineStr">
        <is>
          <t>Holmen skog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62173-2021</t>
        </is>
      </c>
      <c r="B5543" s="1" t="n">
        <v>44502</v>
      </c>
      <c r="C5543" s="1" t="n">
        <v>45357</v>
      </c>
      <c r="D5543" t="inlineStr">
        <is>
          <t>VÄSTERBOTTENS LÄN</t>
        </is>
      </c>
      <c r="E5543" t="inlineStr">
        <is>
          <t>VINDELN</t>
        </is>
      </c>
      <c r="F5543" t="inlineStr">
        <is>
          <t>Holmen skog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62187-2021</t>
        </is>
      </c>
      <c r="B5544" s="1" t="n">
        <v>44502</v>
      </c>
      <c r="C5544" s="1" t="n">
        <v>45357</v>
      </c>
      <c r="D5544" t="inlineStr">
        <is>
          <t>VÄSTERBOTTENS LÄN</t>
        </is>
      </c>
      <c r="E5544" t="inlineStr">
        <is>
          <t>ROBERTSFORS</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62362-2021</t>
        </is>
      </c>
      <c r="B5545" s="1" t="n">
        <v>44502</v>
      </c>
      <c r="C5545" s="1" t="n">
        <v>45357</v>
      </c>
      <c r="D5545" t="inlineStr">
        <is>
          <t>VÄSTERBOTTENS LÄN</t>
        </is>
      </c>
      <c r="E5545" t="inlineStr">
        <is>
          <t>VILHELMINA</t>
        </is>
      </c>
      <c r="G5545" t="n">
        <v>8.1</v>
      </c>
      <c r="H5545" t="n">
        <v>0</v>
      </c>
      <c r="I5545" t="n">
        <v>0</v>
      </c>
      <c r="J5545" t="n">
        <v>0</v>
      </c>
      <c r="K5545" t="n">
        <v>0</v>
      </c>
      <c r="L5545" t="n">
        <v>0</v>
      </c>
      <c r="M5545" t="n">
        <v>0</v>
      </c>
      <c r="N5545" t="n">
        <v>0</v>
      </c>
      <c r="O5545" t="n">
        <v>0</v>
      </c>
      <c r="P5545" t="n">
        <v>0</v>
      </c>
      <c r="Q5545" t="n">
        <v>0</v>
      </c>
      <c r="R5545" s="2" t="inlineStr"/>
    </row>
    <row r="5546" ht="15" customHeight="1">
      <c r="A5546" t="inlineStr">
        <is>
          <t>A 62268-2021</t>
        </is>
      </c>
      <c r="B5546" s="1" t="n">
        <v>44503</v>
      </c>
      <c r="C5546" s="1" t="n">
        <v>45357</v>
      </c>
      <c r="D5546" t="inlineStr">
        <is>
          <t>VÄSTERBOTTENS LÄN</t>
        </is>
      </c>
      <c r="E5546" t="inlineStr">
        <is>
          <t>ÅSELE</t>
        </is>
      </c>
      <c r="F5546" t="inlineStr">
        <is>
          <t>Holmen skog AB</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62534-2021</t>
        </is>
      </c>
      <c r="B5547" s="1" t="n">
        <v>44503</v>
      </c>
      <c r="C5547" s="1" t="n">
        <v>45357</v>
      </c>
      <c r="D5547" t="inlineStr">
        <is>
          <t>VÄSTERBOTTENS LÄN</t>
        </is>
      </c>
      <c r="E5547" t="inlineStr">
        <is>
          <t>ÅSELE</t>
        </is>
      </c>
      <c r="F5547" t="inlineStr">
        <is>
          <t>Holmen skog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62345-2021</t>
        </is>
      </c>
      <c r="B5548" s="1" t="n">
        <v>44503</v>
      </c>
      <c r="C5548" s="1" t="n">
        <v>45357</v>
      </c>
      <c r="D5548" t="inlineStr">
        <is>
          <t>VÄSTERBOTTENS LÄN</t>
        </is>
      </c>
      <c r="E5548" t="inlineStr">
        <is>
          <t>SKELLEFTEÅ</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62359-2021</t>
        </is>
      </c>
      <c r="B5549" s="1" t="n">
        <v>44503</v>
      </c>
      <c r="C5549" s="1" t="n">
        <v>45357</v>
      </c>
      <c r="D5549" t="inlineStr">
        <is>
          <t>VÄSTERBOTTENS LÄN</t>
        </is>
      </c>
      <c r="E5549" t="inlineStr">
        <is>
          <t>NORDMALING</t>
        </is>
      </c>
      <c r="F5549" t="inlineStr">
        <is>
          <t>Holmen skog AB</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62545-2021</t>
        </is>
      </c>
      <c r="B5550" s="1" t="n">
        <v>44503</v>
      </c>
      <c r="C5550" s="1" t="n">
        <v>45357</v>
      </c>
      <c r="D5550" t="inlineStr">
        <is>
          <t>VÄSTERBOTTENS LÄN</t>
        </is>
      </c>
      <c r="E5550" t="inlineStr">
        <is>
          <t>ÅSELE</t>
        </is>
      </c>
      <c r="F5550" t="inlineStr">
        <is>
          <t>Holmen skog AB</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62486-2021</t>
        </is>
      </c>
      <c r="B5551" s="1" t="n">
        <v>44503</v>
      </c>
      <c r="C5551" s="1" t="n">
        <v>45357</v>
      </c>
      <c r="D5551" t="inlineStr">
        <is>
          <t>VÄSTERBOTTENS LÄN</t>
        </is>
      </c>
      <c r="E5551" t="inlineStr">
        <is>
          <t>SKELLEFTEÅ</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62646-2021</t>
        </is>
      </c>
      <c r="B5552" s="1" t="n">
        <v>44503</v>
      </c>
      <c r="C5552" s="1" t="n">
        <v>45357</v>
      </c>
      <c r="D5552" t="inlineStr">
        <is>
          <t>VÄSTERBOTTENS LÄN</t>
        </is>
      </c>
      <c r="E5552" t="inlineStr">
        <is>
          <t>MALÅ</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62651-2021</t>
        </is>
      </c>
      <c r="B5553" s="1" t="n">
        <v>44503</v>
      </c>
      <c r="C5553" s="1" t="n">
        <v>45357</v>
      </c>
      <c r="D5553" t="inlineStr">
        <is>
          <t>VÄSTERBOTTENS LÄN</t>
        </is>
      </c>
      <c r="E5553" t="inlineStr">
        <is>
          <t>SKELLEFTEÅ</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62648-2021</t>
        </is>
      </c>
      <c r="B5554" s="1" t="n">
        <v>44503</v>
      </c>
      <c r="C5554" s="1" t="n">
        <v>45357</v>
      </c>
      <c r="D5554" t="inlineStr">
        <is>
          <t>VÄSTERBOTTENS LÄN</t>
        </is>
      </c>
      <c r="E5554" t="inlineStr">
        <is>
          <t>UMEÅ</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62658-2021</t>
        </is>
      </c>
      <c r="B5555" s="1" t="n">
        <v>44503</v>
      </c>
      <c r="C5555" s="1" t="n">
        <v>45357</v>
      </c>
      <c r="D5555" t="inlineStr">
        <is>
          <t>VÄSTERBOTTENS LÄN</t>
        </is>
      </c>
      <c r="E5555" t="inlineStr">
        <is>
          <t>VILHELMINA</t>
        </is>
      </c>
      <c r="F5555" t="inlineStr">
        <is>
          <t>SCA</t>
        </is>
      </c>
      <c r="G5555" t="n">
        <v>13.4</v>
      </c>
      <c r="H5555" t="n">
        <v>0</v>
      </c>
      <c r="I5555" t="n">
        <v>0</v>
      </c>
      <c r="J5555" t="n">
        <v>0</v>
      </c>
      <c r="K5555" t="n">
        <v>0</v>
      </c>
      <c r="L5555" t="n">
        <v>0</v>
      </c>
      <c r="M5555" t="n">
        <v>0</v>
      </c>
      <c r="N5555" t="n">
        <v>0</v>
      </c>
      <c r="O5555" t="n">
        <v>0</v>
      </c>
      <c r="P5555" t="n">
        <v>0</v>
      </c>
      <c r="Q5555" t="n">
        <v>0</v>
      </c>
      <c r="R5555" s="2" t="inlineStr"/>
    </row>
    <row r="5556" ht="15" customHeight="1">
      <c r="A5556" t="inlineStr">
        <is>
          <t>A 62807-2021</t>
        </is>
      </c>
      <c r="B5556" s="1" t="n">
        <v>44504</v>
      </c>
      <c r="C5556" s="1" t="n">
        <v>45357</v>
      </c>
      <c r="D5556" t="inlineStr">
        <is>
          <t>VÄSTERBOTTENS LÄN</t>
        </is>
      </c>
      <c r="E5556" t="inlineStr">
        <is>
          <t>BJURHOLM</t>
        </is>
      </c>
      <c r="F5556" t="inlineStr">
        <is>
          <t>Holmen skog AB</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62776-2021</t>
        </is>
      </c>
      <c r="B5557" s="1" t="n">
        <v>44504</v>
      </c>
      <c r="C5557" s="1" t="n">
        <v>45357</v>
      </c>
      <c r="D5557" t="inlineStr">
        <is>
          <t>VÄSTERBOTTENS LÄN</t>
        </is>
      </c>
      <c r="E5557" t="inlineStr">
        <is>
          <t>BJURHOLM</t>
        </is>
      </c>
      <c r="F5557" t="inlineStr">
        <is>
          <t>Holmen skog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62982-2021</t>
        </is>
      </c>
      <c r="B5558" s="1" t="n">
        <v>44504</v>
      </c>
      <c r="C5558" s="1" t="n">
        <v>45357</v>
      </c>
      <c r="D5558" t="inlineStr">
        <is>
          <t>VÄSTERBOTTENS LÄN</t>
        </is>
      </c>
      <c r="E5558" t="inlineStr">
        <is>
          <t>UMEÅ</t>
        </is>
      </c>
      <c r="G5558" t="n">
        <v>11.9</v>
      </c>
      <c r="H5558" t="n">
        <v>0</v>
      </c>
      <c r="I5558" t="n">
        <v>0</v>
      </c>
      <c r="J5558" t="n">
        <v>0</v>
      </c>
      <c r="K5558" t="n">
        <v>0</v>
      </c>
      <c r="L5558" t="n">
        <v>0</v>
      </c>
      <c r="M5558" t="n">
        <v>0</v>
      </c>
      <c r="N5558" t="n">
        <v>0</v>
      </c>
      <c r="O5558" t="n">
        <v>0</v>
      </c>
      <c r="P5558" t="n">
        <v>0</v>
      </c>
      <c r="Q5558" t="n">
        <v>0</v>
      </c>
      <c r="R5558" s="2" t="inlineStr"/>
    </row>
    <row r="5559" ht="15" customHeight="1">
      <c r="A5559" t="inlineStr">
        <is>
          <t>A 62993-2021</t>
        </is>
      </c>
      <c r="B5559" s="1" t="n">
        <v>44505</v>
      </c>
      <c r="C5559" s="1" t="n">
        <v>45357</v>
      </c>
      <c r="D5559" t="inlineStr">
        <is>
          <t>VÄSTERBOTTENS LÄN</t>
        </is>
      </c>
      <c r="E5559" t="inlineStr">
        <is>
          <t>ÅSELE</t>
        </is>
      </c>
      <c r="F5559" t="inlineStr">
        <is>
          <t>Holmen skog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63145-2021</t>
        </is>
      </c>
      <c r="B5560" s="1" t="n">
        <v>44505</v>
      </c>
      <c r="C5560" s="1" t="n">
        <v>45357</v>
      </c>
      <c r="D5560" t="inlineStr">
        <is>
          <t>VÄSTERBOTTENS LÄN</t>
        </is>
      </c>
      <c r="E5560" t="inlineStr">
        <is>
          <t>SKELLEFTEÅ</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62975-2021</t>
        </is>
      </c>
      <c r="B5561" s="1" t="n">
        <v>44505</v>
      </c>
      <c r="C5561" s="1" t="n">
        <v>45357</v>
      </c>
      <c r="D5561" t="inlineStr">
        <is>
          <t>VÄSTERBOTTENS LÄN</t>
        </is>
      </c>
      <c r="E5561" t="inlineStr">
        <is>
          <t>ÅSELE</t>
        </is>
      </c>
      <c r="F5561" t="inlineStr">
        <is>
          <t>Holmen skog AB</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63152-2021</t>
        </is>
      </c>
      <c r="B5562" s="1" t="n">
        <v>44505</v>
      </c>
      <c r="C5562" s="1" t="n">
        <v>45357</v>
      </c>
      <c r="D5562" t="inlineStr">
        <is>
          <t>VÄSTERBOTTENS LÄN</t>
        </is>
      </c>
      <c r="E5562" t="inlineStr">
        <is>
          <t>DOROTEA</t>
        </is>
      </c>
      <c r="F5562" t="inlineStr">
        <is>
          <t>SCA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63166-2021</t>
        </is>
      </c>
      <c r="B5563" s="1" t="n">
        <v>44505</v>
      </c>
      <c r="C5563" s="1" t="n">
        <v>45357</v>
      </c>
      <c r="D5563" t="inlineStr">
        <is>
          <t>VÄSTERBOTTENS LÄN</t>
        </is>
      </c>
      <c r="E5563" t="inlineStr">
        <is>
          <t>VINDELN</t>
        </is>
      </c>
      <c r="F5563" t="inlineStr">
        <is>
          <t>SCA</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63026-2021</t>
        </is>
      </c>
      <c r="B5564" s="1" t="n">
        <v>44505</v>
      </c>
      <c r="C5564" s="1" t="n">
        <v>45357</v>
      </c>
      <c r="D5564" t="inlineStr">
        <is>
          <t>VÄSTERBOTTENS LÄN</t>
        </is>
      </c>
      <c r="E5564" t="inlineStr">
        <is>
          <t>ÅSELE</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63103-2021</t>
        </is>
      </c>
      <c r="B5565" s="1" t="n">
        <v>44505</v>
      </c>
      <c r="C5565" s="1" t="n">
        <v>45357</v>
      </c>
      <c r="D5565" t="inlineStr">
        <is>
          <t>VÄSTERBOTTENS LÄN</t>
        </is>
      </c>
      <c r="E5565" t="inlineStr">
        <is>
          <t>SORSELE</t>
        </is>
      </c>
      <c r="G5565" t="n">
        <v>34.5</v>
      </c>
      <c r="H5565" t="n">
        <v>0</v>
      </c>
      <c r="I5565" t="n">
        <v>0</v>
      </c>
      <c r="J5565" t="n">
        <v>0</v>
      </c>
      <c r="K5565" t="n">
        <v>0</v>
      </c>
      <c r="L5565" t="n">
        <v>0</v>
      </c>
      <c r="M5565" t="n">
        <v>0</v>
      </c>
      <c r="N5565" t="n">
        <v>0</v>
      </c>
      <c r="O5565" t="n">
        <v>0</v>
      </c>
      <c r="P5565" t="n">
        <v>0</v>
      </c>
      <c r="Q5565" t="n">
        <v>0</v>
      </c>
      <c r="R5565" s="2" t="inlineStr"/>
    </row>
    <row r="5566" ht="15" customHeight="1">
      <c r="A5566" t="inlineStr">
        <is>
          <t>A 63218-2021</t>
        </is>
      </c>
      <c r="B5566" s="1" t="n">
        <v>44505</v>
      </c>
      <c r="C5566" s="1" t="n">
        <v>45357</v>
      </c>
      <c r="D5566" t="inlineStr">
        <is>
          <t>VÄSTERBOTTENS LÄN</t>
        </is>
      </c>
      <c r="E5566" t="inlineStr">
        <is>
          <t>VILHELMINA</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63172-2021</t>
        </is>
      </c>
      <c r="B5567" s="1" t="n">
        <v>44506</v>
      </c>
      <c r="C5567" s="1" t="n">
        <v>45357</v>
      </c>
      <c r="D5567" t="inlineStr">
        <is>
          <t>VÄSTERBOTTENS LÄN</t>
        </is>
      </c>
      <c r="E5567" t="inlineStr">
        <is>
          <t>LYCKSELE</t>
        </is>
      </c>
      <c r="G5567" t="n">
        <v>11.5</v>
      </c>
      <c r="H5567" t="n">
        <v>0</v>
      </c>
      <c r="I5567" t="n">
        <v>0</v>
      </c>
      <c r="J5567" t="n">
        <v>0</v>
      </c>
      <c r="K5567" t="n">
        <v>0</v>
      </c>
      <c r="L5567" t="n">
        <v>0</v>
      </c>
      <c r="M5567" t="n">
        <v>0</v>
      </c>
      <c r="N5567" t="n">
        <v>0</v>
      </c>
      <c r="O5567" t="n">
        <v>0</v>
      </c>
      <c r="P5567" t="n">
        <v>0</v>
      </c>
      <c r="Q5567" t="n">
        <v>0</v>
      </c>
      <c r="R5567" s="2" t="inlineStr"/>
    </row>
    <row r="5568" ht="15" customHeight="1">
      <c r="A5568" t="inlineStr">
        <is>
          <t>A 63171-2021</t>
        </is>
      </c>
      <c r="B5568" s="1" t="n">
        <v>44506</v>
      </c>
      <c r="C5568" s="1" t="n">
        <v>45357</v>
      </c>
      <c r="D5568" t="inlineStr">
        <is>
          <t>VÄSTERBOTTENS LÄN</t>
        </is>
      </c>
      <c r="E5568" t="inlineStr">
        <is>
          <t>SKELLEFTEÅ</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63502-2021</t>
        </is>
      </c>
      <c r="B5569" s="1" t="n">
        <v>44508</v>
      </c>
      <c r="C5569" s="1" t="n">
        <v>45357</v>
      </c>
      <c r="D5569" t="inlineStr">
        <is>
          <t>VÄSTERBOTTENS LÄN</t>
        </is>
      </c>
      <c r="E5569" t="inlineStr">
        <is>
          <t>SKELLEFTEÅ</t>
        </is>
      </c>
      <c r="G5569" t="n">
        <v>10.1</v>
      </c>
      <c r="H5569" t="n">
        <v>0</v>
      </c>
      <c r="I5569" t="n">
        <v>0</v>
      </c>
      <c r="J5569" t="n">
        <v>0</v>
      </c>
      <c r="K5569" t="n">
        <v>0</v>
      </c>
      <c r="L5569" t="n">
        <v>0</v>
      </c>
      <c r="M5569" t="n">
        <v>0</v>
      </c>
      <c r="N5569" t="n">
        <v>0</v>
      </c>
      <c r="O5569" t="n">
        <v>0</v>
      </c>
      <c r="P5569" t="n">
        <v>0</v>
      </c>
      <c r="Q5569" t="n">
        <v>0</v>
      </c>
      <c r="R5569" s="2" t="inlineStr"/>
    </row>
    <row r="5570" ht="15" customHeight="1">
      <c r="A5570" t="inlineStr">
        <is>
          <t>A 63415-2021</t>
        </is>
      </c>
      <c r="B5570" s="1" t="n">
        <v>44508</v>
      </c>
      <c r="C5570" s="1" t="n">
        <v>45357</v>
      </c>
      <c r="D5570" t="inlineStr">
        <is>
          <t>VÄSTERBOTTENS LÄN</t>
        </is>
      </c>
      <c r="E5570" t="inlineStr">
        <is>
          <t>VINDELN</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63678-2021</t>
        </is>
      </c>
      <c r="B5571" s="1" t="n">
        <v>44508</v>
      </c>
      <c r="C5571" s="1" t="n">
        <v>45357</v>
      </c>
      <c r="D5571" t="inlineStr">
        <is>
          <t>VÄSTERBOTTENS LÄN</t>
        </is>
      </c>
      <c r="E5571" t="inlineStr">
        <is>
          <t>BJURHOLM</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63801-2021</t>
        </is>
      </c>
      <c r="B5572" s="1" t="n">
        <v>44508</v>
      </c>
      <c r="C5572" s="1" t="n">
        <v>45357</v>
      </c>
      <c r="D5572" t="inlineStr">
        <is>
          <t>VÄSTERBOTTENS LÄN</t>
        </is>
      </c>
      <c r="E5572" t="inlineStr">
        <is>
          <t>SKELLEFTEÅ</t>
        </is>
      </c>
      <c r="G5572" t="n">
        <v>22.6</v>
      </c>
      <c r="H5572" t="n">
        <v>0</v>
      </c>
      <c r="I5572" t="n">
        <v>0</v>
      </c>
      <c r="J5572" t="n">
        <v>0</v>
      </c>
      <c r="K5572" t="n">
        <v>0</v>
      </c>
      <c r="L5572" t="n">
        <v>0</v>
      </c>
      <c r="M5572" t="n">
        <v>0</v>
      </c>
      <c r="N5572" t="n">
        <v>0</v>
      </c>
      <c r="O5572" t="n">
        <v>0</v>
      </c>
      <c r="P5572" t="n">
        <v>0</v>
      </c>
      <c r="Q5572" t="n">
        <v>0</v>
      </c>
      <c r="R5572" s="2" t="inlineStr"/>
    </row>
    <row r="5573" ht="15" customHeight="1">
      <c r="A5573" t="inlineStr">
        <is>
          <t>A 63620-2021</t>
        </is>
      </c>
      <c r="B5573" s="1" t="n">
        <v>44509</v>
      </c>
      <c r="C5573" s="1" t="n">
        <v>45357</v>
      </c>
      <c r="D5573" t="inlineStr">
        <is>
          <t>VÄSTERBOTTENS LÄN</t>
        </is>
      </c>
      <c r="E5573" t="inlineStr">
        <is>
          <t>SKELLEFTEÅ</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63713-2021</t>
        </is>
      </c>
      <c r="B5574" s="1" t="n">
        <v>44509</v>
      </c>
      <c r="C5574" s="1" t="n">
        <v>45357</v>
      </c>
      <c r="D5574" t="inlineStr">
        <is>
          <t>VÄSTERBOTTENS LÄN</t>
        </is>
      </c>
      <c r="E5574" t="inlineStr">
        <is>
          <t>VINDELN</t>
        </is>
      </c>
      <c r="F5574" t="inlineStr">
        <is>
          <t>Holmen skog AB</t>
        </is>
      </c>
      <c r="G5574" t="n">
        <v>23.3</v>
      </c>
      <c r="H5574" t="n">
        <v>0</v>
      </c>
      <c r="I5574" t="n">
        <v>0</v>
      </c>
      <c r="J5574" t="n">
        <v>0</v>
      </c>
      <c r="K5574" t="n">
        <v>0</v>
      </c>
      <c r="L5574" t="n">
        <v>0</v>
      </c>
      <c r="M5574" t="n">
        <v>0</v>
      </c>
      <c r="N5574" t="n">
        <v>0</v>
      </c>
      <c r="O5574" t="n">
        <v>0</v>
      </c>
      <c r="P5574" t="n">
        <v>0</v>
      </c>
      <c r="Q5574" t="n">
        <v>0</v>
      </c>
      <c r="R5574" s="2" t="inlineStr"/>
    </row>
    <row r="5575" ht="15" customHeight="1">
      <c r="A5575" t="inlineStr">
        <is>
          <t>A 63981-2021</t>
        </is>
      </c>
      <c r="B5575" s="1" t="n">
        <v>44509</v>
      </c>
      <c r="C5575" s="1" t="n">
        <v>45357</v>
      </c>
      <c r="D5575" t="inlineStr">
        <is>
          <t>VÄSTERBOTTENS LÄN</t>
        </is>
      </c>
      <c r="E5575" t="inlineStr">
        <is>
          <t>VÄNNÄS</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63670-2021</t>
        </is>
      </c>
      <c r="B5576" s="1" t="n">
        <v>44509</v>
      </c>
      <c r="C5576" s="1" t="n">
        <v>45357</v>
      </c>
      <c r="D5576" t="inlineStr">
        <is>
          <t>VÄSTERBOTTENS LÄN</t>
        </is>
      </c>
      <c r="E5576" t="inlineStr">
        <is>
          <t>VINDELN</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63827-2021</t>
        </is>
      </c>
      <c r="B5577" s="1" t="n">
        <v>44509</v>
      </c>
      <c r="C5577" s="1" t="n">
        <v>45357</v>
      </c>
      <c r="D5577" t="inlineStr">
        <is>
          <t>VÄSTERBOTTENS LÄN</t>
        </is>
      </c>
      <c r="E5577" t="inlineStr">
        <is>
          <t>LYCKSELE</t>
        </is>
      </c>
      <c r="F5577" t="inlineStr">
        <is>
          <t>Sveaskog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64077-2021</t>
        </is>
      </c>
      <c r="B5578" s="1" t="n">
        <v>44509</v>
      </c>
      <c r="C5578" s="1" t="n">
        <v>45357</v>
      </c>
      <c r="D5578" t="inlineStr">
        <is>
          <t>VÄSTERBOTTENS LÄN</t>
        </is>
      </c>
      <c r="E5578" t="inlineStr">
        <is>
          <t>DOROTEA</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63977-2021</t>
        </is>
      </c>
      <c r="B5579" s="1" t="n">
        <v>44509</v>
      </c>
      <c r="C5579" s="1" t="n">
        <v>45357</v>
      </c>
      <c r="D5579" t="inlineStr">
        <is>
          <t>VÄSTERBOTTENS LÄN</t>
        </is>
      </c>
      <c r="E5579" t="inlineStr">
        <is>
          <t>LYCKSELE</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63980-2021</t>
        </is>
      </c>
      <c r="B5580" s="1" t="n">
        <v>44509</v>
      </c>
      <c r="C5580" s="1" t="n">
        <v>45357</v>
      </c>
      <c r="D5580" t="inlineStr">
        <is>
          <t>VÄSTERBOTTENS LÄN</t>
        </is>
      </c>
      <c r="E5580" t="inlineStr">
        <is>
          <t>VÄNNÄS</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64087-2021</t>
        </is>
      </c>
      <c r="B5581" s="1" t="n">
        <v>44509</v>
      </c>
      <c r="C5581" s="1" t="n">
        <v>45357</v>
      </c>
      <c r="D5581" t="inlineStr">
        <is>
          <t>VÄSTERBOTTENS LÄN</t>
        </is>
      </c>
      <c r="E5581" t="inlineStr">
        <is>
          <t>SKELLEFTEÅ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63929-2021</t>
        </is>
      </c>
      <c r="B5582" s="1" t="n">
        <v>44509</v>
      </c>
      <c r="C5582" s="1" t="n">
        <v>45357</v>
      </c>
      <c r="D5582" t="inlineStr">
        <is>
          <t>VÄSTERBOTTENS LÄN</t>
        </is>
      </c>
      <c r="E5582" t="inlineStr">
        <is>
          <t>BJURHOLM</t>
        </is>
      </c>
      <c r="F5582" t="inlineStr">
        <is>
          <t>Holmen skog AB</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63976-2021</t>
        </is>
      </c>
      <c r="B5583" s="1" t="n">
        <v>44509</v>
      </c>
      <c r="C5583" s="1" t="n">
        <v>45357</v>
      </c>
      <c r="D5583" t="inlineStr">
        <is>
          <t>VÄSTERBOTTENS LÄN</t>
        </is>
      </c>
      <c r="E5583" t="inlineStr">
        <is>
          <t>LYCKSELE</t>
        </is>
      </c>
      <c r="G5583" t="n">
        <v>12.1</v>
      </c>
      <c r="H5583" t="n">
        <v>0</v>
      </c>
      <c r="I5583" t="n">
        <v>0</v>
      </c>
      <c r="J5583" t="n">
        <v>0</v>
      </c>
      <c r="K5583" t="n">
        <v>0</v>
      </c>
      <c r="L5583" t="n">
        <v>0</v>
      </c>
      <c r="M5583" t="n">
        <v>0</v>
      </c>
      <c r="N5583" t="n">
        <v>0</v>
      </c>
      <c r="O5583" t="n">
        <v>0</v>
      </c>
      <c r="P5583" t="n">
        <v>0</v>
      </c>
      <c r="Q5583" t="n">
        <v>0</v>
      </c>
      <c r="R5583" s="2" t="inlineStr"/>
    </row>
    <row r="5584" ht="15" customHeight="1">
      <c r="A5584" t="inlineStr">
        <is>
          <t>A 64063-2021</t>
        </is>
      </c>
      <c r="B5584" s="1" t="n">
        <v>44509</v>
      </c>
      <c r="C5584" s="1" t="n">
        <v>45357</v>
      </c>
      <c r="D5584" t="inlineStr">
        <is>
          <t>VÄSTERBOTTENS LÄN</t>
        </is>
      </c>
      <c r="E5584" t="inlineStr">
        <is>
          <t>DOROTEA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64075-2021</t>
        </is>
      </c>
      <c r="B5585" s="1" t="n">
        <v>44510</v>
      </c>
      <c r="C5585" s="1" t="n">
        <v>45357</v>
      </c>
      <c r="D5585" t="inlineStr">
        <is>
          <t>VÄSTERBOTTENS LÄN</t>
        </is>
      </c>
      <c r="E5585" t="inlineStr">
        <is>
          <t>ÅSELE</t>
        </is>
      </c>
      <c r="F5585" t="inlineStr">
        <is>
          <t>Holmen skog AB</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64098-2021</t>
        </is>
      </c>
      <c r="B5586" s="1" t="n">
        <v>44510</v>
      </c>
      <c r="C5586" s="1" t="n">
        <v>45357</v>
      </c>
      <c r="D5586" t="inlineStr">
        <is>
          <t>VÄSTERBOTTENS LÄN</t>
        </is>
      </c>
      <c r="E5586" t="inlineStr">
        <is>
          <t>NORDMALING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64179-2021</t>
        </is>
      </c>
      <c r="B5587" s="1" t="n">
        <v>44510</v>
      </c>
      <c r="C5587" s="1" t="n">
        <v>45357</v>
      </c>
      <c r="D5587" t="inlineStr">
        <is>
          <t>VÄSTERBOTTENS LÄN</t>
        </is>
      </c>
      <c r="E5587" t="inlineStr">
        <is>
          <t>NORSJÖ</t>
        </is>
      </c>
      <c r="F5587" t="inlineStr">
        <is>
          <t>Holmen skog AB</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64409-2021</t>
        </is>
      </c>
      <c r="B5588" s="1" t="n">
        <v>44510</v>
      </c>
      <c r="C5588" s="1" t="n">
        <v>45357</v>
      </c>
      <c r="D5588" t="inlineStr">
        <is>
          <t>VÄSTERBOTTENS LÄN</t>
        </is>
      </c>
      <c r="E5588" t="inlineStr">
        <is>
          <t>SKELLEFTEÅ</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64316-2021</t>
        </is>
      </c>
      <c r="B5589" s="1" t="n">
        <v>44510</v>
      </c>
      <c r="C5589" s="1" t="n">
        <v>45357</v>
      </c>
      <c r="D5589" t="inlineStr">
        <is>
          <t>VÄSTERBOTTENS LÄN</t>
        </is>
      </c>
      <c r="E5589" t="inlineStr">
        <is>
          <t>SKELLEFTEÅ</t>
        </is>
      </c>
      <c r="G5589" t="n">
        <v>9.199999999999999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64391-2021</t>
        </is>
      </c>
      <c r="B5590" s="1" t="n">
        <v>44511</v>
      </c>
      <c r="C5590" s="1" t="n">
        <v>45357</v>
      </c>
      <c r="D5590" t="inlineStr">
        <is>
          <t>VÄSTERBOTTENS LÄN</t>
        </is>
      </c>
      <c r="E5590" t="inlineStr">
        <is>
          <t>SKELLEFTEÅ</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64355-2021</t>
        </is>
      </c>
      <c r="B5591" s="1" t="n">
        <v>44511</v>
      </c>
      <c r="C5591" s="1" t="n">
        <v>45357</v>
      </c>
      <c r="D5591" t="inlineStr">
        <is>
          <t>VÄSTERBOTTENS LÄN</t>
        </is>
      </c>
      <c r="E5591" t="inlineStr">
        <is>
          <t>UMEÅ</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64399-2021</t>
        </is>
      </c>
      <c r="B5592" s="1" t="n">
        <v>44511</v>
      </c>
      <c r="C5592" s="1" t="n">
        <v>45357</v>
      </c>
      <c r="D5592" t="inlineStr">
        <is>
          <t>VÄSTERBOTTENS LÄN</t>
        </is>
      </c>
      <c r="E5592" t="inlineStr">
        <is>
          <t>SKELLEFTEÅ</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64593-2021</t>
        </is>
      </c>
      <c r="B5593" s="1" t="n">
        <v>44511</v>
      </c>
      <c r="C5593" s="1" t="n">
        <v>45357</v>
      </c>
      <c r="D5593" t="inlineStr">
        <is>
          <t>VÄSTERBOTTENS LÄN</t>
        </is>
      </c>
      <c r="E5593" t="inlineStr">
        <is>
          <t>SKELLEFTEÅ</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64580-2021</t>
        </is>
      </c>
      <c r="B5594" s="1" t="n">
        <v>44511</v>
      </c>
      <c r="C5594" s="1" t="n">
        <v>45357</v>
      </c>
      <c r="D5594" t="inlineStr">
        <is>
          <t>VÄSTERBOTTENS LÄN</t>
        </is>
      </c>
      <c r="E5594" t="inlineStr">
        <is>
          <t>SKELLEFTEÅ</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64741-2021</t>
        </is>
      </c>
      <c r="B5595" s="1" t="n">
        <v>44511</v>
      </c>
      <c r="C5595" s="1" t="n">
        <v>45357</v>
      </c>
      <c r="D5595" t="inlineStr">
        <is>
          <t>VÄSTERBOTTENS LÄN</t>
        </is>
      </c>
      <c r="E5595" t="inlineStr">
        <is>
          <t>VINDELN</t>
        </is>
      </c>
      <c r="G5595" t="n">
        <v>8.699999999999999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65033-2021</t>
        </is>
      </c>
      <c r="B5596" s="1" t="n">
        <v>44511</v>
      </c>
      <c r="C5596" s="1" t="n">
        <v>45357</v>
      </c>
      <c r="D5596" t="inlineStr">
        <is>
          <t>VÄSTERBOTTENS LÄN</t>
        </is>
      </c>
      <c r="E5596" t="inlineStr">
        <is>
          <t>VILHELMINA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64761-2021</t>
        </is>
      </c>
      <c r="B5597" s="1" t="n">
        <v>44511</v>
      </c>
      <c r="C5597" s="1" t="n">
        <v>45357</v>
      </c>
      <c r="D5597" t="inlineStr">
        <is>
          <t>VÄSTERBOTTENS LÄN</t>
        </is>
      </c>
      <c r="E5597" t="inlineStr">
        <is>
          <t>SKELLEFTEÅ</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64735-2021</t>
        </is>
      </c>
      <c r="B5598" s="1" t="n">
        <v>44511</v>
      </c>
      <c r="C5598" s="1" t="n">
        <v>45357</v>
      </c>
      <c r="D5598" t="inlineStr">
        <is>
          <t>VÄSTERBOTTENS LÄN</t>
        </is>
      </c>
      <c r="E5598" t="inlineStr">
        <is>
          <t>VINDELN</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64765-2021</t>
        </is>
      </c>
      <c r="B5599" s="1" t="n">
        <v>44511</v>
      </c>
      <c r="C5599" s="1" t="n">
        <v>45357</v>
      </c>
      <c r="D5599" t="inlineStr">
        <is>
          <t>VÄSTERBOTTENS LÄN</t>
        </is>
      </c>
      <c r="E5599" t="inlineStr">
        <is>
          <t>SKELLEFTEÅ</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64666-2021</t>
        </is>
      </c>
      <c r="B5600" s="1" t="n">
        <v>44512</v>
      </c>
      <c r="C5600" s="1" t="n">
        <v>45357</v>
      </c>
      <c r="D5600" t="inlineStr">
        <is>
          <t>VÄSTERBOTTENS LÄN</t>
        </is>
      </c>
      <c r="E5600" t="inlineStr">
        <is>
          <t>ÅSELE</t>
        </is>
      </c>
      <c r="F5600" t="inlineStr">
        <is>
          <t>Holmen skog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65019-2021</t>
        </is>
      </c>
      <c r="B5601" s="1" t="n">
        <v>44512</v>
      </c>
      <c r="C5601" s="1" t="n">
        <v>45357</v>
      </c>
      <c r="D5601" t="inlineStr">
        <is>
          <t>VÄSTERBOTTENS LÄN</t>
        </is>
      </c>
      <c r="E5601" t="inlineStr">
        <is>
          <t>LYCKSELE</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64893-2021</t>
        </is>
      </c>
      <c r="B5602" s="1" t="n">
        <v>44512</v>
      </c>
      <c r="C5602" s="1" t="n">
        <v>45357</v>
      </c>
      <c r="D5602" t="inlineStr">
        <is>
          <t>VÄSTERBOTTENS LÄN</t>
        </is>
      </c>
      <c r="E5602" t="inlineStr">
        <is>
          <t>LYCKSELE</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65231-2021</t>
        </is>
      </c>
      <c r="B5603" s="1" t="n">
        <v>44513</v>
      </c>
      <c r="C5603" s="1" t="n">
        <v>45357</v>
      </c>
      <c r="D5603" t="inlineStr">
        <is>
          <t>VÄSTERBOTTENS LÄN</t>
        </is>
      </c>
      <c r="E5603" t="inlineStr">
        <is>
          <t>LYCKSELE</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65146-2021</t>
        </is>
      </c>
      <c r="B5604" s="1" t="n">
        <v>44515</v>
      </c>
      <c r="C5604" s="1" t="n">
        <v>45357</v>
      </c>
      <c r="D5604" t="inlineStr">
        <is>
          <t>VÄSTERBOTTENS LÄN</t>
        </is>
      </c>
      <c r="E5604" t="inlineStr">
        <is>
          <t>VILHELMINA</t>
        </is>
      </c>
      <c r="G5604" t="n">
        <v>7.4</v>
      </c>
      <c r="H5604" t="n">
        <v>0</v>
      </c>
      <c r="I5604" t="n">
        <v>0</v>
      </c>
      <c r="J5604" t="n">
        <v>0</v>
      </c>
      <c r="K5604" t="n">
        <v>0</v>
      </c>
      <c r="L5604" t="n">
        <v>0</v>
      </c>
      <c r="M5604" t="n">
        <v>0</v>
      </c>
      <c r="N5604" t="n">
        <v>0</v>
      </c>
      <c r="O5604" t="n">
        <v>0</v>
      </c>
      <c r="P5604" t="n">
        <v>0</v>
      </c>
      <c r="Q5604" t="n">
        <v>0</v>
      </c>
      <c r="R5604" s="2" t="inlineStr"/>
    </row>
    <row r="5605" ht="15" customHeight="1">
      <c r="A5605" t="inlineStr">
        <is>
          <t>A 65251-2021</t>
        </is>
      </c>
      <c r="B5605" s="1" t="n">
        <v>44515</v>
      </c>
      <c r="C5605" s="1" t="n">
        <v>45357</v>
      </c>
      <c r="D5605" t="inlineStr">
        <is>
          <t>VÄSTERBOTTENS LÄN</t>
        </is>
      </c>
      <c r="E5605" t="inlineStr">
        <is>
          <t>UMEÅ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65133-2021</t>
        </is>
      </c>
      <c r="B5606" s="1" t="n">
        <v>44515</v>
      </c>
      <c r="C5606" s="1" t="n">
        <v>45357</v>
      </c>
      <c r="D5606" t="inlineStr">
        <is>
          <t>VÄSTERBOTTENS LÄN</t>
        </is>
      </c>
      <c r="E5606" t="inlineStr">
        <is>
          <t>VILHELMINA</t>
        </is>
      </c>
      <c r="G5606" t="n">
        <v>16.4</v>
      </c>
      <c r="H5606" t="n">
        <v>0</v>
      </c>
      <c r="I5606" t="n">
        <v>0</v>
      </c>
      <c r="J5606" t="n">
        <v>0</v>
      </c>
      <c r="K5606" t="n">
        <v>0</v>
      </c>
      <c r="L5606" t="n">
        <v>0</v>
      </c>
      <c r="M5606" t="n">
        <v>0</v>
      </c>
      <c r="N5606" t="n">
        <v>0</v>
      </c>
      <c r="O5606" t="n">
        <v>0</v>
      </c>
      <c r="P5606" t="n">
        <v>0</v>
      </c>
      <c r="Q5606" t="n">
        <v>0</v>
      </c>
      <c r="R5606" s="2" t="inlineStr"/>
    </row>
    <row r="5607" ht="15" customHeight="1">
      <c r="A5607" t="inlineStr">
        <is>
          <t>A 65159-2021</t>
        </is>
      </c>
      <c r="B5607" s="1" t="n">
        <v>44515</v>
      </c>
      <c r="C5607" s="1" t="n">
        <v>45357</v>
      </c>
      <c r="D5607" t="inlineStr">
        <is>
          <t>VÄSTERBOTTENS LÄN</t>
        </is>
      </c>
      <c r="E5607" t="inlineStr">
        <is>
          <t>VILHELMINA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65151-2021</t>
        </is>
      </c>
      <c r="B5608" s="1" t="n">
        <v>44515</v>
      </c>
      <c r="C5608" s="1" t="n">
        <v>45357</v>
      </c>
      <c r="D5608" t="inlineStr">
        <is>
          <t>VÄSTERBOTTENS LÄN</t>
        </is>
      </c>
      <c r="E5608" t="inlineStr">
        <is>
          <t>VILHELMINA</t>
        </is>
      </c>
      <c r="G5608" t="n">
        <v>11.8</v>
      </c>
      <c r="H5608" t="n">
        <v>0</v>
      </c>
      <c r="I5608" t="n">
        <v>0</v>
      </c>
      <c r="J5608" t="n">
        <v>0</v>
      </c>
      <c r="K5608" t="n">
        <v>0</v>
      </c>
      <c r="L5608" t="n">
        <v>0</v>
      </c>
      <c r="M5608" t="n">
        <v>0</v>
      </c>
      <c r="N5608" t="n">
        <v>0</v>
      </c>
      <c r="O5608" t="n">
        <v>0</v>
      </c>
      <c r="P5608" t="n">
        <v>0</v>
      </c>
      <c r="Q5608" t="n">
        <v>0</v>
      </c>
      <c r="R5608" s="2" t="inlineStr"/>
    </row>
    <row r="5609" ht="15" customHeight="1">
      <c r="A5609" t="inlineStr">
        <is>
          <t>A 65242-2021</t>
        </is>
      </c>
      <c r="B5609" s="1" t="n">
        <v>44515</v>
      </c>
      <c r="C5609" s="1" t="n">
        <v>45357</v>
      </c>
      <c r="D5609" t="inlineStr">
        <is>
          <t>VÄSTERBOTTENS LÄN</t>
        </is>
      </c>
      <c r="E5609" t="inlineStr">
        <is>
          <t>UMEÅ</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65179-2021</t>
        </is>
      </c>
      <c r="B5610" s="1" t="n">
        <v>44515</v>
      </c>
      <c r="C5610" s="1" t="n">
        <v>45357</v>
      </c>
      <c r="D5610" t="inlineStr">
        <is>
          <t>VÄSTERBOTTENS LÄN</t>
        </is>
      </c>
      <c r="E5610" t="inlineStr">
        <is>
          <t>VILHELMINA</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65334-2021</t>
        </is>
      </c>
      <c r="B5611" s="1" t="n">
        <v>44515</v>
      </c>
      <c r="C5611" s="1" t="n">
        <v>45357</v>
      </c>
      <c r="D5611" t="inlineStr">
        <is>
          <t>VÄSTERBOTTENS LÄN</t>
        </is>
      </c>
      <c r="E5611" t="inlineStr">
        <is>
          <t>NORDMALING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65311-2021</t>
        </is>
      </c>
      <c r="B5612" s="1" t="n">
        <v>44515</v>
      </c>
      <c r="C5612" s="1" t="n">
        <v>45357</v>
      </c>
      <c r="D5612" t="inlineStr">
        <is>
          <t>VÄSTERBOTTENS LÄN</t>
        </is>
      </c>
      <c r="E5612" t="inlineStr">
        <is>
          <t>BJURHOLM</t>
        </is>
      </c>
      <c r="F5612" t="inlineStr">
        <is>
          <t>Holmen skog AB</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65382-2021</t>
        </is>
      </c>
      <c r="B5613" s="1" t="n">
        <v>44515</v>
      </c>
      <c r="C5613" s="1" t="n">
        <v>45357</v>
      </c>
      <c r="D5613" t="inlineStr">
        <is>
          <t>VÄSTERBOTTENS LÄN</t>
        </is>
      </c>
      <c r="E5613" t="inlineStr">
        <is>
          <t>VILHELMINA</t>
        </is>
      </c>
      <c r="G5613" t="n">
        <v>10.7</v>
      </c>
      <c r="H5613" t="n">
        <v>0</v>
      </c>
      <c r="I5613" t="n">
        <v>0</v>
      </c>
      <c r="J5613" t="n">
        <v>0</v>
      </c>
      <c r="K5613" t="n">
        <v>0</v>
      </c>
      <c r="L5613" t="n">
        <v>0</v>
      </c>
      <c r="M5613" t="n">
        <v>0</v>
      </c>
      <c r="N5613" t="n">
        <v>0</v>
      </c>
      <c r="O5613" t="n">
        <v>0</v>
      </c>
      <c r="P5613" t="n">
        <v>0</v>
      </c>
      <c r="Q5613" t="n">
        <v>0</v>
      </c>
      <c r="R5613" s="2" t="inlineStr"/>
    </row>
    <row r="5614" ht="15" customHeight="1">
      <c r="A5614" t="inlineStr">
        <is>
          <t>A 65464-2021</t>
        </is>
      </c>
      <c r="B5614" s="1" t="n">
        <v>44515</v>
      </c>
      <c r="C5614" s="1" t="n">
        <v>45357</v>
      </c>
      <c r="D5614" t="inlineStr">
        <is>
          <t>VÄSTERBOTTENS LÄN</t>
        </is>
      </c>
      <c r="E5614" t="inlineStr">
        <is>
          <t>STORUMAN</t>
        </is>
      </c>
      <c r="G5614" t="n">
        <v>20</v>
      </c>
      <c r="H5614" t="n">
        <v>0</v>
      </c>
      <c r="I5614" t="n">
        <v>0</v>
      </c>
      <c r="J5614" t="n">
        <v>0</v>
      </c>
      <c r="K5614" t="n">
        <v>0</v>
      </c>
      <c r="L5614" t="n">
        <v>0</v>
      </c>
      <c r="M5614" t="n">
        <v>0</v>
      </c>
      <c r="N5614" t="n">
        <v>0</v>
      </c>
      <c r="O5614" t="n">
        <v>0</v>
      </c>
      <c r="P5614" t="n">
        <v>0</v>
      </c>
      <c r="Q5614" t="n">
        <v>0</v>
      </c>
      <c r="R5614" s="2" t="inlineStr"/>
    </row>
    <row r="5615" ht="15" customHeight="1">
      <c r="A5615" t="inlineStr">
        <is>
          <t>A 65688-2021</t>
        </is>
      </c>
      <c r="B5615" s="1" t="n">
        <v>44515</v>
      </c>
      <c r="C5615" s="1" t="n">
        <v>45357</v>
      </c>
      <c r="D5615" t="inlineStr">
        <is>
          <t>VÄSTERBOTTENS LÄN</t>
        </is>
      </c>
      <c r="E5615" t="inlineStr">
        <is>
          <t>NORDMALING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65487-2021</t>
        </is>
      </c>
      <c r="B5616" s="1" t="n">
        <v>44515</v>
      </c>
      <c r="C5616" s="1" t="n">
        <v>45357</v>
      </c>
      <c r="D5616" t="inlineStr">
        <is>
          <t>VÄSTERBOTTENS LÄN</t>
        </is>
      </c>
      <c r="E5616" t="inlineStr">
        <is>
          <t>LYCKSELE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65463-2021</t>
        </is>
      </c>
      <c r="B5617" s="1" t="n">
        <v>44515</v>
      </c>
      <c r="C5617" s="1" t="n">
        <v>45357</v>
      </c>
      <c r="D5617" t="inlineStr">
        <is>
          <t>VÄSTERBOTTENS LÄN</t>
        </is>
      </c>
      <c r="E5617" t="inlineStr">
        <is>
          <t>STORUMAN</t>
        </is>
      </c>
      <c r="G5617" t="n">
        <v>14.6</v>
      </c>
      <c r="H5617" t="n">
        <v>0</v>
      </c>
      <c r="I5617" t="n">
        <v>0</v>
      </c>
      <c r="J5617" t="n">
        <v>0</v>
      </c>
      <c r="K5617" t="n">
        <v>0</v>
      </c>
      <c r="L5617" t="n">
        <v>0</v>
      </c>
      <c r="M5617" t="n">
        <v>0</v>
      </c>
      <c r="N5617" t="n">
        <v>0</v>
      </c>
      <c r="O5617" t="n">
        <v>0</v>
      </c>
      <c r="P5617" t="n">
        <v>0</v>
      </c>
      <c r="Q5617" t="n">
        <v>0</v>
      </c>
      <c r="R5617" s="2" t="inlineStr"/>
    </row>
    <row r="5618" ht="15" customHeight="1">
      <c r="A5618" t="inlineStr">
        <is>
          <t>A 65455-2021</t>
        </is>
      </c>
      <c r="B5618" s="1" t="n">
        <v>44516</v>
      </c>
      <c r="C5618" s="1" t="n">
        <v>45357</v>
      </c>
      <c r="D5618" t="inlineStr">
        <is>
          <t>VÄSTERBOTTENS LÄN</t>
        </is>
      </c>
      <c r="E5618" t="inlineStr">
        <is>
          <t>SKELLEFTEÅ</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65502-2021</t>
        </is>
      </c>
      <c r="B5619" s="1" t="n">
        <v>44516</v>
      </c>
      <c r="C5619" s="1" t="n">
        <v>45357</v>
      </c>
      <c r="D5619" t="inlineStr">
        <is>
          <t>VÄSTERBOTTENS LÄN</t>
        </is>
      </c>
      <c r="E5619" t="inlineStr">
        <is>
          <t>ÅSELE</t>
        </is>
      </c>
      <c r="F5619" t="inlineStr">
        <is>
          <t>Holmen skog AB</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65478-2021</t>
        </is>
      </c>
      <c r="B5620" s="1" t="n">
        <v>44516</v>
      </c>
      <c r="C5620" s="1" t="n">
        <v>45357</v>
      </c>
      <c r="D5620" t="inlineStr">
        <is>
          <t>VÄSTERBOTTENS LÄN</t>
        </is>
      </c>
      <c r="E5620" t="inlineStr">
        <is>
          <t>ÅSELE</t>
        </is>
      </c>
      <c r="F5620" t="inlineStr">
        <is>
          <t>Holmen skog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65772-2021</t>
        </is>
      </c>
      <c r="B5621" s="1" t="n">
        <v>44516</v>
      </c>
      <c r="C5621" s="1" t="n">
        <v>45357</v>
      </c>
      <c r="D5621" t="inlineStr">
        <is>
          <t>VÄSTERBOTTENS LÄN</t>
        </is>
      </c>
      <c r="E5621" t="inlineStr">
        <is>
          <t>ROBERTSFORS</t>
        </is>
      </c>
      <c r="G5621" t="n">
        <v>18.2</v>
      </c>
      <c r="H5621" t="n">
        <v>0</v>
      </c>
      <c r="I5621" t="n">
        <v>0</v>
      </c>
      <c r="J5621" t="n">
        <v>0</v>
      </c>
      <c r="K5621" t="n">
        <v>0</v>
      </c>
      <c r="L5621" t="n">
        <v>0</v>
      </c>
      <c r="M5621" t="n">
        <v>0</v>
      </c>
      <c r="N5621" t="n">
        <v>0</v>
      </c>
      <c r="O5621" t="n">
        <v>0</v>
      </c>
      <c r="P5621" t="n">
        <v>0</v>
      </c>
      <c r="Q5621" t="n">
        <v>0</v>
      </c>
      <c r="R5621" s="2" t="inlineStr"/>
    </row>
    <row r="5622" ht="15" customHeight="1">
      <c r="A5622" t="inlineStr">
        <is>
          <t>A 65770-2021</t>
        </is>
      </c>
      <c r="B5622" s="1" t="n">
        <v>44516</v>
      </c>
      <c r="C5622" s="1" t="n">
        <v>45357</v>
      </c>
      <c r="D5622" t="inlineStr">
        <is>
          <t>VÄSTERBOTTENS LÄN</t>
        </is>
      </c>
      <c r="E5622" t="inlineStr">
        <is>
          <t>ROBERTSFORS</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65771-2021</t>
        </is>
      </c>
      <c r="B5623" s="1" t="n">
        <v>44516</v>
      </c>
      <c r="C5623" s="1" t="n">
        <v>45357</v>
      </c>
      <c r="D5623" t="inlineStr">
        <is>
          <t>VÄSTERBOTTENS LÄN</t>
        </is>
      </c>
      <c r="E5623" t="inlineStr">
        <is>
          <t>ROBERTSFORS</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65903-2021</t>
        </is>
      </c>
      <c r="B5624" s="1" t="n">
        <v>44517</v>
      </c>
      <c r="C5624" s="1" t="n">
        <v>45357</v>
      </c>
      <c r="D5624" t="inlineStr">
        <is>
          <t>VÄSTERBOTTENS LÄN</t>
        </is>
      </c>
      <c r="E5624" t="inlineStr">
        <is>
          <t>DOROTEA</t>
        </is>
      </c>
      <c r="G5624" t="n">
        <v>15.9</v>
      </c>
      <c r="H5624" t="n">
        <v>0</v>
      </c>
      <c r="I5624" t="n">
        <v>0</v>
      </c>
      <c r="J5624" t="n">
        <v>0</v>
      </c>
      <c r="K5624" t="n">
        <v>0</v>
      </c>
      <c r="L5624" t="n">
        <v>0</v>
      </c>
      <c r="M5624" t="n">
        <v>0</v>
      </c>
      <c r="N5624" t="n">
        <v>0</v>
      </c>
      <c r="O5624" t="n">
        <v>0</v>
      </c>
      <c r="P5624" t="n">
        <v>0</v>
      </c>
      <c r="Q5624" t="n">
        <v>0</v>
      </c>
      <c r="R5624" s="2" t="inlineStr"/>
    </row>
    <row r="5625" ht="15" customHeight="1">
      <c r="A5625" t="inlineStr">
        <is>
          <t>A 65939-2021</t>
        </is>
      </c>
      <c r="B5625" s="1" t="n">
        <v>44517</v>
      </c>
      <c r="C5625" s="1" t="n">
        <v>45357</v>
      </c>
      <c r="D5625" t="inlineStr">
        <is>
          <t>VÄSTERBOTTENS LÄN</t>
        </is>
      </c>
      <c r="E5625" t="inlineStr">
        <is>
          <t>VÄNNÄS</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66249-2021</t>
        </is>
      </c>
      <c r="B5626" s="1" t="n">
        <v>44518</v>
      </c>
      <c r="C5626" s="1" t="n">
        <v>45357</v>
      </c>
      <c r="D5626" t="inlineStr">
        <is>
          <t>VÄSTERBOTTENS LÄN</t>
        </is>
      </c>
      <c r="E5626" t="inlineStr">
        <is>
          <t>LYCKSELE</t>
        </is>
      </c>
      <c r="F5626" t="inlineStr">
        <is>
          <t>Holmen skog AB</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66188-2021</t>
        </is>
      </c>
      <c r="B5627" s="1" t="n">
        <v>44518</v>
      </c>
      <c r="C5627" s="1" t="n">
        <v>45357</v>
      </c>
      <c r="D5627" t="inlineStr">
        <is>
          <t>VÄSTERBOTTENS LÄN</t>
        </is>
      </c>
      <c r="E5627" t="inlineStr">
        <is>
          <t>ÅSELE</t>
        </is>
      </c>
      <c r="F5627" t="inlineStr">
        <is>
          <t>Holmen skog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66250-2021</t>
        </is>
      </c>
      <c r="B5628" s="1" t="n">
        <v>44518</v>
      </c>
      <c r="C5628" s="1" t="n">
        <v>45357</v>
      </c>
      <c r="D5628" t="inlineStr">
        <is>
          <t>VÄSTERBOTTENS LÄN</t>
        </is>
      </c>
      <c r="E5628" t="inlineStr">
        <is>
          <t>SKELLEFTEÅ</t>
        </is>
      </c>
      <c r="F5628" t="inlineStr">
        <is>
          <t>Holmen skog AB</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66259-2021</t>
        </is>
      </c>
      <c r="B5629" s="1" t="n">
        <v>44518</v>
      </c>
      <c r="C5629" s="1" t="n">
        <v>45357</v>
      </c>
      <c r="D5629" t="inlineStr">
        <is>
          <t>VÄSTERBOTTENS LÄN</t>
        </is>
      </c>
      <c r="E5629" t="inlineStr">
        <is>
          <t>VILHELMINA</t>
        </is>
      </c>
      <c r="G5629" t="n">
        <v>14.6</v>
      </c>
      <c r="H5629" t="n">
        <v>0</v>
      </c>
      <c r="I5629" t="n">
        <v>0</v>
      </c>
      <c r="J5629" t="n">
        <v>0</v>
      </c>
      <c r="K5629" t="n">
        <v>0</v>
      </c>
      <c r="L5629" t="n">
        <v>0</v>
      </c>
      <c r="M5629" t="n">
        <v>0</v>
      </c>
      <c r="N5629" t="n">
        <v>0</v>
      </c>
      <c r="O5629" t="n">
        <v>0</v>
      </c>
      <c r="P5629" t="n">
        <v>0</v>
      </c>
      <c r="Q5629" t="n">
        <v>0</v>
      </c>
      <c r="R5629" s="2" t="inlineStr"/>
    </row>
    <row r="5630" ht="15" customHeight="1">
      <c r="A5630" t="inlineStr">
        <is>
          <t>A 66374-2021</t>
        </is>
      </c>
      <c r="B5630" s="1" t="n">
        <v>44518</v>
      </c>
      <c r="C5630" s="1" t="n">
        <v>45357</v>
      </c>
      <c r="D5630" t="inlineStr">
        <is>
          <t>VÄSTERBOTTENS LÄN</t>
        </is>
      </c>
      <c r="E5630" t="inlineStr">
        <is>
          <t>STORUMAN</t>
        </is>
      </c>
      <c r="F5630" t="inlineStr">
        <is>
          <t>Sveaskog</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66463-2021</t>
        </is>
      </c>
      <c r="B5631" s="1" t="n">
        <v>44518</v>
      </c>
      <c r="C5631" s="1" t="n">
        <v>45357</v>
      </c>
      <c r="D5631" t="inlineStr">
        <is>
          <t>VÄSTERBOTTENS LÄN</t>
        </is>
      </c>
      <c r="E5631" t="inlineStr">
        <is>
          <t>SKELLEFTEÅ</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66458-2021</t>
        </is>
      </c>
      <c r="B5632" s="1" t="n">
        <v>44518</v>
      </c>
      <c r="C5632" s="1" t="n">
        <v>45357</v>
      </c>
      <c r="D5632" t="inlineStr">
        <is>
          <t>VÄSTERBOTTENS LÄN</t>
        </is>
      </c>
      <c r="E5632" t="inlineStr">
        <is>
          <t>VILHELMINA</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66440-2021</t>
        </is>
      </c>
      <c r="B5633" s="1" t="n">
        <v>44518</v>
      </c>
      <c r="C5633" s="1" t="n">
        <v>45357</v>
      </c>
      <c r="D5633" t="inlineStr">
        <is>
          <t>VÄSTERBOTTENS LÄN</t>
        </is>
      </c>
      <c r="E5633" t="inlineStr">
        <is>
          <t>SORSELE</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66460-2021</t>
        </is>
      </c>
      <c r="B5634" s="1" t="n">
        <v>44518</v>
      </c>
      <c r="C5634" s="1" t="n">
        <v>45357</v>
      </c>
      <c r="D5634" t="inlineStr">
        <is>
          <t>VÄSTERBOTTENS LÄN</t>
        </is>
      </c>
      <c r="E5634" t="inlineStr">
        <is>
          <t>LYCKSELE</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66459-2021</t>
        </is>
      </c>
      <c r="B5635" s="1" t="n">
        <v>44518</v>
      </c>
      <c r="C5635" s="1" t="n">
        <v>45357</v>
      </c>
      <c r="D5635" t="inlineStr">
        <is>
          <t>VÄSTERBOTTENS LÄN</t>
        </is>
      </c>
      <c r="E5635" t="inlineStr">
        <is>
          <t>LYCKSELE</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66465-2021</t>
        </is>
      </c>
      <c r="B5636" s="1" t="n">
        <v>44518</v>
      </c>
      <c r="C5636" s="1" t="n">
        <v>45357</v>
      </c>
      <c r="D5636" t="inlineStr">
        <is>
          <t>VÄSTERBOTTENS LÄN</t>
        </is>
      </c>
      <c r="E5636" t="inlineStr">
        <is>
          <t>SKELLEFTEÅ</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66501-2021</t>
        </is>
      </c>
      <c r="B5637" s="1" t="n">
        <v>44519</v>
      </c>
      <c r="C5637" s="1" t="n">
        <v>45357</v>
      </c>
      <c r="D5637" t="inlineStr">
        <is>
          <t>VÄSTERBOTTENS LÄN</t>
        </is>
      </c>
      <c r="E5637" t="inlineStr">
        <is>
          <t>SKELLEFTEÅ</t>
        </is>
      </c>
      <c r="G5637" t="n">
        <v>9.300000000000001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66500-2021</t>
        </is>
      </c>
      <c r="B5638" s="1" t="n">
        <v>44519</v>
      </c>
      <c r="C5638" s="1" t="n">
        <v>45357</v>
      </c>
      <c r="D5638" t="inlineStr">
        <is>
          <t>VÄSTERBOTTENS LÄN</t>
        </is>
      </c>
      <c r="E5638" t="inlineStr">
        <is>
          <t>SKELLEFTEÅ</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66557-2021</t>
        </is>
      </c>
      <c r="B5639" s="1" t="n">
        <v>44519</v>
      </c>
      <c r="C5639" s="1" t="n">
        <v>45357</v>
      </c>
      <c r="D5639" t="inlineStr">
        <is>
          <t>VÄSTERBOTTENS LÄN</t>
        </is>
      </c>
      <c r="E5639" t="inlineStr">
        <is>
          <t>ÅSELE</t>
        </is>
      </c>
      <c r="F5639" t="inlineStr">
        <is>
          <t>Holmen skog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66712-2021</t>
        </is>
      </c>
      <c r="B5640" s="1" t="n">
        <v>44519</v>
      </c>
      <c r="C5640" s="1" t="n">
        <v>45357</v>
      </c>
      <c r="D5640" t="inlineStr">
        <is>
          <t>VÄSTERBOTTENS LÄN</t>
        </is>
      </c>
      <c r="E5640" t="inlineStr">
        <is>
          <t>LYCKSELE</t>
        </is>
      </c>
      <c r="F5640" t="inlineStr">
        <is>
          <t>SCA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66499-2021</t>
        </is>
      </c>
      <c r="B5641" s="1" t="n">
        <v>44519</v>
      </c>
      <c r="C5641" s="1" t="n">
        <v>45357</v>
      </c>
      <c r="D5641" t="inlineStr">
        <is>
          <t>VÄSTERBOTTENS LÄN</t>
        </is>
      </c>
      <c r="E5641" t="inlineStr">
        <is>
          <t>SKELLEFTEÅ</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66503-2021</t>
        </is>
      </c>
      <c r="B5642" s="1" t="n">
        <v>44519</v>
      </c>
      <c r="C5642" s="1" t="n">
        <v>45357</v>
      </c>
      <c r="D5642" t="inlineStr">
        <is>
          <t>VÄSTERBOTTENS LÄN</t>
        </is>
      </c>
      <c r="E5642" t="inlineStr">
        <is>
          <t>ROBERTSFORS</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66502-2021</t>
        </is>
      </c>
      <c r="B5643" s="1" t="n">
        <v>44519</v>
      </c>
      <c r="C5643" s="1" t="n">
        <v>45357</v>
      </c>
      <c r="D5643" t="inlineStr">
        <is>
          <t>VÄSTERBOTTENS LÄN</t>
        </is>
      </c>
      <c r="E5643" t="inlineStr">
        <is>
          <t>SKELLEFTEÅ</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66514-2021</t>
        </is>
      </c>
      <c r="B5644" s="1" t="n">
        <v>44519</v>
      </c>
      <c r="C5644" s="1" t="n">
        <v>45357</v>
      </c>
      <c r="D5644" t="inlineStr">
        <is>
          <t>VÄSTERBOTTENS LÄN</t>
        </is>
      </c>
      <c r="E5644" t="inlineStr">
        <is>
          <t>ÅSELE</t>
        </is>
      </c>
      <c r="F5644" t="inlineStr">
        <is>
          <t>Holmen skog AB</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66612-2021</t>
        </is>
      </c>
      <c r="B5645" s="1" t="n">
        <v>44519</v>
      </c>
      <c r="C5645" s="1" t="n">
        <v>45357</v>
      </c>
      <c r="D5645" t="inlineStr">
        <is>
          <t>VÄSTERBOTTENS LÄN</t>
        </is>
      </c>
      <c r="E5645" t="inlineStr">
        <is>
          <t>ÅSELE</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66756-2021</t>
        </is>
      </c>
      <c r="B5646" s="1" t="n">
        <v>44521</v>
      </c>
      <c r="C5646" s="1" t="n">
        <v>45357</v>
      </c>
      <c r="D5646" t="inlineStr">
        <is>
          <t>VÄSTERBOTTENS LÄN</t>
        </is>
      </c>
      <c r="E5646" t="inlineStr">
        <is>
          <t>SKELLEFTEÅ</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66917-2021</t>
        </is>
      </c>
      <c r="B5647" s="1" t="n">
        <v>44522</v>
      </c>
      <c r="C5647" s="1" t="n">
        <v>45357</v>
      </c>
      <c r="D5647" t="inlineStr">
        <is>
          <t>VÄSTERBOTTENS LÄN</t>
        </is>
      </c>
      <c r="E5647" t="inlineStr">
        <is>
          <t>VILHELMINA</t>
        </is>
      </c>
      <c r="F5647" t="inlineStr">
        <is>
          <t>Allmännings- och besparingsskogar</t>
        </is>
      </c>
      <c r="G5647" t="n">
        <v>11.7</v>
      </c>
      <c r="H5647" t="n">
        <v>0</v>
      </c>
      <c r="I5647" t="n">
        <v>0</v>
      </c>
      <c r="J5647" t="n">
        <v>0</v>
      </c>
      <c r="K5647" t="n">
        <v>0</v>
      </c>
      <c r="L5647" t="n">
        <v>0</v>
      </c>
      <c r="M5647" t="n">
        <v>0</v>
      </c>
      <c r="N5647" t="n">
        <v>0</v>
      </c>
      <c r="O5647" t="n">
        <v>0</v>
      </c>
      <c r="P5647" t="n">
        <v>0</v>
      </c>
      <c r="Q5647" t="n">
        <v>0</v>
      </c>
      <c r="R5647" s="2" t="inlineStr"/>
    </row>
    <row r="5648" ht="15" customHeight="1">
      <c r="A5648" t="inlineStr">
        <is>
          <t>A 66952-2021</t>
        </is>
      </c>
      <c r="B5648" s="1" t="n">
        <v>44522</v>
      </c>
      <c r="C5648" s="1" t="n">
        <v>45357</v>
      </c>
      <c r="D5648" t="inlineStr">
        <is>
          <t>VÄSTERBOTTENS LÄN</t>
        </is>
      </c>
      <c r="E5648" t="inlineStr">
        <is>
          <t>VILHELMINA</t>
        </is>
      </c>
      <c r="F5648" t="inlineStr">
        <is>
          <t>Allmännings- och besparingsskogar</t>
        </is>
      </c>
      <c r="G5648" t="n">
        <v>70</v>
      </c>
      <c r="H5648" t="n">
        <v>0</v>
      </c>
      <c r="I5648" t="n">
        <v>0</v>
      </c>
      <c r="J5648" t="n">
        <v>0</v>
      </c>
      <c r="K5648" t="n">
        <v>0</v>
      </c>
      <c r="L5648" t="n">
        <v>0</v>
      </c>
      <c r="M5648" t="n">
        <v>0</v>
      </c>
      <c r="N5648" t="n">
        <v>0</v>
      </c>
      <c r="O5648" t="n">
        <v>0</v>
      </c>
      <c r="P5648" t="n">
        <v>0</v>
      </c>
      <c r="Q5648" t="n">
        <v>0</v>
      </c>
      <c r="R5648" s="2" t="inlineStr"/>
    </row>
    <row r="5649" ht="15" customHeight="1">
      <c r="A5649" t="inlineStr">
        <is>
          <t>A 66949-2021</t>
        </is>
      </c>
      <c r="B5649" s="1" t="n">
        <v>44522</v>
      </c>
      <c r="C5649" s="1" t="n">
        <v>45357</v>
      </c>
      <c r="D5649" t="inlineStr">
        <is>
          <t>VÄSTERBOTTENS LÄN</t>
        </is>
      </c>
      <c r="E5649" t="inlineStr">
        <is>
          <t>SKELLEFTEÅ</t>
        </is>
      </c>
      <c r="G5649" t="n">
        <v>1.6</v>
      </c>
      <c r="H5649" t="n">
        <v>0</v>
      </c>
      <c r="I5649" t="n">
        <v>0</v>
      </c>
      <c r="J5649" t="n">
        <v>0</v>
      </c>
      <c r="K5649" t="n">
        <v>0</v>
      </c>
      <c r="L5649" t="n">
        <v>0</v>
      </c>
      <c r="M5649" t="n">
        <v>0</v>
      </c>
      <c r="N5649" t="n">
        <v>0</v>
      </c>
      <c r="O5649" t="n">
        <v>0</v>
      </c>
      <c r="P5649" t="n">
        <v>0</v>
      </c>
      <c r="Q5649" t="n">
        <v>0</v>
      </c>
      <c r="R5649" s="2" t="inlineStr"/>
      <c r="U5649">
        <f>HYPERLINK("https://klasma.github.io/Logging_2482/knärot/A 66949-2021 karta knärot.png", "A 66949-2021")</f>
        <v/>
      </c>
      <c r="V5649">
        <f>HYPERLINK("https://klasma.github.io/Logging_2482/klagomål/A 66949-2021 FSC-klagomål.docx", "A 66949-2021")</f>
        <v/>
      </c>
      <c r="W5649">
        <f>HYPERLINK("https://klasma.github.io/Logging_2482/klagomålsmail/A 66949-2021 FSC-klagomål mail.docx", "A 66949-2021")</f>
        <v/>
      </c>
      <c r="X5649">
        <f>HYPERLINK("https://klasma.github.io/Logging_2482/tillsyn/A 66949-2021 tillsynsbegäran.docx", "A 66949-2021")</f>
        <v/>
      </c>
      <c r="Y5649">
        <f>HYPERLINK("https://klasma.github.io/Logging_2482/tillsynsmail/A 66949-2021 tillsynsbegäran mail.docx", "A 66949-2021")</f>
        <v/>
      </c>
    </row>
    <row r="5650" ht="15" customHeight="1">
      <c r="A5650" t="inlineStr">
        <is>
          <t>A 67092-2021</t>
        </is>
      </c>
      <c r="B5650" s="1" t="n">
        <v>44522</v>
      </c>
      <c r="C5650" s="1" t="n">
        <v>45357</v>
      </c>
      <c r="D5650" t="inlineStr">
        <is>
          <t>VÄSTERBOTTENS LÄN</t>
        </is>
      </c>
      <c r="E5650" t="inlineStr">
        <is>
          <t>LYCKSELE</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67018-2021</t>
        </is>
      </c>
      <c r="B5651" s="1" t="n">
        <v>44522</v>
      </c>
      <c r="C5651" s="1" t="n">
        <v>45357</v>
      </c>
      <c r="D5651" t="inlineStr">
        <is>
          <t>VÄSTERBOTTENS LÄN</t>
        </is>
      </c>
      <c r="E5651" t="inlineStr">
        <is>
          <t>VINDELN</t>
        </is>
      </c>
      <c r="F5651" t="inlineStr">
        <is>
          <t>Holmen skog AB</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67107-2021</t>
        </is>
      </c>
      <c r="B5652" s="1" t="n">
        <v>44523</v>
      </c>
      <c r="C5652" s="1" t="n">
        <v>45357</v>
      </c>
      <c r="D5652" t="inlineStr">
        <is>
          <t>VÄSTERBOTTENS LÄN</t>
        </is>
      </c>
      <c r="E5652" t="inlineStr">
        <is>
          <t>ÅSELE</t>
        </is>
      </c>
      <c r="F5652" t="inlineStr">
        <is>
          <t>Holmen skog AB</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67104-2021</t>
        </is>
      </c>
      <c r="B5653" s="1" t="n">
        <v>44523</v>
      </c>
      <c r="C5653" s="1" t="n">
        <v>45357</v>
      </c>
      <c r="D5653" t="inlineStr">
        <is>
          <t>VÄSTERBOTTENS LÄN</t>
        </is>
      </c>
      <c r="E5653" t="inlineStr">
        <is>
          <t>NORSJÖ</t>
        </is>
      </c>
      <c r="F5653" t="inlineStr">
        <is>
          <t>Naturvårdsverket</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67289-2021</t>
        </is>
      </c>
      <c r="B5654" s="1" t="n">
        <v>44523</v>
      </c>
      <c r="C5654" s="1" t="n">
        <v>45357</v>
      </c>
      <c r="D5654" t="inlineStr">
        <is>
          <t>VÄSTERBOTTENS LÄN</t>
        </is>
      </c>
      <c r="E5654" t="inlineStr">
        <is>
          <t>VINDELN</t>
        </is>
      </c>
      <c r="G5654" t="n">
        <v>11.4</v>
      </c>
      <c r="H5654" t="n">
        <v>0</v>
      </c>
      <c r="I5654" t="n">
        <v>0</v>
      </c>
      <c r="J5654" t="n">
        <v>0</v>
      </c>
      <c r="K5654" t="n">
        <v>0</v>
      </c>
      <c r="L5654" t="n">
        <v>0</v>
      </c>
      <c r="M5654" t="n">
        <v>0</v>
      </c>
      <c r="N5654" t="n">
        <v>0</v>
      </c>
      <c r="O5654" t="n">
        <v>0</v>
      </c>
      <c r="P5654" t="n">
        <v>0</v>
      </c>
      <c r="Q5654" t="n">
        <v>0</v>
      </c>
      <c r="R5654" s="2" t="inlineStr"/>
    </row>
    <row r="5655" ht="15" customHeight="1">
      <c r="A5655" t="inlineStr">
        <is>
          <t>A 67383-2021</t>
        </is>
      </c>
      <c r="B5655" s="1" t="n">
        <v>44523</v>
      </c>
      <c r="C5655" s="1" t="n">
        <v>45357</v>
      </c>
      <c r="D5655" t="inlineStr">
        <is>
          <t>VÄSTERBOTTENS LÄN</t>
        </is>
      </c>
      <c r="E5655" t="inlineStr">
        <is>
          <t>MALÅ</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67379-2021</t>
        </is>
      </c>
      <c r="B5656" s="1" t="n">
        <v>44523</v>
      </c>
      <c r="C5656" s="1" t="n">
        <v>45357</v>
      </c>
      <c r="D5656" t="inlineStr">
        <is>
          <t>VÄSTERBOTTENS LÄN</t>
        </is>
      </c>
      <c r="E5656" t="inlineStr">
        <is>
          <t>NORSJÖ</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67450-2021</t>
        </is>
      </c>
      <c r="B5657" s="1" t="n">
        <v>44524</v>
      </c>
      <c r="C5657" s="1" t="n">
        <v>45357</v>
      </c>
      <c r="D5657" t="inlineStr">
        <is>
          <t>VÄSTERBOTTENS LÄN</t>
        </is>
      </c>
      <c r="E5657" t="inlineStr">
        <is>
          <t>SKELLEFTEÅ</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67514-2021</t>
        </is>
      </c>
      <c r="B5658" s="1" t="n">
        <v>44524</v>
      </c>
      <c r="C5658" s="1" t="n">
        <v>45357</v>
      </c>
      <c r="D5658" t="inlineStr">
        <is>
          <t>VÄSTERBOTTENS LÄN</t>
        </is>
      </c>
      <c r="E5658" t="inlineStr">
        <is>
          <t>VÄNNÄS</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67534-2021</t>
        </is>
      </c>
      <c r="B5659" s="1" t="n">
        <v>44524</v>
      </c>
      <c r="C5659" s="1" t="n">
        <v>45357</v>
      </c>
      <c r="D5659" t="inlineStr">
        <is>
          <t>VÄSTERBOTTENS LÄN</t>
        </is>
      </c>
      <c r="E5659" t="inlineStr">
        <is>
          <t>VÄNNÄS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67590-2021</t>
        </is>
      </c>
      <c r="B5660" s="1" t="n">
        <v>44524</v>
      </c>
      <c r="C5660" s="1" t="n">
        <v>45357</v>
      </c>
      <c r="D5660" t="inlineStr">
        <is>
          <t>VÄSTERBOTTENS LÄN</t>
        </is>
      </c>
      <c r="E5660" t="inlineStr">
        <is>
          <t>ROBERTSFORS</t>
        </is>
      </c>
      <c r="F5660" t="inlineStr">
        <is>
          <t>Holmen skog AB</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67678-2021</t>
        </is>
      </c>
      <c r="B5661" s="1" t="n">
        <v>44524</v>
      </c>
      <c r="C5661" s="1" t="n">
        <v>45357</v>
      </c>
      <c r="D5661" t="inlineStr">
        <is>
          <t>VÄSTERBOTTENS LÄN</t>
        </is>
      </c>
      <c r="E5661" t="inlineStr">
        <is>
          <t>MALÅ</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67679-2021</t>
        </is>
      </c>
      <c r="B5662" s="1" t="n">
        <v>44524</v>
      </c>
      <c r="C5662" s="1" t="n">
        <v>45357</v>
      </c>
      <c r="D5662" t="inlineStr">
        <is>
          <t>VÄSTERBOTTENS LÄN</t>
        </is>
      </c>
      <c r="E5662" t="inlineStr">
        <is>
          <t>MALÅ</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67677-2021</t>
        </is>
      </c>
      <c r="B5663" s="1" t="n">
        <v>44524</v>
      </c>
      <c r="C5663" s="1" t="n">
        <v>45357</v>
      </c>
      <c r="D5663" t="inlineStr">
        <is>
          <t>VÄSTERBOTTENS LÄN</t>
        </is>
      </c>
      <c r="E5663" t="inlineStr">
        <is>
          <t>NORSJÖ</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67686-2021</t>
        </is>
      </c>
      <c r="B5664" s="1" t="n">
        <v>44524</v>
      </c>
      <c r="C5664" s="1" t="n">
        <v>45357</v>
      </c>
      <c r="D5664" t="inlineStr">
        <is>
          <t>VÄSTERBOTTENS LÄN</t>
        </is>
      </c>
      <c r="E5664" t="inlineStr">
        <is>
          <t>DOROTEA</t>
        </is>
      </c>
      <c r="F5664" t="inlineStr">
        <is>
          <t>SCA</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67762-2021</t>
        </is>
      </c>
      <c r="B5665" s="1" t="n">
        <v>44524</v>
      </c>
      <c r="C5665" s="1" t="n">
        <v>45357</v>
      </c>
      <c r="D5665" t="inlineStr">
        <is>
          <t>VÄSTERBOTTENS LÄN</t>
        </is>
      </c>
      <c r="E5665" t="inlineStr">
        <is>
          <t>BJURHOLM</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67685-2021</t>
        </is>
      </c>
      <c r="B5666" s="1" t="n">
        <v>44524</v>
      </c>
      <c r="C5666" s="1" t="n">
        <v>45357</v>
      </c>
      <c r="D5666" t="inlineStr">
        <is>
          <t>VÄSTERBOTTENS LÄN</t>
        </is>
      </c>
      <c r="E5666" t="inlineStr">
        <is>
          <t>ÅSELE</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67751-2021</t>
        </is>
      </c>
      <c r="B5667" s="1" t="n">
        <v>44524</v>
      </c>
      <c r="C5667" s="1" t="n">
        <v>45357</v>
      </c>
      <c r="D5667" t="inlineStr">
        <is>
          <t>VÄSTERBOTTENS LÄN</t>
        </is>
      </c>
      <c r="E5667" t="inlineStr">
        <is>
          <t>BJURHOLM</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67775-2021</t>
        </is>
      </c>
      <c r="B5668" s="1" t="n">
        <v>44524</v>
      </c>
      <c r="C5668" s="1" t="n">
        <v>45357</v>
      </c>
      <c r="D5668" t="inlineStr">
        <is>
          <t>VÄSTERBOTTENS LÄN</t>
        </is>
      </c>
      <c r="E5668" t="inlineStr">
        <is>
          <t>BJURHOLM</t>
        </is>
      </c>
      <c r="G5668" t="n">
        <v>5.2</v>
      </c>
      <c r="H5668" t="n">
        <v>0</v>
      </c>
      <c r="I5668" t="n">
        <v>0</v>
      </c>
      <c r="J5668" t="n">
        <v>0</v>
      </c>
      <c r="K5668" t="n">
        <v>0</v>
      </c>
      <c r="L5668" t="n">
        <v>0</v>
      </c>
      <c r="M5668" t="n">
        <v>0</v>
      </c>
      <c r="N5668" t="n">
        <v>0</v>
      </c>
      <c r="O5668" t="n">
        <v>0</v>
      </c>
      <c r="P5668" t="n">
        <v>0</v>
      </c>
      <c r="Q5668" t="n">
        <v>0</v>
      </c>
      <c r="R5668" s="2" t="inlineStr"/>
    </row>
    <row r="5669" ht="15" customHeight="1">
      <c r="A5669" t="inlineStr">
        <is>
          <t>A 67893-2021</t>
        </is>
      </c>
      <c r="B5669" s="1" t="n">
        <v>44525</v>
      </c>
      <c r="C5669" s="1" t="n">
        <v>45357</v>
      </c>
      <c r="D5669" t="inlineStr">
        <is>
          <t>VÄSTERBOTTENS LÄN</t>
        </is>
      </c>
      <c r="E5669" t="inlineStr">
        <is>
          <t>SKELLEFTEÅ</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67807-2021</t>
        </is>
      </c>
      <c r="B5670" s="1" t="n">
        <v>44525</v>
      </c>
      <c r="C5670" s="1" t="n">
        <v>45357</v>
      </c>
      <c r="D5670" t="inlineStr">
        <is>
          <t>VÄSTERBOTTENS LÄN</t>
        </is>
      </c>
      <c r="E5670" t="inlineStr">
        <is>
          <t>ÅSELE</t>
        </is>
      </c>
      <c r="F5670" t="inlineStr">
        <is>
          <t>Holmen skog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68037-2021</t>
        </is>
      </c>
      <c r="B5671" s="1" t="n">
        <v>44525</v>
      </c>
      <c r="C5671" s="1" t="n">
        <v>45357</v>
      </c>
      <c r="D5671" t="inlineStr">
        <is>
          <t>VÄSTERBOTTENS LÄN</t>
        </is>
      </c>
      <c r="E5671" t="inlineStr">
        <is>
          <t>VILHELMINA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68036-2021</t>
        </is>
      </c>
      <c r="B5672" s="1" t="n">
        <v>44525</v>
      </c>
      <c r="C5672" s="1" t="n">
        <v>45357</v>
      </c>
      <c r="D5672" t="inlineStr">
        <is>
          <t>VÄSTERBOTTENS LÄN</t>
        </is>
      </c>
      <c r="E5672" t="inlineStr">
        <is>
          <t>MALÅ</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68251-2021</t>
        </is>
      </c>
      <c r="B5673" s="1" t="n">
        <v>44525</v>
      </c>
      <c r="C5673" s="1" t="n">
        <v>45357</v>
      </c>
      <c r="D5673" t="inlineStr">
        <is>
          <t>VÄSTERBOTTENS LÄN</t>
        </is>
      </c>
      <c r="E5673" t="inlineStr">
        <is>
          <t>SKELLEFTEÅ</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68077-2021</t>
        </is>
      </c>
      <c r="B5674" s="1" t="n">
        <v>44526</v>
      </c>
      <c r="C5674" s="1" t="n">
        <v>45357</v>
      </c>
      <c r="D5674" t="inlineStr">
        <is>
          <t>VÄSTERBOTTENS LÄN</t>
        </is>
      </c>
      <c r="E5674" t="inlineStr">
        <is>
          <t>ÅSELE</t>
        </is>
      </c>
      <c r="F5674" t="inlineStr">
        <is>
          <t>Holmen skog AB</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68110-2021</t>
        </is>
      </c>
      <c r="B5675" s="1" t="n">
        <v>44526</v>
      </c>
      <c r="C5675" s="1" t="n">
        <v>45357</v>
      </c>
      <c r="D5675" t="inlineStr">
        <is>
          <t>VÄSTERBOTTENS LÄN</t>
        </is>
      </c>
      <c r="E5675" t="inlineStr">
        <is>
          <t>LYCKSELE</t>
        </is>
      </c>
      <c r="F5675" t="inlineStr">
        <is>
          <t>Sveaskog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68300-2021</t>
        </is>
      </c>
      <c r="B5676" s="1" t="n">
        <v>44526</v>
      </c>
      <c r="C5676" s="1" t="n">
        <v>45357</v>
      </c>
      <c r="D5676" t="inlineStr">
        <is>
          <t>VÄSTERBOTTENS LÄN</t>
        </is>
      </c>
      <c r="E5676" t="inlineStr">
        <is>
          <t>VÄNNÄS</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68456-2021</t>
        </is>
      </c>
      <c r="B5677" s="1" t="n">
        <v>44526</v>
      </c>
      <c r="C5677" s="1" t="n">
        <v>45357</v>
      </c>
      <c r="D5677" t="inlineStr">
        <is>
          <t>VÄSTERBOTTENS LÄN</t>
        </is>
      </c>
      <c r="E5677" t="inlineStr">
        <is>
          <t>VINDELN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68105-2021</t>
        </is>
      </c>
      <c r="B5678" s="1" t="n">
        <v>44526</v>
      </c>
      <c r="C5678" s="1" t="n">
        <v>45357</v>
      </c>
      <c r="D5678" t="inlineStr">
        <is>
          <t>VÄSTERBOTTENS LÄN</t>
        </is>
      </c>
      <c r="E5678" t="inlineStr">
        <is>
          <t>ÅSELE</t>
        </is>
      </c>
      <c r="F5678" t="inlineStr">
        <is>
          <t>Holmen skog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68169-2021</t>
        </is>
      </c>
      <c r="B5679" s="1" t="n">
        <v>44526</v>
      </c>
      <c r="C5679" s="1" t="n">
        <v>45357</v>
      </c>
      <c r="D5679" t="inlineStr">
        <is>
          <t>VÄSTERBOTTENS LÄN</t>
        </is>
      </c>
      <c r="E5679" t="inlineStr">
        <is>
          <t>LYCKSELE</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68067-2021</t>
        </is>
      </c>
      <c r="B5680" s="1" t="n">
        <v>44526</v>
      </c>
      <c r="C5680" s="1" t="n">
        <v>45357</v>
      </c>
      <c r="D5680" t="inlineStr">
        <is>
          <t>VÄSTERBOTTENS LÄN</t>
        </is>
      </c>
      <c r="E5680" t="inlineStr">
        <is>
          <t>ÅSELE</t>
        </is>
      </c>
      <c r="F5680" t="inlineStr">
        <is>
          <t>Holmen skog AB</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68334-2021</t>
        </is>
      </c>
      <c r="B5681" s="1" t="n">
        <v>44527</v>
      </c>
      <c r="C5681" s="1" t="n">
        <v>45357</v>
      </c>
      <c r="D5681" t="inlineStr">
        <is>
          <t>VÄSTERBOTTENS LÄN</t>
        </is>
      </c>
      <c r="E5681" t="inlineStr">
        <is>
          <t>SKELLEFTEÅ</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68757-2021</t>
        </is>
      </c>
      <c r="B5682" s="1" t="n">
        <v>44529</v>
      </c>
      <c r="C5682" s="1" t="n">
        <v>45357</v>
      </c>
      <c r="D5682" t="inlineStr">
        <is>
          <t>VÄSTERBOTTENS LÄN</t>
        </is>
      </c>
      <c r="E5682" t="inlineStr">
        <is>
          <t>UMEÅ</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68665-2021</t>
        </is>
      </c>
      <c r="B5683" s="1" t="n">
        <v>44529</v>
      </c>
      <c r="C5683" s="1" t="n">
        <v>45357</v>
      </c>
      <c r="D5683" t="inlineStr">
        <is>
          <t>VÄSTERBOTTENS LÄN</t>
        </is>
      </c>
      <c r="E5683" t="inlineStr">
        <is>
          <t>LYCKSELE</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68632-2021</t>
        </is>
      </c>
      <c r="B5684" s="1" t="n">
        <v>44529</v>
      </c>
      <c r="C5684" s="1" t="n">
        <v>45357</v>
      </c>
      <c r="D5684" t="inlineStr">
        <is>
          <t>VÄSTERBOTTENS LÄN</t>
        </is>
      </c>
      <c r="E5684" t="inlineStr">
        <is>
          <t>VÄNNÄS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69023-2021</t>
        </is>
      </c>
      <c r="B5685" s="1" t="n">
        <v>44529</v>
      </c>
      <c r="C5685" s="1" t="n">
        <v>45357</v>
      </c>
      <c r="D5685" t="inlineStr">
        <is>
          <t>VÄSTERBOTTENS LÄN</t>
        </is>
      </c>
      <c r="E5685" t="inlineStr">
        <is>
          <t>VILHELMINA</t>
        </is>
      </c>
      <c r="G5685" t="n">
        <v>88</v>
      </c>
      <c r="H5685" t="n">
        <v>0</v>
      </c>
      <c r="I5685" t="n">
        <v>0</v>
      </c>
      <c r="J5685" t="n">
        <v>0</v>
      </c>
      <c r="K5685" t="n">
        <v>0</v>
      </c>
      <c r="L5685" t="n">
        <v>0</v>
      </c>
      <c r="M5685" t="n">
        <v>0</v>
      </c>
      <c r="N5685" t="n">
        <v>0</v>
      </c>
      <c r="O5685" t="n">
        <v>0</v>
      </c>
      <c r="P5685" t="n">
        <v>0</v>
      </c>
      <c r="Q5685" t="n">
        <v>0</v>
      </c>
      <c r="R5685" s="2" t="inlineStr"/>
    </row>
    <row r="5686" ht="15" customHeight="1">
      <c r="A5686" t="inlineStr">
        <is>
          <t>A 68790-2021</t>
        </is>
      </c>
      <c r="B5686" s="1" t="n">
        <v>44529</v>
      </c>
      <c r="C5686" s="1" t="n">
        <v>45357</v>
      </c>
      <c r="D5686" t="inlineStr">
        <is>
          <t>VÄSTERBOTTENS LÄN</t>
        </is>
      </c>
      <c r="E5686" t="inlineStr">
        <is>
          <t>LYCKSELE</t>
        </is>
      </c>
      <c r="F5686" t="inlineStr">
        <is>
          <t>SCA</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68814-2021</t>
        </is>
      </c>
      <c r="B5687" s="1" t="n">
        <v>44530</v>
      </c>
      <c r="C5687" s="1" t="n">
        <v>45357</v>
      </c>
      <c r="D5687" t="inlineStr">
        <is>
          <t>VÄSTERBOTTENS LÄN</t>
        </is>
      </c>
      <c r="E5687" t="inlineStr">
        <is>
          <t>BJURHOLM</t>
        </is>
      </c>
      <c r="F5687" t="inlineStr">
        <is>
          <t>Holmen skog AB</t>
        </is>
      </c>
      <c r="G5687" t="n">
        <v>9.699999999999999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68826-2021</t>
        </is>
      </c>
      <c r="B5688" s="1" t="n">
        <v>44530</v>
      </c>
      <c r="C5688" s="1" t="n">
        <v>45357</v>
      </c>
      <c r="D5688" t="inlineStr">
        <is>
          <t>VÄSTERBOTTENS LÄN</t>
        </is>
      </c>
      <c r="E5688" t="inlineStr">
        <is>
          <t>ÅSELE</t>
        </is>
      </c>
      <c r="F5688" t="inlineStr">
        <is>
          <t>Holmen skog AB</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69106-2021</t>
        </is>
      </c>
      <c r="B5689" s="1" t="n">
        <v>44530</v>
      </c>
      <c r="C5689" s="1" t="n">
        <v>45357</v>
      </c>
      <c r="D5689" t="inlineStr">
        <is>
          <t>VÄSTERBOTTENS LÄN</t>
        </is>
      </c>
      <c r="E5689" t="inlineStr">
        <is>
          <t>SKELLEFTEÅ</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69262-2021</t>
        </is>
      </c>
      <c r="B5690" s="1" t="n">
        <v>44531</v>
      </c>
      <c r="C5690" s="1" t="n">
        <v>45357</v>
      </c>
      <c r="D5690" t="inlineStr">
        <is>
          <t>VÄSTERBOTTENS LÄN</t>
        </is>
      </c>
      <c r="E5690" t="inlineStr">
        <is>
          <t>SKELLEFTEÅ</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69347-2021</t>
        </is>
      </c>
      <c r="B5691" s="1" t="n">
        <v>44531</v>
      </c>
      <c r="C5691" s="1" t="n">
        <v>45357</v>
      </c>
      <c r="D5691" t="inlineStr">
        <is>
          <t>VÄSTERBOTTENS LÄN</t>
        </is>
      </c>
      <c r="E5691" t="inlineStr">
        <is>
          <t>BJURHOLM</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69362-2021</t>
        </is>
      </c>
      <c r="B5692" s="1" t="n">
        <v>44531</v>
      </c>
      <c r="C5692" s="1" t="n">
        <v>45357</v>
      </c>
      <c r="D5692" t="inlineStr">
        <is>
          <t>VÄSTERBOTTENS LÄN</t>
        </is>
      </c>
      <c r="E5692" t="inlineStr">
        <is>
          <t>VILHELMINA</t>
        </is>
      </c>
      <c r="F5692" t="inlineStr">
        <is>
          <t>Sveaskog</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69488-2021</t>
        </is>
      </c>
      <c r="B5693" s="1" t="n">
        <v>44531</v>
      </c>
      <c r="C5693" s="1" t="n">
        <v>45357</v>
      </c>
      <c r="D5693" t="inlineStr">
        <is>
          <t>VÄSTERBOTTENS LÄN</t>
        </is>
      </c>
      <c r="E5693" t="inlineStr">
        <is>
          <t>LYCKSELE</t>
        </is>
      </c>
      <c r="F5693" t="inlineStr">
        <is>
          <t>Holmen skog AB</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69519-2021</t>
        </is>
      </c>
      <c r="B5694" s="1" t="n">
        <v>44531</v>
      </c>
      <c r="C5694" s="1" t="n">
        <v>45357</v>
      </c>
      <c r="D5694" t="inlineStr">
        <is>
          <t>VÄSTERBOTTENS LÄN</t>
        </is>
      </c>
      <c r="E5694" t="inlineStr">
        <is>
          <t>NORDMALING</t>
        </is>
      </c>
      <c r="G5694" t="n">
        <v>9</v>
      </c>
      <c r="H5694" t="n">
        <v>0</v>
      </c>
      <c r="I5694" t="n">
        <v>0</v>
      </c>
      <c r="J5694" t="n">
        <v>0</v>
      </c>
      <c r="K5694" t="n">
        <v>0</v>
      </c>
      <c r="L5694" t="n">
        <v>0</v>
      </c>
      <c r="M5694" t="n">
        <v>0</v>
      </c>
      <c r="N5694" t="n">
        <v>0</v>
      </c>
      <c r="O5694" t="n">
        <v>0</v>
      </c>
      <c r="P5694" t="n">
        <v>0</v>
      </c>
      <c r="Q5694" t="n">
        <v>0</v>
      </c>
      <c r="R5694" s="2" t="inlineStr"/>
    </row>
    <row r="5695" ht="15" customHeight="1">
      <c r="A5695" t="inlineStr">
        <is>
          <t>A 69674-2021</t>
        </is>
      </c>
      <c r="B5695" s="1" t="n">
        <v>44531</v>
      </c>
      <c r="C5695" s="1" t="n">
        <v>45357</v>
      </c>
      <c r="D5695" t="inlineStr">
        <is>
          <t>VÄSTERBOTTENS LÄN</t>
        </is>
      </c>
      <c r="E5695" t="inlineStr">
        <is>
          <t>LYCKSELE</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69226-2021</t>
        </is>
      </c>
      <c r="B5696" s="1" t="n">
        <v>44531</v>
      </c>
      <c r="C5696" s="1" t="n">
        <v>45357</v>
      </c>
      <c r="D5696" t="inlineStr">
        <is>
          <t>VÄSTERBOTTENS LÄN</t>
        </is>
      </c>
      <c r="E5696" t="inlineStr">
        <is>
          <t>LYCKSELE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69297-2021</t>
        </is>
      </c>
      <c r="B5697" s="1" t="n">
        <v>44531</v>
      </c>
      <c r="C5697" s="1" t="n">
        <v>45357</v>
      </c>
      <c r="D5697" t="inlineStr">
        <is>
          <t>VÄSTERBOTTENS LÄN</t>
        </is>
      </c>
      <c r="E5697" t="inlineStr">
        <is>
          <t>VINDELN</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69287-2021</t>
        </is>
      </c>
      <c r="B5698" s="1" t="n">
        <v>44531</v>
      </c>
      <c r="C5698" s="1" t="n">
        <v>45357</v>
      </c>
      <c r="D5698" t="inlineStr">
        <is>
          <t>VÄSTERBOTTENS LÄN</t>
        </is>
      </c>
      <c r="E5698" t="inlineStr">
        <is>
          <t>ROBERTSFORS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69315-2021</t>
        </is>
      </c>
      <c r="B5699" s="1" t="n">
        <v>44531</v>
      </c>
      <c r="C5699" s="1" t="n">
        <v>45357</v>
      </c>
      <c r="D5699" t="inlineStr">
        <is>
          <t>VÄSTERBOTTENS LÄN</t>
        </is>
      </c>
      <c r="E5699" t="inlineStr">
        <is>
          <t>SKELLEFTEÅ</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69370-2021</t>
        </is>
      </c>
      <c r="B5700" s="1" t="n">
        <v>44531</v>
      </c>
      <c r="C5700" s="1" t="n">
        <v>45357</v>
      </c>
      <c r="D5700" t="inlineStr">
        <is>
          <t>VÄSTERBOTTENS LÄN</t>
        </is>
      </c>
      <c r="E5700" t="inlineStr">
        <is>
          <t>ÅSELE</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69366-2021</t>
        </is>
      </c>
      <c r="B5701" s="1" t="n">
        <v>44531</v>
      </c>
      <c r="C5701" s="1" t="n">
        <v>45357</v>
      </c>
      <c r="D5701" t="inlineStr">
        <is>
          <t>VÄSTERBOTTENS LÄN</t>
        </is>
      </c>
      <c r="E5701" t="inlineStr">
        <is>
          <t>VILHELMINA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69458-2021</t>
        </is>
      </c>
      <c r="B5702" s="1" t="n">
        <v>44531</v>
      </c>
      <c r="C5702" s="1" t="n">
        <v>45357</v>
      </c>
      <c r="D5702" t="inlineStr">
        <is>
          <t>VÄSTERBOTTENS LÄN</t>
        </is>
      </c>
      <c r="E5702" t="inlineStr">
        <is>
          <t>SORSELE</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69481-2021</t>
        </is>
      </c>
      <c r="B5703" s="1" t="n">
        <v>44531</v>
      </c>
      <c r="C5703" s="1" t="n">
        <v>45357</v>
      </c>
      <c r="D5703" t="inlineStr">
        <is>
          <t>VÄSTERBOTTENS LÄN</t>
        </is>
      </c>
      <c r="E5703" t="inlineStr">
        <is>
          <t>LYCKSELE</t>
        </is>
      </c>
      <c r="F5703" t="inlineStr">
        <is>
          <t>Holmen skog AB</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69516-2021</t>
        </is>
      </c>
      <c r="B5704" s="1" t="n">
        <v>44531</v>
      </c>
      <c r="C5704" s="1" t="n">
        <v>45357</v>
      </c>
      <c r="D5704" t="inlineStr">
        <is>
          <t>VÄSTERBOTTENS LÄN</t>
        </is>
      </c>
      <c r="E5704" t="inlineStr">
        <is>
          <t>NORDMALING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69544-2021</t>
        </is>
      </c>
      <c r="B5705" s="1" t="n">
        <v>44531</v>
      </c>
      <c r="C5705" s="1" t="n">
        <v>45357</v>
      </c>
      <c r="D5705" t="inlineStr">
        <is>
          <t>VÄSTERBOTTENS LÄN</t>
        </is>
      </c>
      <c r="E5705" t="inlineStr">
        <is>
          <t>BJURHOLM</t>
        </is>
      </c>
      <c r="F5705" t="inlineStr">
        <is>
          <t>SCA</t>
        </is>
      </c>
      <c r="G5705" t="n">
        <v>12.1</v>
      </c>
      <c r="H5705" t="n">
        <v>0</v>
      </c>
      <c r="I5705" t="n">
        <v>0</v>
      </c>
      <c r="J5705" t="n">
        <v>0</v>
      </c>
      <c r="K5705" t="n">
        <v>0</v>
      </c>
      <c r="L5705" t="n">
        <v>0</v>
      </c>
      <c r="M5705" t="n">
        <v>0</v>
      </c>
      <c r="N5705" t="n">
        <v>0</v>
      </c>
      <c r="O5705" t="n">
        <v>0</v>
      </c>
      <c r="P5705" t="n">
        <v>0</v>
      </c>
      <c r="Q5705" t="n">
        <v>0</v>
      </c>
      <c r="R5705" s="2" t="inlineStr"/>
    </row>
    <row r="5706" ht="15" customHeight="1">
      <c r="A5706" t="inlineStr">
        <is>
          <t>A 69462-2021</t>
        </is>
      </c>
      <c r="B5706" s="1" t="n">
        <v>44531</v>
      </c>
      <c r="C5706" s="1" t="n">
        <v>45357</v>
      </c>
      <c r="D5706" t="inlineStr">
        <is>
          <t>VÄSTERBOTTENS LÄN</t>
        </is>
      </c>
      <c r="E5706" t="inlineStr">
        <is>
          <t>LYCKSELE</t>
        </is>
      </c>
      <c r="F5706" t="inlineStr">
        <is>
          <t>Holmen skog AB</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69517-2021</t>
        </is>
      </c>
      <c r="B5707" s="1" t="n">
        <v>44531</v>
      </c>
      <c r="C5707" s="1" t="n">
        <v>45357</v>
      </c>
      <c r="D5707" t="inlineStr">
        <is>
          <t>VÄSTERBOTTENS LÄN</t>
        </is>
      </c>
      <c r="E5707" t="inlineStr">
        <is>
          <t>NORDMALING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69705-2021</t>
        </is>
      </c>
      <c r="B5708" s="1" t="n">
        <v>44531</v>
      </c>
      <c r="C5708" s="1" t="n">
        <v>45357</v>
      </c>
      <c r="D5708" t="inlineStr">
        <is>
          <t>VÄSTERBOTTENS LÄN</t>
        </is>
      </c>
      <c r="E5708" t="inlineStr">
        <is>
          <t>LYCKSELE</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69627-2021</t>
        </is>
      </c>
      <c r="B5709" s="1" t="n">
        <v>44532</v>
      </c>
      <c r="C5709" s="1" t="n">
        <v>45357</v>
      </c>
      <c r="D5709" t="inlineStr">
        <is>
          <t>VÄSTERBOTTENS LÄN</t>
        </is>
      </c>
      <c r="E5709" t="inlineStr">
        <is>
          <t>LYCKSELE</t>
        </is>
      </c>
      <c r="F5709" t="inlineStr">
        <is>
          <t>Sveaskog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69703-2021</t>
        </is>
      </c>
      <c r="B5710" s="1" t="n">
        <v>44532</v>
      </c>
      <c r="C5710" s="1" t="n">
        <v>45357</v>
      </c>
      <c r="D5710" t="inlineStr">
        <is>
          <t>VÄSTERBOTTENS LÄN</t>
        </is>
      </c>
      <c r="E5710" t="inlineStr">
        <is>
          <t>SORSELE</t>
        </is>
      </c>
      <c r="G5710" t="n">
        <v>11.2</v>
      </c>
      <c r="H5710" t="n">
        <v>0</v>
      </c>
      <c r="I5710" t="n">
        <v>0</v>
      </c>
      <c r="J5710" t="n">
        <v>0</v>
      </c>
      <c r="K5710" t="n">
        <v>0</v>
      </c>
      <c r="L5710" t="n">
        <v>0</v>
      </c>
      <c r="M5710" t="n">
        <v>0</v>
      </c>
      <c r="N5710" t="n">
        <v>0</v>
      </c>
      <c r="O5710" t="n">
        <v>0</v>
      </c>
      <c r="P5710" t="n">
        <v>0</v>
      </c>
      <c r="Q5710" t="n">
        <v>0</v>
      </c>
      <c r="R5710" s="2" t="inlineStr"/>
    </row>
    <row r="5711" ht="15" customHeight="1">
      <c r="A5711" t="inlineStr">
        <is>
          <t>A 69812-2021</t>
        </is>
      </c>
      <c r="B5711" s="1" t="n">
        <v>44532</v>
      </c>
      <c r="C5711" s="1" t="n">
        <v>45357</v>
      </c>
      <c r="D5711" t="inlineStr">
        <is>
          <t>VÄSTERBOTTENS LÄN</t>
        </is>
      </c>
      <c r="E5711" t="inlineStr">
        <is>
          <t>ROBERTSFORS</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69848-2021</t>
        </is>
      </c>
      <c r="B5712" s="1" t="n">
        <v>44532</v>
      </c>
      <c r="C5712" s="1" t="n">
        <v>45357</v>
      </c>
      <c r="D5712" t="inlineStr">
        <is>
          <t>VÄSTERBOTTENS LÄN</t>
        </is>
      </c>
      <c r="E5712" t="inlineStr">
        <is>
          <t>VILHELMINA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70849-2021</t>
        </is>
      </c>
      <c r="B5713" s="1" t="n">
        <v>44532</v>
      </c>
      <c r="C5713" s="1" t="n">
        <v>45357</v>
      </c>
      <c r="D5713" t="inlineStr">
        <is>
          <t>VÄSTERBOTTENS LÄN</t>
        </is>
      </c>
      <c r="E5713" t="inlineStr">
        <is>
          <t>VILHELMINA</t>
        </is>
      </c>
      <c r="G5713" t="n">
        <v>21.4</v>
      </c>
      <c r="H5713" t="n">
        <v>0</v>
      </c>
      <c r="I5713" t="n">
        <v>0</v>
      </c>
      <c r="J5713" t="n">
        <v>0</v>
      </c>
      <c r="K5713" t="n">
        <v>0</v>
      </c>
      <c r="L5713" t="n">
        <v>0</v>
      </c>
      <c r="M5713" t="n">
        <v>0</v>
      </c>
      <c r="N5713" t="n">
        <v>0</v>
      </c>
      <c r="O5713" t="n">
        <v>0</v>
      </c>
      <c r="P5713" t="n">
        <v>0</v>
      </c>
      <c r="Q5713" t="n">
        <v>0</v>
      </c>
      <c r="R5713" s="2" t="inlineStr"/>
    </row>
    <row r="5714" ht="15" customHeight="1">
      <c r="A5714" t="inlineStr">
        <is>
          <t>A 69901-2021</t>
        </is>
      </c>
      <c r="B5714" s="1" t="n">
        <v>44532</v>
      </c>
      <c r="C5714" s="1" t="n">
        <v>45357</v>
      </c>
      <c r="D5714" t="inlineStr">
        <is>
          <t>VÄSTERBOTTENS LÄN</t>
        </is>
      </c>
      <c r="E5714" t="inlineStr">
        <is>
          <t>VÄNNÄS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69805-2021</t>
        </is>
      </c>
      <c r="B5715" s="1" t="n">
        <v>44532</v>
      </c>
      <c r="C5715" s="1" t="n">
        <v>45357</v>
      </c>
      <c r="D5715" t="inlineStr">
        <is>
          <t>VÄSTERBOTTENS LÄN</t>
        </is>
      </c>
      <c r="E5715" t="inlineStr">
        <is>
          <t>ROBERTSFORS</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69837-2021</t>
        </is>
      </c>
      <c r="B5716" s="1" t="n">
        <v>44532</v>
      </c>
      <c r="C5716" s="1" t="n">
        <v>45357</v>
      </c>
      <c r="D5716" t="inlineStr">
        <is>
          <t>VÄSTERBOTTENS LÄN</t>
        </is>
      </c>
      <c r="E5716" t="inlineStr">
        <is>
          <t>LYCKSELE</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69850-2021</t>
        </is>
      </c>
      <c r="B5717" s="1" t="n">
        <v>44532</v>
      </c>
      <c r="C5717" s="1" t="n">
        <v>45357</v>
      </c>
      <c r="D5717" t="inlineStr">
        <is>
          <t>VÄSTERBOTTENS LÄN</t>
        </is>
      </c>
      <c r="E5717" t="inlineStr">
        <is>
          <t>VILHELMINA</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70854-2021</t>
        </is>
      </c>
      <c r="B5718" s="1" t="n">
        <v>44532</v>
      </c>
      <c r="C5718" s="1" t="n">
        <v>45357</v>
      </c>
      <c r="D5718" t="inlineStr">
        <is>
          <t>VÄSTERBOTTENS LÄN</t>
        </is>
      </c>
      <c r="E5718" t="inlineStr">
        <is>
          <t>VILHELMINA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69945-2021</t>
        </is>
      </c>
      <c r="B5719" s="1" t="n">
        <v>44532</v>
      </c>
      <c r="C5719" s="1" t="n">
        <v>45357</v>
      </c>
      <c r="D5719" t="inlineStr">
        <is>
          <t>VÄSTERBOTTENS LÄN</t>
        </is>
      </c>
      <c r="E5719" t="inlineStr">
        <is>
          <t>NORDMALING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70077-2021</t>
        </is>
      </c>
      <c r="B5720" s="1" t="n">
        <v>44533</v>
      </c>
      <c r="C5720" s="1" t="n">
        <v>45357</v>
      </c>
      <c r="D5720" t="inlineStr">
        <is>
          <t>VÄSTERBOTTENS LÄN</t>
        </is>
      </c>
      <c r="E5720" t="inlineStr">
        <is>
          <t>UMEÅ</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70117-2021</t>
        </is>
      </c>
      <c r="B5721" s="1" t="n">
        <v>44533</v>
      </c>
      <c r="C5721" s="1" t="n">
        <v>45357</v>
      </c>
      <c r="D5721" t="inlineStr">
        <is>
          <t>VÄSTERBOTTENS LÄN</t>
        </is>
      </c>
      <c r="E5721" t="inlineStr">
        <is>
          <t>VILHELMINA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70168-2021</t>
        </is>
      </c>
      <c r="B5722" s="1" t="n">
        <v>44533</v>
      </c>
      <c r="C5722" s="1" t="n">
        <v>45357</v>
      </c>
      <c r="D5722" t="inlineStr">
        <is>
          <t>VÄSTERBOTTENS LÄN</t>
        </is>
      </c>
      <c r="E5722" t="inlineStr">
        <is>
          <t>SKELLEFTEÅ</t>
        </is>
      </c>
      <c r="F5722" t="inlineStr">
        <is>
          <t>Sveaskog</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70177-2021</t>
        </is>
      </c>
      <c r="B5723" s="1" t="n">
        <v>44533</v>
      </c>
      <c r="C5723" s="1" t="n">
        <v>45357</v>
      </c>
      <c r="D5723" t="inlineStr">
        <is>
          <t>VÄSTERBOTTENS LÄN</t>
        </is>
      </c>
      <c r="E5723" t="inlineStr">
        <is>
          <t>SORSELE</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70068-2021</t>
        </is>
      </c>
      <c r="B5724" s="1" t="n">
        <v>44533</v>
      </c>
      <c r="C5724" s="1" t="n">
        <v>45357</v>
      </c>
      <c r="D5724" t="inlineStr">
        <is>
          <t>VÄSTERBOTTENS LÄN</t>
        </is>
      </c>
      <c r="E5724" t="inlineStr">
        <is>
          <t>UMEÅ</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70175-2021</t>
        </is>
      </c>
      <c r="B5725" s="1" t="n">
        <v>44533</v>
      </c>
      <c r="C5725" s="1" t="n">
        <v>45357</v>
      </c>
      <c r="D5725" t="inlineStr">
        <is>
          <t>VÄSTERBOTTENS LÄN</t>
        </is>
      </c>
      <c r="E5725" t="inlineStr">
        <is>
          <t>NORDMALING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70176-2021</t>
        </is>
      </c>
      <c r="B5726" s="1" t="n">
        <v>44533</v>
      </c>
      <c r="C5726" s="1" t="n">
        <v>45357</v>
      </c>
      <c r="D5726" t="inlineStr">
        <is>
          <t>VÄSTERBOTTENS LÄN</t>
        </is>
      </c>
      <c r="E5726" t="inlineStr">
        <is>
          <t>SKELLEFTEÅ</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70182-2021</t>
        </is>
      </c>
      <c r="B5727" s="1" t="n">
        <v>44533</v>
      </c>
      <c r="C5727" s="1" t="n">
        <v>45357</v>
      </c>
      <c r="D5727" t="inlineStr">
        <is>
          <t>VÄSTERBOTTENS LÄN</t>
        </is>
      </c>
      <c r="E5727" t="inlineStr">
        <is>
          <t>DOROTEA</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70029-2021</t>
        </is>
      </c>
      <c r="B5728" s="1" t="n">
        <v>44533</v>
      </c>
      <c r="C5728" s="1" t="n">
        <v>45357</v>
      </c>
      <c r="D5728" t="inlineStr">
        <is>
          <t>VÄSTERBOTTENS LÄN</t>
        </is>
      </c>
      <c r="E5728" t="inlineStr">
        <is>
          <t>SKELLEFTEÅ</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69992-2021</t>
        </is>
      </c>
      <c r="B5729" s="1" t="n">
        <v>44533</v>
      </c>
      <c r="C5729" s="1" t="n">
        <v>45357</v>
      </c>
      <c r="D5729" t="inlineStr">
        <is>
          <t>VÄSTERBOTTENS LÄN</t>
        </is>
      </c>
      <c r="E5729" t="inlineStr">
        <is>
          <t>SKELLEFTEÅ</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70189-2021</t>
        </is>
      </c>
      <c r="B5730" s="1" t="n">
        <v>44533</v>
      </c>
      <c r="C5730" s="1" t="n">
        <v>45357</v>
      </c>
      <c r="D5730" t="inlineStr">
        <is>
          <t>VÄSTERBOTTENS LÄN</t>
        </is>
      </c>
      <c r="E5730" t="inlineStr">
        <is>
          <t>ÅSELE</t>
        </is>
      </c>
      <c r="F5730" t="inlineStr">
        <is>
          <t>SCA</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70028-2021</t>
        </is>
      </c>
      <c r="B5731" s="1" t="n">
        <v>44533</v>
      </c>
      <c r="C5731" s="1" t="n">
        <v>45357</v>
      </c>
      <c r="D5731" t="inlineStr">
        <is>
          <t>VÄSTERBOTTENS LÄN</t>
        </is>
      </c>
      <c r="E5731" t="inlineStr">
        <is>
          <t>NORDMALING</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69996-2021</t>
        </is>
      </c>
      <c r="B5732" s="1" t="n">
        <v>44533</v>
      </c>
      <c r="C5732" s="1" t="n">
        <v>45357</v>
      </c>
      <c r="D5732" t="inlineStr">
        <is>
          <t>VÄSTERBOTTENS LÄN</t>
        </is>
      </c>
      <c r="E5732" t="inlineStr">
        <is>
          <t>SKELLEFTEÅ</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69991-2021</t>
        </is>
      </c>
      <c r="B5733" s="1" t="n">
        <v>44533</v>
      </c>
      <c r="C5733" s="1" t="n">
        <v>45357</v>
      </c>
      <c r="D5733" t="inlineStr">
        <is>
          <t>VÄSTERBOTTENS LÄN</t>
        </is>
      </c>
      <c r="E5733" t="inlineStr">
        <is>
          <t>SKELLEFTEÅ</t>
        </is>
      </c>
      <c r="F5733" t="inlineStr">
        <is>
          <t>Sveaskog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69978-2021</t>
        </is>
      </c>
      <c r="B5734" s="1" t="n">
        <v>44533</v>
      </c>
      <c r="C5734" s="1" t="n">
        <v>45357</v>
      </c>
      <c r="D5734" t="inlineStr">
        <is>
          <t>VÄSTERBOTTENS LÄN</t>
        </is>
      </c>
      <c r="E5734" t="inlineStr">
        <is>
          <t>SKELLEFTEÅ</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70186-2021</t>
        </is>
      </c>
      <c r="B5735" s="1" t="n">
        <v>44533</v>
      </c>
      <c r="C5735" s="1" t="n">
        <v>45357</v>
      </c>
      <c r="D5735" t="inlineStr">
        <is>
          <t>VÄSTERBOTTENS LÄN</t>
        </is>
      </c>
      <c r="E5735" t="inlineStr">
        <is>
          <t>ÅSELE</t>
        </is>
      </c>
      <c r="F5735" t="inlineStr">
        <is>
          <t>SCA</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70229-2021</t>
        </is>
      </c>
      <c r="B5736" s="1" t="n">
        <v>44533</v>
      </c>
      <c r="C5736" s="1" t="n">
        <v>45357</v>
      </c>
      <c r="D5736" t="inlineStr">
        <is>
          <t>VÄSTERBOTTENS LÄN</t>
        </is>
      </c>
      <c r="E5736" t="inlineStr">
        <is>
          <t>SKELLEFTEÅ</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70193-2021</t>
        </is>
      </c>
      <c r="B5737" s="1" t="n">
        <v>44534</v>
      </c>
      <c r="C5737" s="1" t="n">
        <v>45357</v>
      </c>
      <c r="D5737" t="inlineStr">
        <is>
          <t>VÄSTERBOTTENS LÄN</t>
        </is>
      </c>
      <c r="E5737" t="inlineStr">
        <is>
          <t>LYCKSELE</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70197-2021</t>
        </is>
      </c>
      <c r="B5738" s="1" t="n">
        <v>44534</v>
      </c>
      <c r="C5738" s="1" t="n">
        <v>45357</v>
      </c>
      <c r="D5738" t="inlineStr">
        <is>
          <t>VÄSTERBOTTENS LÄN</t>
        </is>
      </c>
      <c r="E5738" t="inlineStr">
        <is>
          <t>LYCKSELE</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70196-2021</t>
        </is>
      </c>
      <c r="B5739" s="1" t="n">
        <v>44534</v>
      </c>
      <c r="C5739" s="1" t="n">
        <v>45357</v>
      </c>
      <c r="D5739" t="inlineStr">
        <is>
          <t>VÄSTERBOTTENS LÄN</t>
        </is>
      </c>
      <c r="E5739" t="inlineStr">
        <is>
          <t>LYCKSELE</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70195-2021</t>
        </is>
      </c>
      <c r="B5740" s="1" t="n">
        <v>44534</v>
      </c>
      <c r="C5740" s="1" t="n">
        <v>45357</v>
      </c>
      <c r="D5740" t="inlineStr">
        <is>
          <t>VÄSTERBOTTENS LÄN</t>
        </is>
      </c>
      <c r="E5740" t="inlineStr">
        <is>
          <t>LYCKSELE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70194-2021</t>
        </is>
      </c>
      <c r="B5741" s="1" t="n">
        <v>44534</v>
      </c>
      <c r="C5741" s="1" t="n">
        <v>45357</v>
      </c>
      <c r="D5741" t="inlineStr">
        <is>
          <t>VÄSTERBOTTENS LÄN</t>
        </is>
      </c>
      <c r="E5741" t="inlineStr">
        <is>
          <t>LYCKSELE</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70210-2021</t>
        </is>
      </c>
      <c r="B5742" s="1" t="n">
        <v>44535</v>
      </c>
      <c r="C5742" s="1" t="n">
        <v>45357</v>
      </c>
      <c r="D5742" t="inlineStr">
        <is>
          <t>VÄSTERBOTTENS LÄN</t>
        </is>
      </c>
      <c r="E5742" t="inlineStr">
        <is>
          <t>LYCKSELE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70211-2021</t>
        </is>
      </c>
      <c r="B5743" s="1" t="n">
        <v>44535</v>
      </c>
      <c r="C5743" s="1" t="n">
        <v>45357</v>
      </c>
      <c r="D5743" t="inlineStr">
        <is>
          <t>VÄSTERBOTTENS LÄN</t>
        </is>
      </c>
      <c r="E5743" t="inlineStr">
        <is>
          <t>LYCKSELE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70208-2021</t>
        </is>
      </c>
      <c r="B5744" s="1" t="n">
        <v>44535</v>
      </c>
      <c r="C5744" s="1" t="n">
        <v>45357</v>
      </c>
      <c r="D5744" t="inlineStr">
        <is>
          <t>VÄSTERBOTTENS LÄN</t>
        </is>
      </c>
      <c r="E5744" t="inlineStr">
        <is>
          <t>LYCKSELE</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70212-2021</t>
        </is>
      </c>
      <c r="B5745" s="1" t="n">
        <v>44535</v>
      </c>
      <c r="C5745" s="1" t="n">
        <v>45357</v>
      </c>
      <c r="D5745" t="inlineStr">
        <is>
          <t>VÄSTERBOTTENS LÄN</t>
        </is>
      </c>
      <c r="E5745" t="inlineStr">
        <is>
          <t>LYCKSELE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70216-2021</t>
        </is>
      </c>
      <c r="B5746" s="1" t="n">
        <v>44535</v>
      </c>
      <c r="C5746" s="1" t="n">
        <v>45357</v>
      </c>
      <c r="D5746" t="inlineStr">
        <is>
          <t>VÄSTERBOTTENS LÄN</t>
        </is>
      </c>
      <c r="E5746" t="inlineStr">
        <is>
          <t>NORSJÖ</t>
        </is>
      </c>
      <c r="G5746" t="n">
        <v>16.4</v>
      </c>
      <c r="H5746" t="n">
        <v>0</v>
      </c>
      <c r="I5746" t="n">
        <v>0</v>
      </c>
      <c r="J5746" t="n">
        <v>0</v>
      </c>
      <c r="K5746" t="n">
        <v>0</v>
      </c>
      <c r="L5746" t="n">
        <v>0</v>
      </c>
      <c r="M5746" t="n">
        <v>0</v>
      </c>
      <c r="N5746" t="n">
        <v>0</v>
      </c>
      <c r="O5746" t="n">
        <v>0</v>
      </c>
      <c r="P5746" t="n">
        <v>0</v>
      </c>
      <c r="Q5746" t="n">
        <v>0</v>
      </c>
      <c r="R5746" s="2" t="inlineStr"/>
    </row>
    <row r="5747" ht="15" customHeight="1">
      <c r="A5747" t="inlineStr">
        <is>
          <t>A 70365-2021</t>
        </is>
      </c>
      <c r="B5747" s="1" t="n">
        <v>44535</v>
      </c>
      <c r="C5747" s="1" t="n">
        <v>45357</v>
      </c>
      <c r="D5747" t="inlineStr">
        <is>
          <t>VÄSTERBOTTENS LÄN</t>
        </is>
      </c>
      <c r="E5747" t="inlineStr">
        <is>
          <t>ROBERTSFORS</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70209-2021</t>
        </is>
      </c>
      <c r="B5748" s="1" t="n">
        <v>44535</v>
      </c>
      <c r="C5748" s="1" t="n">
        <v>45357</v>
      </c>
      <c r="D5748" t="inlineStr">
        <is>
          <t>VÄSTERBOTTENS LÄN</t>
        </is>
      </c>
      <c r="E5748" t="inlineStr">
        <is>
          <t>LYCKSELE</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70213-2021</t>
        </is>
      </c>
      <c r="B5749" s="1" t="n">
        <v>44535</v>
      </c>
      <c r="C5749" s="1" t="n">
        <v>45357</v>
      </c>
      <c r="D5749" t="inlineStr">
        <is>
          <t>VÄSTERBOTTENS LÄN</t>
        </is>
      </c>
      <c r="E5749" t="inlineStr">
        <is>
          <t>LYCKSELE</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70272-2021</t>
        </is>
      </c>
      <c r="B5750" s="1" t="n">
        <v>44536</v>
      </c>
      <c r="C5750" s="1" t="n">
        <v>45357</v>
      </c>
      <c r="D5750" t="inlineStr">
        <is>
          <t>VÄSTERBOTTENS LÄN</t>
        </is>
      </c>
      <c r="E5750" t="inlineStr">
        <is>
          <t>SKELLEFTEÅ</t>
        </is>
      </c>
      <c r="F5750" t="inlineStr">
        <is>
          <t>Kyrkan</t>
        </is>
      </c>
      <c r="G5750" t="n">
        <v>12.4</v>
      </c>
      <c r="H5750" t="n">
        <v>0</v>
      </c>
      <c r="I5750" t="n">
        <v>0</v>
      </c>
      <c r="J5750" t="n">
        <v>0</v>
      </c>
      <c r="K5750" t="n">
        <v>0</v>
      </c>
      <c r="L5750" t="n">
        <v>0</v>
      </c>
      <c r="M5750" t="n">
        <v>0</v>
      </c>
      <c r="N5750" t="n">
        <v>0</v>
      </c>
      <c r="O5750" t="n">
        <v>0</v>
      </c>
      <c r="P5750" t="n">
        <v>0</v>
      </c>
      <c r="Q5750" t="n">
        <v>0</v>
      </c>
      <c r="R5750" s="2" t="inlineStr"/>
    </row>
    <row r="5751" ht="15" customHeight="1">
      <c r="A5751" t="inlineStr">
        <is>
          <t>A 70339-2021</t>
        </is>
      </c>
      <c r="B5751" s="1" t="n">
        <v>44536</v>
      </c>
      <c r="C5751" s="1" t="n">
        <v>45357</v>
      </c>
      <c r="D5751" t="inlineStr">
        <is>
          <t>VÄSTERBOTTENS LÄN</t>
        </is>
      </c>
      <c r="E5751" t="inlineStr">
        <is>
          <t>SKELLEFTEÅ</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70375-2021</t>
        </is>
      </c>
      <c r="B5752" s="1" t="n">
        <v>44536</v>
      </c>
      <c r="C5752" s="1" t="n">
        <v>45357</v>
      </c>
      <c r="D5752" t="inlineStr">
        <is>
          <t>VÄSTERBOTTENS LÄN</t>
        </is>
      </c>
      <c r="E5752" t="inlineStr">
        <is>
          <t>NORSJÖ</t>
        </is>
      </c>
      <c r="F5752" t="inlineStr">
        <is>
          <t>Sveaskog</t>
        </is>
      </c>
      <c r="G5752" t="n">
        <v>16.8</v>
      </c>
      <c r="H5752" t="n">
        <v>0</v>
      </c>
      <c r="I5752" t="n">
        <v>0</v>
      </c>
      <c r="J5752" t="n">
        <v>0</v>
      </c>
      <c r="K5752" t="n">
        <v>0</v>
      </c>
      <c r="L5752" t="n">
        <v>0</v>
      </c>
      <c r="M5752" t="n">
        <v>0</v>
      </c>
      <c r="N5752" t="n">
        <v>0</v>
      </c>
      <c r="O5752" t="n">
        <v>0</v>
      </c>
      <c r="P5752" t="n">
        <v>0</v>
      </c>
      <c r="Q5752" t="n">
        <v>0</v>
      </c>
      <c r="R5752" s="2" t="inlineStr"/>
    </row>
    <row r="5753" ht="15" customHeight="1">
      <c r="A5753" t="inlineStr">
        <is>
          <t>A 70519-2021</t>
        </is>
      </c>
      <c r="B5753" s="1" t="n">
        <v>44536</v>
      </c>
      <c r="C5753" s="1" t="n">
        <v>45357</v>
      </c>
      <c r="D5753" t="inlineStr">
        <is>
          <t>VÄSTERBOTTENS LÄN</t>
        </is>
      </c>
      <c r="E5753" t="inlineStr">
        <is>
          <t>DOROTEA</t>
        </is>
      </c>
      <c r="F5753" t="inlineStr">
        <is>
          <t>SCA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70508-2021</t>
        </is>
      </c>
      <c r="B5754" s="1" t="n">
        <v>44536</v>
      </c>
      <c r="C5754" s="1" t="n">
        <v>45357</v>
      </c>
      <c r="D5754" t="inlineStr">
        <is>
          <t>VÄSTERBOTTENS LÄN</t>
        </is>
      </c>
      <c r="E5754" t="inlineStr">
        <is>
          <t>SKELLEFTEÅ</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70465-2021</t>
        </is>
      </c>
      <c r="B5755" s="1" t="n">
        <v>44536</v>
      </c>
      <c r="C5755" s="1" t="n">
        <v>45357</v>
      </c>
      <c r="D5755" t="inlineStr">
        <is>
          <t>VÄSTERBOTTENS LÄN</t>
        </is>
      </c>
      <c r="E5755" t="inlineStr">
        <is>
          <t>NORDMALING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70723-2021</t>
        </is>
      </c>
      <c r="B5756" s="1" t="n">
        <v>44536</v>
      </c>
      <c r="C5756" s="1" t="n">
        <v>45357</v>
      </c>
      <c r="D5756" t="inlineStr">
        <is>
          <t>VÄSTERBOTTENS LÄN</t>
        </is>
      </c>
      <c r="E5756" t="inlineStr">
        <is>
          <t>VINDELN</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70703-2021</t>
        </is>
      </c>
      <c r="B5757" s="1" t="n">
        <v>44536</v>
      </c>
      <c r="C5757" s="1" t="n">
        <v>45357</v>
      </c>
      <c r="D5757" t="inlineStr">
        <is>
          <t>VÄSTERBOTTENS LÄN</t>
        </is>
      </c>
      <c r="E5757" t="inlineStr">
        <is>
          <t>SKELLEFTEÅ</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70753-2021</t>
        </is>
      </c>
      <c r="B5758" s="1" t="n">
        <v>44536</v>
      </c>
      <c r="C5758" s="1" t="n">
        <v>45357</v>
      </c>
      <c r="D5758" t="inlineStr">
        <is>
          <t>VÄSTERBOTTENS LÄN</t>
        </is>
      </c>
      <c r="E5758" t="inlineStr">
        <is>
          <t>VINDELN</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70735-2021</t>
        </is>
      </c>
      <c r="B5759" s="1" t="n">
        <v>44536</v>
      </c>
      <c r="C5759" s="1" t="n">
        <v>45357</v>
      </c>
      <c r="D5759" t="inlineStr">
        <is>
          <t>VÄSTERBOTTENS LÄN</t>
        </is>
      </c>
      <c r="E5759" t="inlineStr">
        <is>
          <t>VINDELN</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70699-2021</t>
        </is>
      </c>
      <c r="B5760" s="1" t="n">
        <v>44536</v>
      </c>
      <c r="C5760" s="1" t="n">
        <v>45357</v>
      </c>
      <c r="D5760" t="inlineStr">
        <is>
          <t>VÄSTERBOTTENS LÄN</t>
        </is>
      </c>
      <c r="E5760" t="inlineStr">
        <is>
          <t>VINDELN</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70718-2021</t>
        </is>
      </c>
      <c r="B5761" s="1" t="n">
        <v>44536</v>
      </c>
      <c r="C5761" s="1" t="n">
        <v>45357</v>
      </c>
      <c r="D5761" t="inlineStr">
        <is>
          <t>VÄSTERBOTTENS LÄN</t>
        </is>
      </c>
      <c r="E5761" t="inlineStr">
        <is>
          <t>SKELLEFTEÅ</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70740-2021</t>
        </is>
      </c>
      <c r="B5762" s="1" t="n">
        <v>44536</v>
      </c>
      <c r="C5762" s="1" t="n">
        <v>45357</v>
      </c>
      <c r="D5762" t="inlineStr">
        <is>
          <t>VÄSTERBOTTENS LÄN</t>
        </is>
      </c>
      <c r="E5762" t="inlineStr">
        <is>
          <t>BJURHOLM</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70851-2021</t>
        </is>
      </c>
      <c r="B5763" s="1" t="n">
        <v>44536</v>
      </c>
      <c r="C5763" s="1" t="n">
        <v>45357</v>
      </c>
      <c r="D5763" t="inlineStr">
        <is>
          <t>VÄSTERBOTTENS LÄN</t>
        </is>
      </c>
      <c r="E5763" t="inlineStr">
        <is>
          <t>SKELLEFTEÅ</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70558-2021</t>
        </is>
      </c>
      <c r="B5764" s="1" t="n">
        <v>44537</v>
      </c>
      <c r="C5764" s="1" t="n">
        <v>45357</v>
      </c>
      <c r="D5764" t="inlineStr">
        <is>
          <t>VÄSTERBOTTENS LÄN</t>
        </is>
      </c>
      <c r="E5764" t="inlineStr">
        <is>
          <t>SKELLEFTEÅ</t>
        </is>
      </c>
      <c r="F5764" t="inlineStr">
        <is>
          <t>Sveaskog</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70748-2021</t>
        </is>
      </c>
      <c r="B5765" s="1" t="n">
        <v>44537</v>
      </c>
      <c r="C5765" s="1" t="n">
        <v>45357</v>
      </c>
      <c r="D5765" t="inlineStr">
        <is>
          <t>VÄSTERBOTTENS LÄN</t>
        </is>
      </c>
      <c r="E5765" t="inlineStr">
        <is>
          <t>SKELLEFTEÅ</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70811-2021</t>
        </is>
      </c>
      <c r="B5766" s="1" t="n">
        <v>44537</v>
      </c>
      <c r="C5766" s="1" t="n">
        <v>45357</v>
      </c>
      <c r="D5766" t="inlineStr">
        <is>
          <t>VÄSTERBOTTENS LÄN</t>
        </is>
      </c>
      <c r="E5766" t="inlineStr">
        <is>
          <t>VILHELMINA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70817-2021</t>
        </is>
      </c>
      <c r="B5767" s="1" t="n">
        <v>44537</v>
      </c>
      <c r="C5767" s="1" t="n">
        <v>45357</v>
      </c>
      <c r="D5767" t="inlineStr">
        <is>
          <t>VÄSTERBOTTENS LÄN</t>
        </is>
      </c>
      <c r="E5767" t="inlineStr">
        <is>
          <t>LYCKSELE</t>
        </is>
      </c>
      <c r="F5767" t="inlineStr">
        <is>
          <t>Naturvårdsverket</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70881-2021</t>
        </is>
      </c>
      <c r="B5768" s="1" t="n">
        <v>44537</v>
      </c>
      <c r="C5768" s="1" t="n">
        <v>45357</v>
      </c>
      <c r="D5768" t="inlineStr">
        <is>
          <t>VÄSTERBOTTENS LÄN</t>
        </is>
      </c>
      <c r="E5768" t="inlineStr">
        <is>
          <t>VINDELN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71019-2021</t>
        </is>
      </c>
      <c r="B5769" s="1" t="n">
        <v>44538</v>
      </c>
      <c r="C5769" s="1" t="n">
        <v>45357</v>
      </c>
      <c r="D5769" t="inlineStr">
        <is>
          <t>VÄSTERBOTTENS LÄN</t>
        </is>
      </c>
      <c r="E5769" t="inlineStr">
        <is>
          <t>SKELLEFTEÅ</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71228-2021</t>
        </is>
      </c>
      <c r="B5770" s="1" t="n">
        <v>44538</v>
      </c>
      <c r="C5770" s="1" t="n">
        <v>45357</v>
      </c>
      <c r="D5770" t="inlineStr">
        <is>
          <t>VÄSTERBOTTENS LÄN</t>
        </is>
      </c>
      <c r="E5770" t="inlineStr">
        <is>
          <t>LYCKSELE</t>
        </is>
      </c>
      <c r="G5770" t="n">
        <v>11.8</v>
      </c>
      <c r="H5770" t="n">
        <v>0</v>
      </c>
      <c r="I5770" t="n">
        <v>0</v>
      </c>
      <c r="J5770" t="n">
        <v>0</v>
      </c>
      <c r="K5770" t="n">
        <v>0</v>
      </c>
      <c r="L5770" t="n">
        <v>0</v>
      </c>
      <c r="M5770" t="n">
        <v>0</v>
      </c>
      <c r="N5770" t="n">
        <v>0</v>
      </c>
      <c r="O5770" t="n">
        <v>0</v>
      </c>
      <c r="P5770" t="n">
        <v>0</v>
      </c>
      <c r="Q5770" t="n">
        <v>0</v>
      </c>
      <c r="R5770" s="2" t="inlineStr"/>
    </row>
    <row r="5771" ht="15" customHeight="1">
      <c r="A5771" t="inlineStr">
        <is>
          <t>A 71517-2021</t>
        </is>
      </c>
      <c r="B5771" s="1" t="n">
        <v>44538</v>
      </c>
      <c r="C5771" s="1" t="n">
        <v>45357</v>
      </c>
      <c r="D5771" t="inlineStr">
        <is>
          <t>VÄSTERBOTTENS LÄN</t>
        </is>
      </c>
      <c r="E5771" t="inlineStr">
        <is>
          <t>SORSELE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71410-2021</t>
        </is>
      </c>
      <c r="B5772" s="1" t="n">
        <v>44540</v>
      </c>
      <c r="C5772" s="1" t="n">
        <v>45357</v>
      </c>
      <c r="D5772" t="inlineStr">
        <is>
          <t>VÄSTERBOTTENS LÄN</t>
        </is>
      </c>
      <c r="E5772" t="inlineStr">
        <is>
          <t>SKELLEFTEÅ</t>
        </is>
      </c>
      <c r="F5772" t="inlineStr">
        <is>
          <t>Sveaskog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71422-2021</t>
        </is>
      </c>
      <c r="B5773" s="1" t="n">
        <v>44540</v>
      </c>
      <c r="C5773" s="1" t="n">
        <v>45357</v>
      </c>
      <c r="D5773" t="inlineStr">
        <is>
          <t>VÄSTERBOTTENS LÄN</t>
        </is>
      </c>
      <c r="E5773" t="inlineStr">
        <is>
          <t>SKELLEFTEÅ</t>
        </is>
      </c>
      <c r="F5773" t="inlineStr">
        <is>
          <t>Sveaskog</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71412-2021</t>
        </is>
      </c>
      <c r="B5774" s="1" t="n">
        <v>44540</v>
      </c>
      <c r="C5774" s="1" t="n">
        <v>45357</v>
      </c>
      <c r="D5774" t="inlineStr">
        <is>
          <t>VÄSTERBOTTENS LÄN</t>
        </is>
      </c>
      <c r="E5774" t="inlineStr">
        <is>
          <t>LYCKSELE</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71445-2021</t>
        </is>
      </c>
      <c r="B5775" s="1" t="n">
        <v>44540</v>
      </c>
      <c r="C5775" s="1" t="n">
        <v>45357</v>
      </c>
      <c r="D5775" t="inlineStr">
        <is>
          <t>VÄSTERBOTTENS LÄN</t>
        </is>
      </c>
      <c r="E5775" t="inlineStr">
        <is>
          <t>SKELLEFTEÅ</t>
        </is>
      </c>
      <c r="F5775" t="inlineStr">
        <is>
          <t>Sveaskog</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71464-2021</t>
        </is>
      </c>
      <c r="B5776" s="1" t="n">
        <v>44540</v>
      </c>
      <c r="C5776" s="1" t="n">
        <v>45357</v>
      </c>
      <c r="D5776" t="inlineStr">
        <is>
          <t>VÄSTERBOTTENS LÄN</t>
        </is>
      </c>
      <c r="E5776" t="inlineStr">
        <is>
          <t>SKELLEFTEÅ</t>
        </is>
      </c>
      <c r="F5776" t="inlineStr">
        <is>
          <t>Sveaskog</t>
        </is>
      </c>
      <c r="G5776" t="n">
        <v>10.9</v>
      </c>
      <c r="H5776" t="n">
        <v>0</v>
      </c>
      <c r="I5776" t="n">
        <v>0</v>
      </c>
      <c r="J5776" t="n">
        <v>0</v>
      </c>
      <c r="K5776" t="n">
        <v>0</v>
      </c>
      <c r="L5776" t="n">
        <v>0</v>
      </c>
      <c r="M5776" t="n">
        <v>0</v>
      </c>
      <c r="N5776" t="n">
        <v>0</v>
      </c>
      <c r="O5776" t="n">
        <v>0</v>
      </c>
      <c r="P5776" t="n">
        <v>0</v>
      </c>
      <c r="Q5776" t="n">
        <v>0</v>
      </c>
      <c r="R5776" s="2" t="inlineStr"/>
    </row>
    <row r="5777" ht="15" customHeight="1">
      <c r="A5777" t="inlineStr">
        <is>
          <t>A 71407-2021</t>
        </is>
      </c>
      <c r="B5777" s="1" t="n">
        <v>44540</v>
      </c>
      <c r="C5777" s="1" t="n">
        <v>45357</v>
      </c>
      <c r="D5777" t="inlineStr">
        <is>
          <t>VÄSTERBOTTENS LÄN</t>
        </is>
      </c>
      <c r="E5777" t="inlineStr">
        <is>
          <t>LYCKSELE</t>
        </is>
      </c>
      <c r="G5777" t="n">
        <v>9.4</v>
      </c>
      <c r="H5777" t="n">
        <v>0</v>
      </c>
      <c r="I5777" t="n">
        <v>0</v>
      </c>
      <c r="J5777" t="n">
        <v>0</v>
      </c>
      <c r="K5777" t="n">
        <v>0</v>
      </c>
      <c r="L5777" t="n">
        <v>0</v>
      </c>
      <c r="M5777" t="n">
        <v>0</v>
      </c>
      <c r="N5777" t="n">
        <v>0</v>
      </c>
      <c r="O5777" t="n">
        <v>0</v>
      </c>
      <c r="P5777" t="n">
        <v>0</v>
      </c>
      <c r="Q5777" t="n">
        <v>0</v>
      </c>
      <c r="R5777" s="2" t="inlineStr"/>
    </row>
    <row r="5778" ht="15" customHeight="1">
      <c r="A5778" t="inlineStr">
        <is>
          <t>A 71434-2021</t>
        </is>
      </c>
      <c r="B5778" s="1" t="n">
        <v>44540</v>
      </c>
      <c r="C5778" s="1" t="n">
        <v>45357</v>
      </c>
      <c r="D5778" t="inlineStr">
        <is>
          <t>VÄSTERBOTTENS LÄN</t>
        </is>
      </c>
      <c r="E5778" t="inlineStr">
        <is>
          <t>SKELLEFTEÅ</t>
        </is>
      </c>
      <c r="F5778" t="inlineStr">
        <is>
          <t>Sveaskog</t>
        </is>
      </c>
      <c r="G5778" t="n">
        <v>13.2</v>
      </c>
      <c r="H5778" t="n">
        <v>0</v>
      </c>
      <c r="I5778" t="n">
        <v>0</v>
      </c>
      <c r="J5778" t="n">
        <v>0</v>
      </c>
      <c r="K5778" t="n">
        <v>0</v>
      </c>
      <c r="L5778" t="n">
        <v>0</v>
      </c>
      <c r="M5778" t="n">
        <v>0</v>
      </c>
      <c r="N5778" t="n">
        <v>0</v>
      </c>
      <c r="O5778" t="n">
        <v>0</v>
      </c>
      <c r="P5778" t="n">
        <v>0</v>
      </c>
      <c r="Q5778" t="n">
        <v>0</v>
      </c>
      <c r="R5778" s="2" t="inlineStr"/>
    </row>
    <row r="5779" ht="15" customHeight="1">
      <c r="A5779" t="inlineStr">
        <is>
          <t>A 71565-2021</t>
        </is>
      </c>
      <c r="B5779" s="1" t="n">
        <v>44540</v>
      </c>
      <c r="C5779" s="1" t="n">
        <v>45357</v>
      </c>
      <c r="D5779" t="inlineStr">
        <is>
          <t>VÄSTERBOTTENS LÄN</t>
        </is>
      </c>
      <c r="E5779" t="inlineStr">
        <is>
          <t>SKELLEFTEÅ</t>
        </is>
      </c>
      <c r="F5779" t="inlineStr">
        <is>
          <t>Sveaskog</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71400-2021</t>
        </is>
      </c>
      <c r="B5780" s="1" t="n">
        <v>44540</v>
      </c>
      <c r="C5780" s="1" t="n">
        <v>45357</v>
      </c>
      <c r="D5780" t="inlineStr">
        <is>
          <t>VÄSTERBOTTENS LÄN</t>
        </is>
      </c>
      <c r="E5780" t="inlineStr">
        <is>
          <t>SKELLEFTEÅ</t>
        </is>
      </c>
      <c r="F5780" t="inlineStr">
        <is>
          <t>Sveaskog</t>
        </is>
      </c>
      <c r="G5780" t="n">
        <v>11.9</v>
      </c>
      <c r="H5780" t="n">
        <v>0</v>
      </c>
      <c r="I5780" t="n">
        <v>0</v>
      </c>
      <c r="J5780" t="n">
        <v>0</v>
      </c>
      <c r="K5780" t="n">
        <v>0</v>
      </c>
      <c r="L5780" t="n">
        <v>0</v>
      </c>
      <c r="M5780" t="n">
        <v>0</v>
      </c>
      <c r="N5780" t="n">
        <v>0</v>
      </c>
      <c r="O5780" t="n">
        <v>0</v>
      </c>
      <c r="P5780" t="n">
        <v>0</v>
      </c>
      <c r="Q5780" t="n">
        <v>0</v>
      </c>
      <c r="R5780" s="2" t="inlineStr"/>
    </row>
    <row r="5781" ht="15" customHeight="1">
      <c r="A5781" t="inlineStr">
        <is>
          <t>A 71460-2021</t>
        </is>
      </c>
      <c r="B5781" s="1" t="n">
        <v>44540</v>
      </c>
      <c r="C5781" s="1" t="n">
        <v>45357</v>
      </c>
      <c r="D5781" t="inlineStr">
        <is>
          <t>VÄSTERBOTTENS LÄN</t>
        </is>
      </c>
      <c r="E5781" t="inlineStr">
        <is>
          <t>SKELLEFTEÅ</t>
        </is>
      </c>
      <c r="F5781" t="inlineStr">
        <is>
          <t>Sveaskog</t>
        </is>
      </c>
      <c r="G5781" t="n">
        <v>8.6</v>
      </c>
      <c r="H5781" t="n">
        <v>0</v>
      </c>
      <c r="I5781" t="n">
        <v>0</v>
      </c>
      <c r="J5781" t="n">
        <v>0</v>
      </c>
      <c r="K5781" t="n">
        <v>0</v>
      </c>
      <c r="L5781" t="n">
        <v>0</v>
      </c>
      <c r="M5781" t="n">
        <v>0</v>
      </c>
      <c r="N5781" t="n">
        <v>0</v>
      </c>
      <c r="O5781" t="n">
        <v>0</v>
      </c>
      <c r="P5781" t="n">
        <v>0</v>
      </c>
      <c r="Q5781" t="n">
        <v>0</v>
      </c>
      <c r="R5781" s="2" t="inlineStr"/>
    </row>
    <row r="5782" ht="15" customHeight="1">
      <c r="A5782" t="inlineStr">
        <is>
          <t>A 71459-2021</t>
        </is>
      </c>
      <c r="B5782" s="1" t="n">
        <v>44540</v>
      </c>
      <c r="C5782" s="1" t="n">
        <v>45357</v>
      </c>
      <c r="D5782" t="inlineStr">
        <is>
          <t>VÄSTERBOTTENS LÄN</t>
        </is>
      </c>
      <c r="E5782" t="inlineStr">
        <is>
          <t>SKELLEFTEÅ</t>
        </is>
      </c>
      <c r="F5782" t="inlineStr">
        <is>
          <t>Sveaskog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71577-2021</t>
        </is>
      </c>
      <c r="B5783" s="1" t="n">
        <v>44540</v>
      </c>
      <c r="C5783" s="1" t="n">
        <v>45357</v>
      </c>
      <c r="D5783" t="inlineStr">
        <is>
          <t>VÄSTERBOTTENS LÄN</t>
        </is>
      </c>
      <c r="E5783" t="inlineStr">
        <is>
          <t>VINDELN</t>
        </is>
      </c>
      <c r="G5783" t="n">
        <v>10.1</v>
      </c>
      <c r="H5783" t="n">
        <v>0</v>
      </c>
      <c r="I5783" t="n">
        <v>0</v>
      </c>
      <c r="J5783" t="n">
        <v>0</v>
      </c>
      <c r="K5783" t="n">
        <v>0</v>
      </c>
      <c r="L5783" t="n">
        <v>0</v>
      </c>
      <c r="M5783" t="n">
        <v>0</v>
      </c>
      <c r="N5783" t="n">
        <v>0</v>
      </c>
      <c r="O5783" t="n">
        <v>0</v>
      </c>
      <c r="P5783" t="n">
        <v>0</v>
      </c>
      <c r="Q5783" t="n">
        <v>0</v>
      </c>
      <c r="R5783" s="2" t="inlineStr"/>
    </row>
    <row r="5784" ht="15" customHeight="1">
      <c r="A5784" t="inlineStr">
        <is>
          <t>A 72057-2021</t>
        </is>
      </c>
      <c r="B5784" s="1" t="n">
        <v>44540</v>
      </c>
      <c r="C5784" s="1" t="n">
        <v>45357</v>
      </c>
      <c r="D5784" t="inlineStr">
        <is>
          <t>VÄSTERBOTTENS LÄN</t>
        </is>
      </c>
      <c r="E5784" t="inlineStr">
        <is>
          <t>VILHELMINA</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71582-2021</t>
        </is>
      </c>
      <c r="B5785" s="1" t="n">
        <v>44540</v>
      </c>
      <c r="C5785" s="1" t="n">
        <v>45357</v>
      </c>
      <c r="D5785" t="inlineStr">
        <is>
          <t>VÄSTERBOTTENS LÄN</t>
        </is>
      </c>
      <c r="E5785" t="inlineStr">
        <is>
          <t>VINDELN</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71581-2021</t>
        </is>
      </c>
      <c r="B5786" s="1" t="n">
        <v>44540</v>
      </c>
      <c r="C5786" s="1" t="n">
        <v>45357</v>
      </c>
      <c r="D5786" t="inlineStr">
        <is>
          <t>VÄSTERBOTTENS LÄN</t>
        </is>
      </c>
      <c r="E5786" t="inlineStr">
        <is>
          <t>VINDELN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72018-2021</t>
        </is>
      </c>
      <c r="B5787" s="1" t="n">
        <v>44540</v>
      </c>
      <c r="C5787" s="1" t="n">
        <v>45357</v>
      </c>
      <c r="D5787" t="inlineStr">
        <is>
          <t>VÄSTERBOTTENS LÄN</t>
        </is>
      </c>
      <c r="E5787" t="inlineStr">
        <is>
          <t>NORDMALING</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71850-2021</t>
        </is>
      </c>
      <c r="B5788" s="1" t="n">
        <v>44543</v>
      </c>
      <c r="C5788" s="1" t="n">
        <v>45357</v>
      </c>
      <c r="D5788" t="inlineStr">
        <is>
          <t>VÄSTERBOTTENS LÄN</t>
        </is>
      </c>
      <c r="E5788" t="inlineStr">
        <is>
          <t>STORUMAN</t>
        </is>
      </c>
      <c r="F5788" t="inlineStr">
        <is>
          <t>Holmen skog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71798-2021</t>
        </is>
      </c>
      <c r="B5789" s="1" t="n">
        <v>44543</v>
      </c>
      <c r="C5789" s="1" t="n">
        <v>45357</v>
      </c>
      <c r="D5789" t="inlineStr">
        <is>
          <t>VÄSTERBOTTENS LÄN</t>
        </is>
      </c>
      <c r="E5789" t="inlineStr">
        <is>
          <t>SKELLEFTEÅ</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71806-2021</t>
        </is>
      </c>
      <c r="B5790" s="1" t="n">
        <v>44543</v>
      </c>
      <c r="C5790" s="1" t="n">
        <v>45357</v>
      </c>
      <c r="D5790" t="inlineStr">
        <is>
          <t>VÄSTERBOTTENS LÄN</t>
        </is>
      </c>
      <c r="E5790" t="inlineStr">
        <is>
          <t>UMEÅ</t>
        </is>
      </c>
      <c r="F5790" t="inlineStr">
        <is>
          <t>Sveaskog</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71829-2021</t>
        </is>
      </c>
      <c r="B5791" s="1" t="n">
        <v>44543</v>
      </c>
      <c r="C5791" s="1" t="n">
        <v>45357</v>
      </c>
      <c r="D5791" t="inlineStr">
        <is>
          <t>VÄSTERBOTTENS LÄN</t>
        </is>
      </c>
      <c r="E5791" t="inlineStr">
        <is>
          <t>NORDMALING</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71924-2021</t>
        </is>
      </c>
      <c r="B5792" s="1" t="n">
        <v>44543</v>
      </c>
      <c r="C5792" s="1" t="n">
        <v>45357</v>
      </c>
      <c r="D5792" t="inlineStr">
        <is>
          <t>VÄSTERBOTTENS LÄN</t>
        </is>
      </c>
      <c r="E5792" t="inlineStr">
        <is>
          <t>SKELLEFTEÅ</t>
        </is>
      </c>
      <c r="F5792" t="inlineStr">
        <is>
          <t>SCA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71943-2021</t>
        </is>
      </c>
      <c r="B5793" s="1" t="n">
        <v>44543</v>
      </c>
      <c r="C5793" s="1" t="n">
        <v>45357</v>
      </c>
      <c r="D5793" t="inlineStr">
        <is>
          <t>VÄSTERBOTTENS LÄN</t>
        </is>
      </c>
      <c r="E5793" t="inlineStr">
        <is>
          <t>SKELLEFTEÅ</t>
        </is>
      </c>
      <c r="F5793" t="inlineStr">
        <is>
          <t>SCA</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72125-2021</t>
        </is>
      </c>
      <c r="B5794" s="1" t="n">
        <v>44543</v>
      </c>
      <c r="C5794" s="1" t="n">
        <v>45357</v>
      </c>
      <c r="D5794" t="inlineStr">
        <is>
          <t>VÄSTERBOTTENS LÄN</t>
        </is>
      </c>
      <c r="E5794" t="inlineStr">
        <is>
          <t>UMEÅ</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72281-2021</t>
        </is>
      </c>
      <c r="B5795" s="1" t="n">
        <v>44543</v>
      </c>
      <c r="C5795" s="1" t="n">
        <v>45357</v>
      </c>
      <c r="D5795" t="inlineStr">
        <is>
          <t>VÄSTERBOTTENS LÄN</t>
        </is>
      </c>
      <c r="E5795" t="inlineStr">
        <is>
          <t>STORUMAN</t>
        </is>
      </c>
      <c r="G5795" t="n">
        <v>18.5</v>
      </c>
      <c r="H5795" t="n">
        <v>0</v>
      </c>
      <c r="I5795" t="n">
        <v>0</v>
      </c>
      <c r="J5795" t="n">
        <v>0</v>
      </c>
      <c r="K5795" t="n">
        <v>0</v>
      </c>
      <c r="L5795" t="n">
        <v>0</v>
      </c>
      <c r="M5795" t="n">
        <v>0</v>
      </c>
      <c r="N5795" t="n">
        <v>0</v>
      </c>
      <c r="O5795" t="n">
        <v>0</v>
      </c>
      <c r="P5795" t="n">
        <v>0</v>
      </c>
      <c r="Q5795" t="n">
        <v>0</v>
      </c>
      <c r="R5795" s="2" t="inlineStr"/>
    </row>
    <row r="5796" ht="15" customHeight="1">
      <c r="A5796" t="inlineStr">
        <is>
          <t>A 71931-2021</t>
        </is>
      </c>
      <c r="B5796" s="1" t="n">
        <v>44543</v>
      </c>
      <c r="C5796" s="1" t="n">
        <v>45357</v>
      </c>
      <c r="D5796" t="inlineStr">
        <is>
          <t>VÄSTERBOTTENS LÄN</t>
        </is>
      </c>
      <c r="E5796" t="inlineStr">
        <is>
          <t>SKELLEFTEÅ</t>
        </is>
      </c>
      <c r="F5796" t="inlineStr">
        <is>
          <t>SCA</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72093-2021</t>
        </is>
      </c>
      <c r="B5797" s="1" t="n">
        <v>44543</v>
      </c>
      <c r="C5797" s="1" t="n">
        <v>45357</v>
      </c>
      <c r="D5797" t="inlineStr">
        <is>
          <t>VÄSTERBOTTENS LÄN</t>
        </is>
      </c>
      <c r="E5797" t="inlineStr">
        <is>
          <t>STORUMAN</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72131-2021</t>
        </is>
      </c>
      <c r="B5798" s="1" t="n">
        <v>44543</v>
      </c>
      <c r="C5798" s="1" t="n">
        <v>45357</v>
      </c>
      <c r="D5798" t="inlineStr">
        <is>
          <t>VÄSTERBOTTENS LÄN</t>
        </is>
      </c>
      <c r="E5798" t="inlineStr">
        <is>
          <t>LYCKSELE</t>
        </is>
      </c>
      <c r="G5798" t="n">
        <v>19.1</v>
      </c>
      <c r="H5798" t="n">
        <v>0</v>
      </c>
      <c r="I5798" t="n">
        <v>0</v>
      </c>
      <c r="J5798" t="n">
        <v>0</v>
      </c>
      <c r="K5798" t="n">
        <v>0</v>
      </c>
      <c r="L5798" t="n">
        <v>0</v>
      </c>
      <c r="M5798" t="n">
        <v>0</v>
      </c>
      <c r="N5798" t="n">
        <v>0</v>
      </c>
      <c r="O5798" t="n">
        <v>0</v>
      </c>
      <c r="P5798" t="n">
        <v>0</v>
      </c>
      <c r="Q5798" t="n">
        <v>0</v>
      </c>
      <c r="R5798" s="2" t="inlineStr"/>
    </row>
    <row r="5799" ht="15" customHeight="1">
      <c r="A5799" t="inlineStr">
        <is>
          <t>A 72203-2021</t>
        </is>
      </c>
      <c r="B5799" s="1" t="n">
        <v>44543</v>
      </c>
      <c r="C5799" s="1" t="n">
        <v>45357</v>
      </c>
      <c r="D5799" t="inlineStr">
        <is>
          <t>VÄSTERBOTTENS LÄN</t>
        </is>
      </c>
      <c r="E5799" t="inlineStr">
        <is>
          <t>SKELLEFTEÅ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71934-2021</t>
        </is>
      </c>
      <c r="B5800" s="1" t="n">
        <v>44543</v>
      </c>
      <c r="C5800" s="1" t="n">
        <v>45357</v>
      </c>
      <c r="D5800" t="inlineStr">
        <is>
          <t>VÄSTERBOTTENS LÄN</t>
        </is>
      </c>
      <c r="E5800" t="inlineStr">
        <is>
          <t>SKELLEFTEÅ</t>
        </is>
      </c>
      <c r="F5800" t="inlineStr">
        <is>
          <t>SCA</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72153-2021</t>
        </is>
      </c>
      <c r="B5801" s="1" t="n">
        <v>44543</v>
      </c>
      <c r="C5801" s="1" t="n">
        <v>45357</v>
      </c>
      <c r="D5801" t="inlineStr">
        <is>
          <t>VÄSTERBOTTENS LÄN</t>
        </is>
      </c>
      <c r="E5801" t="inlineStr">
        <is>
          <t>VILHELMINA</t>
        </is>
      </c>
      <c r="G5801" t="n">
        <v>6.7</v>
      </c>
      <c r="H5801" t="n">
        <v>0</v>
      </c>
      <c r="I5801" t="n">
        <v>0</v>
      </c>
      <c r="J5801" t="n">
        <v>0</v>
      </c>
      <c r="K5801" t="n">
        <v>0</v>
      </c>
      <c r="L5801" t="n">
        <v>0</v>
      </c>
      <c r="M5801" t="n">
        <v>0</v>
      </c>
      <c r="N5801" t="n">
        <v>0</v>
      </c>
      <c r="O5801" t="n">
        <v>0</v>
      </c>
      <c r="P5801" t="n">
        <v>0</v>
      </c>
      <c r="Q5801" t="n">
        <v>0</v>
      </c>
      <c r="R5801" s="2" t="inlineStr"/>
    </row>
    <row r="5802" ht="15" customHeight="1">
      <c r="A5802" t="inlineStr">
        <is>
          <t>A 72132-2021</t>
        </is>
      </c>
      <c r="B5802" s="1" t="n">
        <v>44543</v>
      </c>
      <c r="C5802" s="1" t="n">
        <v>45357</v>
      </c>
      <c r="D5802" t="inlineStr">
        <is>
          <t>VÄSTERBOTTENS LÄN</t>
        </is>
      </c>
      <c r="E5802" t="inlineStr">
        <is>
          <t>MALÅ</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72276-2021</t>
        </is>
      </c>
      <c r="B5803" s="1" t="n">
        <v>44543</v>
      </c>
      <c r="C5803" s="1" t="n">
        <v>45357</v>
      </c>
      <c r="D5803" t="inlineStr">
        <is>
          <t>VÄSTERBOTTENS LÄN</t>
        </is>
      </c>
      <c r="E5803" t="inlineStr">
        <is>
          <t>STORUMAN</t>
        </is>
      </c>
      <c r="G5803" t="n">
        <v>19.8</v>
      </c>
      <c r="H5803" t="n">
        <v>0</v>
      </c>
      <c r="I5803" t="n">
        <v>0</v>
      </c>
      <c r="J5803" t="n">
        <v>0</v>
      </c>
      <c r="K5803" t="n">
        <v>0</v>
      </c>
      <c r="L5803" t="n">
        <v>0</v>
      </c>
      <c r="M5803" t="n">
        <v>0</v>
      </c>
      <c r="N5803" t="n">
        <v>0</v>
      </c>
      <c r="O5803" t="n">
        <v>0</v>
      </c>
      <c r="P5803" t="n">
        <v>0</v>
      </c>
      <c r="Q5803" t="n">
        <v>0</v>
      </c>
      <c r="R5803" s="2" t="inlineStr"/>
    </row>
    <row r="5804" ht="15" customHeight="1">
      <c r="A5804" t="inlineStr">
        <is>
          <t>A 72289-2021</t>
        </is>
      </c>
      <c r="B5804" s="1" t="n">
        <v>44543</v>
      </c>
      <c r="C5804" s="1" t="n">
        <v>45357</v>
      </c>
      <c r="D5804" t="inlineStr">
        <is>
          <t>VÄSTERBOTTENS LÄN</t>
        </is>
      </c>
      <c r="E5804" t="inlineStr">
        <is>
          <t>STORUMAN</t>
        </is>
      </c>
      <c r="G5804" t="n">
        <v>19.7</v>
      </c>
      <c r="H5804" t="n">
        <v>0</v>
      </c>
      <c r="I5804" t="n">
        <v>0</v>
      </c>
      <c r="J5804" t="n">
        <v>0</v>
      </c>
      <c r="K5804" t="n">
        <v>0</v>
      </c>
      <c r="L5804" t="n">
        <v>0</v>
      </c>
      <c r="M5804" t="n">
        <v>0</v>
      </c>
      <c r="N5804" t="n">
        <v>0</v>
      </c>
      <c r="O5804" t="n">
        <v>0</v>
      </c>
      <c r="P5804" t="n">
        <v>0</v>
      </c>
      <c r="Q5804" t="n">
        <v>0</v>
      </c>
      <c r="R5804" s="2" t="inlineStr"/>
    </row>
    <row r="5805" ht="15" customHeight="1">
      <c r="A5805" t="inlineStr">
        <is>
          <t>A 72033-2021</t>
        </is>
      </c>
      <c r="B5805" s="1" t="n">
        <v>44544</v>
      </c>
      <c r="C5805" s="1" t="n">
        <v>45357</v>
      </c>
      <c r="D5805" t="inlineStr">
        <is>
          <t>VÄSTERBOTTENS LÄN</t>
        </is>
      </c>
      <c r="E5805" t="inlineStr">
        <is>
          <t>SKELLEFTEÅ</t>
        </is>
      </c>
      <c r="F5805" t="inlineStr">
        <is>
          <t>Sveaskog</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72183-2021</t>
        </is>
      </c>
      <c r="B5806" s="1" t="n">
        <v>44544</v>
      </c>
      <c r="C5806" s="1" t="n">
        <v>45357</v>
      </c>
      <c r="D5806" t="inlineStr">
        <is>
          <t>VÄSTERBOTTENS LÄN</t>
        </is>
      </c>
      <c r="E5806" t="inlineStr">
        <is>
          <t>SKELLEFTEÅ</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72233-2021</t>
        </is>
      </c>
      <c r="B5807" s="1" t="n">
        <v>44544</v>
      </c>
      <c r="C5807" s="1" t="n">
        <v>45357</v>
      </c>
      <c r="D5807" t="inlineStr">
        <is>
          <t>VÄSTERBOTTENS LÄN</t>
        </is>
      </c>
      <c r="E5807" t="inlineStr">
        <is>
          <t>VINDELN</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72237-2021</t>
        </is>
      </c>
      <c r="B5808" s="1" t="n">
        <v>44544</v>
      </c>
      <c r="C5808" s="1" t="n">
        <v>45357</v>
      </c>
      <c r="D5808" t="inlineStr">
        <is>
          <t>VÄSTERBOTTENS LÄN</t>
        </is>
      </c>
      <c r="E5808" t="inlineStr">
        <is>
          <t>VINDELN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72377-2021</t>
        </is>
      </c>
      <c r="B5809" s="1" t="n">
        <v>44544</v>
      </c>
      <c r="C5809" s="1" t="n">
        <v>45357</v>
      </c>
      <c r="D5809" t="inlineStr">
        <is>
          <t>VÄSTERBOTTENS LÄN</t>
        </is>
      </c>
      <c r="E5809" t="inlineStr">
        <is>
          <t>LYCKSELE</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72232-2021</t>
        </is>
      </c>
      <c r="B5810" s="1" t="n">
        <v>44544</v>
      </c>
      <c r="C5810" s="1" t="n">
        <v>45357</v>
      </c>
      <c r="D5810" t="inlineStr">
        <is>
          <t>VÄSTERBOTTENS LÄN</t>
        </is>
      </c>
      <c r="E5810" t="inlineStr">
        <is>
          <t>VINDELN</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72322-2021</t>
        </is>
      </c>
      <c r="B5811" s="1" t="n">
        <v>44545</v>
      </c>
      <c r="C5811" s="1" t="n">
        <v>45357</v>
      </c>
      <c r="D5811" t="inlineStr">
        <is>
          <t>VÄSTERBOTTENS LÄN</t>
        </is>
      </c>
      <c r="E5811" t="inlineStr">
        <is>
          <t>NORSJÖ</t>
        </is>
      </c>
      <c r="F5811" t="inlineStr">
        <is>
          <t>Sveaskog</t>
        </is>
      </c>
      <c r="G5811" t="n">
        <v>12.9</v>
      </c>
      <c r="H5811" t="n">
        <v>0</v>
      </c>
      <c r="I5811" t="n">
        <v>0</v>
      </c>
      <c r="J5811" t="n">
        <v>0</v>
      </c>
      <c r="K5811" t="n">
        <v>0</v>
      </c>
      <c r="L5811" t="n">
        <v>0</v>
      </c>
      <c r="M5811" t="n">
        <v>0</v>
      </c>
      <c r="N5811" t="n">
        <v>0</v>
      </c>
      <c r="O5811" t="n">
        <v>0</v>
      </c>
      <c r="P5811" t="n">
        <v>0</v>
      </c>
      <c r="Q5811" t="n">
        <v>0</v>
      </c>
      <c r="R5811" s="2" t="inlineStr"/>
    </row>
    <row r="5812" ht="15" customHeight="1">
      <c r="A5812" t="inlineStr">
        <is>
          <t>A 72332-2021</t>
        </is>
      </c>
      <c r="B5812" s="1" t="n">
        <v>44545</v>
      </c>
      <c r="C5812" s="1" t="n">
        <v>45357</v>
      </c>
      <c r="D5812" t="inlineStr">
        <is>
          <t>VÄSTERBOTTENS LÄN</t>
        </is>
      </c>
      <c r="E5812" t="inlineStr">
        <is>
          <t>LYCKSELE</t>
        </is>
      </c>
      <c r="F5812" t="inlineStr">
        <is>
          <t>Sveaskog</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72489-2021</t>
        </is>
      </c>
      <c r="B5813" s="1" t="n">
        <v>44545</v>
      </c>
      <c r="C5813" s="1" t="n">
        <v>45357</v>
      </c>
      <c r="D5813" t="inlineStr">
        <is>
          <t>VÄSTERBOTTENS LÄN</t>
        </is>
      </c>
      <c r="E5813" t="inlineStr">
        <is>
          <t>VILHELMINA</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72494-2021</t>
        </is>
      </c>
      <c r="B5814" s="1" t="n">
        <v>44545</v>
      </c>
      <c r="C5814" s="1" t="n">
        <v>45357</v>
      </c>
      <c r="D5814" t="inlineStr">
        <is>
          <t>VÄSTERBOTTENS LÄN</t>
        </is>
      </c>
      <c r="E5814" t="inlineStr">
        <is>
          <t>VILHELMINA</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72490-2021</t>
        </is>
      </c>
      <c r="B5815" s="1" t="n">
        <v>44545</v>
      </c>
      <c r="C5815" s="1" t="n">
        <v>45357</v>
      </c>
      <c r="D5815" t="inlineStr">
        <is>
          <t>VÄSTERBOTTENS LÄN</t>
        </is>
      </c>
      <c r="E5815" t="inlineStr">
        <is>
          <t>VILHELMINA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72488-2021</t>
        </is>
      </c>
      <c r="B5816" s="1" t="n">
        <v>44545</v>
      </c>
      <c r="C5816" s="1" t="n">
        <v>45357</v>
      </c>
      <c r="D5816" t="inlineStr">
        <is>
          <t>VÄSTERBOTTENS LÄN</t>
        </is>
      </c>
      <c r="E5816" t="inlineStr">
        <is>
          <t>VILHELMINA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72487-2021</t>
        </is>
      </c>
      <c r="B5817" s="1" t="n">
        <v>44545</v>
      </c>
      <c r="C5817" s="1" t="n">
        <v>45357</v>
      </c>
      <c r="D5817" t="inlineStr">
        <is>
          <t>VÄSTERBOTTENS LÄN</t>
        </is>
      </c>
      <c r="E5817" t="inlineStr">
        <is>
          <t>VILHELMINA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72492-2021</t>
        </is>
      </c>
      <c r="B5818" s="1" t="n">
        <v>44545</v>
      </c>
      <c r="C5818" s="1" t="n">
        <v>45357</v>
      </c>
      <c r="D5818" t="inlineStr">
        <is>
          <t>VÄSTERBOTTENS LÄN</t>
        </is>
      </c>
      <c r="E5818" t="inlineStr">
        <is>
          <t>ROBERTSFORS</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72493-2021</t>
        </is>
      </c>
      <c r="B5819" s="1" t="n">
        <v>44545</v>
      </c>
      <c r="C5819" s="1" t="n">
        <v>45357</v>
      </c>
      <c r="D5819" t="inlineStr">
        <is>
          <t>VÄSTERBOTTENS LÄN</t>
        </is>
      </c>
      <c r="E5819" t="inlineStr">
        <is>
          <t>VILHELMINA</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72553-2021</t>
        </is>
      </c>
      <c r="B5820" s="1" t="n">
        <v>44545</v>
      </c>
      <c r="C5820" s="1" t="n">
        <v>45357</v>
      </c>
      <c r="D5820" t="inlineStr">
        <is>
          <t>VÄSTERBOTTENS LÄN</t>
        </is>
      </c>
      <c r="E5820" t="inlineStr">
        <is>
          <t>VINDELN</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72551-2021</t>
        </is>
      </c>
      <c r="B5821" s="1" t="n">
        <v>44545</v>
      </c>
      <c r="C5821" s="1" t="n">
        <v>45357</v>
      </c>
      <c r="D5821" t="inlineStr">
        <is>
          <t>VÄSTERBOTTENS LÄN</t>
        </is>
      </c>
      <c r="E5821" t="inlineStr">
        <is>
          <t>VINDELN</t>
        </is>
      </c>
      <c r="G5821" t="n">
        <v>5.2</v>
      </c>
      <c r="H5821" t="n">
        <v>0</v>
      </c>
      <c r="I5821" t="n">
        <v>0</v>
      </c>
      <c r="J5821" t="n">
        <v>0</v>
      </c>
      <c r="K5821" t="n">
        <v>0</v>
      </c>
      <c r="L5821" t="n">
        <v>0</v>
      </c>
      <c r="M5821" t="n">
        <v>0</v>
      </c>
      <c r="N5821" t="n">
        <v>0</v>
      </c>
      <c r="O5821" t="n">
        <v>0</v>
      </c>
      <c r="P5821" t="n">
        <v>0</v>
      </c>
      <c r="Q5821" t="n">
        <v>0</v>
      </c>
      <c r="R5821" s="2" t="inlineStr"/>
    </row>
    <row r="5822" ht="15" customHeight="1">
      <c r="A5822" t="inlineStr">
        <is>
          <t>A 72692-2021</t>
        </is>
      </c>
      <c r="B5822" s="1" t="n">
        <v>44545</v>
      </c>
      <c r="C5822" s="1" t="n">
        <v>45357</v>
      </c>
      <c r="D5822" t="inlineStr">
        <is>
          <t>VÄSTERBOTTENS LÄN</t>
        </is>
      </c>
      <c r="E5822" t="inlineStr">
        <is>
          <t>SKELLEFTEÅ</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72505-2021</t>
        </is>
      </c>
      <c r="B5823" s="1" t="n">
        <v>44546</v>
      </c>
      <c r="C5823" s="1" t="n">
        <v>45357</v>
      </c>
      <c r="D5823" t="inlineStr">
        <is>
          <t>VÄSTERBOTTENS LÄN</t>
        </is>
      </c>
      <c r="E5823" t="inlineStr">
        <is>
          <t>LYCKSELE</t>
        </is>
      </c>
      <c r="G5823" t="n">
        <v>15.1</v>
      </c>
      <c r="H5823" t="n">
        <v>0</v>
      </c>
      <c r="I5823" t="n">
        <v>0</v>
      </c>
      <c r="J5823" t="n">
        <v>0</v>
      </c>
      <c r="K5823" t="n">
        <v>0</v>
      </c>
      <c r="L5823" t="n">
        <v>0</v>
      </c>
      <c r="M5823" t="n">
        <v>0</v>
      </c>
      <c r="N5823" t="n">
        <v>0</v>
      </c>
      <c r="O5823" t="n">
        <v>0</v>
      </c>
      <c r="P5823" t="n">
        <v>0</v>
      </c>
      <c r="Q5823" t="n">
        <v>0</v>
      </c>
      <c r="R5823" s="2" t="inlineStr"/>
    </row>
    <row r="5824" ht="15" customHeight="1">
      <c r="A5824" t="inlineStr">
        <is>
          <t>A 72545-2021</t>
        </is>
      </c>
      <c r="B5824" s="1" t="n">
        <v>44546</v>
      </c>
      <c r="C5824" s="1" t="n">
        <v>45357</v>
      </c>
      <c r="D5824" t="inlineStr">
        <is>
          <t>VÄSTERBOTTENS LÄN</t>
        </is>
      </c>
      <c r="E5824" t="inlineStr">
        <is>
          <t>SKELLEFTEÅ</t>
        </is>
      </c>
      <c r="F5824" t="inlineStr">
        <is>
          <t>Holmen skog AB</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72590-2021</t>
        </is>
      </c>
      <c r="B5825" s="1" t="n">
        <v>44546</v>
      </c>
      <c r="C5825" s="1" t="n">
        <v>45357</v>
      </c>
      <c r="D5825" t="inlineStr">
        <is>
          <t>VÄSTERBOTTENS LÄN</t>
        </is>
      </c>
      <c r="E5825" t="inlineStr">
        <is>
          <t>NORSJÖ</t>
        </is>
      </c>
      <c r="F5825" t="inlineStr">
        <is>
          <t>Holmen skog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72768-2021</t>
        </is>
      </c>
      <c r="B5826" s="1" t="n">
        <v>44546</v>
      </c>
      <c r="C5826" s="1" t="n">
        <v>45357</v>
      </c>
      <c r="D5826" t="inlineStr">
        <is>
          <t>VÄSTERBOTTENS LÄN</t>
        </is>
      </c>
      <c r="E5826" t="inlineStr">
        <is>
          <t>NORDMALING</t>
        </is>
      </c>
      <c r="F5826" t="inlineStr">
        <is>
          <t>SCA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72894-2021</t>
        </is>
      </c>
      <c r="B5827" s="1" t="n">
        <v>44546</v>
      </c>
      <c r="C5827" s="1" t="n">
        <v>45357</v>
      </c>
      <c r="D5827" t="inlineStr">
        <is>
          <t>VÄSTERBOTTENS LÄN</t>
        </is>
      </c>
      <c r="E5827" t="inlineStr">
        <is>
          <t>SORSELE</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72886-2021</t>
        </is>
      </c>
      <c r="B5828" s="1" t="n">
        <v>44546</v>
      </c>
      <c r="C5828" s="1" t="n">
        <v>45357</v>
      </c>
      <c r="D5828" t="inlineStr">
        <is>
          <t>VÄSTERBOTTENS LÄN</t>
        </is>
      </c>
      <c r="E5828" t="inlineStr">
        <is>
          <t>SORSELE</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73081-2021</t>
        </is>
      </c>
      <c r="B5829" s="1" t="n">
        <v>44546</v>
      </c>
      <c r="C5829" s="1" t="n">
        <v>45357</v>
      </c>
      <c r="D5829" t="inlineStr">
        <is>
          <t>VÄSTERBOTTENS LÄN</t>
        </is>
      </c>
      <c r="E5829" t="inlineStr">
        <is>
          <t>VINDELN</t>
        </is>
      </c>
      <c r="G5829" t="n">
        <v>19.9</v>
      </c>
      <c r="H5829" t="n">
        <v>0</v>
      </c>
      <c r="I5829" t="n">
        <v>0</v>
      </c>
      <c r="J5829" t="n">
        <v>0</v>
      </c>
      <c r="K5829" t="n">
        <v>0</v>
      </c>
      <c r="L5829" t="n">
        <v>0</v>
      </c>
      <c r="M5829" t="n">
        <v>0</v>
      </c>
      <c r="N5829" t="n">
        <v>0</v>
      </c>
      <c r="O5829" t="n">
        <v>0</v>
      </c>
      <c r="P5829" t="n">
        <v>0</v>
      </c>
      <c r="Q5829" t="n">
        <v>0</v>
      </c>
      <c r="R5829" s="2" t="inlineStr"/>
    </row>
    <row r="5830" ht="15" customHeight="1">
      <c r="A5830" t="inlineStr">
        <is>
          <t>A 72892-2021</t>
        </is>
      </c>
      <c r="B5830" s="1" t="n">
        <v>44546</v>
      </c>
      <c r="C5830" s="1" t="n">
        <v>45357</v>
      </c>
      <c r="D5830" t="inlineStr">
        <is>
          <t>VÄSTERBOTTENS LÄN</t>
        </is>
      </c>
      <c r="E5830" t="inlineStr">
        <is>
          <t>SORSELE</t>
        </is>
      </c>
      <c r="G5830" t="n">
        <v>7.7</v>
      </c>
      <c r="H5830" t="n">
        <v>0</v>
      </c>
      <c r="I5830" t="n">
        <v>0</v>
      </c>
      <c r="J5830" t="n">
        <v>0</v>
      </c>
      <c r="K5830" t="n">
        <v>0</v>
      </c>
      <c r="L5830" t="n">
        <v>0</v>
      </c>
      <c r="M5830" t="n">
        <v>0</v>
      </c>
      <c r="N5830" t="n">
        <v>0</v>
      </c>
      <c r="O5830" t="n">
        <v>0</v>
      </c>
      <c r="P5830" t="n">
        <v>0</v>
      </c>
      <c r="Q5830" t="n">
        <v>0</v>
      </c>
      <c r="R5830" s="2" t="inlineStr"/>
    </row>
    <row r="5831" ht="15" customHeight="1">
      <c r="A5831" t="inlineStr">
        <is>
          <t>A 72888-2021</t>
        </is>
      </c>
      <c r="B5831" s="1" t="n">
        <v>44546</v>
      </c>
      <c r="C5831" s="1" t="n">
        <v>45357</v>
      </c>
      <c r="D5831" t="inlineStr">
        <is>
          <t>VÄSTERBOTTENS LÄN</t>
        </is>
      </c>
      <c r="E5831" t="inlineStr">
        <is>
          <t>SORSELE</t>
        </is>
      </c>
      <c r="G5831" t="n">
        <v>10.7</v>
      </c>
      <c r="H5831" t="n">
        <v>0</v>
      </c>
      <c r="I5831" t="n">
        <v>0</v>
      </c>
      <c r="J5831" t="n">
        <v>0</v>
      </c>
      <c r="K5831" t="n">
        <v>0</v>
      </c>
      <c r="L5831" t="n">
        <v>0</v>
      </c>
      <c r="M5831" t="n">
        <v>0</v>
      </c>
      <c r="N5831" t="n">
        <v>0</v>
      </c>
      <c r="O5831" t="n">
        <v>0</v>
      </c>
      <c r="P5831" t="n">
        <v>0</v>
      </c>
      <c r="Q5831" t="n">
        <v>0</v>
      </c>
      <c r="R5831" s="2" t="inlineStr"/>
    </row>
    <row r="5832" ht="15" customHeight="1">
      <c r="A5832" t="inlineStr">
        <is>
          <t>A 72873-2021</t>
        </is>
      </c>
      <c r="B5832" s="1" t="n">
        <v>44547</v>
      </c>
      <c r="C5832" s="1" t="n">
        <v>45357</v>
      </c>
      <c r="D5832" t="inlineStr">
        <is>
          <t>VÄSTERBOTTENS LÄN</t>
        </is>
      </c>
      <c r="E5832" t="inlineStr">
        <is>
          <t>NORDMALING</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73087-2021</t>
        </is>
      </c>
      <c r="B5833" s="1" t="n">
        <v>44550</v>
      </c>
      <c r="C5833" s="1" t="n">
        <v>45357</v>
      </c>
      <c r="D5833" t="inlineStr">
        <is>
          <t>VÄSTERBOTTENS LÄN</t>
        </is>
      </c>
      <c r="E5833" t="inlineStr">
        <is>
          <t>MALÅ</t>
        </is>
      </c>
      <c r="F5833" t="inlineStr">
        <is>
          <t>Sveaskog</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73054-2021</t>
        </is>
      </c>
      <c r="B5834" s="1" t="n">
        <v>44550</v>
      </c>
      <c r="C5834" s="1" t="n">
        <v>45357</v>
      </c>
      <c r="D5834" t="inlineStr">
        <is>
          <t>VÄSTERBOTTENS LÄN</t>
        </is>
      </c>
      <c r="E5834" t="inlineStr">
        <is>
          <t>STORUMAN</t>
        </is>
      </c>
      <c r="F5834" t="inlineStr">
        <is>
          <t>Sveaskog</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73113-2021</t>
        </is>
      </c>
      <c r="B5835" s="1" t="n">
        <v>44550</v>
      </c>
      <c r="C5835" s="1" t="n">
        <v>45357</v>
      </c>
      <c r="D5835" t="inlineStr">
        <is>
          <t>VÄSTERBOTTENS LÄN</t>
        </is>
      </c>
      <c r="E5835" t="inlineStr">
        <is>
          <t>LYCKSELE</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73159-2021</t>
        </is>
      </c>
      <c r="B5836" s="1" t="n">
        <v>44550</v>
      </c>
      <c r="C5836" s="1" t="n">
        <v>45357</v>
      </c>
      <c r="D5836" t="inlineStr">
        <is>
          <t>VÄSTERBOTTENS LÄN</t>
        </is>
      </c>
      <c r="E5836" t="inlineStr">
        <is>
          <t>SKELLEFTEÅ</t>
        </is>
      </c>
      <c r="G5836" t="n">
        <v>8.5</v>
      </c>
      <c r="H5836" t="n">
        <v>0</v>
      </c>
      <c r="I5836" t="n">
        <v>0</v>
      </c>
      <c r="J5836" t="n">
        <v>0</v>
      </c>
      <c r="K5836" t="n">
        <v>0</v>
      </c>
      <c r="L5836" t="n">
        <v>0</v>
      </c>
      <c r="M5836" t="n">
        <v>0</v>
      </c>
      <c r="N5836" t="n">
        <v>0</v>
      </c>
      <c r="O5836" t="n">
        <v>0</v>
      </c>
      <c r="P5836" t="n">
        <v>0</v>
      </c>
      <c r="Q5836" t="n">
        <v>0</v>
      </c>
      <c r="R5836" s="2" t="inlineStr"/>
    </row>
    <row r="5837" ht="15" customHeight="1">
      <c r="A5837" t="inlineStr">
        <is>
          <t>A 73537-2021</t>
        </is>
      </c>
      <c r="B5837" s="1" t="n">
        <v>44550</v>
      </c>
      <c r="C5837" s="1" t="n">
        <v>45357</v>
      </c>
      <c r="D5837" t="inlineStr">
        <is>
          <t>VÄSTERBOTTENS LÄN</t>
        </is>
      </c>
      <c r="E5837" t="inlineStr">
        <is>
          <t>UMEÅ</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73534-2021</t>
        </is>
      </c>
      <c r="B5838" s="1" t="n">
        <v>44550</v>
      </c>
      <c r="C5838" s="1" t="n">
        <v>45357</v>
      </c>
      <c r="D5838" t="inlineStr">
        <is>
          <t>VÄSTERBOTTENS LÄN</t>
        </is>
      </c>
      <c r="E5838" t="inlineStr">
        <is>
          <t>UMEÅ</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73532-2021</t>
        </is>
      </c>
      <c r="B5839" s="1" t="n">
        <v>44550</v>
      </c>
      <c r="C5839" s="1" t="n">
        <v>45357</v>
      </c>
      <c r="D5839" t="inlineStr">
        <is>
          <t>VÄSTERBOTTENS LÄN</t>
        </is>
      </c>
      <c r="E5839" t="inlineStr">
        <is>
          <t>UMEÅ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73427-2021</t>
        </is>
      </c>
      <c r="B5840" s="1" t="n">
        <v>44550</v>
      </c>
      <c r="C5840" s="1" t="n">
        <v>45357</v>
      </c>
      <c r="D5840" t="inlineStr">
        <is>
          <t>VÄSTERBOTTENS LÄN</t>
        </is>
      </c>
      <c r="E5840" t="inlineStr">
        <is>
          <t>SORSELE</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73538-2021</t>
        </is>
      </c>
      <c r="B5841" s="1" t="n">
        <v>44550</v>
      </c>
      <c r="C5841" s="1" t="n">
        <v>45357</v>
      </c>
      <c r="D5841" t="inlineStr">
        <is>
          <t>VÄSTERBOTTENS LÄN</t>
        </is>
      </c>
      <c r="E5841" t="inlineStr">
        <is>
          <t>UMEÅ</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73357-2021</t>
        </is>
      </c>
      <c r="B5842" s="1" t="n">
        <v>44551</v>
      </c>
      <c r="C5842" s="1" t="n">
        <v>45357</v>
      </c>
      <c r="D5842" t="inlineStr">
        <is>
          <t>VÄSTERBOTTENS LÄN</t>
        </is>
      </c>
      <c r="E5842" t="inlineStr">
        <is>
          <t>LYCKSELE</t>
        </is>
      </c>
      <c r="G5842" t="n">
        <v>11.3</v>
      </c>
      <c r="H5842" t="n">
        <v>0</v>
      </c>
      <c r="I5842" t="n">
        <v>0</v>
      </c>
      <c r="J5842" t="n">
        <v>0</v>
      </c>
      <c r="K5842" t="n">
        <v>0</v>
      </c>
      <c r="L5842" t="n">
        <v>0</v>
      </c>
      <c r="M5842" t="n">
        <v>0</v>
      </c>
      <c r="N5842" t="n">
        <v>0</v>
      </c>
      <c r="O5842" t="n">
        <v>0</v>
      </c>
      <c r="P5842" t="n">
        <v>0</v>
      </c>
      <c r="Q5842" t="n">
        <v>0</v>
      </c>
      <c r="R5842" s="2" t="inlineStr"/>
    </row>
    <row r="5843" ht="15" customHeight="1">
      <c r="A5843" t="inlineStr">
        <is>
          <t>A 73402-2021</t>
        </is>
      </c>
      <c r="B5843" s="1" t="n">
        <v>44551</v>
      </c>
      <c r="C5843" s="1" t="n">
        <v>45357</v>
      </c>
      <c r="D5843" t="inlineStr">
        <is>
          <t>VÄSTERBOTTENS LÄN</t>
        </is>
      </c>
      <c r="E5843" t="inlineStr">
        <is>
          <t>ÅSELE</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73419-2021</t>
        </is>
      </c>
      <c r="B5844" s="1" t="n">
        <v>44551</v>
      </c>
      <c r="C5844" s="1" t="n">
        <v>45357</v>
      </c>
      <c r="D5844" t="inlineStr">
        <is>
          <t>VÄSTERBOTTENS LÄN</t>
        </is>
      </c>
      <c r="E5844" t="inlineStr">
        <is>
          <t>ÅSELE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73444-2021</t>
        </is>
      </c>
      <c r="B5845" s="1" t="n">
        <v>44551</v>
      </c>
      <c r="C5845" s="1" t="n">
        <v>45357</v>
      </c>
      <c r="D5845" t="inlineStr">
        <is>
          <t>VÄSTERBOTTENS LÄN</t>
        </is>
      </c>
      <c r="E5845" t="inlineStr">
        <is>
          <t>STORUMAN</t>
        </is>
      </c>
      <c r="F5845" t="inlineStr">
        <is>
          <t>Sveaskog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73557-2021</t>
        </is>
      </c>
      <c r="B5846" s="1" t="n">
        <v>44551</v>
      </c>
      <c r="C5846" s="1" t="n">
        <v>45357</v>
      </c>
      <c r="D5846" t="inlineStr">
        <is>
          <t>VÄSTERBOTTENS LÄN</t>
        </is>
      </c>
      <c r="E5846" t="inlineStr">
        <is>
          <t>ROBERTSFORS</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73556-2021</t>
        </is>
      </c>
      <c r="B5847" s="1" t="n">
        <v>44551</v>
      </c>
      <c r="C5847" s="1" t="n">
        <v>45357</v>
      </c>
      <c r="D5847" t="inlineStr">
        <is>
          <t>VÄSTERBOTTENS LÄN</t>
        </is>
      </c>
      <c r="E5847" t="inlineStr">
        <is>
          <t>SKELLEFTEÅ</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73559-2021</t>
        </is>
      </c>
      <c r="B5848" s="1" t="n">
        <v>44551</v>
      </c>
      <c r="C5848" s="1" t="n">
        <v>45357</v>
      </c>
      <c r="D5848" t="inlineStr">
        <is>
          <t>VÄSTERBOTTENS LÄN</t>
        </is>
      </c>
      <c r="E5848" t="inlineStr">
        <is>
          <t>NORSJÖ</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73596-2021</t>
        </is>
      </c>
      <c r="B5849" s="1" t="n">
        <v>44551</v>
      </c>
      <c r="C5849" s="1" t="n">
        <v>45357</v>
      </c>
      <c r="D5849" t="inlineStr">
        <is>
          <t>VÄSTERBOTTENS LÄN</t>
        </is>
      </c>
      <c r="E5849" t="inlineStr">
        <is>
          <t>LYCKSELE</t>
        </is>
      </c>
      <c r="G5849" t="n">
        <v>20.6</v>
      </c>
      <c r="H5849" t="n">
        <v>0</v>
      </c>
      <c r="I5849" t="n">
        <v>0</v>
      </c>
      <c r="J5849" t="n">
        <v>0</v>
      </c>
      <c r="K5849" t="n">
        <v>0</v>
      </c>
      <c r="L5849" t="n">
        <v>0</v>
      </c>
      <c r="M5849" t="n">
        <v>0</v>
      </c>
      <c r="N5849" t="n">
        <v>0</v>
      </c>
      <c r="O5849" t="n">
        <v>0</v>
      </c>
      <c r="P5849" t="n">
        <v>0</v>
      </c>
      <c r="Q5849" t="n">
        <v>0</v>
      </c>
      <c r="R5849" s="2" t="inlineStr"/>
    </row>
    <row r="5850" ht="15" customHeight="1">
      <c r="A5850" t="inlineStr">
        <is>
          <t>A 73614-2021</t>
        </is>
      </c>
      <c r="B5850" s="1" t="n">
        <v>44551</v>
      </c>
      <c r="C5850" s="1" t="n">
        <v>45357</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73665-2021</t>
        </is>
      </c>
      <c r="B5851" s="1" t="n">
        <v>44551</v>
      </c>
      <c r="C5851" s="1" t="n">
        <v>45357</v>
      </c>
      <c r="D5851" t="inlineStr">
        <is>
          <t>VÄSTERBOTTENS LÄN</t>
        </is>
      </c>
      <c r="E5851" t="inlineStr">
        <is>
          <t>BJURHOLM</t>
        </is>
      </c>
      <c r="G5851" t="n">
        <v>11.7</v>
      </c>
      <c r="H5851" t="n">
        <v>0</v>
      </c>
      <c r="I5851" t="n">
        <v>0</v>
      </c>
      <c r="J5851" t="n">
        <v>0</v>
      </c>
      <c r="K5851" t="n">
        <v>0</v>
      </c>
      <c r="L5851" t="n">
        <v>0</v>
      </c>
      <c r="M5851" t="n">
        <v>0</v>
      </c>
      <c r="N5851" t="n">
        <v>0</v>
      </c>
      <c r="O5851" t="n">
        <v>0</v>
      </c>
      <c r="P5851" t="n">
        <v>0</v>
      </c>
      <c r="Q5851" t="n">
        <v>0</v>
      </c>
      <c r="R5851" s="2" t="inlineStr"/>
    </row>
    <row r="5852" ht="15" customHeight="1">
      <c r="A5852" t="inlineStr">
        <is>
          <t>A 73684-2021</t>
        </is>
      </c>
      <c r="B5852" s="1" t="n">
        <v>44551</v>
      </c>
      <c r="C5852" s="1" t="n">
        <v>45357</v>
      </c>
      <c r="D5852" t="inlineStr">
        <is>
          <t>VÄSTERBOTTENS LÄN</t>
        </is>
      </c>
      <c r="E5852" t="inlineStr">
        <is>
          <t>SKELLEFTEÅ</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73784-2021</t>
        </is>
      </c>
      <c r="B5853" s="1" t="n">
        <v>44552</v>
      </c>
      <c r="C5853" s="1" t="n">
        <v>45357</v>
      </c>
      <c r="D5853" t="inlineStr">
        <is>
          <t>VÄSTERBOTTENS LÄN</t>
        </is>
      </c>
      <c r="E5853" t="inlineStr">
        <is>
          <t>MALÅ</t>
        </is>
      </c>
      <c r="F5853" t="inlineStr">
        <is>
          <t>Sveaskog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73851-2021</t>
        </is>
      </c>
      <c r="B5854" s="1" t="n">
        <v>44552</v>
      </c>
      <c r="C5854" s="1" t="n">
        <v>45357</v>
      </c>
      <c r="D5854" t="inlineStr">
        <is>
          <t>VÄSTERBOTTENS LÄN</t>
        </is>
      </c>
      <c r="E5854" t="inlineStr">
        <is>
          <t>LYCKSELE</t>
        </is>
      </c>
      <c r="G5854" t="n">
        <v>16.5</v>
      </c>
      <c r="H5854" t="n">
        <v>0</v>
      </c>
      <c r="I5854" t="n">
        <v>0</v>
      </c>
      <c r="J5854" t="n">
        <v>0</v>
      </c>
      <c r="K5854" t="n">
        <v>0</v>
      </c>
      <c r="L5854" t="n">
        <v>0</v>
      </c>
      <c r="M5854" t="n">
        <v>0</v>
      </c>
      <c r="N5854" t="n">
        <v>0</v>
      </c>
      <c r="O5854" t="n">
        <v>0</v>
      </c>
      <c r="P5854" t="n">
        <v>0</v>
      </c>
      <c r="Q5854" t="n">
        <v>0</v>
      </c>
      <c r="R5854" s="2" t="inlineStr"/>
    </row>
    <row r="5855" ht="15" customHeight="1">
      <c r="A5855" t="inlineStr">
        <is>
          <t>A 73833-2021</t>
        </is>
      </c>
      <c r="B5855" s="1" t="n">
        <v>44552</v>
      </c>
      <c r="C5855" s="1" t="n">
        <v>45357</v>
      </c>
      <c r="D5855" t="inlineStr">
        <is>
          <t>VÄSTERBOTTENS LÄN</t>
        </is>
      </c>
      <c r="E5855" t="inlineStr">
        <is>
          <t>SKELLEFTEÅ</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73893-2021</t>
        </is>
      </c>
      <c r="B5856" s="1" t="n">
        <v>44552</v>
      </c>
      <c r="C5856" s="1" t="n">
        <v>45357</v>
      </c>
      <c r="D5856" t="inlineStr">
        <is>
          <t>VÄSTERBOTTENS LÄN</t>
        </is>
      </c>
      <c r="E5856" t="inlineStr">
        <is>
          <t>VINDELN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73956-2021</t>
        </is>
      </c>
      <c r="B5857" s="1" t="n">
        <v>44553</v>
      </c>
      <c r="C5857" s="1" t="n">
        <v>45357</v>
      </c>
      <c r="D5857" t="inlineStr">
        <is>
          <t>VÄSTERBOTTENS LÄN</t>
        </is>
      </c>
      <c r="E5857" t="inlineStr">
        <is>
          <t>SKELLEFTEÅ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73957-2021</t>
        </is>
      </c>
      <c r="B5858" s="1" t="n">
        <v>44553</v>
      </c>
      <c r="C5858" s="1" t="n">
        <v>45357</v>
      </c>
      <c r="D5858" t="inlineStr">
        <is>
          <t>VÄSTERBOTTENS LÄN</t>
        </is>
      </c>
      <c r="E5858" t="inlineStr">
        <is>
          <t>SKELLEFTEÅ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73881-2021</t>
        </is>
      </c>
      <c r="B5859" s="1" t="n">
        <v>44553</v>
      </c>
      <c r="C5859" s="1" t="n">
        <v>45357</v>
      </c>
      <c r="D5859" t="inlineStr">
        <is>
          <t>VÄSTERBOTTENS LÄN</t>
        </is>
      </c>
      <c r="E5859" t="inlineStr">
        <is>
          <t>LYCKSELE</t>
        </is>
      </c>
      <c r="F5859" t="inlineStr">
        <is>
          <t>Sveaskog</t>
        </is>
      </c>
      <c r="G5859" t="n">
        <v>8.6</v>
      </c>
      <c r="H5859" t="n">
        <v>0</v>
      </c>
      <c r="I5859" t="n">
        <v>0</v>
      </c>
      <c r="J5859" t="n">
        <v>0</v>
      </c>
      <c r="K5859" t="n">
        <v>0</v>
      </c>
      <c r="L5859" t="n">
        <v>0</v>
      </c>
      <c r="M5859" t="n">
        <v>0</v>
      </c>
      <c r="N5859" t="n">
        <v>0</v>
      </c>
      <c r="O5859" t="n">
        <v>0</v>
      </c>
      <c r="P5859" t="n">
        <v>0</v>
      </c>
      <c r="Q5859" t="n">
        <v>0</v>
      </c>
      <c r="R5859" s="2" t="inlineStr"/>
    </row>
    <row r="5860" ht="15" customHeight="1">
      <c r="A5860" t="inlineStr">
        <is>
          <t>A 73950-2021</t>
        </is>
      </c>
      <c r="B5860" s="1" t="n">
        <v>44553</v>
      </c>
      <c r="C5860" s="1" t="n">
        <v>45357</v>
      </c>
      <c r="D5860" t="inlineStr">
        <is>
          <t>VÄSTERBOTTENS LÄN</t>
        </is>
      </c>
      <c r="E5860" t="inlineStr">
        <is>
          <t>SKELLEFTEÅ</t>
        </is>
      </c>
      <c r="F5860" t="inlineStr">
        <is>
          <t>Sveaskog</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73985-2021</t>
        </is>
      </c>
      <c r="B5861" s="1" t="n">
        <v>44555</v>
      </c>
      <c r="C5861" s="1" t="n">
        <v>45357</v>
      </c>
      <c r="D5861" t="inlineStr">
        <is>
          <t>VÄSTERBOTTENS LÄN</t>
        </is>
      </c>
      <c r="E5861" t="inlineStr">
        <is>
          <t>SKELLEFTEÅ</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73995-2021</t>
        </is>
      </c>
      <c r="B5862" s="1" t="n">
        <v>44556</v>
      </c>
      <c r="C5862" s="1" t="n">
        <v>45357</v>
      </c>
      <c r="D5862" t="inlineStr">
        <is>
          <t>VÄSTERBOTTENS LÄN</t>
        </is>
      </c>
      <c r="E5862" t="inlineStr">
        <is>
          <t>NORSJÖ</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74077-2021</t>
        </is>
      </c>
      <c r="B5863" s="1" t="n">
        <v>44557</v>
      </c>
      <c r="C5863" s="1" t="n">
        <v>45357</v>
      </c>
      <c r="D5863" t="inlineStr">
        <is>
          <t>VÄSTERBOTTENS LÄN</t>
        </is>
      </c>
      <c r="E5863" t="inlineStr">
        <is>
          <t>SKELLEFTEÅ</t>
        </is>
      </c>
      <c r="F5863" t="inlineStr">
        <is>
          <t>Holmen skog AB</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74152-2021</t>
        </is>
      </c>
      <c r="B5864" s="1" t="n">
        <v>44557</v>
      </c>
      <c r="C5864" s="1" t="n">
        <v>45357</v>
      </c>
      <c r="D5864" t="inlineStr">
        <is>
          <t>VÄSTERBOTTENS LÄN</t>
        </is>
      </c>
      <c r="E5864" t="inlineStr">
        <is>
          <t>BJURHOLM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74013-2021</t>
        </is>
      </c>
      <c r="B5865" s="1" t="n">
        <v>44557</v>
      </c>
      <c r="C5865" s="1" t="n">
        <v>45357</v>
      </c>
      <c r="D5865" t="inlineStr">
        <is>
          <t>VÄSTERBOTTENS LÄN</t>
        </is>
      </c>
      <c r="E5865" t="inlineStr">
        <is>
          <t>DOROTEA</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74083-2021</t>
        </is>
      </c>
      <c r="B5866" s="1" t="n">
        <v>44557</v>
      </c>
      <c r="C5866" s="1" t="n">
        <v>45357</v>
      </c>
      <c r="D5866" t="inlineStr">
        <is>
          <t>VÄSTERBOTTENS LÄN</t>
        </is>
      </c>
      <c r="E5866" t="inlineStr">
        <is>
          <t>LYCKSELE</t>
        </is>
      </c>
      <c r="F5866" t="inlineStr">
        <is>
          <t>Sveaskog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74179-2021</t>
        </is>
      </c>
      <c r="B5867" s="1" t="n">
        <v>44558</v>
      </c>
      <c r="C5867" s="1" t="n">
        <v>45357</v>
      </c>
      <c r="D5867" t="inlineStr">
        <is>
          <t>VÄSTERBOTTENS LÄN</t>
        </is>
      </c>
      <c r="E5867" t="inlineStr">
        <is>
          <t>LYCKSELE</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74205-2021</t>
        </is>
      </c>
      <c r="B5868" s="1" t="n">
        <v>44558</v>
      </c>
      <c r="C5868" s="1" t="n">
        <v>45357</v>
      </c>
      <c r="D5868" t="inlineStr">
        <is>
          <t>VÄSTERBOTTENS LÄN</t>
        </is>
      </c>
      <c r="E5868" t="inlineStr">
        <is>
          <t>SKELLEFTEÅ</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74393-2021</t>
        </is>
      </c>
      <c r="B5869" s="1" t="n">
        <v>44559</v>
      </c>
      <c r="C5869" s="1" t="n">
        <v>45357</v>
      </c>
      <c r="D5869" t="inlineStr">
        <is>
          <t>VÄSTERBOTTENS LÄN</t>
        </is>
      </c>
      <c r="E5869" t="inlineStr">
        <is>
          <t>VINDELN</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74397-2021</t>
        </is>
      </c>
      <c r="B5870" s="1" t="n">
        <v>44559</v>
      </c>
      <c r="C5870" s="1" t="n">
        <v>45357</v>
      </c>
      <c r="D5870" t="inlineStr">
        <is>
          <t>VÄSTERBOTTENS LÄN</t>
        </is>
      </c>
      <c r="E5870" t="inlineStr">
        <is>
          <t>VINDELN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74394-2021</t>
        </is>
      </c>
      <c r="B5871" s="1" t="n">
        <v>44559</v>
      </c>
      <c r="C5871" s="1" t="n">
        <v>45357</v>
      </c>
      <c r="D5871" t="inlineStr">
        <is>
          <t>VÄSTERBOTTENS LÄN</t>
        </is>
      </c>
      <c r="E5871" t="inlineStr">
        <is>
          <t>VINDELN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151-2022</t>
        </is>
      </c>
      <c r="B5872" s="1" t="n">
        <v>44560</v>
      </c>
      <c r="C5872" s="1" t="n">
        <v>45357</v>
      </c>
      <c r="D5872" t="inlineStr">
        <is>
          <t>VÄSTERBOTTENS LÄN</t>
        </is>
      </c>
      <c r="E5872" t="inlineStr">
        <is>
          <t>LYCKSELE</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74480-2021</t>
        </is>
      </c>
      <c r="B5873" s="1" t="n">
        <v>44560</v>
      </c>
      <c r="C5873" s="1" t="n">
        <v>45357</v>
      </c>
      <c r="D5873" t="inlineStr">
        <is>
          <t>VÄSTERBOTTENS LÄN</t>
        </is>
      </c>
      <c r="E5873" t="inlineStr">
        <is>
          <t>UMEÅ</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116-2022</t>
        </is>
      </c>
      <c r="B5874" s="1" t="n">
        <v>44564</v>
      </c>
      <c r="C5874" s="1" t="n">
        <v>45357</v>
      </c>
      <c r="D5874" t="inlineStr">
        <is>
          <t>VÄSTERBOTTENS LÄN</t>
        </is>
      </c>
      <c r="E5874" t="inlineStr">
        <is>
          <t>LYCKSELE</t>
        </is>
      </c>
      <c r="F5874" t="inlineStr">
        <is>
          <t>Sveaskog</t>
        </is>
      </c>
      <c r="G5874" t="n">
        <v>11.1</v>
      </c>
      <c r="H5874" t="n">
        <v>0</v>
      </c>
      <c r="I5874" t="n">
        <v>0</v>
      </c>
      <c r="J5874" t="n">
        <v>0</v>
      </c>
      <c r="K5874" t="n">
        <v>0</v>
      </c>
      <c r="L5874" t="n">
        <v>0</v>
      </c>
      <c r="M5874" t="n">
        <v>0</v>
      </c>
      <c r="N5874" t="n">
        <v>0</v>
      </c>
      <c r="O5874" t="n">
        <v>0</v>
      </c>
      <c r="P5874" t="n">
        <v>0</v>
      </c>
      <c r="Q5874" t="n">
        <v>0</v>
      </c>
      <c r="R5874" s="2" t="inlineStr"/>
    </row>
    <row r="5875" ht="15" customHeight="1">
      <c r="A5875" t="inlineStr">
        <is>
          <t>A 210-2022</t>
        </is>
      </c>
      <c r="B5875" s="1" t="n">
        <v>44564</v>
      </c>
      <c r="C5875" s="1" t="n">
        <v>45357</v>
      </c>
      <c r="D5875" t="inlineStr">
        <is>
          <t>VÄSTERBOTTENS LÄN</t>
        </is>
      </c>
      <c r="E5875" t="inlineStr">
        <is>
          <t>VILHELMINA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325-2022</t>
        </is>
      </c>
      <c r="B5876" s="1" t="n">
        <v>44564</v>
      </c>
      <c r="C5876" s="1" t="n">
        <v>45357</v>
      </c>
      <c r="D5876" t="inlineStr">
        <is>
          <t>VÄSTERBOTTENS LÄN</t>
        </is>
      </c>
      <c r="E5876" t="inlineStr">
        <is>
          <t>LYCKSELE</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229-2022</t>
        </is>
      </c>
      <c r="B5877" s="1" t="n">
        <v>44564</v>
      </c>
      <c r="C5877" s="1" t="n">
        <v>45357</v>
      </c>
      <c r="D5877" t="inlineStr">
        <is>
          <t>VÄSTERBOTTENS LÄN</t>
        </is>
      </c>
      <c r="E5877" t="inlineStr">
        <is>
          <t>LYCKSELE</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334-2022</t>
        </is>
      </c>
      <c r="B5878" s="1" t="n">
        <v>44565</v>
      </c>
      <c r="C5878" s="1" t="n">
        <v>45357</v>
      </c>
      <c r="D5878" t="inlineStr">
        <is>
          <t>VÄSTERBOTTENS LÄN</t>
        </is>
      </c>
      <c r="E5878" t="inlineStr">
        <is>
          <t>VINDELN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427-2022</t>
        </is>
      </c>
      <c r="B5879" s="1" t="n">
        <v>44565</v>
      </c>
      <c r="C5879" s="1" t="n">
        <v>45357</v>
      </c>
      <c r="D5879" t="inlineStr">
        <is>
          <t>VÄSTERBOTTENS LÄN</t>
        </is>
      </c>
      <c r="E5879" t="inlineStr">
        <is>
          <t>VÄNNÄS</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426-2022</t>
        </is>
      </c>
      <c r="B5880" s="1" t="n">
        <v>44565</v>
      </c>
      <c r="C5880" s="1" t="n">
        <v>45357</v>
      </c>
      <c r="D5880" t="inlineStr">
        <is>
          <t>VÄSTERBOTTENS LÄN</t>
        </is>
      </c>
      <c r="E5880" t="inlineStr">
        <is>
          <t>VÄNNÄS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439-2022</t>
        </is>
      </c>
      <c r="B5881" s="1" t="n">
        <v>44566</v>
      </c>
      <c r="C5881" s="1" t="n">
        <v>45357</v>
      </c>
      <c r="D5881" t="inlineStr">
        <is>
          <t>VÄSTERBOTTENS LÄN</t>
        </is>
      </c>
      <c r="E5881" t="inlineStr">
        <is>
          <t>NORDMALING</t>
        </is>
      </c>
      <c r="F5881" t="inlineStr">
        <is>
          <t>SCA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425-2022</t>
        </is>
      </c>
      <c r="B5882" s="1" t="n">
        <v>44565</v>
      </c>
      <c r="C5882" s="1" t="n">
        <v>45357</v>
      </c>
      <c r="D5882" t="inlineStr">
        <is>
          <t>VÄSTERBOTTENS LÄN</t>
        </is>
      </c>
      <c r="E5882" t="inlineStr">
        <is>
          <t>VINDELN</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429-2022</t>
        </is>
      </c>
      <c r="B5883" s="1" t="n">
        <v>44565</v>
      </c>
      <c r="C5883" s="1" t="n">
        <v>45357</v>
      </c>
      <c r="D5883" t="inlineStr">
        <is>
          <t>VÄSTERBOTTENS LÄN</t>
        </is>
      </c>
      <c r="E5883" t="inlineStr">
        <is>
          <t>VÄNNÄS</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436-2022</t>
        </is>
      </c>
      <c r="B5884" s="1" t="n">
        <v>44565</v>
      </c>
      <c r="C5884" s="1" t="n">
        <v>45357</v>
      </c>
      <c r="D5884" t="inlineStr">
        <is>
          <t>VÄSTERBOTTENS LÄN</t>
        </is>
      </c>
      <c r="E5884" t="inlineStr">
        <is>
          <t>NORSJÖ</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578-2022</t>
        </is>
      </c>
      <c r="B5885" s="1" t="n">
        <v>44566</v>
      </c>
      <c r="C5885" s="1" t="n">
        <v>45357</v>
      </c>
      <c r="D5885" t="inlineStr">
        <is>
          <t>VÄSTERBOTTENS LÄN</t>
        </is>
      </c>
      <c r="E5885" t="inlineStr">
        <is>
          <t>LYCKSELE</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526-2022</t>
        </is>
      </c>
      <c r="B5886" s="1" t="n">
        <v>44566</v>
      </c>
      <c r="C5886" s="1" t="n">
        <v>45357</v>
      </c>
      <c r="D5886" t="inlineStr">
        <is>
          <t>VÄSTERBOTTENS LÄN</t>
        </is>
      </c>
      <c r="E5886" t="inlineStr">
        <is>
          <t>LYCKSELE</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528-2022</t>
        </is>
      </c>
      <c r="B5887" s="1" t="n">
        <v>44566</v>
      </c>
      <c r="C5887" s="1" t="n">
        <v>45357</v>
      </c>
      <c r="D5887" t="inlineStr">
        <is>
          <t>VÄSTERBOTTENS LÄN</t>
        </is>
      </c>
      <c r="E5887" t="inlineStr">
        <is>
          <t>SKELLEFTEÅ</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703-2022</t>
        </is>
      </c>
      <c r="B5888" s="1" t="n">
        <v>44566</v>
      </c>
      <c r="C5888" s="1" t="n">
        <v>45357</v>
      </c>
      <c r="D5888" t="inlineStr">
        <is>
          <t>VÄSTERBOTTENS LÄN</t>
        </is>
      </c>
      <c r="E5888" t="inlineStr">
        <is>
          <t>UMEÅ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590-2022</t>
        </is>
      </c>
      <c r="B5889" s="1" t="n">
        <v>44567</v>
      </c>
      <c r="C5889" s="1" t="n">
        <v>45357</v>
      </c>
      <c r="D5889" t="inlineStr">
        <is>
          <t>VÄSTERBOTTENS LÄN</t>
        </is>
      </c>
      <c r="E5889" t="inlineStr">
        <is>
          <t>VILHELMINA</t>
        </is>
      </c>
      <c r="G5889" t="n">
        <v>14.5</v>
      </c>
      <c r="H5889" t="n">
        <v>0</v>
      </c>
      <c r="I5889" t="n">
        <v>0</v>
      </c>
      <c r="J5889" t="n">
        <v>0</v>
      </c>
      <c r="K5889" t="n">
        <v>0</v>
      </c>
      <c r="L5889" t="n">
        <v>0</v>
      </c>
      <c r="M5889" t="n">
        <v>0</v>
      </c>
      <c r="N5889" t="n">
        <v>0</v>
      </c>
      <c r="O5889" t="n">
        <v>0</v>
      </c>
      <c r="P5889" t="n">
        <v>0</v>
      </c>
      <c r="Q5889" t="n">
        <v>0</v>
      </c>
      <c r="R5889" s="2" t="inlineStr"/>
    </row>
    <row r="5890" ht="15" customHeight="1">
      <c r="A5890" t="inlineStr">
        <is>
          <t>A 615-2022</t>
        </is>
      </c>
      <c r="B5890" s="1" t="n">
        <v>44567</v>
      </c>
      <c r="C5890" s="1" t="n">
        <v>45357</v>
      </c>
      <c r="D5890" t="inlineStr">
        <is>
          <t>VÄSTERBOTTENS LÄN</t>
        </is>
      </c>
      <c r="E5890" t="inlineStr">
        <is>
          <t>LYCKSELE</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664-2022</t>
        </is>
      </c>
      <c r="B5891" s="1" t="n">
        <v>44568</v>
      </c>
      <c r="C5891" s="1" t="n">
        <v>45357</v>
      </c>
      <c r="D5891" t="inlineStr">
        <is>
          <t>VÄSTERBOTTENS LÄN</t>
        </is>
      </c>
      <c r="E5891" t="inlineStr">
        <is>
          <t>VILHELMINA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745-2022</t>
        </is>
      </c>
      <c r="B5892" s="1" t="n">
        <v>44568</v>
      </c>
      <c r="C5892" s="1" t="n">
        <v>45357</v>
      </c>
      <c r="D5892" t="inlineStr">
        <is>
          <t>VÄSTERBOTTENS LÄN</t>
        </is>
      </c>
      <c r="E5892" t="inlineStr">
        <is>
          <t>DOROTEA</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808-2022</t>
        </is>
      </c>
      <c r="B5893" s="1" t="n">
        <v>44568</v>
      </c>
      <c r="C5893" s="1" t="n">
        <v>45357</v>
      </c>
      <c r="D5893" t="inlineStr">
        <is>
          <t>VÄSTERBOTTENS LÄN</t>
        </is>
      </c>
      <c r="E5893" t="inlineStr">
        <is>
          <t>SKELLEFTEÅ</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932-2022</t>
        </is>
      </c>
      <c r="B5894" s="1" t="n">
        <v>44571</v>
      </c>
      <c r="C5894" s="1" t="n">
        <v>45357</v>
      </c>
      <c r="D5894" t="inlineStr">
        <is>
          <t>VÄSTERBOTTENS LÄN</t>
        </is>
      </c>
      <c r="E5894" t="inlineStr">
        <is>
          <t>LYCKSELE</t>
        </is>
      </c>
      <c r="F5894" t="inlineStr">
        <is>
          <t>Sveaskog</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1023-2022</t>
        </is>
      </c>
      <c r="B5895" s="1" t="n">
        <v>44571</v>
      </c>
      <c r="C5895" s="1" t="n">
        <v>45357</v>
      </c>
      <c r="D5895" t="inlineStr">
        <is>
          <t>VÄSTERBOTTENS LÄN</t>
        </is>
      </c>
      <c r="E5895" t="inlineStr">
        <is>
          <t>LYCKSELE</t>
        </is>
      </c>
      <c r="F5895" t="inlineStr">
        <is>
          <t>Sveaskog</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833-2022</t>
        </is>
      </c>
      <c r="B5896" s="1" t="n">
        <v>44571</v>
      </c>
      <c r="C5896" s="1" t="n">
        <v>45357</v>
      </c>
      <c r="D5896" t="inlineStr">
        <is>
          <t>VÄSTERBOTTENS LÄN</t>
        </is>
      </c>
      <c r="E5896" t="inlineStr">
        <is>
          <t>ROBERTSFORS</t>
        </is>
      </c>
      <c r="F5896" t="inlineStr">
        <is>
          <t>Holmen skog AB</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849-2022</t>
        </is>
      </c>
      <c r="B5897" s="1" t="n">
        <v>44571</v>
      </c>
      <c r="C5897" s="1" t="n">
        <v>45357</v>
      </c>
      <c r="D5897" t="inlineStr">
        <is>
          <t>VÄSTERBOTTENS LÄN</t>
        </is>
      </c>
      <c r="E5897" t="inlineStr">
        <is>
          <t>LYCKSELE</t>
        </is>
      </c>
      <c r="F5897" t="inlineStr">
        <is>
          <t>Sveaskog</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846-2022</t>
        </is>
      </c>
      <c r="B5898" s="1" t="n">
        <v>44571</v>
      </c>
      <c r="C5898" s="1" t="n">
        <v>45357</v>
      </c>
      <c r="D5898" t="inlineStr">
        <is>
          <t>VÄSTERBOTTENS LÄN</t>
        </is>
      </c>
      <c r="E5898" t="inlineStr">
        <is>
          <t>VÄNNÄS</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935-2022</t>
        </is>
      </c>
      <c r="B5899" s="1" t="n">
        <v>44571</v>
      </c>
      <c r="C5899" s="1" t="n">
        <v>45357</v>
      </c>
      <c r="D5899" t="inlineStr">
        <is>
          <t>VÄSTERBOTTENS LÄN</t>
        </is>
      </c>
      <c r="E5899" t="inlineStr">
        <is>
          <t>LYCKSELE</t>
        </is>
      </c>
      <c r="F5899" t="inlineStr">
        <is>
          <t>Sveaskog</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977-2022</t>
        </is>
      </c>
      <c r="B5900" s="1" t="n">
        <v>44571</v>
      </c>
      <c r="C5900" s="1" t="n">
        <v>45357</v>
      </c>
      <c r="D5900" t="inlineStr">
        <is>
          <t>VÄSTERBOTTENS LÄN</t>
        </is>
      </c>
      <c r="E5900" t="inlineStr">
        <is>
          <t>ROBERTSFORS</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929-2022</t>
        </is>
      </c>
      <c r="B5901" s="1" t="n">
        <v>44571</v>
      </c>
      <c r="C5901" s="1" t="n">
        <v>45357</v>
      </c>
      <c r="D5901" t="inlineStr">
        <is>
          <t>VÄSTERBOTTENS LÄN</t>
        </is>
      </c>
      <c r="E5901" t="inlineStr">
        <is>
          <t>LYCKSELE</t>
        </is>
      </c>
      <c r="F5901" t="inlineStr">
        <is>
          <t>Sveaskog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1025-2022</t>
        </is>
      </c>
      <c r="B5902" s="1" t="n">
        <v>44571</v>
      </c>
      <c r="C5902" s="1" t="n">
        <v>45357</v>
      </c>
      <c r="D5902" t="inlineStr">
        <is>
          <t>VÄSTERBOTTENS LÄN</t>
        </is>
      </c>
      <c r="E5902" t="inlineStr">
        <is>
          <t>LYCKSELE</t>
        </is>
      </c>
      <c r="F5902" t="inlineStr">
        <is>
          <t>Sveaskog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1048-2022</t>
        </is>
      </c>
      <c r="B5903" s="1" t="n">
        <v>44571</v>
      </c>
      <c r="C5903" s="1" t="n">
        <v>45357</v>
      </c>
      <c r="D5903" t="inlineStr">
        <is>
          <t>VÄSTERBOTTENS LÄN</t>
        </is>
      </c>
      <c r="E5903" t="inlineStr">
        <is>
          <t>LYCKSELE</t>
        </is>
      </c>
      <c r="F5903" t="inlineStr">
        <is>
          <t>Sveaskog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2604-2022</t>
        </is>
      </c>
      <c r="B5904" s="1" t="n">
        <v>44571</v>
      </c>
      <c r="C5904" s="1" t="n">
        <v>45357</v>
      </c>
      <c r="D5904" t="inlineStr">
        <is>
          <t>VÄSTERBOTTENS LÄN</t>
        </is>
      </c>
      <c r="E5904" t="inlineStr">
        <is>
          <t>ROBERTSFORS</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1161-2022</t>
        </is>
      </c>
      <c r="B5905" s="1" t="n">
        <v>44571</v>
      </c>
      <c r="C5905" s="1" t="n">
        <v>45357</v>
      </c>
      <c r="D5905" t="inlineStr">
        <is>
          <t>VÄSTERBOTTENS LÄN</t>
        </is>
      </c>
      <c r="E5905" t="inlineStr">
        <is>
          <t>LYCKSELE</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1163-2022</t>
        </is>
      </c>
      <c r="B5906" s="1" t="n">
        <v>44572</v>
      </c>
      <c r="C5906" s="1" t="n">
        <v>45357</v>
      </c>
      <c r="D5906" t="inlineStr">
        <is>
          <t>VÄSTERBOTTENS LÄN</t>
        </is>
      </c>
      <c r="E5906" t="inlineStr">
        <is>
          <t>LYCKSELE</t>
        </is>
      </c>
      <c r="F5906" t="inlineStr">
        <is>
          <t>Sveaskog</t>
        </is>
      </c>
      <c r="G5906" t="n">
        <v>48.3</v>
      </c>
      <c r="H5906" t="n">
        <v>0</v>
      </c>
      <c r="I5906" t="n">
        <v>0</v>
      </c>
      <c r="J5906" t="n">
        <v>0</v>
      </c>
      <c r="K5906" t="n">
        <v>0</v>
      </c>
      <c r="L5906" t="n">
        <v>0</v>
      </c>
      <c r="M5906" t="n">
        <v>0</v>
      </c>
      <c r="N5906" t="n">
        <v>0</v>
      </c>
      <c r="O5906" t="n">
        <v>0</v>
      </c>
      <c r="P5906" t="n">
        <v>0</v>
      </c>
      <c r="Q5906" t="n">
        <v>0</v>
      </c>
      <c r="R5906" s="2" t="inlineStr"/>
    </row>
    <row r="5907" ht="15" customHeight="1">
      <c r="A5907" t="inlineStr">
        <is>
          <t>A 1209-2022</t>
        </is>
      </c>
      <c r="B5907" s="1" t="n">
        <v>44572</v>
      </c>
      <c r="C5907" s="1" t="n">
        <v>45357</v>
      </c>
      <c r="D5907" t="inlineStr">
        <is>
          <t>VÄSTERBOTTENS LÄN</t>
        </is>
      </c>
      <c r="E5907" t="inlineStr">
        <is>
          <t>VINDELN</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1120-2022</t>
        </is>
      </c>
      <c r="B5908" s="1" t="n">
        <v>44572</v>
      </c>
      <c r="C5908" s="1" t="n">
        <v>45357</v>
      </c>
      <c r="D5908" t="inlineStr">
        <is>
          <t>VÄSTERBOTTENS LÄN</t>
        </is>
      </c>
      <c r="E5908" t="inlineStr">
        <is>
          <t>ROBERTSFORS</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1225-2022</t>
        </is>
      </c>
      <c r="B5909" s="1" t="n">
        <v>44572</v>
      </c>
      <c r="C5909" s="1" t="n">
        <v>45357</v>
      </c>
      <c r="D5909" t="inlineStr">
        <is>
          <t>VÄSTERBOTTENS LÄN</t>
        </is>
      </c>
      <c r="E5909" t="inlineStr">
        <is>
          <t>VINDELN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1289-2022</t>
        </is>
      </c>
      <c r="B5910" s="1" t="n">
        <v>44572</v>
      </c>
      <c r="C5910" s="1" t="n">
        <v>45357</v>
      </c>
      <c r="D5910" t="inlineStr">
        <is>
          <t>VÄSTERBOTTENS LÄN</t>
        </is>
      </c>
      <c r="E5910" t="inlineStr">
        <is>
          <t>LYCKSELE</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1463-2022</t>
        </is>
      </c>
      <c r="B5911" s="1" t="n">
        <v>44573</v>
      </c>
      <c r="C5911" s="1" t="n">
        <v>45357</v>
      </c>
      <c r="D5911" t="inlineStr">
        <is>
          <t>VÄSTERBOTTENS LÄN</t>
        </is>
      </c>
      <c r="E5911" t="inlineStr">
        <is>
          <t>NORSJÖ</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1626-2022</t>
        </is>
      </c>
      <c r="B5912" s="1" t="n">
        <v>44573</v>
      </c>
      <c r="C5912" s="1" t="n">
        <v>45357</v>
      </c>
      <c r="D5912" t="inlineStr">
        <is>
          <t>VÄSTERBOTTENS LÄN</t>
        </is>
      </c>
      <c r="E5912" t="inlineStr">
        <is>
          <t>SKELLEFTEÅ</t>
        </is>
      </c>
      <c r="G5912" t="n">
        <v>14.1</v>
      </c>
      <c r="H5912" t="n">
        <v>0</v>
      </c>
      <c r="I5912" t="n">
        <v>0</v>
      </c>
      <c r="J5912" t="n">
        <v>0</v>
      </c>
      <c r="K5912" t="n">
        <v>0</v>
      </c>
      <c r="L5912" t="n">
        <v>0</v>
      </c>
      <c r="M5912" t="n">
        <v>0</v>
      </c>
      <c r="N5912" t="n">
        <v>0</v>
      </c>
      <c r="O5912" t="n">
        <v>0</v>
      </c>
      <c r="P5912" t="n">
        <v>0</v>
      </c>
      <c r="Q5912" t="n">
        <v>0</v>
      </c>
      <c r="R5912" s="2" t="inlineStr"/>
    </row>
    <row r="5913" ht="15" customHeight="1">
      <c r="A5913" t="inlineStr">
        <is>
          <t>A 1620-2022</t>
        </is>
      </c>
      <c r="B5913" s="1" t="n">
        <v>44573</v>
      </c>
      <c r="C5913" s="1" t="n">
        <v>45357</v>
      </c>
      <c r="D5913" t="inlineStr">
        <is>
          <t>VÄSTERBOTTENS LÄN</t>
        </is>
      </c>
      <c r="E5913" t="inlineStr">
        <is>
          <t>ROBERTSFORS</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1656-2022</t>
        </is>
      </c>
      <c r="B5914" s="1" t="n">
        <v>44574</v>
      </c>
      <c r="C5914" s="1" t="n">
        <v>45357</v>
      </c>
      <c r="D5914" t="inlineStr">
        <is>
          <t>VÄSTERBOTTENS LÄN</t>
        </is>
      </c>
      <c r="E5914" t="inlineStr">
        <is>
          <t>ROBERTSFORS</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1684-2022</t>
        </is>
      </c>
      <c r="B5915" s="1" t="n">
        <v>44574</v>
      </c>
      <c r="C5915" s="1" t="n">
        <v>45357</v>
      </c>
      <c r="D5915" t="inlineStr">
        <is>
          <t>VÄSTERBOTTENS LÄN</t>
        </is>
      </c>
      <c r="E5915" t="inlineStr">
        <is>
          <t>ROBERTSFORS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1671-2022</t>
        </is>
      </c>
      <c r="B5916" s="1" t="n">
        <v>44574</v>
      </c>
      <c r="C5916" s="1" t="n">
        <v>45357</v>
      </c>
      <c r="D5916" t="inlineStr">
        <is>
          <t>VÄSTERBOTTENS LÄN</t>
        </is>
      </c>
      <c r="E5916" t="inlineStr">
        <is>
          <t>ROBERTSFORS</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1750-2022</t>
        </is>
      </c>
      <c r="B5917" s="1" t="n">
        <v>44574</v>
      </c>
      <c r="C5917" s="1" t="n">
        <v>45357</v>
      </c>
      <c r="D5917" t="inlineStr">
        <is>
          <t>VÄSTERBOTTENS LÄN</t>
        </is>
      </c>
      <c r="E5917" t="inlineStr">
        <is>
          <t>SKELLEFTEÅ</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1853-2022</t>
        </is>
      </c>
      <c r="B5918" s="1" t="n">
        <v>44574</v>
      </c>
      <c r="C5918" s="1" t="n">
        <v>45357</v>
      </c>
      <c r="D5918" t="inlineStr">
        <is>
          <t>VÄSTERBOTTENS LÄN</t>
        </is>
      </c>
      <c r="E5918" t="inlineStr">
        <is>
          <t>NORSJÖ</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1856-2022</t>
        </is>
      </c>
      <c r="B5919" s="1" t="n">
        <v>44574</v>
      </c>
      <c r="C5919" s="1" t="n">
        <v>45357</v>
      </c>
      <c r="D5919" t="inlineStr">
        <is>
          <t>VÄSTERBOTTENS LÄN</t>
        </is>
      </c>
      <c r="E5919" t="inlineStr">
        <is>
          <t>NORDMALING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1821-2022</t>
        </is>
      </c>
      <c r="B5920" s="1" t="n">
        <v>44574</v>
      </c>
      <c r="C5920" s="1" t="n">
        <v>45357</v>
      </c>
      <c r="D5920" t="inlineStr">
        <is>
          <t>VÄSTERBOTTENS LÄN</t>
        </is>
      </c>
      <c r="E5920" t="inlineStr">
        <is>
          <t>UMEÅ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1834-2022</t>
        </is>
      </c>
      <c r="B5921" s="1" t="n">
        <v>44574</v>
      </c>
      <c r="C5921" s="1" t="n">
        <v>45357</v>
      </c>
      <c r="D5921" t="inlineStr">
        <is>
          <t>VÄSTERBOTTENS LÄN</t>
        </is>
      </c>
      <c r="E5921" t="inlineStr">
        <is>
          <t>SKELLEFTEÅ</t>
        </is>
      </c>
      <c r="G5921" t="n">
        <v>9.9</v>
      </c>
      <c r="H5921" t="n">
        <v>0</v>
      </c>
      <c r="I5921" t="n">
        <v>0</v>
      </c>
      <c r="J5921" t="n">
        <v>0</v>
      </c>
      <c r="K5921" t="n">
        <v>0</v>
      </c>
      <c r="L5921" t="n">
        <v>0</v>
      </c>
      <c r="M5921" t="n">
        <v>0</v>
      </c>
      <c r="N5921" t="n">
        <v>0</v>
      </c>
      <c r="O5921" t="n">
        <v>0</v>
      </c>
      <c r="P5921" t="n">
        <v>0</v>
      </c>
      <c r="Q5921" t="n">
        <v>0</v>
      </c>
      <c r="R5921" s="2" t="inlineStr"/>
    </row>
    <row r="5922" ht="15" customHeight="1">
      <c r="A5922" t="inlineStr">
        <is>
          <t>A 1897-2022</t>
        </is>
      </c>
      <c r="B5922" s="1" t="n">
        <v>44575</v>
      </c>
      <c r="C5922" s="1" t="n">
        <v>45357</v>
      </c>
      <c r="D5922" t="inlineStr">
        <is>
          <t>VÄSTERBOTTENS LÄN</t>
        </is>
      </c>
      <c r="E5922" t="inlineStr">
        <is>
          <t>ROBERTSFORS</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1947-2022</t>
        </is>
      </c>
      <c r="B5923" s="1" t="n">
        <v>44575</v>
      </c>
      <c r="C5923" s="1" t="n">
        <v>45357</v>
      </c>
      <c r="D5923" t="inlineStr">
        <is>
          <t>VÄSTERBOTTENS LÄN</t>
        </is>
      </c>
      <c r="E5923" t="inlineStr">
        <is>
          <t>MALÅ</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2245-2022</t>
        </is>
      </c>
      <c r="B5924" s="1" t="n">
        <v>44578</v>
      </c>
      <c r="C5924" s="1" t="n">
        <v>45357</v>
      </c>
      <c r="D5924" t="inlineStr">
        <is>
          <t>VÄSTERBOTTENS LÄN</t>
        </is>
      </c>
      <c r="E5924" t="inlineStr">
        <is>
          <t>LYCKSELE</t>
        </is>
      </c>
      <c r="F5924" t="inlineStr">
        <is>
          <t>Sveaskog</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2340-2022</t>
        </is>
      </c>
      <c r="B5925" s="1" t="n">
        <v>44578</v>
      </c>
      <c r="C5925" s="1" t="n">
        <v>45357</v>
      </c>
      <c r="D5925" t="inlineStr">
        <is>
          <t>VÄSTERBOTTENS LÄN</t>
        </is>
      </c>
      <c r="E5925" t="inlineStr">
        <is>
          <t>VILHELMINA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2341-2022</t>
        </is>
      </c>
      <c r="B5926" s="1" t="n">
        <v>44578</v>
      </c>
      <c r="C5926" s="1" t="n">
        <v>45357</v>
      </c>
      <c r="D5926" t="inlineStr">
        <is>
          <t>VÄSTERBOTTENS LÄN</t>
        </is>
      </c>
      <c r="E5926" t="inlineStr">
        <is>
          <t>VILHELMINA</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2432-2022</t>
        </is>
      </c>
      <c r="B5927" s="1" t="n">
        <v>44579</v>
      </c>
      <c r="C5927" s="1" t="n">
        <v>45357</v>
      </c>
      <c r="D5927" t="inlineStr">
        <is>
          <t>VÄSTERBOTTENS LÄN</t>
        </is>
      </c>
      <c r="E5927" t="inlineStr">
        <is>
          <t>LYCKSELE</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2433-2022</t>
        </is>
      </c>
      <c r="B5928" s="1" t="n">
        <v>44579</v>
      </c>
      <c r="C5928" s="1" t="n">
        <v>45357</v>
      </c>
      <c r="D5928" t="inlineStr">
        <is>
          <t>VÄSTERBOTTENS LÄN</t>
        </is>
      </c>
      <c r="E5928" t="inlineStr">
        <is>
          <t>LYCKSELE</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2386-2022</t>
        </is>
      </c>
      <c r="B5929" s="1" t="n">
        <v>44579</v>
      </c>
      <c r="C5929" s="1" t="n">
        <v>45357</v>
      </c>
      <c r="D5929" t="inlineStr">
        <is>
          <t>VÄSTERBOTTENS LÄN</t>
        </is>
      </c>
      <c r="E5929" t="inlineStr">
        <is>
          <t>LYCKSELE</t>
        </is>
      </c>
      <c r="F5929" t="inlineStr">
        <is>
          <t>Holmen skog AB</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2474-2022</t>
        </is>
      </c>
      <c r="B5930" s="1" t="n">
        <v>44579</v>
      </c>
      <c r="C5930" s="1" t="n">
        <v>45357</v>
      </c>
      <c r="D5930" t="inlineStr">
        <is>
          <t>VÄSTERBOTTENS LÄN</t>
        </is>
      </c>
      <c r="E5930" t="inlineStr">
        <is>
          <t>DOROTEA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2486-2022</t>
        </is>
      </c>
      <c r="B5931" s="1" t="n">
        <v>44579</v>
      </c>
      <c r="C5931" s="1" t="n">
        <v>45357</v>
      </c>
      <c r="D5931" t="inlineStr">
        <is>
          <t>VÄSTERBOTTENS LÄN</t>
        </is>
      </c>
      <c r="E5931" t="inlineStr">
        <is>
          <t>SKELLEFTEÅ</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2576-2022</t>
        </is>
      </c>
      <c r="B5932" s="1" t="n">
        <v>44580</v>
      </c>
      <c r="C5932" s="1" t="n">
        <v>45357</v>
      </c>
      <c r="D5932" t="inlineStr">
        <is>
          <t>VÄSTERBOTTENS LÄN</t>
        </is>
      </c>
      <c r="E5932" t="inlineStr">
        <is>
          <t>LYCKSELE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2586-2022</t>
        </is>
      </c>
      <c r="B5933" s="1" t="n">
        <v>44580</v>
      </c>
      <c r="C5933" s="1" t="n">
        <v>45357</v>
      </c>
      <c r="D5933" t="inlineStr">
        <is>
          <t>VÄSTERBOTTENS LÄN</t>
        </is>
      </c>
      <c r="E5933" t="inlineStr">
        <is>
          <t>UMEÅ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2679-2022</t>
        </is>
      </c>
      <c r="B5934" s="1" t="n">
        <v>44580</v>
      </c>
      <c r="C5934" s="1" t="n">
        <v>45357</v>
      </c>
      <c r="D5934" t="inlineStr">
        <is>
          <t>VÄSTERBOTTENS LÄN</t>
        </is>
      </c>
      <c r="E5934" t="inlineStr">
        <is>
          <t>ROBERTSFORS</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2707-2022</t>
        </is>
      </c>
      <c r="B5935" s="1" t="n">
        <v>44580</v>
      </c>
      <c r="C5935" s="1" t="n">
        <v>45357</v>
      </c>
      <c r="D5935" t="inlineStr">
        <is>
          <t>VÄSTERBOTTENS LÄN</t>
        </is>
      </c>
      <c r="E5935" t="inlineStr">
        <is>
          <t>ROBERTSFORS</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2706-2022</t>
        </is>
      </c>
      <c r="B5936" s="1" t="n">
        <v>44580</v>
      </c>
      <c r="C5936" s="1" t="n">
        <v>45357</v>
      </c>
      <c r="D5936" t="inlineStr">
        <is>
          <t>VÄSTERBOTTENS LÄN</t>
        </is>
      </c>
      <c r="E5936" t="inlineStr">
        <is>
          <t>BJURHOLM</t>
        </is>
      </c>
      <c r="F5936" t="inlineStr">
        <is>
          <t>Kommuner</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2590-2022</t>
        </is>
      </c>
      <c r="B5937" s="1" t="n">
        <v>44580</v>
      </c>
      <c r="C5937" s="1" t="n">
        <v>45357</v>
      </c>
      <c r="D5937" t="inlineStr">
        <is>
          <t>VÄSTERBOTTENS LÄN</t>
        </is>
      </c>
      <c r="E5937" t="inlineStr">
        <is>
          <t>ROBERTSFORS</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2607-2022</t>
        </is>
      </c>
      <c r="B5938" s="1" t="n">
        <v>44580</v>
      </c>
      <c r="C5938" s="1" t="n">
        <v>45357</v>
      </c>
      <c r="D5938" t="inlineStr">
        <is>
          <t>VÄSTERBOTTENS LÄN</t>
        </is>
      </c>
      <c r="E5938" t="inlineStr">
        <is>
          <t>SKELLEFTEÅ</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2608-2022</t>
        </is>
      </c>
      <c r="B5939" s="1" t="n">
        <v>44580</v>
      </c>
      <c r="C5939" s="1" t="n">
        <v>45357</v>
      </c>
      <c r="D5939" t="inlineStr">
        <is>
          <t>VÄSTERBOTTENS LÄN</t>
        </is>
      </c>
      <c r="E5939" t="inlineStr">
        <is>
          <t>UMEÅ</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2708-2022</t>
        </is>
      </c>
      <c r="B5940" s="1" t="n">
        <v>44580</v>
      </c>
      <c r="C5940" s="1" t="n">
        <v>45357</v>
      </c>
      <c r="D5940" t="inlineStr">
        <is>
          <t>VÄSTERBOTTENS LÄN</t>
        </is>
      </c>
      <c r="E5940" t="inlineStr">
        <is>
          <t>ROBERTSFORS</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2758-2022</t>
        </is>
      </c>
      <c r="B5941" s="1" t="n">
        <v>44580</v>
      </c>
      <c r="C5941" s="1" t="n">
        <v>45357</v>
      </c>
      <c r="D5941" t="inlineStr">
        <is>
          <t>VÄSTERBOTTENS LÄN</t>
        </is>
      </c>
      <c r="E5941" t="inlineStr">
        <is>
          <t>LYCKSELE</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2794-2022</t>
        </is>
      </c>
      <c r="B5942" s="1" t="n">
        <v>44580</v>
      </c>
      <c r="C5942" s="1" t="n">
        <v>45357</v>
      </c>
      <c r="D5942" t="inlineStr">
        <is>
          <t>VÄSTERBOTTENS LÄN</t>
        </is>
      </c>
      <c r="E5942" t="inlineStr">
        <is>
          <t>STORUMAN</t>
        </is>
      </c>
      <c r="G5942" t="n">
        <v>12.5</v>
      </c>
      <c r="H5942" t="n">
        <v>0</v>
      </c>
      <c r="I5942" t="n">
        <v>0</v>
      </c>
      <c r="J5942" t="n">
        <v>0</v>
      </c>
      <c r="K5942" t="n">
        <v>0</v>
      </c>
      <c r="L5942" t="n">
        <v>0</v>
      </c>
      <c r="M5942" t="n">
        <v>0</v>
      </c>
      <c r="N5942" t="n">
        <v>0</v>
      </c>
      <c r="O5942" t="n">
        <v>0</v>
      </c>
      <c r="P5942" t="n">
        <v>0</v>
      </c>
      <c r="Q5942" t="n">
        <v>0</v>
      </c>
      <c r="R5942" s="2" t="inlineStr"/>
    </row>
    <row r="5943" ht="15" customHeight="1">
      <c r="A5943" t="inlineStr">
        <is>
          <t>A 2573-2022</t>
        </is>
      </c>
      <c r="B5943" s="1" t="n">
        <v>44580</v>
      </c>
      <c r="C5943" s="1" t="n">
        <v>45357</v>
      </c>
      <c r="D5943" t="inlineStr">
        <is>
          <t>VÄSTERBOTTENS LÄN</t>
        </is>
      </c>
      <c r="E5943" t="inlineStr">
        <is>
          <t>ROBERTSFORS</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2813-2022</t>
        </is>
      </c>
      <c r="B5944" s="1" t="n">
        <v>44580</v>
      </c>
      <c r="C5944" s="1" t="n">
        <v>45357</v>
      </c>
      <c r="D5944" t="inlineStr">
        <is>
          <t>VÄSTERBOTTENS LÄN</t>
        </is>
      </c>
      <c r="E5944" t="inlineStr">
        <is>
          <t>SKELLEFTEÅ</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2788-2022</t>
        </is>
      </c>
      <c r="B5945" s="1" t="n">
        <v>44580</v>
      </c>
      <c r="C5945" s="1" t="n">
        <v>45357</v>
      </c>
      <c r="D5945" t="inlineStr">
        <is>
          <t>VÄSTERBOTTENS LÄN</t>
        </is>
      </c>
      <c r="E5945" t="inlineStr">
        <is>
          <t>STORUMAN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2859-2022</t>
        </is>
      </c>
      <c r="B5946" s="1" t="n">
        <v>44581</v>
      </c>
      <c r="C5946" s="1" t="n">
        <v>45357</v>
      </c>
      <c r="D5946" t="inlineStr">
        <is>
          <t>VÄSTERBOTTENS LÄN</t>
        </is>
      </c>
      <c r="E5946" t="inlineStr">
        <is>
          <t>LYCKSELE</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2902-2022</t>
        </is>
      </c>
      <c r="B5947" s="1" t="n">
        <v>44581</v>
      </c>
      <c r="C5947" s="1" t="n">
        <v>45357</v>
      </c>
      <c r="D5947" t="inlineStr">
        <is>
          <t>VÄSTERBOTTENS LÄN</t>
        </is>
      </c>
      <c r="E5947" t="inlineStr">
        <is>
          <t>VINDELN</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2963-2022</t>
        </is>
      </c>
      <c r="B5948" s="1" t="n">
        <v>44581</v>
      </c>
      <c r="C5948" s="1" t="n">
        <v>45357</v>
      </c>
      <c r="D5948" t="inlineStr">
        <is>
          <t>VÄSTERBOTTENS LÄN</t>
        </is>
      </c>
      <c r="E5948" t="inlineStr">
        <is>
          <t>STORUMAN</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3006-2022</t>
        </is>
      </c>
      <c r="B5949" s="1" t="n">
        <v>44581</v>
      </c>
      <c r="C5949" s="1" t="n">
        <v>45357</v>
      </c>
      <c r="D5949" t="inlineStr">
        <is>
          <t>VÄSTERBOTTENS LÄN</t>
        </is>
      </c>
      <c r="E5949" t="inlineStr">
        <is>
          <t>SKELLEFTEÅ</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3046-2022</t>
        </is>
      </c>
      <c r="B5950" s="1" t="n">
        <v>44581</v>
      </c>
      <c r="C5950" s="1" t="n">
        <v>45357</v>
      </c>
      <c r="D5950" t="inlineStr">
        <is>
          <t>VÄSTERBOTTENS LÄN</t>
        </is>
      </c>
      <c r="E5950" t="inlineStr">
        <is>
          <t>STORUMAN</t>
        </is>
      </c>
      <c r="G5950" t="n">
        <v>23.9</v>
      </c>
      <c r="H5950" t="n">
        <v>0</v>
      </c>
      <c r="I5950" t="n">
        <v>0</v>
      </c>
      <c r="J5950" t="n">
        <v>0</v>
      </c>
      <c r="K5950" t="n">
        <v>0</v>
      </c>
      <c r="L5950" t="n">
        <v>0</v>
      </c>
      <c r="M5950" t="n">
        <v>0</v>
      </c>
      <c r="N5950" t="n">
        <v>0</v>
      </c>
      <c r="O5950" t="n">
        <v>0</v>
      </c>
      <c r="P5950" t="n">
        <v>0</v>
      </c>
      <c r="Q5950" t="n">
        <v>0</v>
      </c>
      <c r="R5950" s="2" t="inlineStr"/>
    </row>
    <row r="5951" ht="15" customHeight="1">
      <c r="A5951" t="inlineStr">
        <is>
          <t>A 2933-2022</t>
        </is>
      </c>
      <c r="B5951" s="1" t="n">
        <v>44581</v>
      </c>
      <c r="C5951" s="1" t="n">
        <v>45357</v>
      </c>
      <c r="D5951" t="inlineStr">
        <is>
          <t>VÄSTERBOTTENS LÄN</t>
        </is>
      </c>
      <c r="E5951" t="inlineStr">
        <is>
          <t>VÄNNÄS</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3009-2022</t>
        </is>
      </c>
      <c r="B5952" s="1" t="n">
        <v>44581</v>
      </c>
      <c r="C5952" s="1" t="n">
        <v>45357</v>
      </c>
      <c r="D5952" t="inlineStr">
        <is>
          <t>VÄSTERBOTTENS LÄN</t>
        </is>
      </c>
      <c r="E5952" t="inlineStr">
        <is>
          <t>SKELLEFTEÅ</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3040-2022</t>
        </is>
      </c>
      <c r="B5953" s="1" t="n">
        <v>44581</v>
      </c>
      <c r="C5953" s="1" t="n">
        <v>45357</v>
      </c>
      <c r="D5953" t="inlineStr">
        <is>
          <t>VÄSTERBOTTENS LÄN</t>
        </is>
      </c>
      <c r="E5953" t="inlineStr">
        <is>
          <t>STORUMAN</t>
        </is>
      </c>
      <c r="G5953" t="n">
        <v>14.2</v>
      </c>
      <c r="H5953" t="n">
        <v>0</v>
      </c>
      <c r="I5953" t="n">
        <v>0</v>
      </c>
      <c r="J5953" t="n">
        <v>0</v>
      </c>
      <c r="K5953" t="n">
        <v>0</v>
      </c>
      <c r="L5953" t="n">
        <v>0</v>
      </c>
      <c r="M5953" t="n">
        <v>0</v>
      </c>
      <c r="N5953" t="n">
        <v>0</v>
      </c>
      <c r="O5953" t="n">
        <v>0</v>
      </c>
      <c r="P5953" t="n">
        <v>0</v>
      </c>
      <c r="Q5953" t="n">
        <v>0</v>
      </c>
      <c r="R5953" s="2" t="inlineStr"/>
    </row>
    <row r="5954" ht="15" customHeight="1">
      <c r="A5954" t="inlineStr">
        <is>
          <t>A 2857-2022</t>
        </is>
      </c>
      <c r="B5954" s="1" t="n">
        <v>44581</v>
      </c>
      <c r="C5954" s="1" t="n">
        <v>45357</v>
      </c>
      <c r="D5954" t="inlineStr">
        <is>
          <t>VÄSTERBOTTENS LÄN</t>
        </is>
      </c>
      <c r="E5954" t="inlineStr">
        <is>
          <t>UMEÅ</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3241-2022</t>
        </is>
      </c>
      <c r="B5955" s="1" t="n">
        <v>44582</v>
      </c>
      <c r="C5955" s="1" t="n">
        <v>45357</v>
      </c>
      <c r="D5955" t="inlineStr">
        <is>
          <t>VÄSTERBOTTENS LÄN</t>
        </is>
      </c>
      <c r="E5955" t="inlineStr">
        <is>
          <t>DOROTEA</t>
        </is>
      </c>
      <c r="F5955" t="inlineStr">
        <is>
          <t>SCA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3240-2022</t>
        </is>
      </c>
      <c r="B5956" s="1" t="n">
        <v>44582</v>
      </c>
      <c r="C5956" s="1" t="n">
        <v>45357</v>
      </c>
      <c r="D5956" t="inlineStr">
        <is>
          <t>VÄSTERBOTTENS LÄN</t>
        </is>
      </c>
      <c r="E5956" t="inlineStr">
        <is>
          <t>DOROTEA</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3268-2022</t>
        </is>
      </c>
      <c r="B5957" s="1" t="n">
        <v>44583</v>
      </c>
      <c r="C5957" s="1" t="n">
        <v>45357</v>
      </c>
      <c r="D5957" t="inlineStr">
        <is>
          <t>VÄSTERBOTTENS LÄN</t>
        </is>
      </c>
      <c r="E5957" t="inlineStr">
        <is>
          <t>SKELLEFTEÅ</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3265-2022</t>
        </is>
      </c>
      <c r="B5958" s="1" t="n">
        <v>44583</v>
      </c>
      <c r="C5958" s="1" t="n">
        <v>45357</v>
      </c>
      <c r="D5958" t="inlineStr">
        <is>
          <t>VÄSTERBOTTENS LÄN</t>
        </is>
      </c>
      <c r="E5958" t="inlineStr">
        <is>
          <t>SKELLEFTEÅ</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3266-2022</t>
        </is>
      </c>
      <c r="B5959" s="1" t="n">
        <v>44583</v>
      </c>
      <c r="C5959" s="1" t="n">
        <v>45357</v>
      </c>
      <c r="D5959" t="inlineStr">
        <is>
          <t>VÄSTERBOTTENS LÄN</t>
        </is>
      </c>
      <c r="E5959" t="inlineStr">
        <is>
          <t>SKELLEFTEÅ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3362-2022</t>
        </is>
      </c>
      <c r="B5960" s="1" t="n">
        <v>44585</v>
      </c>
      <c r="C5960" s="1" t="n">
        <v>45357</v>
      </c>
      <c r="D5960" t="inlineStr">
        <is>
          <t>VÄSTERBOTTENS LÄN</t>
        </is>
      </c>
      <c r="E5960" t="inlineStr">
        <is>
          <t>SKELLEFTEÅ</t>
        </is>
      </c>
      <c r="G5960" t="n">
        <v>0.2</v>
      </c>
      <c r="H5960" t="n">
        <v>0</v>
      </c>
      <c r="I5960" t="n">
        <v>0</v>
      </c>
      <c r="J5960" t="n">
        <v>0</v>
      </c>
      <c r="K5960" t="n">
        <v>0</v>
      </c>
      <c r="L5960" t="n">
        <v>0</v>
      </c>
      <c r="M5960" t="n">
        <v>0</v>
      </c>
      <c r="N5960" t="n">
        <v>0</v>
      </c>
      <c r="O5960" t="n">
        <v>0</v>
      </c>
      <c r="P5960" t="n">
        <v>0</v>
      </c>
      <c r="Q5960" t="n">
        <v>0</v>
      </c>
      <c r="R5960" s="2" t="inlineStr"/>
    </row>
    <row r="5961" ht="15" customHeight="1">
      <c r="A5961" t="inlineStr">
        <is>
          <t>A 3354-2022</t>
        </is>
      </c>
      <c r="B5961" s="1" t="n">
        <v>44585</v>
      </c>
      <c r="C5961" s="1" t="n">
        <v>45357</v>
      </c>
      <c r="D5961" t="inlineStr">
        <is>
          <t>VÄSTERBOTTENS LÄN</t>
        </is>
      </c>
      <c r="E5961" t="inlineStr">
        <is>
          <t>STORUMAN</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3368-2022</t>
        </is>
      </c>
      <c r="B5962" s="1" t="n">
        <v>44585</v>
      </c>
      <c r="C5962" s="1" t="n">
        <v>45357</v>
      </c>
      <c r="D5962" t="inlineStr">
        <is>
          <t>VÄSTERBOTTENS LÄN</t>
        </is>
      </c>
      <c r="E5962" t="inlineStr">
        <is>
          <t>LYCKSELE</t>
        </is>
      </c>
      <c r="G5962" t="n">
        <v>11.8</v>
      </c>
      <c r="H5962" t="n">
        <v>0</v>
      </c>
      <c r="I5962" t="n">
        <v>0</v>
      </c>
      <c r="J5962" t="n">
        <v>0</v>
      </c>
      <c r="K5962" t="n">
        <v>0</v>
      </c>
      <c r="L5962" t="n">
        <v>0</v>
      </c>
      <c r="M5962" t="n">
        <v>0</v>
      </c>
      <c r="N5962" t="n">
        <v>0</v>
      </c>
      <c r="O5962" t="n">
        <v>0</v>
      </c>
      <c r="P5962" t="n">
        <v>0</v>
      </c>
      <c r="Q5962" t="n">
        <v>0</v>
      </c>
      <c r="R5962" s="2" t="inlineStr"/>
    </row>
    <row r="5963" ht="15" customHeight="1">
      <c r="A5963" t="inlineStr">
        <is>
          <t>A 3400-2022</t>
        </is>
      </c>
      <c r="B5963" s="1" t="n">
        <v>44585</v>
      </c>
      <c r="C5963" s="1" t="n">
        <v>45357</v>
      </c>
      <c r="D5963" t="inlineStr">
        <is>
          <t>VÄSTERBOTTENS LÄN</t>
        </is>
      </c>
      <c r="E5963" t="inlineStr">
        <is>
          <t>LYCKSELE</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3463-2022</t>
        </is>
      </c>
      <c r="B5964" s="1" t="n">
        <v>44585</v>
      </c>
      <c r="C5964" s="1" t="n">
        <v>45357</v>
      </c>
      <c r="D5964" t="inlineStr">
        <is>
          <t>VÄSTERBOTTENS LÄN</t>
        </is>
      </c>
      <c r="E5964" t="inlineStr">
        <is>
          <t>ÅSELE</t>
        </is>
      </c>
      <c r="F5964" t="inlineStr">
        <is>
          <t>Holmen skog AB</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3469-2022</t>
        </is>
      </c>
      <c r="B5965" s="1" t="n">
        <v>44585</v>
      </c>
      <c r="C5965" s="1" t="n">
        <v>45357</v>
      </c>
      <c r="D5965" t="inlineStr">
        <is>
          <t>VÄSTERBOTTENS LÄN</t>
        </is>
      </c>
      <c r="E5965" t="inlineStr">
        <is>
          <t>ÅSELE</t>
        </is>
      </c>
      <c r="F5965" t="inlineStr">
        <is>
          <t>Holmen skog AB</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3475-2022</t>
        </is>
      </c>
      <c r="B5966" s="1" t="n">
        <v>44585</v>
      </c>
      <c r="C5966" s="1" t="n">
        <v>45357</v>
      </c>
      <c r="D5966" t="inlineStr">
        <is>
          <t>VÄSTERBOTTENS LÄN</t>
        </is>
      </c>
      <c r="E5966" t="inlineStr">
        <is>
          <t>ÅSELE</t>
        </is>
      </c>
      <c r="F5966" t="inlineStr">
        <is>
          <t>Holmen skog AB</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3669-2022</t>
        </is>
      </c>
      <c r="B5967" s="1" t="n">
        <v>44586</v>
      </c>
      <c r="C5967" s="1" t="n">
        <v>45357</v>
      </c>
      <c r="D5967" t="inlineStr">
        <is>
          <t>VÄSTERBOTTENS LÄN</t>
        </is>
      </c>
      <c r="E5967" t="inlineStr">
        <is>
          <t>LYCKSELE</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3703-2022</t>
        </is>
      </c>
      <c r="B5968" s="1" t="n">
        <v>44586</v>
      </c>
      <c r="C5968" s="1" t="n">
        <v>45357</v>
      </c>
      <c r="D5968" t="inlineStr">
        <is>
          <t>VÄSTERBOTTENS LÄN</t>
        </is>
      </c>
      <c r="E5968" t="inlineStr">
        <is>
          <t>VINDELN</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3715-2022</t>
        </is>
      </c>
      <c r="B5969" s="1" t="n">
        <v>44586</v>
      </c>
      <c r="C5969" s="1" t="n">
        <v>45357</v>
      </c>
      <c r="D5969" t="inlineStr">
        <is>
          <t>VÄSTERBOTTENS LÄN</t>
        </is>
      </c>
      <c r="E5969" t="inlineStr">
        <is>
          <t>ÅSELE</t>
        </is>
      </c>
      <c r="F5969" t="inlineStr">
        <is>
          <t>Holmen skog AB</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3625-2022</t>
        </is>
      </c>
      <c r="B5970" s="1" t="n">
        <v>44586</v>
      </c>
      <c r="C5970" s="1" t="n">
        <v>45357</v>
      </c>
      <c r="D5970" t="inlineStr">
        <is>
          <t>VÄSTERBOTTENS LÄN</t>
        </is>
      </c>
      <c r="E5970" t="inlineStr">
        <is>
          <t>STORUMAN</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3616-2022</t>
        </is>
      </c>
      <c r="B5971" s="1" t="n">
        <v>44586</v>
      </c>
      <c r="C5971" s="1" t="n">
        <v>45357</v>
      </c>
      <c r="D5971" t="inlineStr">
        <is>
          <t>VÄSTERBOTTENS LÄN</t>
        </is>
      </c>
      <c r="E5971" t="inlineStr">
        <is>
          <t>SKELLEFTEÅ</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3600-2022</t>
        </is>
      </c>
      <c r="B5972" s="1" t="n">
        <v>44586</v>
      </c>
      <c r="C5972" s="1" t="n">
        <v>45357</v>
      </c>
      <c r="D5972" t="inlineStr">
        <is>
          <t>VÄSTERBOTTENS LÄN</t>
        </is>
      </c>
      <c r="E5972" t="inlineStr">
        <is>
          <t>SKELLEFTEÅ</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3695-2022</t>
        </is>
      </c>
      <c r="B5973" s="1" t="n">
        <v>44586</v>
      </c>
      <c r="C5973" s="1" t="n">
        <v>45357</v>
      </c>
      <c r="D5973" t="inlineStr">
        <is>
          <t>VÄSTERBOTTENS LÄN</t>
        </is>
      </c>
      <c r="E5973" t="inlineStr">
        <is>
          <t>VINDELN</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3876-2022</t>
        </is>
      </c>
      <c r="B5974" s="1" t="n">
        <v>44587</v>
      </c>
      <c r="C5974" s="1" t="n">
        <v>45357</v>
      </c>
      <c r="D5974" t="inlineStr">
        <is>
          <t>VÄSTERBOTTENS LÄN</t>
        </is>
      </c>
      <c r="E5974" t="inlineStr">
        <is>
          <t>SKELLEFTEÅ</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3924-2022</t>
        </is>
      </c>
      <c r="B5975" s="1" t="n">
        <v>44587</v>
      </c>
      <c r="C5975" s="1" t="n">
        <v>45357</v>
      </c>
      <c r="D5975" t="inlineStr">
        <is>
          <t>VÄSTERBOTTENS LÄN</t>
        </is>
      </c>
      <c r="E5975" t="inlineStr">
        <is>
          <t>SKELLEFTEÅ</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3882-2022</t>
        </is>
      </c>
      <c r="B5976" s="1" t="n">
        <v>44587</v>
      </c>
      <c r="C5976" s="1" t="n">
        <v>45357</v>
      </c>
      <c r="D5976" t="inlineStr">
        <is>
          <t>VÄSTERBOTTENS LÄN</t>
        </is>
      </c>
      <c r="E5976" t="inlineStr">
        <is>
          <t>SKELLEFTEÅ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3944-2022</t>
        </is>
      </c>
      <c r="B5977" s="1" t="n">
        <v>44587</v>
      </c>
      <c r="C5977" s="1" t="n">
        <v>45357</v>
      </c>
      <c r="D5977" t="inlineStr">
        <is>
          <t>VÄSTERBOTTENS LÄN</t>
        </is>
      </c>
      <c r="E5977" t="inlineStr">
        <is>
          <t>SKELLEFTEÅ</t>
        </is>
      </c>
      <c r="F5977" t="inlineStr">
        <is>
          <t>Kommuner</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3987-2022</t>
        </is>
      </c>
      <c r="B5978" s="1" t="n">
        <v>44587</v>
      </c>
      <c r="C5978" s="1" t="n">
        <v>45357</v>
      </c>
      <c r="D5978" t="inlineStr">
        <is>
          <t>VÄSTERBOTTENS LÄN</t>
        </is>
      </c>
      <c r="E5978" t="inlineStr">
        <is>
          <t>SKELLEFTEÅ</t>
        </is>
      </c>
      <c r="F5978" t="inlineStr">
        <is>
          <t>Sveaskog</t>
        </is>
      </c>
      <c r="G5978" t="n">
        <v>14.3</v>
      </c>
      <c r="H5978" t="n">
        <v>0</v>
      </c>
      <c r="I5978" t="n">
        <v>0</v>
      </c>
      <c r="J5978" t="n">
        <v>0</v>
      </c>
      <c r="K5978" t="n">
        <v>0</v>
      </c>
      <c r="L5978" t="n">
        <v>0</v>
      </c>
      <c r="M5978" t="n">
        <v>0</v>
      </c>
      <c r="N5978" t="n">
        <v>0</v>
      </c>
      <c r="O5978" t="n">
        <v>0</v>
      </c>
      <c r="P5978" t="n">
        <v>0</v>
      </c>
      <c r="Q5978" t="n">
        <v>0</v>
      </c>
      <c r="R5978" s="2" t="inlineStr"/>
    </row>
    <row r="5979" ht="15" customHeight="1">
      <c r="A5979" t="inlineStr">
        <is>
          <t>A 4008-2022</t>
        </is>
      </c>
      <c r="B5979" s="1" t="n">
        <v>44587</v>
      </c>
      <c r="C5979" s="1" t="n">
        <v>45357</v>
      </c>
      <c r="D5979" t="inlineStr">
        <is>
          <t>VÄSTERBOTTENS LÄN</t>
        </is>
      </c>
      <c r="E5979" t="inlineStr">
        <is>
          <t>SKELLEFTEÅ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3963-2022</t>
        </is>
      </c>
      <c r="B5980" s="1" t="n">
        <v>44587</v>
      </c>
      <c r="C5980" s="1" t="n">
        <v>45357</v>
      </c>
      <c r="D5980" t="inlineStr">
        <is>
          <t>VÄSTERBOTTENS LÄN</t>
        </is>
      </c>
      <c r="E5980" t="inlineStr">
        <is>
          <t>SKELLEFTEÅ</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4005-2022</t>
        </is>
      </c>
      <c r="B5981" s="1" t="n">
        <v>44587</v>
      </c>
      <c r="C5981" s="1" t="n">
        <v>45357</v>
      </c>
      <c r="D5981" t="inlineStr">
        <is>
          <t>VÄSTERBOTTENS LÄN</t>
        </is>
      </c>
      <c r="E5981" t="inlineStr">
        <is>
          <t>SKELLEFTEÅ</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4019-2022</t>
        </is>
      </c>
      <c r="B5982" s="1" t="n">
        <v>44587</v>
      </c>
      <c r="C5982" s="1" t="n">
        <v>45357</v>
      </c>
      <c r="D5982" t="inlineStr">
        <is>
          <t>VÄSTERBOTTENS LÄN</t>
        </is>
      </c>
      <c r="E5982" t="inlineStr">
        <is>
          <t>DOROTEA</t>
        </is>
      </c>
      <c r="F5982" t="inlineStr">
        <is>
          <t>SCA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4077-2022</t>
        </is>
      </c>
      <c r="B5983" s="1" t="n">
        <v>44587</v>
      </c>
      <c r="C5983" s="1" t="n">
        <v>45357</v>
      </c>
      <c r="D5983" t="inlineStr">
        <is>
          <t>VÄSTERBOTTENS LÄN</t>
        </is>
      </c>
      <c r="E5983" t="inlineStr">
        <is>
          <t>MALÅ</t>
        </is>
      </c>
      <c r="G5983" t="n">
        <v>10.4</v>
      </c>
      <c r="H5983" t="n">
        <v>0</v>
      </c>
      <c r="I5983" t="n">
        <v>0</v>
      </c>
      <c r="J5983" t="n">
        <v>0</v>
      </c>
      <c r="K5983" t="n">
        <v>0</v>
      </c>
      <c r="L5983" t="n">
        <v>0</v>
      </c>
      <c r="M5983" t="n">
        <v>0</v>
      </c>
      <c r="N5983" t="n">
        <v>0</v>
      </c>
      <c r="O5983" t="n">
        <v>0</v>
      </c>
      <c r="P5983" t="n">
        <v>0</v>
      </c>
      <c r="Q5983" t="n">
        <v>0</v>
      </c>
      <c r="R5983" s="2" t="inlineStr"/>
    </row>
    <row r="5984" ht="15" customHeight="1">
      <c r="A5984" t="inlineStr">
        <is>
          <t>A 3940-2022</t>
        </is>
      </c>
      <c r="B5984" s="1" t="n">
        <v>44587</v>
      </c>
      <c r="C5984" s="1" t="n">
        <v>45357</v>
      </c>
      <c r="D5984" t="inlineStr">
        <is>
          <t>VÄSTERBOTTENS LÄN</t>
        </is>
      </c>
      <c r="E5984" t="inlineStr">
        <is>
          <t>UMEÅ</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4068-2022</t>
        </is>
      </c>
      <c r="B5985" s="1" t="n">
        <v>44587</v>
      </c>
      <c r="C5985" s="1" t="n">
        <v>45357</v>
      </c>
      <c r="D5985" t="inlineStr">
        <is>
          <t>VÄSTERBOTTENS LÄN</t>
        </is>
      </c>
      <c r="E5985" t="inlineStr">
        <is>
          <t>MALÅ</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4084-2022</t>
        </is>
      </c>
      <c r="B5986" s="1" t="n">
        <v>44588</v>
      </c>
      <c r="C5986" s="1" t="n">
        <v>45357</v>
      </c>
      <c r="D5986" t="inlineStr">
        <is>
          <t>VÄSTERBOTTENS LÄN</t>
        </is>
      </c>
      <c r="E5986" t="inlineStr">
        <is>
          <t>UMEÅ</t>
        </is>
      </c>
      <c r="F5986" t="inlineStr">
        <is>
          <t>Holmen skog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4182-2022</t>
        </is>
      </c>
      <c r="B5987" s="1" t="n">
        <v>44588</v>
      </c>
      <c r="C5987" s="1" t="n">
        <v>45357</v>
      </c>
      <c r="D5987" t="inlineStr">
        <is>
          <t>VÄSTERBOTTENS LÄN</t>
        </is>
      </c>
      <c r="E5987" t="inlineStr">
        <is>
          <t>ROBERTSFORS</t>
        </is>
      </c>
      <c r="G5987" t="n">
        <v>13.4</v>
      </c>
      <c r="H5987" t="n">
        <v>0</v>
      </c>
      <c r="I5987" t="n">
        <v>0</v>
      </c>
      <c r="J5987" t="n">
        <v>0</v>
      </c>
      <c r="K5987" t="n">
        <v>0</v>
      </c>
      <c r="L5987" t="n">
        <v>0</v>
      </c>
      <c r="M5987" t="n">
        <v>0</v>
      </c>
      <c r="N5987" t="n">
        <v>0</v>
      </c>
      <c r="O5987" t="n">
        <v>0</v>
      </c>
      <c r="P5987" t="n">
        <v>0</v>
      </c>
      <c r="Q5987" t="n">
        <v>0</v>
      </c>
      <c r="R5987" s="2" t="inlineStr"/>
    </row>
    <row r="5988" ht="15" customHeight="1">
      <c r="A5988" t="inlineStr">
        <is>
          <t>A 4105-2022</t>
        </is>
      </c>
      <c r="B5988" s="1" t="n">
        <v>44588</v>
      </c>
      <c r="C5988" s="1" t="n">
        <v>45357</v>
      </c>
      <c r="D5988" t="inlineStr">
        <is>
          <t>VÄSTERBOTTENS LÄN</t>
        </is>
      </c>
      <c r="E5988" t="inlineStr">
        <is>
          <t>BJURHOLM</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4328-2022</t>
        </is>
      </c>
      <c r="B5989" s="1" t="n">
        <v>44588</v>
      </c>
      <c r="C5989" s="1" t="n">
        <v>45357</v>
      </c>
      <c r="D5989" t="inlineStr">
        <is>
          <t>VÄSTERBOTTENS LÄN</t>
        </is>
      </c>
      <c r="E5989" t="inlineStr">
        <is>
          <t>ROBERTSFORS</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4333-2022</t>
        </is>
      </c>
      <c r="B5990" s="1" t="n">
        <v>44588</v>
      </c>
      <c r="C5990" s="1" t="n">
        <v>45357</v>
      </c>
      <c r="D5990" t="inlineStr">
        <is>
          <t>VÄSTERBOTTENS LÄN</t>
        </is>
      </c>
      <c r="E5990" t="inlineStr">
        <is>
          <t>MALÅ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4218-2022</t>
        </is>
      </c>
      <c r="B5991" s="1" t="n">
        <v>44588</v>
      </c>
      <c r="C5991" s="1" t="n">
        <v>45357</v>
      </c>
      <c r="D5991" t="inlineStr">
        <is>
          <t>VÄSTERBOTTENS LÄN</t>
        </is>
      </c>
      <c r="E5991" t="inlineStr">
        <is>
          <t>STORUMAN</t>
        </is>
      </c>
      <c r="G5991" t="n">
        <v>18.6</v>
      </c>
      <c r="H5991" t="n">
        <v>0</v>
      </c>
      <c r="I5991" t="n">
        <v>0</v>
      </c>
      <c r="J5991" t="n">
        <v>0</v>
      </c>
      <c r="K5991" t="n">
        <v>0</v>
      </c>
      <c r="L5991" t="n">
        <v>0</v>
      </c>
      <c r="M5991" t="n">
        <v>0</v>
      </c>
      <c r="N5991" t="n">
        <v>0</v>
      </c>
      <c r="O5991" t="n">
        <v>0</v>
      </c>
      <c r="P5991" t="n">
        <v>0</v>
      </c>
      <c r="Q5991" t="n">
        <v>0</v>
      </c>
      <c r="R5991" s="2" t="inlineStr"/>
    </row>
    <row r="5992" ht="15" customHeight="1">
      <c r="A5992" t="inlineStr">
        <is>
          <t>A 4334-2022</t>
        </is>
      </c>
      <c r="B5992" s="1" t="n">
        <v>44588</v>
      </c>
      <c r="C5992" s="1" t="n">
        <v>45357</v>
      </c>
      <c r="D5992" t="inlineStr">
        <is>
          <t>VÄSTERBOTTENS LÄN</t>
        </is>
      </c>
      <c r="E5992" t="inlineStr">
        <is>
          <t>MALÅ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4376-2022</t>
        </is>
      </c>
      <c r="B5993" s="1" t="n">
        <v>44588</v>
      </c>
      <c r="C5993" s="1" t="n">
        <v>45357</v>
      </c>
      <c r="D5993" t="inlineStr">
        <is>
          <t>VÄSTERBOTTENS LÄN</t>
        </is>
      </c>
      <c r="E5993" t="inlineStr">
        <is>
          <t>ROBERTSFORS</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4434-2022</t>
        </is>
      </c>
      <c r="B5994" s="1" t="n">
        <v>44589</v>
      </c>
      <c r="C5994" s="1" t="n">
        <v>45357</v>
      </c>
      <c r="D5994" t="inlineStr">
        <is>
          <t>VÄSTERBOTTENS LÄN</t>
        </is>
      </c>
      <c r="E5994" t="inlineStr">
        <is>
          <t>LYCKSELE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4518-2022</t>
        </is>
      </c>
      <c r="B5995" s="1" t="n">
        <v>44589</v>
      </c>
      <c r="C5995" s="1" t="n">
        <v>45357</v>
      </c>
      <c r="D5995" t="inlineStr">
        <is>
          <t>VÄSTERBOTTENS LÄN</t>
        </is>
      </c>
      <c r="E5995" t="inlineStr">
        <is>
          <t>DOROTEA</t>
        </is>
      </c>
      <c r="G5995" t="n">
        <v>10.9</v>
      </c>
      <c r="H5995" t="n">
        <v>0</v>
      </c>
      <c r="I5995" t="n">
        <v>0</v>
      </c>
      <c r="J5995" t="n">
        <v>0</v>
      </c>
      <c r="K5995" t="n">
        <v>0</v>
      </c>
      <c r="L5995" t="n">
        <v>0</v>
      </c>
      <c r="M5995" t="n">
        <v>0</v>
      </c>
      <c r="N5995" t="n">
        <v>0</v>
      </c>
      <c r="O5995" t="n">
        <v>0</v>
      </c>
      <c r="P5995" t="n">
        <v>0</v>
      </c>
      <c r="Q5995" t="n">
        <v>0</v>
      </c>
      <c r="R5995" s="2" t="inlineStr"/>
    </row>
    <row r="5996" ht="15" customHeight="1">
      <c r="A5996" t="inlineStr">
        <is>
          <t>A 4612-2022</t>
        </is>
      </c>
      <c r="B5996" s="1" t="n">
        <v>44592</v>
      </c>
      <c r="C5996" s="1" t="n">
        <v>45357</v>
      </c>
      <c r="D5996" t="inlineStr">
        <is>
          <t>VÄSTERBOTTENS LÄN</t>
        </is>
      </c>
      <c r="E5996" t="inlineStr">
        <is>
          <t>ÅSELE</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4619-2022</t>
        </is>
      </c>
      <c r="B5997" s="1" t="n">
        <v>44592</v>
      </c>
      <c r="C5997" s="1" t="n">
        <v>45357</v>
      </c>
      <c r="D5997" t="inlineStr">
        <is>
          <t>VÄSTERBOTTENS LÄN</t>
        </is>
      </c>
      <c r="E5997" t="inlineStr">
        <is>
          <t>ÅSELE</t>
        </is>
      </c>
      <c r="G5997" t="n">
        <v>17.6</v>
      </c>
      <c r="H5997" t="n">
        <v>0</v>
      </c>
      <c r="I5997" t="n">
        <v>0</v>
      </c>
      <c r="J5997" t="n">
        <v>0</v>
      </c>
      <c r="K5997" t="n">
        <v>0</v>
      </c>
      <c r="L5997" t="n">
        <v>0</v>
      </c>
      <c r="M5997" t="n">
        <v>0</v>
      </c>
      <c r="N5997" t="n">
        <v>0</v>
      </c>
      <c r="O5997" t="n">
        <v>0</v>
      </c>
      <c r="P5997" t="n">
        <v>0</v>
      </c>
      <c r="Q5997" t="n">
        <v>0</v>
      </c>
      <c r="R5997" s="2" t="inlineStr"/>
    </row>
    <row r="5998" ht="15" customHeight="1">
      <c r="A5998" t="inlineStr">
        <is>
          <t>A 4629-2022</t>
        </is>
      </c>
      <c r="B5998" s="1" t="n">
        <v>44592</v>
      </c>
      <c r="C5998" s="1" t="n">
        <v>45357</v>
      </c>
      <c r="D5998" t="inlineStr">
        <is>
          <t>VÄSTERBOTTENS LÄN</t>
        </is>
      </c>
      <c r="E5998" t="inlineStr">
        <is>
          <t>UMEÅ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4603-2022</t>
        </is>
      </c>
      <c r="B5999" s="1" t="n">
        <v>44592</v>
      </c>
      <c r="C5999" s="1" t="n">
        <v>45357</v>
      </c>
      <c r="D5999" t="inlineStr">
        <is>
          <t>VÄSTERBOTTENS LÄN</t>
        </is>
      </c>
      <c r="E5999" t="inlineStr">
        <is>
          <t>SKELLEFTEÅ</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4626-2022</t>
        </is>
      </c>
      <c r="B6000" s="1" t="n">
        <v>44592</v>
      </c>
      <c r="C6000" s="1" t="n">
        <v>45357</v>
      </c>
      <c r="D6000" t="inlineStr">
        <is>
          <t>VÄSTERBOTTENS LÄN</t>
        </is>
      </c>
      <c r="E6000" t="inlineStr">
        <is>
          <t>ÅSELE</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4623-2022</t>
        </is>
      </c>
      <c r="B6001" s="1" t="n">
        <v>44592</v>
      </c>
      <c r="C6001" s="1" t="n">
        <v>45357</v>
      </c>
      <c r="D6001" t="inlineStr">
        <is>
          <t>VÄSTERBOTTENS LÄN</t>
        </is>
      </c>
      <c r="E6001" t="inlineStr">
        <is>
          <t>BJURHOLM</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4653-2022</t>
        </is>
      </c>
      <c r="B6002" s="1" t="n">
        <v>44592</v>
      </c>
      <c r="C6002" s="1" t="n">
        <v>45357</v>
      </c>
      <c r="D6002" t="inlineStr">
        <is>
          <t>VÄSTERBOTTENS LÄN</t>
        </is>
      </c>
      <c r="E6002" t="inlineStr">
        <is>
          <t>SKELLEFTEÅ</t>
        </is>
      </c>
      <c r="F6002" t="inlineStr">
        <is>
          <t>Holmen skog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4762-2022</t>
        </is>
      </c>
      <c r="B6003" s="1" t="n">
        <v>44592</v>
      </c>
      <c r="C6003" s="1" t="n">
        <v>45357</v>
      </c>
      <c r="D6003" t="inlineStr">
        <is>
          <t>VÄSTERBOTTENS LÄN</t>
        </is>
      </c>
      <c r="E6003" t="inlineStr">
        <is>
          <t>SKELLEFTEÅ</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4844-2022</t>
        </is>
      </c>
      <c r="B6004" s="1" t="n">
        <v>44592</v>
      </c>
      <c r="C6004" s="1" t="n">
        <v>45357</v>
      </c>
      <c r="D6004" t="inlineStr">
        <is>
          <t>VÄSTERBOTTENS LÄN</t>
        </is>
      </c>
      <c r="E6004" t="inlineStr">
        <is>
          <t>SKELLEFTEÅ</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4889-2022</t>
        </is>
      </c>
      <c r="B6005" s="1" t="n">
        <v>44592</v>
      </c>
      <c r="C6005" s="1" t="n">
        <v>45357</v>
      </c>
      <c r="D6005" t="inlineStr">
        <is>
          <t>VÄSTERBOTTENS LÄN</t>
        </is>
      </c>
      <c r="E6005" t="inlineStr">
        <is>
          <t>VINDELN</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4791-2022</t>
        </is>
      </c>
      <c r="B6006" s="1" t="n">
        <v>44592</v>
      </c>
      <c r="C6006" s="1" t="n">
        <v>45357</v>
      </c>
      <c r="D6006" t="inlineStr">
        <is>
          <t>VÄSTERBOTTENS LÄN</t>
        </is>
      </c>
      <c r="E6006" t="inlineStr">
        <is>
          <t>SKELLEFTEÅ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4893-2022</t>
        </is>
      </c>
      <c r="B6007" s="1" t="n">
        <v>44592</v>
      </c>
      <c r="C6007" s="1" t="n">
        <v>45357</v>
      </c>
      <c r="D6007" t="inlineStr">
        <is>
          <t>VÄSTERBOTTENS LÄN</t>
        </is>
      </c>
      <c r="E6007" t="inlineStr">
        <is>
          <t>UMEÅ</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4996-2022</t>
        </is>
      </c>
      <c r="B6008" s="1" t="n">
        <v>44593</v>
      </c>
      <c r="C6008" s="1" t="n">
        <v>45357</v>
      </c>
      <c r="D6008" t="inlineStr">
        <is>
          <t>VÄSTERBOTTENS LÄN</t>
        </is>
      </c>
      <c r="E6008" t="inlineStr">
        <is>
          <t>ÅSELE</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4980-2022</t>
        </is>
      </c>
      <c r="B6009" s="1" t="n">
        <v>44593</v>
      </c>
      <c r="C6009" s="1" t="n">
        <v>45357</v>
      </c>
      <c r="D6009" t="inlineStr">
        <is>
          <t>VÄSTERBOTTENS LÄN</t>
        </is>
      </c>
      <c r="E6009" t="inlineStr">
        <is>
          <t>ROBERTSFORS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5029-2022</t>
        </is>
      </c>
      <c r="B6010" s="1" t="n">
        <v>44593</v>
      </c>
      <c r="C6010" s="1" t="n">
        <v>45357</v>
      </c>
      <c r="D6010" t="inlineStr">
        <is>
          <t>VÄSTERBOTTENS LÄN</t>
        </is>
      </c>
      <c r="E6010" t="inlineStr">
        <is>
          <t>UMEÅ</t>
        </is>
      </c>
      <c r="G6010" t="n">
        <v>9.300000000000001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5185-2022</t>
        </is>
      </c>
      <c r="B6011" s="1" t="n">
        <v>44594</v>
      </c>
      <c r="C6011" s="1" t="n">
        <v>45357</v>
      </c>
      <c r="D6011" t="inlineStr">
        <is>
          <t>VÄSTERBOTTENS LÄN</t>
        </is>
      </c>
      <c r="E6011" t="inlineStr">
        <is>
          <t>STORUMAN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5162-2022</t>
        </is>
      </c>
      <c r="B6012" s="1" t="n">
        <v>44594</v>
      </c>
      <c r="C6012" s="1" t="n">
        <v>45357</v>
      </c>
      <c r="D6012" t="inlineStr">
        <is>
          <t>VÄSTERBOTTENS LÄN</t>
        </is>
      </c>
      <c r="E6012" t="inlineStr">
        <is>
          <t>LYCKSELE</t>
        </is>
      </c>
      <c r="G6012" t="n">
        <v>17.4</v>
      </c>
      <c r="H6012" t="n">
        <v>0</v>
      </c>
      <c r="I6012" t="n">
        <v>0</v>
      </c>
      <c r="J6012" t="n">
        <v>0</v>
      </c>
      <c r="K6012" t="n">
        <v>0</v>
      </c>
      <c r="L6012" t="n">
        <v>0</v>
      </c>
      <c r="M6012" t="n">
        <v>0</v>
      </c>
      <c r="N6012" t="n">
        <v>0</v>
      </c>
      <c r="O6012" t="n">
        <v>0</v>
      </c>
      <c r="P6012" t="n">
        <v>0</v>
      </c>
      <c r="Q6012" t="n">
        <v>0</v>
      </c>
      <c r="R6012" s="2" t="inlineStr"/>
    </row>
    <row r="6013" ht="15" customHeight="1">
      <c r="A6013" t="inlineStr">
        <is>
          <t>A 5285-2022</t>
        </is>
      </c>
      <c r="B6013" s="1" t="n">
        <v>44594</v>
      </c>
      <c r="C6013" s="1" t="n">
        <v>45357</v>
      </c>
      <c r="D6013" t="inlineStr">
        <is>
          <t>VÄSTERBOTTENS LÄN</t>
        </is>
      </c>
      <c r="E6013" t="inlineStr">
        <is>
          <t>VILHELMINA</t>
        </is>
      </c>
      <c r="G6013" t="n">
        <v>8.300000000000001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5374-2022</t>
        </is>
      </c>
      <c r="B6014" s="1" t="n">
        <v>44594</v>
      </c>
      <c r="C6014" s="1" t="n">
        <v>45357</v>
      </c>
      <c r="D6014" t="inlineStr">
        <is>
          <t>VÄSTERBOTTENS LÄN</t>
        </is>
      </c>
      <c r="E6014" t="inlineStr">
        <is>
          <t>UMEÅ</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5305-2022</t>
        </is>
      </c>
      <c r="B6015" s="1" t="n">
        <v>44594</v>
      </c>
      <c r="C6015" s="1" t="n">
        <v>45357</v>
      </c>
      <c r="D6015" t="inlineStr">
        <is>
          <t>VÄSTERBOTTENS LÄN</t>
        </is>
      </c>
      <c r="E6015" t="inlineStr">
        <is>
          <t>ÅSELE</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5371-2022</t>
        </is>
      </c>
      <c r="B6016" s="1" t="n">
        <v>44594</v>
      </c>
      <c r="C6016" s="1" t="n">
        <v>45357</v>
      </c>
      <c r="D6016" t="inlineStr">
        <is>
          <t>VÄSTERBOTTENS LÄN</t>
        </is>
      </c>
      <c r="E6016" t="inlineStr">
        <is>
          <t>NORSJÖ</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5368-2022</t>
        </is>
      </c>
      <c r="B6017" s="1" t="n">
        <v>44594</v>
      </c>
      <c r="C6017" s="1" t="n">
        <v>45357</v>
      </c>
      <c r="D6017" t="inlineStr">
        <is>
          <t>VÄSTERBOTTENS LÄN</t>
        </is>
      </c>
      <c r="E6017" t="inlineStr">
        <is>
          <t>NORSJÖ</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5372-2022</t>
        </is>
      </c>
      <c r="B6018" s="1" t="n">
        <v>44594</v>
      </c>
      <c r="C6018" s="1" t="n">
        <v>45357</v>
      </c>
      <c r="D6018" t="inlineStr">
        <is>
          <t>VÄSTERBOTTENS LÄN</t>
        </is>
      </c>
      <c r="E6018" t="inlineStr">
        <is>
          <t>NORSJÖ</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5500-2022</t>
        </is>
      </c>
      <c r="B6019" s="1" t="n">
        <v>44595</v>
      </c>
      <c r="C6019" s="1" t="n">
        <v>45357</v>
      </c>
      <c r="D6019" t="inlineStr">
        <is>
          <t>VÄSTERBOTTENS LÄN</t>
        </is>
      </c>
      <c r="E6019" t="inlineStr">
        <is>
          <t>STORUMAN</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5641-2022</t>
        </is>
      </c>
      <c r="B6020" s="1" t="n">
        <v>44595</v>
      </c>
      <c r="C6020" s="1" t="n">
        <v>45357</v>
      </c>
      <c r="D6020" t="inlineStr">
        <is>
          <t>VÄSTERBOTTENS LÄN</t>
        </is>
      </c>
      <c r="E6020" t="inlineStr">
        <is>
          <t>ÅSELE</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5765-2022</t>
        </is>
      </c>
      <c r="B6021" s="1" t="n">
        <v>44596</v>
      </c>
      <c r="C6021" s="1" t="n">
        <v>45357</v>
      </c>
      <c r="D6021" t="inlineStr">
        <is>
          <t>VÄSTERBOTTENS LÄN</t>
        </is>
      </c>
      <c r="E6021" t="inlineStr">
        <is>
          <t>NORDMALING</t>
        </is>
      </c>
      <c r="F6021" t="inlineStr">
        <is>
          <t>Holmen skog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5817-2022</t>
        </is>
      </c>
      <c r="B6022" s="1" t="n">
        <v>44596</v>
      </c>
      <c r="C6022" s="1" t="n">
        <v>45357</v>
      </c>
      <c r="D6022" t="inlineStr">
        <is>
          <t>VÄSTERBOTTENS LÄN</t>
        </is>
      </c>
      <c r="E6022" t="inlineStr">
        <is>
          <t>SKELLEFTEÅ</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5826-2022</t>
        </is>
      </c>
      <c r="B6023" s="1" t="n">
        <v>44596</v>
      </c>
      <c r="C6023" s="1" t="n">
        <v>45357</v>
      </c>
      <c r="D6023" t="inlineStr">
        <is>
          <t>VÄSTERBOTTENS LÄN</t>
        </is>
      </c>
      <c r="E6023" t="inlineStr">
        <is>
          <t>SKELLEFTEÅ</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5899-2022</t>
        </is>
      </c>
      <c r="B6024" s="1" t="n">
        <v>44596</v>
      </c>
      <c r="C6024" s="1" t="n">
        <v>45357</v>
      </c>
      <c r="D6024" t="inlineStr">
        <is>
          <t>VÄSTERBOTTENS LÄN</t>
        </is>
      </c>
      <c r="E6024" t="inlineStr">
        <is>
          <t>UMEÅ</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5828-2022</t>
        </is>
      </c>
      <c r="B6025" s="1" t="n">
        <v>44596</v>
      </c>
      <c r="C6025" s="1" t="n">
        <v>45357</v>
      </c>
      <c r="D6025" t="inlineStr">
        <is>
          <t>VÄSTERBOTTENS LÄN</t>
        </is>
      </c>
      <c r="E6025" t="inlineStr">
        <is>
          <t>SKELLEFTEÅ</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5898-2022</t>
        </is>
      </c>
      <c r="B6026" s="1" t="n">
        <v>44596</v>
      </c>
      <c r="C6026" s="1" t="n">
        <v>45357</v>
      </c>
      <c r="D6026" t="inlineStr">
        <is>
          <t>VÄSTERBOTTENS LÄN</t>
        </is>
      </c>
      <c r="E6026" t="inlineStr">
        <is>
          <t>STORUMAN</t>
        </is>
      </c>
      <c r="G6026" t="n">
        <v>20.2</v>
      </c>
      <c r="H6026" t="n">
        <v>0</v>
      </c>
      <c r="I6026" t="n">
        <v>0</v>
      </c>
      <c r="J6026" t="n">
        <v>0</v>
      </c>
      <c r="K6026" t="n">
        <v>0</v>
      </c>
      <c r="L6026" t="n">
        <v>0</v>
      </c>
      <c r="M6026" t="n">
        <v>0</v>
      </c>
      <c r="N6026" t="n">
        <v>0</v>
      </c>
      <c r="O6026" t="n">
        <v>0</v>
      </c>
      <c r="P6026" t="n">
        <v>0</v>
      </c>
      <c r="Q6026" t="n">
        <v>0</v>
      </c>
      <c r="R6026" s="2" t="inlineStr"/>
    </row>
    <row r="6027" ht="15" customHeight="1">
      <c r="A6027" t="inlineStr">
        <is>
          <t>A 5969-2022</t>
        </is>
      </c>
      <c r="B6027" s="1" t="n">
        <v>44599</v>
      </c>
      <c r="C6027" s="1" t="n">
        <v>45357</v>
      </c>
      <c r="D6027" t="inlineStr">
        <is>
          <t>VÄSTERBOTTENS LÄN</t>
        </is>
      </c>
      <c r="E6027" t="inlineStr">
        <is>
          <t>UMEÅ</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6053-2022</t>
        </is>
      </c>
      <c r="B6028" s="1" t="n">
        <v>44599</v>
      </c>
      <c r="C6028" s="1" t="n">
        <v>45357</v>
      </c>
      <c r="D6028" t="inlineStr">
        <is>
          <t>VÄSTERBOTTENS LÄN</t>
        </is>
      </c>
      <c r="E6028" t="inlineStr">
        <is>
          <t>BJURHOLM</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5972-2022</t>
        </is>
      </c>
      <c r="B6029" s="1" t="n">
        <v>44599</v>
      </c>
      <c r="C6029" s="1" t="n">
        <v>45357</v>
      </c>
      <c r="D6029" t="inlineStr">
        <is>
          <t>VÄSTERBOTTENS LÄN</t>
        </is>
      </c>
      <c r="E6029" t="inlineStr">
        <is>
          <t>SKELLEFTEÅ</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6169-2022</t>
        </is>
      </c>
      <c r="B6030" s="1" t="n">
        <v>44599</v>
      </c>
      <c r="C6030" s="1" t="n">
        <v>45357</v>
      </c>
      <c r="D6030" t="inlineStr">
        <is>
          <t>VÄSTERBOTTENS LÄN</t>
        </is>
      </c>
      <c r="E6030" t="inlineStr">
        <is>
          <t>UMEÅ</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6249-2022</t>
        </is>
      </c>
      <c r="B6031" s="1" t="n">
        <v>44600</v>
      </c>
      <c r="C6031" s="1" t="n">
        <v>45357</v>
      </c>
      <c r="D6031" t="inlineStr">
        <is>
          <t>VÄSTERBOTTENS LÄN</t>
        </is>
      </c>
      <c r="E6031" t="inlineStr">
        <is>
          <t>VINDELN</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6342-2022</t>
        </is>
      </c>
      <c r="B6032" s="1" t="n">
        <v>44600</v>
      </c>
      <c r="C6032" s="1" t="n">
        <v>45357</v>
      </c>
      <c r="D6032" t="inlineStr">
        <is>
          <t>VÄSTERBOTTENS LÄN</t>
        </is>
      </c>
      <c r="E6032" t="inlineStr">
        <is>
          <t>UMEÅ</t>
        </is>
      </c>
      <c r="F6032" t="inlineStr">
        <is>
          <t>Holmen skog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6426-2022</t>
        </is>
      </c>
      <c r="B6033" s="1" t="n">
        <v>44600</v>
      </c>
      <c r="C6033" s="1" t="n">
        <v>45357</v>
      </c>
      <c r="D6033" t="inlineStr">
        <is>
          <t>VÄSTERBOTTENS LÄN</t>
        </is>
      </c>
      <c r="E6033" t="inlineStr">
        <is>
          <t>LYCKSELE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6516-2022</t>
        </is>
      </c>
      <c r="B6034" s="1" t="n">
        <v>44600</v>
      </c>
      <c r="C6034" s="1" t="n">
        <v>45357</v>
      </c>
      <c r="D6034" t="inlineStr">
        <is>
          <t>VÄSTERBOTTENS LÄN</t>
        </is>
      </c>
      <c r="E6034" t="inlineStr">
        <is>
          <t>VINDELN</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6635-2022</t>
        </is>
      </c>
      <c r="B6035" s="1" t="n">
        <v>44601</v>
      </c>
      <c r="C6035" s="1" t="n">
        <v>45357</v>
      </c>
      <c r="D6035" t="inlineStr">
        <is>
          <t>VÄSTERBOTTENS LÄN</t>
        </is>
      </c>
      <c r="E6035" t="inlineStr">
        <is>
          <t>SKELLEFTEÅ</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6636-2022</t>
        </is>
      </c>
      <c r="B6036" s="1" t="n">
        <v>44601</v>
      </c>
      <c r="C6036" s="1" t="n">
        <v>45357</v>
      </c>
      <c r="D6036" t="inlineStr">
        <is>
          <t>VÄSTERBOTTENS LÄN</t>
        </is>
      </c>
      <c r="E6036" t="inlineStr">
        <is>
          <t>STORUMAN</t>
        </is>
      </c>
      <c r="G6036" t="n">
        <v>23.5</v>
      </c>
      <c r="H6036" t="n">
        <v>0</v>
      </c>
      <c r="I6036" t="n">
        <v>0</v>
      </c>
      <c r="J6036" t="n">
        <v>0</v>
      </c>
      <c r="K6036" t="n">
        <v>0</v>
      </c>
      <c r="L6036" t="n">
        <v>0</v>
      </c>
      <c r="M6036" t="n">
        <v>0</v>
      </c>
      <c r="N6036" t="n">
        <v>0</v>
      </c>
      <c r="O6036" t="n">
        <v>0</v>
      </c>
      <c r="P6036" t="n">
        <v>0</v>
      </c>
      <c r="Q6036" t="n">
        <v>0</v>
      </c>
      <c r="R6036" s="2" t="inlineStr"/>
    </row>
    <row r="6037" ht="15" customHeight="1">
      <c r="A6037" t="inlineStr">
        <is>
          <t>A 6666-2022</t>
        </is>
      </c>
      <c r="B6037" s="1" t="n">
        <v>44602</v>
      </c>
      <c r="C6037" s="1" t="n">
        <v>45357</v>
      </c>
      <c r="D6037" t="inlineStr">
        <is>
          <t>VÄSTERBOTTENS LÄN</t>
        </is>
      </c>
      <c r="E6037" t="inlineStr">
        <is>
          <t>SKELLEFTEÅ</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6658-2022</t>
        </is>
      </c>
      <c r="B6038" s="1" t="n">
        <v>44602</v>
      </c>
      <c r="C6038" s="1" t="n">
        <v>45357</v>
      </c>
      <c r="D6038" t="inlineStr">
        <is>
          <t>VÄSTERBOTTENS LÄN</t>
        </is>
      </c>
      <c r="E6038" t="inlineStr">
        <is>
          <t>BJURHOLM</t>
        </is>
      </c>
      <c r="F6038" t="inlineStr">
        <is>
          <t>Holmen skog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6711-2022</t>
        </is>
      </c>
      <c r="B6039" s="1" t="n">
        <v>44602</v>
      </c>
      <c r="C6039" s="1" t="n">
        <v>45357</v>
      </c>
      <c r="D6039" t="inlineStr">
        <is>
          <t>VÄSTERBOTTENS LÄN</t>
        </is>
      </c>
      <c r="E6039" t="inlineStr">
        <is>
          <t>UMEÅ</t>
        </is>
      </c>
      <c r="G6039" t="n">
        <v>9.6</v>
      </c>
      <c r="H6039" t="n">
        <v>0</v>
      </c>
      <c r="I6039" t="n">
        <v>0</v>
      </c>
      <c r="J6039" t="n">
        <v>0</v>
      </c>
      <c r="K6039" t="n">
        <v>0</v>
      </c>
      <c r="L6039" t="n">
        <v>0</v>
      </c>
      <c r="M6039" t="n">
        <v>0</v>
      </c>
      <c r="N6039" t="n">
        <v>0</v>
      </c>
      <c r="O6039" t="n">
        <v>0</v>
      </c>
      <c r="P6039" t="n">
        <v>0</v>
      </c>
      <c r="Q6039" t="n">
        <v>0</v>
      </c>
      <c r="R6039" s="2" t="inlineStr"/>
    </row>
    <row r="6040" ht="15" customHeight="1">
      <c r="A6040" t="inlineStr">
        <is>
          <t>A 6837-2022</t>
        </is>
      </c>
      <c r="B6040" s="1" t="n">
        <v>44602</v>
      </c>
      <c r="C6040" s="1" t="n">
        <v>45357</v>
      </c>
      <c r="D6040" t="inlineStr">
        <is>
          <t>VÄSTERBOTTENS LÄN</t>
        </is>
      </c>
      <c r="E6040" t="inlineStr">
        <is>
          <t>SKELLEFTEÅ</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6901-2022</t>
        </is>
      </c>
      <c r="B6041" s="1" t="n">
        <v>44602</v>
      </c>
      <c r="C6041" s="1" t="n">
        <v>45357</v>
      </c>
      <c r="D6041" t="inlineStr">
        <is>
          <t>VÄSTERBOTTENS LÄN</t>
        </is>
      </c>
      <c r="E6041" t="inlineStr">
        <is>
          <t>NORSJÖ</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6834-2022</t>
        </is>
      </c>
      <c r="B6042" s="1" t="n">
        <v>44602</v>
      </c>
      <c r="C6042" s="1" t="n">
        <v>45357</v>
      </c>
      <c r="D6042" t="inlineStr">
        <is>
          <t>VÄSTERBOTTENS LÄN</t>
        </is>
      </c>
      <c r="E6042" t="inlineStr">
        <is>
          <t>SKELLEFTEÅ</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6896-2022</t>
        </is>
      </c>
      <c r="B6043" s="1" t="n">
        <v>44602</v>
      </c>
      <c r="C6043" s="1" t="n">
        <v>45357</v>
      </c>
      <c r="D6043" t="inlineStr">
        <is>
          <t>VÄSTERBOTTENS LÄN</t>
        </is>
      </c>
      <c r="E6043" t="inlineStr">
        <is>
          <t>VINDELN</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6902-2022</t>
        </is>
      </c>
      <c r="B6044" s="1" t="n">
        <v>44602</v>
      </c>
      <c r="C6044" s="1" t="n">
        <v>45357</v>
      </c>
      <c r="D6044" t="inlineStr">
        <is>
          <t>VÄSTERBOTTENS LÄN</t>
        </is>
      </c>
      <c r="E6044" t="inlineStr">
        <is>
          <t>NORSJÖ</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6904-2022</t>
        </is>
      </c>
      <c r="B6045" s="1" t="n">
        <v>44602</v>
      </c>
      <c r="C6045" s="1" t="n">
        <v>45357</v>
      </c>
      <c r="D6045" t="inlineStr">
        <is>
          <t>VÄSTERBOTTENS LÄN</t>
        </is>
      </c>
      <c r="E6045" t="inlineStr">
        <is>
          <t>NORSJÖ</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7006-2022</t>
        </is>
      </c>
      <c r="B6046" s="1" t="n">
        <v>44602</v>
      </c>
      <c r="C6046" s="1" t="n">
        <v>45357</v>
      </c>
      <c r="D6046" t="inlineStr">
        <is>
          <t>VÄSTERBOTTENS LÄN</t>
        </is>
      </c>
      <c r="E6046" t="inlineStr">
        <is>
          <t>SKELLEFTEÅ</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7052-2022</t>
        </is>
      </c>
      <c r="B6047" s="1" t="n">
        <v>44603</v>
      </c>
      <c r="C6047" s="1" t="n">
        <v>45357</v>
      </c>
      <c r="D6047" t="inlineStr">
        <is>
          <t>VÄSTERBOTTENS LÄN</t>
        </is>
      </c>
      <c r="E6047" t="inlineStr">
        <is>
          <t>SKELLEFTEÅ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7063-2022</t>
        </is>
      </c>
      <c r="B6048" s="1" t="n">
        <v>44603</v>
      </c>
      <c r="C6048" s="1" t="n">
        <v>45357</v>
      </c>
      <c r="D6048" t="inlineStr">
        <is>
          <t>VÄSTERBOTTENS LÄN</t>
        </is>
      </c>
      <c r="E6048" t="inlineStr">
        <is>
          <t>LYCKSELE</t>
        </is>
      </c>
      <c r="G6048" t="n">
        <v>14.2</v>
      </c>
      <c r="H6048" t="n">
        <v>0</v>
      </c>
      <c r="I6048" t="n">
        <v>0</v>
      </c>
      <c r="J6048" t="n">
        <v>0</v>
      </c>
      <c r="K6048" t="n">
        <v>0</v>
      </c>
      <c r="L6048" t="n">
        <v>0</v>
      </c>
      <c r="M6048" t="n">
        <v>0</v>
      </c>
      <c r="N6048" t="n">
        <v>0</v>
      </c>
      <c r="O6048" t="n">
        <v>0</v>
      </c>
      <c r="P6048" t="n">
        <v>0</v>
      </c>
      <c r="Q6048" t="n">
        <v>0</v>
      </c>
      <c r="R6048" s="2" t="inlineStr"/>
    </row>
    <row r="6049" ht="15" customHeight="1">
      <c r="A6049" t="inlineStr">
        <is>
          <t>A 7001-2022</t>
        </is>
      </c>
      <c r="B6049" s="1" t="n">
        <v>44603</v>
      </c>
      <c r="C6049" s="1" t="n">
        <v>45357</v>
      </c>
      <c r="D6049" t="inlineStr">
        <is>
          <t>VÄSTERBOTTENS LÄN</t>
        </is>
      </c>
      <c r="E6049" t="inlineStr">
        <is>
          <t>LYCKSELE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7148-2022</t>
        </is>
      </c>
      <c r="B6050" s="1" t="n">
        <v>44603</v>
      </c>
      <c r="C6050" s="1" t="n">
        <v>45357</v>
      </c>
      <c r="D6050" t="inlineStr">
        <is>
          <t>VÄSTERBOTTENS LÄN</t>
        </is>
      </c>
      <c r="E6050" t="inlineStr">
        <is>
          <t>BJURHOLM</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7127-2022</t>
        </is>
      </c>
      <c r="B6051" s="1" t="n">
        <v>44603</v>
      </c>
      <c r="C6051" s="1" t="n">
        <v>45357</v>
      </c>
      <c r="D6051" t="inlineStr">
        <is>
          <t>VÄSTERBOTTENS LÄN</t>
        </is>
      </c>
      <c r="E6051" t="inlineStr">
        <is>
          <t>SKELLEFTEÅ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7156-2022</t>
        </is>
      </c>
      <c r="B6052" s="1" t="n">
        <v>44604</v>
      </c>
      <c r="C6052" s="1" t="n">
        <v>45357</v>
      </c>
      <c r="D6052" t="inlineStr">
        <is>
          <t>VÄSTERBOTTENS LÄN</t>
        </is>
      </c>
      <c r="E6052" t="inlineStr">
        <is>
          <t>VILHELMINA</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7263-2022</t>
        </is>
      </c>
      <c r="B6053" s="1" t="n">
        <v>44606</v>
      </c>
      <c r="C6053" s="1" t="n">
        <v>45357</v>
      </c>
      <c r="D6053" t="inlineStr">
        <is>
          <t>VÄSTERBOTTENS LÄN</t>
        </is>
      </c>
      <c r="E6053" t="inlineStr">
        <is>
          <t>UMEÅ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7210-2022</t>
        </is>
      </c>
      <c r="B6054" s="1" t="n">
        <v>44606</v>
      </c>
      <c r="C6054" s="1" t="n">
        <v>45357</v>
      </c>
      <c r="D6054" t="inlineStr">
        <is>
          <t>VÄSTERBOTTENS LÄN</t>
        </is>
      </c>
      <c r="E6054" t="inlineStr">
        <is>
          <t>UMEÅ</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7316-2022</t>
        </is>
      </c>
      <c r="B6055" s="1" t="n">
        <v>44606</v>
      </c>
      <c r="C6055" s="1" t="n">
        <v>45357</v>
      </c>
      <c r="D6055" t="inlineStr">
        <is>
          <t>VÄSTERBOTTENS LÄN</t>
        </is>
      </c>
      <c r="E6055" t="inlineStr">
        <is>
          <t>UMEÅ</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7320-2022</t>
        </is>
      </c>
      <c r="B6056" s="1" t="n">
        <v>44606</v>
      </c>
      <c r="C6056" s="1" t="n">
        <v>45357</v>
      </c>
      <c r="D6056" t="inlineStr">
        <is>
          <t>VÄSTERBOTTENS LÄN</t>
        </is>
      </c>
      <c r="E6056" t="inlineStr">
        <is>
          <t>NORSJÖ</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7376-2022</t>
        </is>
      </c>
      <c r="B6057" s="1" t="n">
        <v>44606</v>
      </c>
      <c r="C6057" s="1" t="n">
        <v>45357</v>
      </c>
      <c r="D6057" t="inlineStr">
        <is>
          <t>VÄSTERBOTTENS LÄN</t>
        </is>
      </c>
      <c r="E6057" t="inlineStr">
        <is>
          <t>UMEÅ</t>
        </is>
      </c>
      <c r="G6057" t="n">
        <v>16.1</v>
      </c>
      <c r="H6057" t="n">
        <v>0</v>
      </c>
      <c r="I6057" t="n">
        <v>0</v>
      </c>
      <c r="J6057" t="n">
        <v>0</v>
      </c>
      <c r="K6057" t="n">
        <v>0</v>
      </c>
      <c r="L6057" t="n">
        <v>0</v>
      </c>
      <c r="M6057" t="n">
        <v>0</v>
      </c>
      <c r="N6057" t="n">
        <v>0</v>
      </c>
      <c r="O6057" t="n">
        <v>0</v>
      </c>
      <c r="P6057" t="n">
        <v>0</v>
      </c>
      <c r="Q6057" t="n">
        <v>0</v>
      </c>
      <c r="R6057" s="2" t="inlineStr"/>
    </row>
    <row r="6058" ht="15" customHeight="1">
      <c r="A6058" t="inlineStr">
        <is>
          <t>A 7382-2022</t>
        </is>
      </c>
      <c r="B6058" s="1" t="n">
        <v>44606</v>
      </c>
      <c r="C6058" s="1" t="n">
        <v>45357</v>
      </c>
      <c r="D6058" t="inlineStr">
        <is>
          <t>VÄSTERBOTTENS LÄN</t>
        </is>
      </c>
      <c r="E6058" t="inlineStr">
        <is>
          <t>UMEÅ</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7356-2022</t>
        </is>
      </c>
      <c r="B6059" s="1" t="n">
        <v>44606</v>
      </c>
      <c r="C6059" s="1" t="n">
        <v>45357</v>
      </c>
      <c r="D6059" t="inlineStr">
        <is>
          <t>VÄSTERBOTTENS LÄN</t>
        </is>
      </c>
      <c r="E6059" t="inlineStr">
        <is>
          <t>UMEÅ</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7384-2022</t>
        </is>
      </c>
      <c r="B6060" s="1" t="n">
        <v>44606</v>
      </c>
      <c r="C6060" s="1" t="n">
        <v>45357</v>
      </c>
      <c r="D6060" t="inlineStr">
        <is>
          <t>VÄSTERBOTTENS LÄN</t>
        </is>
      </c>
      <c r="E6060" t="inlineStr">
        <is>
          <t>UMEÅ</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7430-2022</t>
        </is>
      </c>
      <c r="B6061" s="1" t="n">
        <v>44606</v>
      </c>
      <c r="C6061" s="1" t="n">
        <v>45357</v>
      </c>
      <c r="D6061" t="inlineStr">
        <is>
          <t>VÄSTERBOTTENS LÄN</t>
        </is>
      </c>
      <c r="E6061" t="inlineStr">
        <is>
          <t>UMEÅ</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7438-2022</t>
        </is>
      </c>
      <c r="B6062" s="1" t="n">
        <v>44606</v>
      </c>
      <c r="C6062" s="1" t="n">
        <v>45357</v>
      </c>
      <c r="D6062" t="inlineStr">
        <is>
          <t>VÄSTERBOTTENS LÄN</t>
        </is>
      </c>
      <c r="E6062" t="inlineStr">
        <is>
          <t>UMEÅ</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7383-2022</t>
        </is>
      </c>
      <c r="B6063" s="1" t="n">
        <v>44606</v>
      </c>
      <c r="C6063" s="1" t="n">
        <v>45357</v>
      </c>
      <c r="D6063" t="inlineStr">
        <is>
          <t>VÄSTERBOTTENS LÄN</t>
        </is>
      </c>
      <c r="E6063" t="inlineStr">
        <is>
          <t>UMEÅ</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7397-2022</t>
        </is>
      </c>
      <c r="B6064" s="1" t="n">
        <v>44606</v>
      </c>
      <c r="C6064" s="1" t="n">
        <v>45357</v>
      </c>
      <c r="D6064" t="inlineStr">
        <is>
          <t>VÄSTERBOTTENS LÄN</t>
        </is>
      </c>
      <c r="E6064" t="inlineStr">
        <is>
          <t>LYCKSELE</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8030-2022</t>
        </is>
      </c>
      <c r="B6065" s="1" t="n">
        <v>44606</v>
      </c>
      <c r="C6065" s="1" t="n">
        <v>45357</v>
      </c>
      <c r="D6065" t="inlineStr">
        <is>
          <t>VÄSTERBOTTENS LÄN</t>
        </is>
      </c>
      <c r="E6065" t="inlineStr">
        <is>
          <t>SORSELE</t>
        </is>
      </c>
      <c r="G6065" t="n">
        <v>116.9</v>
      </c>
      <c r="H6065" t="n">
        <v>0</v>
      </c>
      <c r="I6065" t="n">
        <v>0</v>
      </c>
      <c r="J6065" t="n">
        <v>0</v>
      </c>
      <c r="K6065" t="n">
        <v>0</v>
      </c>
      <c r="L6065" t="n">
        <v>0</v>
      </c>
      <c r="M6065" t="n">
        <v>0</v>
      </c>
      <c r="N6065" t="n">
        <v>0</v>
      </c>
      <c r="O6065" t="n">
        <v>0</v>
      </c>
      <c r="P6065" t="n">
        <v>0</v>
      </c>
      <c r="Q6065" t="n">
        <v>0</v>
      </c>
      <c r="R6065" s="2" t="inlineStr"/>
    </row>
    <row r="6066" ht="15" customHeight="1">
      <c r="A6066" t="inlineStr">
        <is>
          <t>A 7433-2022</t>
        </is>
      </c>
      <c r="B6066" s="1" t="n">
        <v>44606</v>
      </c>
      <c r="C6066" s="1" t="n">
        <v>45357</v>
      </c>
      <c r="D6066" t="inlineStr">
        <is>
          <t>VÄSTERBOTTENS LÄN</t>
        </is>
      </c>
      <c r="E6066" t="inlineStr">
        <is>
          <t>LYCKSELE</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7462-2022</t>
        </is>
      </c>
      <c r="B6067" s="1" t="n">
        <v>44606</v>
      </c>
      <c r="C6067" s="1" t="n">
        <v>45357</v>
      </c>
      <c r="D6067" t="inlineStr">
        <is>
          <t>VÄSTERBOTTENS LÄN</t>
        </is>
      </c>
      <c r="E6067" t="inlineStr">
        <is>
          <t>SKELLEFTEÅ</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9981-2022</t>
        </is>
      </c>
      <c r="B6068" s="1" t="n">
        <v>44606</v>
      </c>
      <c r="C6068" s="1" t="n">
        <v>45357</v>
      </c>
      <c r="D6068" t="inlineStr">
        <is>
          <t>VÄSTERBOTTENS LÄN</t>
        </is>
      </c>
      <c r="E6068" t="inlineStr">
        <is>
          <t>SORSELE</t>
        </is>
      </c>
      <c r="G6068" t="n">
        <v>18.4</v>
      </c>
      <c r="H6068" t="n">
        <v>0</v>
      </c>
      <c r="I6068" t="n">
        <v>0</v>
      </c>
      <c r="J6068" t="n">
        <v>0</v>
      </c>
      <c r="K6068" t="n">
        <v>0</v>
      </c>
      <c r="L6068" t="n">
        <v>0</v>
      </c>
      <c r="M6068" t="n">
        <v>0</v>
      </c>
      <c r="N6068" t="n">
        <v>0</v>
      </c>
      <c r="O6068" t="n">
        <v>0</v>
      </c>
      <c r="P6068" t="n">
        <v>0</v>
      </c>
      <c r="Q6068" t="n">
        <v>0</v>
      </c>
      <c r="R6068" s="2" t="inlineStr"/>
    </row>
    <row r="6069" ht="15" customHeight="1">
      <c r="A6069" t="inlineStr">
        <is>
          <t>A 7495-2022</t>
        </is>
      </c>
      <c r="B6069" s="1" t="n">
        <v>44607</v>
      </c>
      <c r="C6069" s="1" t="n">
        <v>45357</v>
      </c>
      <c r="D6069" t="inlineStr">
        <is>
          <t>VÄSTERBOTTENS LÄN</t>
        </is>
      </c>
      <c r="E6069" t="inlineStr">
        <is>
          <t>SKELLEFTEÅ</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7518-2022</t>
        </is>
      </c>
      <c r="B6070" s="1" t="n">
        <v>44607</v>
      </c>
      <c r="C6070" s="1" t="n">
        <v>45357</v>
      </c>
      <c r="D6070" t="inlineStr">
        <is>
          <t>VÄSTERBOTTENS LÄN</t>
        </is>
      </c>
      <c r="E6070" t="inlineStr">
        <is>
          <t>SKELLEFTEÅ</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7579-2022</t>
        </is>
      </c>
      <c r="B6071" s="1" t="n">
        <v>44607</v>
      </c>
      <c r="C6071" s="1" t="n">
        <v>45357</v>
      </c>
      <c r="D6071" t="inlineStr">
        <is>
          <t>VÄSTERBOTTENS LÄN</t>
        </is>
      </c>
      <c r="E6071" t="inlineStr">
        <is>
          <t>SKELLEFTEÅ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7694-2022</t>
        </is>
      </c>
      <c r="B6072" s="1" t="n">
        <v>44607</v>
      </c>
      <c r="C6072" s="1" t="n">
        <v>45357</v>
      </c>
      <c r="D6072" t="inlineStr">
        <is>
          <t>VÄSTERBOTTENS LÄN</t>
        </is>
      </c>
      <c r="E6072" t="inlineStr">
        <is>
          <t>ÅSELE</t>
        </is>
      </c>
      <c r="F6072" t="inlineStr">
        <is>
          <t>SCA</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7897-2022</t>
        </is>
      </c>
      <c r="B6073" s="1" t="n">
        <v>44608</v>
      </c>
      <c r="C6073" s="1" t="n">
        <v>45357</v>
      </c>
      <c r="D6073" t="inlineStr">
        <is>
          <t>VÄSTERBOTTENS LÄN</t>
        </is>
      </c>
      <c r="E6073" t="inlineStr">
        <is>
          <t>BJURHOLM</t>
        </is>
      </c>
      <c r="G6073" t="n">
        <v>17.8</v>
      </c>
      <c r="H6073" t="n">
        <v>0</v>
      </c>
      <c r="I6073" t="n">
        <v>0</v>
      </c>
      <c r="J6073" t="n">
        <v>0</v>
      </c>
      <c r="K6073" t="n">
        <v>0</v>
      </c>
      <c r="L6073" t="n">
        <v>0</v>
      </c>
      <c r="M6073" t="n">
        <v>0</v>
      </c>
      <c r="N6073" t="n">
        <v>0</v>
      </c>
      <c r="O6073" t="n">
        <v>0</v>
      </c>
      <c r="P6073" t="n">
        <v>0</v>
      </c>
      <c r="Q6073" t="n">
        <v>0</v>
      </c>
      <c r="R6073" s="2" t="inlineStr"/>
    </row>
    <row r="6074" ht="15" customHeight="1">
      <c r="A6074" t="inlineStr">
        <is>
          <t>A 7902-2022</t>
        </is>
      </c>
      <c r="B6074" s="1" t="n">
        <v>44608</v>
      </c>
      <c r="C6074" s="1" t="n">
        <v>45357</v>
      </c>
      <c r="D6074" t="inlineStr">
        <is>
          <t>VÄSTERBOTTENS LÄN</t>
        </is>
      </c>
      <c r="E6074" t="inlineStr">
        <is>
          <t>VÄNNÄS</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7908-2022</t>
        </is>
      </c>
      <c r="B6075" s="1" t="n">
        <v>44608</v>
      </c>
      <c r="C6075" s="1" t="n">
        <v>45357</v>
      </c>
      <c r="D6075" t="inlineStr">
        <is>
          <t>VÄSTERBOTTENS LÄN</t>
        </is>
      </c>
      <c r="E6075" t="inlineStr">
        <is>
          <t>BJURHOLM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7901-2022</t>
        </is>
      </c>
      <c r="B6076" s="1" t="n">
        <v>44608</v>
      </c>
      <c r="C6076" s="1" t="n">
        <v>45357</v>
      </c>
      <c r="D6076" t="inlineStr">
        <is>
          <t>VÄSTERBOTTENS LÄN</t>
        </is>
      </c>
      <c r="E6076" t="inlineStr">
        <is>
          <t>BJURHOLM</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7910-2022</t>
        </is>
      </c>
      <c r="B6077" s="1" t="n">
        <v>44608</v>
      </c>
      <c r="C6077" s="1" t="n">
        <v>45357</v>
      </c>
      <c r="D6077" t="inlineStr">
        <is>
          <t>VÄSTERBOTTENS LÄN</t>
        </is>
      </c>
      <c r="E6077" t="inlineStr">
        <is>
          <t>BJURHOLM</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7915-2022</t>
        </is>
      </c>
      <c r="B6078" s="1" t="n">
        <v>44608</v>
      </c>
      <c r="C6078" s="1" t="n">
        <v>45357</v>
      </c>
      <c r="D6078" t="inlineStr">
        <is>
          <t>VÄSTERBOTTENS LÄN</t>
        </is>
      </c>
      <c r="E6078" t="inlineStr">
        <is>
          <t>BJURHOLM</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7940-2022</t>
        </is>
      </c>
      <c r="B6079" s="1" t="n">
        <v>44608</v>
      </c>
      <c r="C6079" s="1" t="n">
        <v>45357</v>
      </c>
      <c r="D6079" t="inlineStr">
        <is>
          <t>VÄSTERBOTTENS LÄN</t>
        </is>
      </c>
      <c r="E6079" t="inlineStr">
        <is>
          <t>VINDELN</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7979-2022</t>
        </is>
      </c>
      <c r="B6080" s="1" t="n">
        <v>44608</v>
      </c>
      <c r="C6080" s="1" t="n">
        <v>45357</v>
      </c>
      <c r="D6080" t="inlineStr">
        <is>
          <t>VÄSTERBOTTENS LÄN</t>
        </is>
      </c>
      <c r="E6080" t="inlineStr">
        <is>
          <t>NORSJÖ</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7907-2022</t>
        </is>
      </c>
      <c r="B6081" s="1" t="n">
        <v>44608</v>
      </c>
      <c r="C6081" s="1" t="n">
        <v>45357</v>
      </c>
      <c r="D6081" t="inlineStr">
        <is>
          <t>VÄSTERBOTTENS LÄN</t>
        </is>
      </c>
      <c r="E6081" t="inlineStr">
        <is>
          <t>BJURHOLM</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8023-2022</t>
        </is>
      </c>
      <c r="B6082" s="1" t="n">
        <v>44609</v>
      </c>
      <c r="C6082" s="1" t="n">
        <v>45357</v>
      </c>
      <c r="D6082" t="inlineStr">
        <is>
          <t>VÄSTERBOTTENS LÄN</t>
        </is>
      </c>
      <c r="E6082" t="inlineStr">
        <is>
          <t>SKELLEFTEÅ</t>
        </is>
      </c>
      <c r="F6082" t="inlineStr">
        <is>
          <t>Kyrkan</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8173-2022</t>
        </is>
      </c>
      <c r="B6083" s="1" t="n">
        <v>44609</v>
      </c>
      <c r="C6083" s="1" t="n">
        <v>45357</v>
      </c>
      <c r="D6083" t="inlineStr">
        <is>
          <t>VÄSTERBOTTENS LÄN</t>
        </is>
      </c>
      <c r="E6083" t="inlineStr">
        <is>
          <t>NORDMALING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8223-2022</t>
        </is>
      </c>
      <c r="B6084" s="1" t="n">
        <v>44609</v>
      </c>
      <c r="C6084" s="1" t="n">
        <v>45357</v>
      </c>
      <c r="D6084" t="inlineStr">
        <is>
          <t>VÄSTERBOTTENS LÄN</t>
        </is>
      </c>
      <c r="E6084" t="inlineStr">
        <is>
          <t>UMEÅ</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8203-2022</t>
        </is>
      </c>
      <c r="B6085" s="1" t="n">
        <v>44609</v>
      </c>
      <c r="C6085" s="1" t="n">
        <v>45357</v>
      </c>
      <c r="D6085" t="inlineStr">
        <is>
          <t>VÄSTERBOTTENS LÄN</t>
        </is>
      </c>
      <c r="E6085" t="inlineStr">
        <is>
          <t>SKELLEFTEÅ</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8229-2022</t>
        </is>
      </c>
      <c r="B6086" s="1" t="n">
        <v>44609</v>
      </c>
      <c r="C6086" s="1" t="n">
        <v>45357</v>
      </c>
      <c r="D6086" t="inlineStr">
        <is>
          <t>VÄSTERBOTTENS LÄN</t>
        </is>
      </c>
      <c r="E6086" t="inlineStr">
        <is>
          <t>VILHELMINA</t>
        </is>
      </c>
      <c r="F6086" t="inlineStr">
        <is>
          <t>SCA</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8258-2022</t>
        </is>
      </c>
      <c r="B6087" s="1" t="n">
        <v>44609</v>
      </c>
      <c r="C6087" s="1" t="n">
        <v>45357</v>
      </c>
      <c r="D6087" t="inlineStr">
        <is>
          <t>VÄSTERBOTTENS LÄN</t>
        </is>
      </c>
      <c r="E6087" t="inlineStr">
        <is>
          <t>VILHELMINA</t>
        </is>
      </c>
      <c r="G6087" t="n">
        <v>31.1</v>
      </c>
      <c r="H6087" t="n">
        <v>0</v>
      </c>
      <c r="I6087" t="n">
        <v>0</v>
      </c>
      <c r="J6087" t="n">
        <v>0</v>
      </c>
      <c r="K6087" t="n">
        <v>0</v>
      </c>
      <c r="L6087" t="n">
        <v>0</v>
      </c>
      <c r="M6087" t="n">
        <v>0</v>
      </c>
      <c r="N6087" t="n">
        <v>0</v>
      </c>
      <c r="O6087" t="n">
        <v>0</v>
      </c>
      <c r="P6087" t="n">
        <v>0</v>
      </c>
      <c r="Q6087" t="n">
        <v>0</v>
      </c>
      <c r="R6087" s="2" t="inlineStr"/>
    </row>
    <row r="6088" ht="15" customHeight="1">
      <c r="A6088" t="inlineStr">
        <is>
          <t>A 8401-2022</t>
        </is>
      </c>
      <c r="B6088" s="1" t="n">
        <v>44610</v>
      </c>
      <c r="C6088" s="1" t="n">
        <v>45357</v>
      </c>
      <c r="D6088" t="inlineStr">
        <is>
          <t>VÄSTERBOTTENS LÄN</t>
        </is>
      </c>
      <c r="E6088" t="inlineStr">
        <is>
          <t>VÄNNÄS</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8326-2022</t>
        </is>
      </c>
      <c r="B6089" s="1" t="n">
        <v>44610</v>
      </c>
      <c r="C6089" s="1" t="n">
        <v>45357</v>
      </c>
      <c r="D6089" t="inlineStr">
        <is>
          <t>VÄSTERBOTTENS LÄN</t>
        </is>
      </c>
      <c r="E6089" t="inlineStr">
        <is>
          <t>VINDELN</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8399-2022</t>
        </is>
      </c>
      <c r="B6090" s="1" t="n">
        <v>44610</v>
      </c>
      <c r="C6090" s="1" t="n">
        <v>45357</v>
      </c>
      <c r="D6090" t="inlineStr">
        <is>
          <t>VÄSTERBOTTENS LÄN</t>
        </is>
      </c>
      <c r="E6090" t="inlineStr">
        <is>
          <t>VÄNNÄS</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8409-2022</t>
        </is>
      </c>
      <c r="B6091" s="1" t="n">
        <v>44610</v>
      </c>
      <c r="C6091" s="1" t="n">
        <v>45357</v>
      </c>
      <c r="D6091" t="inlineStr">
        <is>
          <t>VÄSTERBOTTENS LÄN</t>
        </is>
      </c>
      <c r="E6091" t="inlineStr">
        <is>
          <t>UMEÅ</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8412-2022</t>
        </is>
      </c>
      <c r="B6092" s="1" t="n">
        <v>44610</v>
      </c>
      <c r="C6092" s="1" t="n">
        <v>45357</v>
      </c>
      <c r="D6092" t="inlineStr">
        <is>
          <t>VÄSTERBOTTENS LÄN</t>
        </is>
      </c>
      <c r="E6092" t="inlineStr">
        <is>
          <t>UMEÅ</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8456-2022</t>
        </is>
      </c>
      <c r="B6093" s="1" t="n">
        <v>44612</v>
      </c>
      <c r="C6093" s="1" t="n">
        <v>45357</v>
      </c>
      <c r="D6093" t="inlineStr">
        <is>
          <t>VÄSTERBOTTENS LÄN</t>
        </is>
      </c>
      <c r="E6093" t="inlineStr">
        <is>
          <t>SKELLEFTEÅ</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8460-2022</t>
        </is>
      </c>
      <c r="B6094" s="1" t="n">
        <v>44612</v>
      </c>
      <c r="C6094" s="1" t="n">
        <v>45357</v>
      </c>
      <c r="D6094" t="inlineStr">
        <is>
          <t>VÄSTERBOTTENS LÄN</t>
        </is>
      </c>
      <c r="E6094" t="inlineStr">
        <is>
          <t>ROBERTSFORS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8436-2022</t>
        </is>
      </c>
      <c r="B6095" s="1" t="n">
        <v>44612</v>
      </c>
      <c r="C6095" s="1" t="n">
        <v>45357</v>
      </c>
      <c r="D6095" t="inlineStr">
        <is>
          <t>VÄSTERBOTTENS LÄN</t>
        </is>
      </c>
      <c r="E6095" t="inlineStr">
        <is>
          <t>SKELLEFTEÅ</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8457-2022</t>
        </is>
      </c>
      <c r="B6096" s="1" t="n">
        <v>44612</v>
      </c>
      <c r="C6096" s="1" t="n">
        <v>45357</v>
      </c>
      <c r="D6096" t="inlineStr">
        <is>
          <t>VÄSTERBOTTENS LÄN</t>
        </is>
      </c>
      <c r="E6096" t="inlineStr">
        <is>
          <t>ROBERTSFORS</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8461-2022</t>
        </is>
      </c>
      <c r="B6097" s="1" t="n">
        <v>44612</v>
      </c>
      <c r="C6097" s="1" t="n">
        <v>45357</v>
      </c>
      <c r="D6097" t="inlineStr">
        <is>
          <t>VÄSTERBOTTENS LÄN</t>
        </is>
      </c>
      <c r="E6097" t="inlineStr">
        <is>
          <t>ROBERTSFORS</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8459-2022</t>
        </is>
      </c>
      <c r="B6098" s="1" t="n">
        <v>44612</v>
      </c>
      <c r="C6098" s="1" t="n">
        <v>45357</v>
      </c>
      <c r="D6098" t="inlineStr">
        <is>
          <t>VÄSTERBOTTENS LÄN</t>
        </is>
      </c>
      <c r="E6098" t="inlineStr">
        <is>
          <t>ROBERTSFORS</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8458-2022</t>
        </is>
      </c>
      <c r="B6099" s="1" t="n">
        <v>44612</v>
      </c>
      <c r="C6099" s="1" t="n">
        <v>45357</v>
      </c>
      <c r="D6099" t="inlineStr">
        <is>
          <t>VÄSTERBOTTENS LÄN</t>
        </is>
      </c>
      <c r="E6099" t="inlineStr">
        <is>
          <t>ROBERTSFORS</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8600-2022</t>
        </is>
      </c>
      <c r="B6100" s="1" t="n">
        <v>44613</v>
      </c>
      <c r="C6100" s="1" t="n">
        <v>45357</v>
      </c>
      <c r="D6100" t="inlineStr">
        <is>
          <t>VÄSTERBOTTENS LÄN</t>
        </is>
      </c>
      <c r="E6100" t="inlineStr">
        <is>
          <t>SKELLEFTEÅ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8603-2022</t>
        </is>
      </c>
      <c r="B6101" s="1" t="n">
        <v>44613</v>
      </c>
      <c r="C6101" s="1" t="n">
        <v>45357</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8598-2022</t>
        </is>
      </c>
      <c r="B6102" s="1" t="n">
        <v>44613</v>
      </c>
      <c r="C6102" s="1" t="n">
        <v>45357</v>
      </c>
      <c r="D6102" t="inlineStr">
        <is>
          <t>VÄSTERBOTTENS LÄN</t>
        </is>
      </c>
      <c r="E6102" t="inlineStr">
        <is>
          <t>SKELLEFTEÅ</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8595-2022</t>
        </is>
      </c>
      <c r="B6103" s="1" t="n">
        <v>44613</v>
      </c>
      <c r="C6103" s="1" t="n">
        <v>45357</v>
      </c>
      <c r="D6103" t="inlineStr">
        <is>
          <t>VÄSTERBOTTENS LÄN</t>
        </is>
      </c>
      <c r="E6103" t="inlineStr">
        <is>
          <t>SKELLEFTEÅ</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8641-2022</t>
        </is>
      </c>
      <c r="B6104" s="1" t="n">
        <v>44613</v>
      </c>
      <c r="C6104" s="1" t="n">
        <v>45357</v>
      </c>
      <c r="D6104" t="inlineStr">
        <is>
          <t>VÄSTERBOTTENS LÄN</t>
        </is>
      </c>
      <c r="E6104" t="inlineStr">
        <is>
          <t>ROBERTSFORS</t>
        </is>
      </c>
      <c r="F6104" t="inlineStr">
        <is>
          <t>Holmen skog AB</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8731-2022</t>
        </is>
      </c>
      <c r="B6105" s="1" t="n">
        <v>44613</v>
      </c>
      <c r="C6105" s="1" t="n">
        <v>45357</v>
      </c>
      <c r="D6105" t="inlineStr">
        <is>
          <t>VÄSTERBOTTENS LÄN</t>
        </is>
      </c>
      <c r="E6105" t="inlineStr">
        <is>
          <t>VILHELMINA</t>
        </is>
      </c>
      <c r="F6105" t="inlineStr">
        <is>
          <t>SCA</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8730-2022</t>
        </is>
      </c>
      <c r="B6106" s="1" t="n">
        <v>44613</v>
      </c>
      <c r="C6106" s="1" t="n">
        <v>45357</v>
      </c>
      <c r="D6106" t="inlineStr">
        <is>
          <t>VÄSTERBOTTENS LÄN</t>
        </is>
      </c>
      <c r="E6106" t="inlineStr">
        <is>
          <t>VILHELMINA</t>
        </is>
      </c>
      <c r="F6106" t="inlineStr">
        <is>
          <t>SCA</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8539-2022</t>
        </is>
      </c>
      <c r="B6107" s="1" t="n">
        <v>44613</v>
      </c>
      <c r="C6107" s="1" t="n">
        <v>45357</v>
      </c>
      <c r="D6107" t="inlineStr">
        <is>
          <t>VÄSTERBOTTENS LÄN</t>
        </is>
      </c>
      <c r="E6107" t="inlineStr">
        <is>
          <t>SKELLEFTEÅ</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8973-2022</t>
        </is>
      </c>
      <c r="B6108" s="1" t="n">
        <v>44614</v>
      </c>
      <c r="C6108" s="1" t="n">
        <v>45357</v>
      </c>
      <c r="D6108" t="inlineStr">
        <is>
          <t>VÄSTERBOTTENS LÄN</t>
        </is>
      </c>
      <c r="E6108" t="inlineStr">
        <is>
          <t>VINDELN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8983-2022</t>
        </is>
      </c>
      <c r="B6109" s="1" t="n">
        <v>44614</v>
      </c>
      <c r="C6109" s="1" t="n">
        <v>45357</v>
      </c>
      <c r="D6109" t="inlineStr">
        <is>
          <t>VÄSTERBOTTENS LÄN</t>
        </is>
      </c>
      <c r="E6109" t="inlineStr">
        <is>
          <t>DOROTEA</t>
        </is>
      </c>
      <c r="F6109" t="inlineStr">
        <is>
          <t>SCA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8982-2022</t>
        </is>
      </c>
      <c r="B6110" s="1" t="n">
        <v>44614</v>
      </c>
      <c r="C6110" s="1" t="n">
        <v>45357</v>
      </c>
      <c r="D6110" t="inlineStr">
        <is>
          <t>VÄSTERBOTTENS LÄN</t>
        </is>
      </c>
      <c r="E6110" t="inlineStr">
        <is>
          <t>DOROTEA</t>
        </is>
      </c>
      <c r="F6110" t="inlineStr">
        <is>
          <t>SCA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8974-2022</t>
        </is>
      </c>
      <c r="B6111" s="1" t="n">
        <v>44614</v>
      </c>
      <c r="C6111" s="1" t="n">
        <v>45357</v>
      </c>
      <c r="D6111" t="inlineStr">
        <is>
          <t>VÄSTERBOTTENS LÄN</t>
        </is>
      </c>
      <c r="E6111" t="inlineStr">
        <is>
          <t>VINDELN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9026-2022</t>
        </is>
      </c>
      <c r="B6112" s="1" t="n">
        <v>44615</v>
      </c>
      <c r="C6112" s="1" t="n">
        <v>45357</v>
      </c>
      <c r="D6112" t="inlineStr">
        <is>
          <t>VÄSTERBOTTENS LÄN</t>
        </is>
      </c>
      <c r="E6112" t="inlineStr">
        <is>
          <t>VILHELMINA</t>
        </is>
      </c>
      <c r="G6112" t="n">
        <v>25.8</v>
      </c>
      <c r="H6112" t="n">
        <v>0</v>
      </c>
      <c r="I6112" t="n">
        <v>0</v>
      </c>
      <c r="J6112" t="n">
        <v>0</v>
      </c>
      <c r="K6112" t="n">
        <v>0</v>
      </c>
      <c r="L6112" t="n">
        <v>0</v>
      </c>
      <c r="M6112" t="n">
        <v>0</v>
      </c>
      <c r="N6112" t="n">
        <v>0</v>
      </c>
      <c r="O6112" t="n">
        <v>0</v>
      </c>
      <c r="P6112" t="n">
        <v>0</v>
      </c>
      <c r="Q6112" t="n">
        <v>0</v>
      </c>
      <c r="R6112" s="2" t="inlineStr"/>
    </row>
    <row r="6113" ht="15" customHeight="1">
      <c r="A6113" t="inlineStr">
        <is>
          <t>A 8917-2022</t>
        </is>
      </c>
      <c r="B6113" s="1" t="n">
        <v>44615</v>
      </c>
      <c r="C6113" s="1" t="n">
        <v>45357</v>
      </c>
      <c r="D6113" t="inlineStr">
        <is>
          <t>VÄSTERBOTTENS LÄN</t>
        </is>
      </c>
      <c r="E6113" t="inlineStr">
        <is>
          <t>NORSJÖ</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9061-2022</t>
        </is>
      </c>
      <c r="B6114" s="1" t="n">
        <v>44615</v>
      </c>
      <c r="C6114" s="1" t="n">
        <v>45357</v>
      </c>
      <c r="D6114" t="inlineStr">
        <is>
          <t>VÄSTERBOTTENS LÄN</t>
        </is>
      </c>
      <c r="E6114" t="inlineStr">
        <is>
          <t>NORSJÖ</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9007-2022</t>
        </is>
      </c>
      <c r="B6115" s="1" t="n">
        <v>44615</v>
      </c>
      <c r="C6115" s="1" t="n">
        <v>45357</v>
      </c>
      <c r="D6115" t="inlineStr">
        <is>
          <t>VÄSTERBOTTENS LÄN</t>
        </is>
      </c>
      <c r="E6115" t="inlineStr">
        <is>
          <t>ÅSELE</t>
        </is>
      </c>
      <c r="G6115" t="n">
        <v>18.6</v>
      </c>
      <c r="H6115" t="n">
        <v>0</v>
      </c>
      <c r="I6115" t="n">
        <v>0</v>
      </c>
      <c r="J6115" t="n">
        <v>0</v>
      </c>
      <c r="K6115" t="n">
        <v>0</v>
      </c>
      <c r="L6115" t="n">
        <v>0</v>
      </c>
      <c r="M6115" t="n">
        <v>0</v>
      </c>
      <c r="N6115" t="n">
        <v>0</v>
      </c>
      <c r="O6115" t="n">
        <v>0</v>
      </c>
      <c r="P6115" t="n">
        <v>0</v>
      </c>
      <c r="Q6115" t="n">
        <v>0</v>
      </c>
      <c r="R6115" s="2" t="inlineStr"/>
    </row>
    <row r="6116" ht="15" customHeight="1">
      <c r="A6116" t="inlineStr">
        <is>
          <t>A 9053-2022</t>
        </is>
      </c>
      <c r="B6116" s="1" t="n">
        <v>44615</v>
      </c>
      <c r="C6116" s="1" t="n">
        <v>45357</v>
      </c>
      <c r="D6116" t="inlineStr">
        <is>
          <t>VÄSTERBOTTENS LÄN</t>
        </is>
      </c>
      <c r="E6116" t="inlineStr">
        <is>
          <t>SKELLEFTEÅ</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9162-2022</t>
        </is>
      </c>
      <c r="B6117" s="1" t="n">
        <v>44615</v>
      </c>
      <c r="C6117" s="1" t="n">
        <v>45357</v>
      </c>
      <c r="D6117" t="inlineStr">
        <is>
          <t>VÄSTERBOTTENS LÄN</t>
        </is>
      </c>
      <c r="E6117" t="inlineStr">
        <is>
          <t>VILHELMINA</t>
        </is>
      </c>
      <c r="G6117" t="n">
        <v>7.2</v>
      </c>
      <c r="H6117" t="n">
        <v>0</v>
      </c>
      <c r="I6117" t="n">
        <v>0</v>
      </c>
      <c r="J6117" t="n">
        <v>0</v>
      </c>
      <c r="K6117" t="n">
        <v>0</v>
      </c>
      <c r="L6117" t="n">
        <v>0</v>
      </c>
      <c r="M6117" t="n">
        <v>0</v>
      </c>
      <c r="N6117" t="n">
        <v>0</v>
      </c>
      <c r="O6117" t="n">
        <v>0</v>
      </c>
      <c r="P6117" t="n">
        <v>0</v>
      </c>
      <c r="Q6117" t="n">
        <v>0</v>
      </c>
      <c r="R6117" s="2" t="inlineStr"/>
    </row>
    <row r="6118" ht="15" customHeight="1">
      <c r="A6118" t="inlineStr">
        <is>
          <t>A 9192-2022</t>
        </is>
      </c>
      <c r="B6118" s="1" t="n">
        <v>44615</v>
      </c>
      <c r="C6118" s="1" t="n">
        <v>45357</v>
      </c>
      <c r="D6118" t="inlineStr">
        <is>
          <t>VÄSTERBOTTENS LÄN</t>
        </is>
      </c>
      <c r="E6118" t="inlineStr">
        <is>
          <t>ROBERTSFORS</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9327-2022</t>
        </is>
      </c>
      <c r="B6119" s="1" t="n">
        <v>44616</v>
      </c>
      <c r="C6119" s="1" t="n">
        <v>45357</v>
      </c>
      <c r="D6119" t="inlineStr">
        <is>
          <t>VÄSTERBOTTENS LÄN</t>
        </is>
      </c>
      <c r="E6119" t="inlineStr">
        <is>
          <t>LYCKSELE</t>
        </is>
      </c>
      <c r="G6119" t="n">
        <v>10.1</v>
      </c>
      <c r="H6119" t="n">
        <v>0</v>
      </c>
      <c r="I6119" t="n">
        <v>0</v>
      </c>
      <c r="J6119" t="n">
        <v>0</v>
      </c>
      <c r="K6119" t="n">
        <v>0</v>
      </c>
      <c r="L6119" t="n">
        <v>0</v>
      </c>
      <c r="M6119" t="n">
        <v>0</v>
      </c>
      <c r="N6119" t="n">
        <v>0</v>
      </c>
      <c r="O6119" t="n">
        <v>0</v>
      </c>
      <c r="P6119" t="n">
        <v>0</v>
      </c>
      <c r="Q6119" t="n">
        <v>0</v>
      </c>
      <c r="R6119" s="2" t="inlineStr"/>
    </row>
    <row r="6120" ht="15" customHeight="1">
      <c r="A6120" t="inlineStr">
        <is>
          <t>A 9341-2022</t>
        </is>
      </c>
      <c r="B6120" s="1" t="n">
        <v>44616</v>
      </c>
      <c r="C6120" s="1" t="n">
        <v>45357</v>
      </c>
      <c r="D6120" t="inlineStr">
        <is>
          <t>VÄSTERBOTTENS LÄN</t>
        </is>
      </c>
      <c r="E6120" t="inlineStr">
        <is>
          <t>LYCKSELE</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9477-2022</t>
        </is>
      </c>
      <c r="B6121" s="1" t="n">
        <v>44616</v>
      </c>
      <c r="C6121" s="1" t="n">
        <v>45357</v>
      </c>
      <c r="D6121" t="inlineStr">
        <is>
          <t>VÄSTERBOTTENS LÄN</t>
        </is>
      </c>
      <c r="E6121" t="inlineStr">
        <is>
          <t>ROBERTSFORS</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9482-2022</t>
        </is>
      </c>
      <c r="B6122" s="1" t="n">
        <v>44616</v>
      </c>
      <c r="C6122" s="1" t="n">
        <v>45357</v>
      </c>
      <c r="D6122" t="inlineStr">
        <is>
          <t>VÄSTERBOTTENS LÄN</t>
        </is>
      </c>
      <c r="E6122" t="inlineStr">
        <is>
          <t>MALÅ</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9501-2022</t>
        </is>
      </c>
      <c r="B6123" s="1" t="n">
        <v>44616</v>
      </c>
      <c r="C6123" s="1" t="n">
        <v>45357</v>
      </c>
      <c r="D6123" t="inlineStr">
        <is>
          <t>VÄSTERBOTTENS LÄN</t>
        </is>
      </c>
      <c r="E6123" t="inlineStr">
        <is>
          <t>VILHELMINA</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9500-2022</t>
        </is>
      </c>
      <c r="B6124" s="1" t="n">
        <v>44616</v>
      </c>
      <c r="C6124" s="1" t="n">
        <v>45357</v>
      </c>
      <c r="D6124" t="inlineStr">
        <is>
          <t>VÄSTERBOTTENS LÄN</t>
        </is>
      </c>
      <c r="E6124" t="inlineStr">
        <is>
          <t>SKELLEFTEÅ</t>
        </is>
      </c>
      <c r="F6124" t="inlineStr">
        <is>
          <t>SCA</t>
        </is>
      </c>
      <c r="G6124" t="n">
        <v>8.800000000000001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9479-2022</t>
        </is>
      </c>
      <c r="B6125" s="1" t="n">
        <v>44616</v>
      </c>
      <c r="C6125" s="1" t="n">
        <v>45357</v>
      </c>
      <c r="D6125" t="inlineStr">
        <is>
          <t>VÄSTERBOTTENS LÄN</t>
        </is>
      </c>
      <c r="E6125" t="inlineStr">
        <is>
          <t>ROBERTSFORS</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9552-2022</t>
        </is>
      </c>
      <c r="B6126" s="1" t="n">
        <v>44617</v>
      </c>
      <c r="C6126" s="1" t="n">
        <v>45357</v>
      </c>
      <c r="D6126" t="inlineStr">
        <is>
          <t>VÄSTERBOTTENS LÄN</t>
        </is>
      </c>
      <c r="E6126" t="inlineStr">
        <is>
          <t>MALÅ</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9579-2022</t>
        </is>
      </c>
      <c r="B6127" s="1" t="n">
        <v>44617</v>
      </c>
      <c r="C6127" s="1" t="n">
        <v>45357</v>
      </c>
      <c r="D6127" t="inlineStr">
        <is>
          <t>VÄSTERBOTTENS LÄN</t>
        </is>
      </c>
      <c r="E6127" t="inlineStr">
        <is>
          <t>SKELLEFTEÅ</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9719-2022</t>
        </is>
      </c>
      <c r="B6128" s="1" t="n">
        <v>44617</v>
      </c>
      <c r="C6128" s="1" t="n">
        <v>45357</v>
      </c>
      <c r="D6128" t="inlineStr">
        <is>
          <t>VÄSTERBOTTENS LÄN</t>
        </is>
      </c>
      <c r="E6128" t="inlineStr">
        <is>
          <t>NORSJÖ</t>
        </is>
      </c>
      <c r="G6128" t="n">
        <v>14.9</v>
      </c>
      <c r="H6128" t="n">
        <v>0</v>
      </c>
      <c r="I6128" t="n">
        <v>0</v>
      </c>
      <c r="J6128" t="n">
        <v>0</v>
      </c>
      <c r="K6128" t="n">
        <v>0</v>
      </c>
      <c r="L6128" t="n">
        <v>0</v>
      </c>
      <c r="M6128" t="n">
        <v>0</v>
      </c>
      <c r="N6128" t="n">
        <v>0</v>
      </c>
      <c r="O6128" t="n">
        <v>0</v>
      </c>
      <c r="P6128" t="n">
        <v>0</v>
      </c>
      <c r="Q6128" t="n">
        <v>0</v>
      </c>
      <c r="R6128" s="2" t="inlineStr"/>
    </row>
    <row r="6129" ht="15" customHeight="1">
      <c r="A6129" t="inlineStr">
        <is>
          <t>A 9731-2022</t>
        </is>
      </c>
      <c r="B6129" s="1" t="n">
        <v>44617</v>
      </c>
      <c r="C6129" s="1" t="n">
        <v>45357</v>
      </c>
      <c r="D6129" t="inlineStr">
        <is>
          <t>VÄSTERBOTTENS LÄN</t>
        </is>
      </c>
      <c r="E6129" t="inlineStr">
        <is>
          <t>VILHELMINA</t>
        </is>
      </c>
      <c r="F6129" t="inlineStr">
        <is>
          <t>SCA</t>
        </is>
      </c>
      <c r="G6129" t="n">
        <v>15.9</v>
      </c>
      <c r="H6129" t="n">
        <v>0</v>
      </c>
      <c r="I6129" t="n">
        <v>0</v>
      </c>
      <c r="J6129" t="n">
        <v>0</v>
      </c>
      <c r="K6129" t="n">
        <v>0</v>
      </c>
      <c r="L6129" t="n">
        <v>0</v>
      </c>
      <c r="M6129" t="n">
        <v>0</v>
      </c>
      <c r="N6129" t="n">
        <v>0</v>
      </c>
      <c r="O6129" t="n">
        <v>0</v>
      </c>
      <c r="P6129" t="n">
        <v>0</v>
      </c>
      <c r="Q6129" t="n">
        <v>0</v>
      </c>
      <c r="R6129" s="2" t="inlineStr"/>
    </row>
    <row r="6130" ht="15" customHeight="1">
      <c r="A6130" t="inlineStr">
        <is>
          <t>A 9735-2022</t>
        </is>
      </c>
      <c r="B6130" s="1" t="n">
        <v>44617</v>
      </c>
      <c r="C6130" s="1" t="n">
        <v>45357</v>
      </c>
      <c r="D6130" t="inlineStr">
        <is>
          <t>VÄSTERBOTTENS LÄN</t>
        </is>
      </c>
      <c r="E6130" t="inlineStr">
        <is>
          <t>VILHELMINA</t>
        </is>
      </c>
      <c r="F6130" t="inlineStr">
        <is>
          <t>SCA</t>
        </is>
      </c>
      <c r="G6130" t="n">
        <v>12.3</v>
      </c>
      <c r="H6130" t="n">
        <v>0</v>
      </c>
      <c r="I6130" t="n">
        <v>0</v>
      </c>
      <c r="J6130" t="n">
        <v>0</v>
      </c>
      <c r="K6130" t="n">
        <v>0</v>
      </c>
      <c r="L6130" t="n">
        <v>0</v>
      </c>
      <c r="M6130" t="n">
        <v>0</v>
      </c>
      <c r="N6130" t="n">
        <v>0</v>
      </c>
      <c r="O6130" t="n">
        <v>0</v>
      </c>
      <c r="P6130" t="n">
        <v>0</v>
      </c>
      <c r="Q6130" t="n">
        <v>0</v>
      </c>
      <c r="R6130" s="2" t="inlineStr"/>
    </row>
    <row r="6131" ht="15" customHeight="1">
      <c r="A6131" t="inlineStr">
        <is>
          <t>A 9684-2022</t>
        </is>
      </c>
      <c r="B6131" s="1" t="n">
        <v>44617</v>
      </c>
      <c r="C6131" s="1" t="n">
        <v>45357</v>
      </c>
      <c r="D6131" t="inlineStr">
        <is>
          <t>VÄSTERBOTTENS LÄN</t>
        </is>
      </c>
      <c r="E6131" t="inlineStr">
        <is>
          <t>UMEÅ</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9718-2022</t>
        </is>
      </c>
      <c r="B6132" s="1" t="n">
        <v>44617</v>
      </c>
      <c r="C6132" s="1" t="n">
        <v>45357</v>
      </c>
      <c r="D6132" t="inlineStr">
        <is>
          <t>VÄSTERBOTTENS LÄN</t>
        </is>
      </c>
      <c r="E6132" t="inlineStr">
        <is>
          <t>NORSJÖ</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9734-2022</t>
        </is>
      </c>
      <c r="B6133" s="1" t="n">
        <v>44617</v>
      </c>
      <c r="C6133" s="1" t="n">
        <v>45357</v>
      </c>
      <c r="D6133" t="inlineStr">
        <is>
          <t>VÄSTERBOTTENS LÄN</t>
        </is>
      </c>
      <c r="E6133" t="inlineStr">
        <is>
          <t>VILHELMINA</t>
        </is>
      </c>
      <c r="F6133" t="inlineStr">
        <is>
          <t>SCA</t>
        </is>
      </c>
      <c r="G6133" t="n">
        <v>16.9</v>
      </c>
      <c r="H6133" t="n">
        <v>0</v>
      </c>
      <c r="I6133" t="n">
        <v>0</v>
      </c>
      <c r="J6133" t="n">
        <v>0</v>
      </c>
      <c r="K6133" t="n">
        <v>0</v>
      </c>
      <c r="L6133" t="n">
        <v>0</v>
      </c>
      <c r="M6133" t="n">
        <v>0</v>
      </c>
      <c r="N6133" t="n">
        <v>0</v>
      </c>
      <c r="O6133" t="n">
        <v>0</v>
      </c>
      <c r="P6133" t="n">
        <v>0</v>
      </c>
      <c r="Q6133" t="n">
        <v>0</v>
      </c>
      <c r="R6133" s="2" t="inlineStr"/>
    </row>
    <row r="6134" ht="15" customHeight="1">
      <c r="A6134" t="inlineStr">
        <is>
          <t>A 9732-2022</t>
        </is>
      </c>
      <c r="B6134" s="1" t="n">
        <v>44617</v>
      </c>
      <c r="C6134" s="1" t="n">
        <v>45357</v>
      </c>
      <c r="D6134" t="inlineStr">
        <is>
          <t>VÄSTERBOTTENS LÄN</t>
        </is>
      </c>
      <c r="E6134" t="inlineStr">
        <is>
          <t>VILHELMINA</t>
        </is>
      </c>
      <c r="F6134" t="inlineStr">
        <is>
          <t>SCA</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9733-2022</t>
        </is>
      </c>
      <c r="B6135" s="1" t="n">
        <v>44617</v>
      </c>
      <c r="C6135" s="1" t="n">
        <v>45357</v>
      </c>
      <c r="D6135" t="inlineStr">
        <is>
          <t>VÄSTERBOTTENS LÄN</t>
        </is>
      </c>
      <c r="E6135" t="inlineStr">
        <is>
          <t>VILHELMINA</t>
        </is>
      </c>
      <c r="F6135" t="inlineStr">
        <is>
          <t>SCA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9768-2022</t>
        </is>
      </c>
      <c r="B6136" s="1" t="n">
        <v>44619</v>
      </c>
      <c r="C6136" s="1" t="n">
        <v>45357</v>
      </c>
      <c r="D6136" t="inlineStr">
        <is>
          <t>VÄSTERBOTTENS LÄN</t>
        </is>
      </c>
      <c r="E6136" t="inlineStr">
        <is>
          <t>SORSELE</t>
        </is>
      </c>
      <c r="G6136" t="n">
        <v>12.5</v>
      </c>
      <c r="H6136" t="n">
        <v>0</v>
      </c>
      <c r="I6136" t="n">
        <v>0</v>
      </c>
      <c r="J6136" t="n">
        <v>0</v>
      </c>
      <c r="K6136" t="n">
        <v>0</v>
      </c>
      <c r="L6136" t="n">
        <v>0</v>
      </c>
      <c r="M6136" t="n">
        <v>0</v>
      </c>
      <c r="N6136" t="n">
        <v>0</v>
      </c>
      <c r="O6136" t="n">
        <v>0</v>
      </c>
      <c r="P6136" t="n">
        <v>0</v>
      </c>
      <c r="Q6136" t="n">
        <v>0</v>
      </c>
      <c r="R6136" s="2" t="inlineStr"/>
    </row>
    <row r="6137" ht="15" customHeight="1">
      <c r="A6137" t="inlineStr">
        <is>
          <t>A 9777-2022</t>
        </is>
      </c>
      <c r="B6137" s="1" t="n">
        <v>44619</v>
      </c>
      <c r="C6137" s="1" t="n">
        <v>45357</v>
      </c>
      <c r="D6137" t="inlineStr">
        <is>
          <t>VÄSTERBOTTENS LÄN</t>
        </is>
      </c>
      <c r="E6137" t="inlineStr">
        <is>
          <t>VILHELMINA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9781-2022</t>
        </is>
      </c>
      <c r="B6138" s="1" t="n">
        <v>44619</v>
      </c>
      <c r="C6138" s="1" t="n">
        <v>45357</v>
      </c>
      <c r="D6138" t="inlineStr">
        <is>
          <t>VÄSTERBOTTENS LÄN</t>
        </is>
      </c>
      <c r="E6138" t="inlineStr">
        <is>
          <t>VILHELMINA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9769-2022</t>
        </is>
      </c>
      <c r="B6139" s="1" t="n">
        <v>44619</v>
      </c>
      <c r="C6139" s="1" t="n">
        <v>45357</v>
      </c>
      <c r="D6139" t="inlineStr">
        <is>
          <t>VÄSTERBOTTENS LÄN</t>
        </is>
      </c>
      <c r="E6139" t="inlineStr">
        <is>
          <t>UMEÅ</t>
        </is>
      </c>
      <c r="G6139" t="n">
        <v>12.6</v>
      </c>
      <c r="H6139" t="n">
        <v>0</v>
      </c>
      <c r="I6139" t="n">
        <v>0</v>
      </c>
      <c r="J6139" t="n">
        <v>0</v>
      </c>
      <c r="K6139" t="n">
        <v>0</v>
      </c>
      <c r="L6139" t="n">
        <v>0</v>
      </c>
      <c r="M6139" t="n">
        <v>0</v>
      </c>
      <c r="N6139" t="n">
        <v>0</v>
      </c>
      <c r="O6139" t="n">
        <v>0</v>
      </c>
      <c r="P6139" t="n">
        <v>0</v>
      </c>
      <c r="Q6139" t="n">
        <v>0</v>
      </c>
      <c r="R6139" s="2" t="inlineStr"/>
    </row>
    <row r="6140" ht="15" customHeight="1">
      <c r="A6140" t="inlineStr">
        <is>
          <t>A 9780-2022</t>
        </is>
      </c>
      <c r="B6140" s="1" t="n">
        <v>44619</v>
      </c>
      <c r="C6140" s="1" t="n">
        <v>45357</v>
      </c>
      <c r="D6140" t="inlineStr">
        <is>
          <t>VÄSTERBOTTENS LÄN</t>
        </is>
      </c>
      <c r="E6140" t="inlineStr">
        <is>
          <t>VILHELMINA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9770-2022</t>
        </is>
      </c>
      <c r="B6141" s="1" t="n">
        <v>44619</v>
      </c>
      <c r="C6141" s="1" t="n">
        <v>45357</v>
      </c>
      <c r="D6141" t="inlineStr">
        <is>
          <t>VÄSTERBOTTENS LÄN</t>
        </is>
      </c>
      <c r="E6141" t="inlineStr">
        <is>
          <t>UMEÅ</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9779-2022</t>
        </is>
      </c>
      <c r="B6142" s="1" t="n">
        <v>44619</v>
      </c>
      <c r="C6142" s="1" t="n">
        <v>45357</v>
      </c>
      <c r="D6142" t="inlineStr">
        <is>
          <t>VÄSTERBOTTENS LÄN</t>
        </is>
      </c>
      <c r="E6142" t="inlineStr">
        <is>
          <t>VILHELMINA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9860-2022</t>
        </is>
      </c>
      <c r="B6143" s="1" t="n">
        <v>44620</v>
      </c>
      <c r="C6143" s="1" t="n">
        <v>45357</v>
      </c>
      <c r="D6143" t="inlineStr">
        <is>
          <t>VÄSTERBOTTENS LÄN</t>
        </is>
      </c>
      <c r="E6143" t="inlineStr">
        <is>
          <t>NORDMALING</t>
        </is>
      </c>
      <c r="G6143" t="n">
        <v>82.40000000000001</v>
      </c>
      <c r="H6143" t="n">
        <v>0</v>
      </c>
      <c r="I6143" t="n">
        <v>0</v>
      </c>
      <c r="J6143" t="n">
        <v>0</v>
      </c>
      <c r="K6143" t="n">
        <v>0</v>
      </c>
      <c r="L6143" t="n">
        <v>0</v>
      </c>
      <c r="M6143" t="n">
        <v>0</v>
      </c>
      <c r="N6143" t="n">
        <v>0</v>
      </c>
      <c r="O6143" t="n">
        <v>0</v>
      </c>
      <c r="P6143" t="n">
        <v>0</v>
      </c>
      <c r="Q6143" t="n">
        <v>0</v>
      </c>
      <c r="R6143" s="2" t="inlineStr"/>
    </row>
    <row r="6144" ht="15" customHeight="1">
      <c r="A6144" t="inlineStr">
        <is>
          <t>A 9879-2022</t>
        </is>
      </c>
      <c r="B6144" s="1" t="n">
        <v>44620</v>
      </c>
      <c r="C6144" s="1" t="n">
        <v>45357</v>
      </c>
      <c r="D6144" t="inlineStr">
        <is>
          <t>VÄSTERBOTTENS LÄN</t>
        </is>
      </c>
      <c r="E6144" t="inlineStr">
        <is>
          <t>LYCKSELE</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9892-2022</t>
        </is>
      </c>
      <c r="B6145" s="1" t="n">
        <v>44620</v>
      </c>
      <c r="C6145" s="1" t="n">
        <v>45357</v>
      </c>
      <c r="D6145" t="inlineStr">
        <is>
          <t>VÄSTERBOTTENS LÄN</t>
        </is>
      </c>
      <c r="E6145" t="inlineStr">
        <is>
          <t>LYCKSELE</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9858-2022</t>
        </is>
      </c>
      <c r="B6146" s="1" t="n">
        <v>44620</v>
      </c>
      <c r="C6146" s="1" t="n">
        <v>45357</v>
      </c>
      <c r="D6146" t="inlineStr">
        <is>
          <t>VÄSTERBOTTENS LÄN</t>
        </is>
      </c>
      <c r="E6146" t="inlineStr">
        <is>
          <t>NORDMALING</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9925-2022</t>
        </is>
      </c>
      <c r="B6147" s="1" t="n">
        <v>44620</v>
      </c>
      <c r="C6147" s="1" t="n">
        <v>45357</v>
      </c>
      <c r="D6147" t="inlineStr">
        <is>
          <t>VÄSTERBOTTENS LÄN</t>
        </is>
      </c>
      <c r="E6147" t="inlineStr">
        <is>
          <t>SKELLEFTEÅ</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9921-2022</t>
        </is>
      </c>
      <c r="B6148" s="1" t="n">
        <v>44620</v>
      </c>
      <c r="C6148" s="1" t="n">
        <v>45357</v>
      </c>
      <c r="D6148" t="inlineStr">
        <is>
          <t>VÄSTERBOTTENS LÄN</t>
        </is>
      </c>
      <c r="E6148" t="inlineStr">
        <is>
          <t>NORSJÖ</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9926-2022</t>
        </is>
      </c>
      <c r="B6149" s="1" t="n">
        <v>44620</v>
      </c>
      <c r="C6149" s="1" t="n">
        <v>45357</v>
      </c>
      <c r="D6149" t="inlineStr">
        <is>
          <t>VÄSTERBOTTENS LÄN</t>
        </is>
      </c>
      <c r="E6149" t="inlineStr">
        <is>
          <t>BJURHOLM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9923-2022</t>
        </is>
      </c>
      <c r="B6150" s="1" t="n">
        <v>44620</v>
      </c>
      <c r="C6150" s="1" t="n">
        <v>45357</v>
      </c>
      <c r="D6150" t="inlineStr">
        <is>
          <t>VÄSTERBOTTENS LÄN</t>
        </is>
      </c>
      <c r="E6150" t="inlineStr">
        <is>
          <t>BJURHOLM</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9927-2022</t>
        </is>
      </c>
      <c r="B6151" s="1" t="n">
        <v>44620</v>
      </c>
      <c r="C6151" s="1" t="n">
        <v>45357</v>
      </c>
      <c r="D6151" t="inlineStr">
        <is>
          <t>VÄSTERBOTTENS LÄN</t>
        </is>
      </c>
      <c r="E6151" t="inlineStr">
        <is>
          <t>BJURHOLM</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9924-2022</t>
        </is>
      </c>
      <c r="B6152" s="1" t="n">
        <v>44620</v>
      </c>
      <c r="C6152" s="1" t="n">
        <v>45357</v>
      </c>
      <c r="D6152" t="inlineStr">
        <is>
          <t>VÄSTERBOTTENS LÄN</t>
        </is>
      </c>
      <c r="E6152" t="inlineStr">
        <is>
          <t>UMEÅ</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9928-2022</t>
        </is>
      </c>
      <c r="B6153" s="1" t="n">
        <v>44620</v>
      </c>
      <c r="C6153" s="1" t="n">
        <v>45357</v>
      </c>
      <c r="D6153" t="inlineStr">
        <is>
          <t>VÄSTERBOTTENS LÄN</t>
        </is>
      </c>
      <c r="E6153" t="inlineStr">
        <is>
          <t>BJURHOLM</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9933-2022</t>
        </is>
      </c>
      <c r="B6154" s="1" t="n">
        <v>44620</v>
      </c>
      <c r="C6154" s="1" t="n">
        <v>45357</v>
      </c>
      <c r="D6154" t="inlineStr">
        <is>
          <t>VÄSTERBOTTENS LÄN</t>
        </is>
      </c>
      <c r="E6154" t="inlineStr">
        <is>
          <t>BJURHOLM</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9950-2022</t>
        </is>
      </c>
      <c r="B6155" s="1" t="n">
        <v>44620</v>
      </c>
      <c r="C6155" s="1" t="n">
        <v>45357</v>
      </c>
      <c r="D6155" t="inlineStr">
        <is>
          <t>VÄSTERBOTTENS LÄN</t>
        </is>
      </c>
      <c r="E6155" t="inlineStr">
        <is>
          <t>SKELLEFTEÅ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9993-2022</t>
        </is>
      </c>
      <c r="B6156" s="1" t="n">
        <v>44621</v>
      </c>
      <c r="C6156" s="1" t="n">
        <v>45357</v>
      </c>
      <c r="D6156" t="inlineStr">
        <is>
          <t>VÄSTERBOTTENS LÄN</t>
        </is>
      </c>
      <c r="E6156" t="inlineStr">
        <is>
          <t>NORDMALING</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9961-2022</t>
        </is>
      </c>
      <c r="B6157" s="1" t="n">
        <v>44621</v>
      </c>
      <c r="C6157" s="1" t="n">
        <v>45357</v>
      </c>
      <c r="D6157" t="inlineStr">
        <is>
          <t>VÄSTERBOTTENS LÄN</t>
        </is>
      </c>
      <c r="E6157" t="inlineStr">
        <is>
          <t>SORSELE</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10142-2022</t>
        </is>
      </c>
      <c r="B6158" s="1" t="n">
        <v>44621</v>
      </c>
      <c r="C6158" s="1" t="n">
        <v>45357</v>
      </c>
      <c r="D6158" t="inlineStr">
        <is>
          <t>VÄSTERBOTTENS LÄN</t>
        </is>
      </c>
      <c r="E6158" t="inlineStr">
        <is>
          <t>VILHELMINA</t>
        </is>
      </c>
      <c r="F6158" t="inlineStr">
        <is>
          <t>SCA</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10121-2022</t>
        </is>
      </c>
      <c r="B6159" s="1" t="n">
        <v>44621</v>
      </c>
      <c r="C6159" s="1" t="n">
        <v>45357</v>
      </c>
      <c r="D6159" t="inlineStr">
        <is>
          <t>VÄSTERBOTTENS LÄN</t>
        </is>
      </c>
      <c r="E6159" t="inlineStr">
        <is>
          <t>VILHELMINA</t>
        </is>
      </c>
      <c r="G6159" t="n">
        <v>14.1</v>
      </c>
      <c r="H6159" t="n">
        <v>0</v>
      </c>
      <c r="I6159" t="n">
        <v>0</v>
      </c>
      <c r="J6159" t="n">
        <v>0</v>
      </c>
      <c r="K6159" t="n">
        <v>0</v>
      </c>
      <c r="L6159" t="n">
        <v>0</v>
      </c>
      <c r="M6159" t="n">
        <v>0</v>
      </c>
      <c r="N6159" t="n">
        <v>0</v>
      </c>
      <c r="O6159" t="n">
        <v>0</v>
      </c>
      <c r="P6159" t="n">
        <v>0</v>
      </c>
      <c r="Q6159" t="n">
        <v>0</v>
      </c>
      <c r="R6159" s="2" t="inlineStr"/>
    </row>
    <row r="6160" ht="15" customHeight="1">
      <c r="A6160" t="inlineStr">
        <is>
          <t>A 10132-2022</t>
        </is>
      </c>
      <c r="B6160" s="1" t="n">
        <v>44621</v>
      </c>
      <c r="C6160" s="1" t="n">
        <v>45357</v>
      </c>
      <c r="D6160" t="inlineStr">
        <is>
          <t>VÄSTERBOTTENS LÄN</t>
        </is>
      </c>
      <c r="E6160" t="inlineStr">
        <is>
          <t>SKELLEFTEÅ</t>
        </is>
      </c>
      <c r="F6160" t="inlineStr">
        <is>
          <t>SCA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10213-2022</t>
        </is>
      </c>
      <c r="B6161" s="1" t="n">
        <v>44622</v>
      </c>
      <c r="C6161" s="1" t="n">
        <v>45357</v>
      </c>
      <c r="D6161" t="inlineStr">
        <is>
          <t>VÄSTERBOTTENS LÄN</t>
        </is>
      </c>
      <c r="E6161" t="inlineStr">
        <is>
          <t>VILHELMINA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10221-2022</t>
        </is>
      </c>
      <c r="B6162" s="1" t="n">
        <v>44622</v>
      </c>
      <c r="C6162" s="1" t="n">
        <v>45357</v>
      </c>
      <c r="D6162" t="inlineStr">
        <is>
          <t>VÄSTERBOTTENS LÄN</t>
        </is>
      </c>
      <c r="E6162" t="inlineStr">
        <is>
          <t>LYCKSELE</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10173-2022</t>
        </is>
      </c>
      <c r="B6163" s="1" t="n">
        <v>44622</v>
      </c>
      <c r="C6163" s="1" t="n">
        <v>45357</v>
      </c>
      <c r="D6163" t="inlineStr">
        <is>
          <t>VÄSTERBOTTENS LÄN</t>
        </is>
      </c>
      <c r="E6163" t="inlineStr">
        <is>
          <t>ROBERTSFORS</t>
        </is>
      </c>
      <c r="F6163" t="inlineStr">
        <is>
          <t>Holmen skog AB</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10179-2022</t>
        </is>
      </c>
      <c r="B6164" s="1" t="n">
        <v>44622</v>
      </c>
      <c r="C6164" s="1" t="n">
        <v>45357</v>
      </c>
      <c r="D6164" t="inlineStr">
        <is>
          <t>VÄSTERBOTTENS LÄN</t>
        </is>
      </c>
      <c r="E6164" t="inlineStr">
        <is>
          <t>ROBERTSFORS</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10316-2022</t>
        </is>
      </c>
      <c r="B6165" s="1" t="n">
        <v>44622</v>
      </c>
      <c r="C6165" s="1" t="n">
        <v>45357</v>
      </c>
      <c r="D6165" t="inlineStr">
        <is>
          <t>VÄSTERBOTTENS LÄN</t>
        </is>
      </c>
      <c r="E6165" t="inlineStr">
        <is>
          <t>DOROTEA</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10302-2022</t>
        </is>
      </c>
      <c r="B6166" s="1" t="n">
        <v>44622</v>
      </c>
      <c r="C6166" s="1" t="n">
        <v>45357</v>
      </c>
      <c r="D6166" t="inlineStr">
        <is>
          <t>VÄSTERBOTTENS LÄN</t>
        </is>
      </c>
      <c r="E6166" t="inlineStr">
        <is>
          <t>LYCKSELE</t>
        </is>
      </c>
      <c r="G6166" t="n">
        <v>13.8</v>
      </c>
      <c r="H6166" t="n">
        <v>0</v>
      </c>
      <c r="I6166" t="n">
        <v>0</v>
      </c>
      <c r="J6166" t="n">
        <v>0</v>
      </c>
      <c r="K6166" t="n">
        <v>0</v>
      </c>
      <c r="L6166" t="n">
        <v>0</v>
      </c>
      <c r="M6166" t="n">
        <v>0</v>
      </c>
      <c r="N6166" t="n">
        <v>0</v>
      </c>
      <c r="O6166" t="n">
        <v>0</v>
      </c>
      <c r="P6166" t="n">
        <v>0</v>
      </c>
      <c r="Q6166" t="n">
        <v>0</v>
      </c>
      <c r="R6166" s="2" t="inlineStr"/>
    </row>
    <row r="6167" ht="15" customHeight="1">
      <c r="A6167" t="inlineStr">
        <is>
          <t>A 10318-2022</t>
        </is>
      </c>
      <c r="B6167" s="1" t="n">
        <v>44622</v>
      </c>
      <c r="C6167" s="1" t="n">
        <v>45357</v>
      </c>
      <c r="D6167" t="inlineStr">
        <is>
          <t>VÄSTERBOTTENS LÄN</t>
        </is>
      </c>
      <c r="E6167" t="inlineStr">
        <is>
          <t>DOROTEA</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10548-2022</t>
        </is>
      </c>
      <c r="B6168" s="1" t="n">
        <v>44623</v>
      </c>
      <c r="C6168" s="1" t="n">
        <v>45357</v>
      </c>
      <c r="D6168" t="inlineStr">
        <is>
          <t>VÄSTERBOTTENS LÄN</t>
        </is>
      </c>
      <c r="E6168" t="inlineStr">
        <is>
          <t>VILHELMINA</t>
        </is>
      </c>
      <c r="F6168" t="inlineStr">
        <is>
          <t>SCA</t>
        </is>
      </c>
      <c r="G6168" t="n">
        <v>11.5</v>
      </c>
      <c r="H6168" t="n">
        <v>0</v>
      </c>
      <c r="I6168" t="n">
        <v>0</v>
      </c>
      <c r="J6168" t="n">
        <v>0</v>
      </c>
      <c r="K6168" t="n">
        <v>0</v>
      </c>
      <c r="L6168" t="n">
        <v>0</v>
      </c>
      <c r="M6168" t="n">
        <v>0</v>
      </c>
      <c r="N6168" t="n">
        <v>0</v>
      </c>
      <c r="O6168" t="n">
        <v>0</v>
      </c>
      <c r="P6168" t="n">
        <v>0</v>
      </c>
      <c r="Q6168" t="n">
        <v>0</v>
      </c>
      <c r="R6168" s="2" t="inlineStr"/>
    </row>
    <row r="6169" ht="15" customHeight="1">
      <c r="A6169" t="inlineStr">
        <is>
          <t>A 10578-2022</t>
        </is>
      </c>
      <c r="B6169" s="1" t="n">
        <v>44624</v>
      </c>
      <c r="C6169" s="1" t="n">
        <v>45357</v>
      </c>
      <c r="D6169" t="inlineStr">
        <is>
          <t>VÄSTERBOTTENS LÄN</t>
        </is>
      </c>
      <c r="E6169" t="inlineStr">
        <is>
          <t>SKELLEFTEÅ</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10568-2022</t>
        </is>
      </c>
      <c r="B6170" s="1" t="n">
        <v>44624</v>
      </c>
      <c r="C6170" s="1" t="n">
        <v>45357</v>
      </c>
      <c r="D6170" t="inlineStr">
        <is>
          <t>VÄSTERBOTTENS LÄN</t>
        </is>
      </c>
      <c r="E6170" t="inlineStr">
        <is>
          <t>SKELLEFTEÅ</t>
        </is>
      </c>
      <c r="F6170" t="inlineStr">
        <is>
          <t>Holmen skog AB</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10723-2022</t>
        </is>
      </c>
      <c r="B6171" s="1" t="n">
        <v>44624</v>
      </c>
      <c r="C6171" s="1" t="n">
        <v>45357</v>
      </c>
      <c r="D6171" t="inlineStr">
        <is>
          <t>VÄSTERBOTTENS LÄN</t>
        </is>
      </c>
      <c r="E6171" t="inlineStr">
        <is>
          <t>SKELLEFTEÅ</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11226-2022</t>
        </is>
      </c>
      <c r="B6172" s="1" t="n">
        <v>44624</v>
      </c>
      <c r="C6172" s="1" t="n">
        <v>45357</v>
      </c>
      <c r="D6172" t="inlineStr">
        <is>
          <t>VÄSTERBOTTENS LÄN</t>
        </is>
      </c>
      <c r="E6172" t="inlineStr">
        <is>
          <t>SKELLEFTEÅ</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10708-2022</t>
        </is>
      </c>
      <c r="B6173" s="1" t="n">
        <v>44625</v>
      </c>
      <c r="C6173" s="1" t="n">
        <v>45357</v>
      </c>
      <c r="D6173" t="inlineStr">
        <is>
          <t>VÄSTERBOTTENS LÄN</t>
        </is>
      </c>
      <c r="E6173" t="inlineStr">
        <is>
          <t>VILHELMINA</t>
        </is>
      </c>
      <c r="G6173" t="n">
        <v>21.3</v>
      </c>
      <c r="H6173" t="n">
        <v>0</v>
      </c>
      <c r="I6173" t="n">
        <v>0</v>
      </c>
      <c r="J6173" t="n">
        <v>0</v>
      </c>
      <c r="K6173" t="n">
        <v>0</v>
      </c>
      <c r="L6173" t="n">
        <v>0</v>
      </c>
      <c r="M6173" t="n">
        <v>0</v>
      </c>
      <c r="N6173" t="n">
        <v>0</v>
      </c>
      <c r="O6173" t="n">
        <v>0</v>
      </c>
      <c r="P6173" t="n">
        <v>0</v>
      </c>
      <c r="Q6173" t="n">
        <v>0</v>
      </c>
      <c r="R6173" s="2" t="inlineStr"/>
    </row>
    <row r="6174" ht="15" customHeight="1">
      <c r="A6174" t="inlineStr">
        <is>
          <t>A 10833-2022</t>
        </is>
      </c>
      <c r="B6174" s="1" t="n">
        <v>44627</v>
      </c>
      <c r="C6174" s="1" t="n">
        <v>45357</v>
      </c>
      <c r="D6174" t="inlineStr">
        <is>
          <t>VÄSTERBOTTENS LÄN</t>
        </is>
      </c>
      <c r="E6174" t="inlineStr">
        <is>
          <t>VILHELMINA</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10915-2022</t>
        </is>
      </c>
      <c r="B6175" s="1" t="n">
        <v>44627</v>
      </c>
      <c r="C6175" s="1" t="n">
        <v>45357</v>
      </c>
      <c r="D6175" t="inlineStr">
        <is>
          <t>VÄSTERBOTTENS LÄN</t>
        </is>
      </c>
      <c r="E6175" t="inlineStr">
        <is>
          <t>VINDELN</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10908-2022</t>
        </is>
      </c>
      <c r="B6176" s="1" t="n">
        <v>44627</v>
      </c>
      <c r="C6176" s="1" t="n">
        <v>45357</v>
      </c>
      <c r="D6176" t="inlineStr">
        <is>
          <t>VÄSTERBOTTENS LÄN</t>
        </is>
      </c>
      <c r="E6176" t="inlineStr">
        <is>
          <t>STORUMAN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10906-2022</t>
        </is>
      </c>
      <c r="B6177" s="1" t="n">
        <v>44627</v>
      </c>
      <c r="C6177" s="1" t="n">
        <v>45357</v>
      </c>
      <c r="D6177" t="inlineStr">
        <is>
          <t>VÄSTERBOTTENS LÄN</t>
        </is>
      </c>
      <c r="E6177" t="inlineStr">
        <is>
          <t>ROBERTSFORS</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10839-2022</t>
        </is>
      </c>
      <c r="B6178" s="1" t="n">
        <v>44627</v>
      </c>
      <c r="C6178" s="1" t="n">
        <v>45357</v>
      </c>
      <c r="D6178" t="inlineStr">
        <is>
          <t>VÄSTERBOTTENS LÄN</t>
        </is>
      </c>
      <c r="E6178" t="inlineStr">
        <is>
          <t>VILHELMINA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10878-2022</t>
        </is>
      </c>
      <c r="B6179" s="1" t="n">
        <v>44627</v>
      </c>
      <c r="C6179" s="1" t="n">
        <v>45357</v>
      </c>
      <c r="D6179" t="inlineStr">
        <is>
          <t>VÄSTERBOTTENS LÄN</t>
        </is>
      </c>
      <c r="E6179" t="inlineStr">
        <is>
          <t>VINDELN</t>
        </is>
      </c>
      <c r="G6179" t="n">
        <v>12.6</v>
      </c>
      <c r="H6179" t="n">
        <v>0</v>
      </c>
      <c r="I6179" t="n">
        <v>0</v>
      </c>
      <c r="J6179" t="n">
        <v>0</v>
      </c>
      <c r="K6179" t="n">
        <v>0</v>
      </c>
      <c r="L6179" t="n">
        <v>0</v>
      </c>
      <c r="M6179" t="n">
        <v>0</v>
      </c>
      <c r="N6179" t="n">
        <v>0</v>
      </c>
      <c r="O6179" t="n">
        <v>0</v>
      </c>
      <c r="P6179" t="n">
        <v>0</v>
      </c>
      <c r="Q6179" t="n">
        <v>0</v>
      </c>
      <c r="R6179" s="2" t="inlineStr"/>
    </row>
    <row r="6180" ht="15" customHeight="1">
      <c r="A6180" t="inlineStr">
        <is>
          <t>A 10907-2022</t>
        </is>
      </c>
      <c r="B6180" s="1" t="n">
        <v>44627</v>
      </c>
      <c r="C6180" s="1" t="n">
        <v>45357</v>
      </c>
      <c r="D6180" t="inlineStr">
        <is>
          <t>VÄSTERBOTTENS LÄN</t>
        </is>
      </c>
      <c r="E6180" t="inlineStr">
        <is>
          <t>ROBERTSFORS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11012-2022</t>
        </is>
      </c>
      <c r="B6181" s="1" t="n">
        <v>44628</v>
      </c>
      <c r="C6181" s="1" t="n">
        <v>45357</v>
      </c>
      <c r="D6181" t="inlineStr">
        <is>
          <t>VÄSTERBOTTENS LÄN</t>
        </is>
      </c>
      <c r="E6181" t="inlineStr">
        <is>
          <t>VINDELN</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11076-2022</t>
        </is>
      </c>
      <c r="B6182" s="1" t="n">
        <v>44628</v>
      </c>
      <c r="C6182" s="1" t="n">
        <v>45357</v>
      </c>
      <c r="D6182" t="inlineStr">
        <is>
          <t>VÄSTERBOTTENS LÄN</t>
        </is>
      </c>
      <c r="E6182" t="inlineStr">
        <is>
          <t>VILHELMINA</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11004-2022</t>
        </is>
      </c>
      <c r="B6183" s="1" t="n">
        <v>44628</v>
      </c>
      <c r="C6183" s="1" t="n">
        <v>45357</v>
      </c>
      <c r="D6183" t="inlineStr">
        <is>
          <t>VÄSTERBOTTENS LÄN</t>
        </is>
      </c>
      <c r="E6183" t="inlineStr">
        <is>
          <t>VINDELN</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11114-2022</t>
        </is>
      </c>
      <c r="B6184" s="1" t="n">
        <v>44628</v>
      </c>
      <c r="C6184" s="1" t="n">
        <v>45357</v>
      </c>
      <c r="D6184" t="inlineStr">
        <is>
          <t>VÄSTERBOTTENS LÄN</t>
        </is>
      </c>
      <c r="E6184" t="inlineStr">
        <is>
          <t>VILHELMINA</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11120-2022</t>
        </is>
      </c>
      <c r="B6185" s="1" t="n">
        <v>44628</v>
      </c>
      <c r="C6185" s="1" t="n">
        <v>45357</v>
      </c>
      <c r="D6185" t="inlineStr">
        <is>
          <t>VÄSTERBOTTENS LÄN</t>
        </is>
      </c>
      <c r="E6185" t="inlineStr">
        <is>
          <t>BJURHOLM</t>
        </is>
      </c>
      <c r="F6185" t="inlineStr">
        <is>
          <t>SCA</t>
        </is>
      </c>
      <c r="G6185" t="n">
        <v>8.5</v>
      </c>
      <c r="H6185" t="n">
        <v>0</v>
      </c>
      <c r="I6185" t="n">
        <v>0</v>
      </c>
      <c r="J6185" t="n">
        <v>0</v>
      </c>
      <c r="K6185" t="n">
        <v>0</v>
      </c>
      <c r="L6185" t="n">
        <v>0</v>
      </c>
      <c r="M6185" t="n">
        <v>0</v>
      </c>
      <c r="N6185" t="n">
        <v>0</v>
      </c>
      <c r="O6185" t="n">
        <v>0</v>
      </c>
      <c r="P6185" t="n">
        <v>0</v>
      </c>
      <c r="Q6185" t="n">
        <v>0</v>
      </c>
      <c r="R6185" s="2" t="inlineStr"/>
    </row>
    <row r="6186" ht="15" customHeight="1">
      <c r="A6186" t="inlineStr">
        <is>
          <t>A 11109-2022</t>
        </is>
      </c>
      <c r="B6186" s="1" t="n">
        <v>44628</v>
      </c>
      <c r="C6186" s="1" t="n">
        <v>45357</v>
      </c>
      <c r="D6186" t="inlineStr">
        <is>
          <t>VÄSTERBOTTENS LÄN</t>
        </is>
      </c>
      <c r="E6186" t="inlineStr">
        <is>
          <t>UMEÅ</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11116-2022</t>
        </is>
      </c>
      <c r="B6187" s="1" t="n">
        <v>44628</v>
      </c>
      <c r="C6187" s="1" t="n">
        <v>45357</v>
      </c>
      <c r="D6187" t="inlineStr">
        <is>
          <t>VÄSTERBOTTENS LÄN</t>
        </is>
      </c>
      <c r="E6187" t="inlineStr">
        <is>
          <t>VILHELMINA</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11139-2022</t>
        </is>
      </c>
      <c r="B6188" s="1" t="n">
        <v>44628</v>
      </c>
      <c r="C6188" s="1" t="n">
        <v>45357</v>
      </c>
      <c r="D6188" t="inlineStr">
        <is>
          <t>VÄSTERBOTTENS LÄN</t>
        </is>
      </c>
      <c r="E6188" t="inlineStr">
        <is>
          <t>VILHELMINA</t>
        </is>
      </c>
      <c r="G6188" t="n">
        <v>13.6</v>
      </c>
      <c r="H6188" t="n">
        <v>0</v>
      </c>
      <c r="I6188" t="n">
        <v>0</v>
      </c>
      <c r="J6188" t="n">
        <v>0</v>
      </c>
      <c r="K6188" t="n">
        <v>0</v>
      </c>
      <c r="L6188" t="n">
        <v>0</v>
      </c>
      <c r="M6188" t="n">
        <v>0</v>
      </c>
      <c r="N6188" t="n">
        <v>0</v>
      </c>
      <c r="O6188" t="n">
        <v>0</v>
      </c>
      <c r="P6188" t="n">
        <v>0</v>
      </c>
      <c r="Q6188" t="n">
        <v>0</v>
      </c>
      <c r="R6188" s="2" t="inlineStr"/>
    </row>
    <row r="6189" ht="15" customHeight="1">
      <c r="A6189" t="inlineStr">
        <is>
          <t>A 11260-2022</t>
        </is>
      </c>
      <c r="B6189" s="1" t="n">
        <v>44629</v>
      </c>
      <c r="C6189" s="1" t="n">
        <v>45357</v>
      </c>
      <c r="D6189" t="inlineStr">
        <is>
          <t>VÄSTERBOTTENS LÄN</t>
        </is>
      </c>
      <c r="E6189" t="inlineStr">
        <is>
          <t>SKELLEFTEÅ</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11157-2022</t>
        </is>
      </c>
      <c r="B6190" s="1" t="n">
        <v>44629</v>
      </c>
      <c r="C6190" s="1" t="n">
        <v>45357</v>
      </c>
      <c r="D6190" t="inlineStr">
        <is>
          <t>VÄSTERBOTTENS LÄN</t>
        </is>
      </c>
      <c r="E6190" t="inlineStr">
        <is>
          <t>UMEÅ</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11309-2022</t>
        </is>
      </c>
      <c r="B6191" s="1" t="n">
        <v>44629</v>
      </c>
      <c r="C6191" s="1" t="n">
        <v>45357</v>
      </c>
      <c r="D6191" t="inlineStr">
        <is>
          <t>VÄSTERBOTTENS LÄN</t>
        </is>
      </c>
      <c r="E6191" t="inlineStr">
        <is>
          <t>DOROTEA</t>
        </is>
      </c>
      <c r="F6191" t="inlineStr">
        <is>
          <t>SCA</t>
        </is>
      </c>
      <c r="G6191" t="n">
        <v>16.8</v>
      </c>
      <c r="H6191" t="n">
        <v>0</v>
      </c>
      <c r="I6191" t="n">
        <v>0</v>
      </c>
      <c r="J6191" t="n">
        <v>0</v>
      </c>
      <c r="K6191" t="n">
        <v>0</v>
      </c>
      <c r="L6191" t="n">
        <v>0</v>
      </c>
      <c r="M6191" t="n">
        <v>0</v>
      </c>
      <c r="N6191" t="n">
        <v>0</v>
      </c>
      <c r="O6191" t="n">
        <v>0</v>
      </c>
      <c r="P6191" t="n">
        <v>0</v>
      </c>
      <c r="Q6191" t="n">
        <v>0</v>
      </c>
      <c r="R6191" s="2" t="inlineStr"/>
    </row>
    <row r="6192" ht="15" customHeight="1">
      <c r="A6192" t="inlineStr">
        <is>
          <t>A 11431-2022</t>
        </is>
      </c>
      <c r="B6192" s="1" t="n">
        <v>44630</v>
      </c>
      <c r="C6192" s="1" t="n">
        <v>45357</v>
      </c>
      <c r="D6192" t="inlineStr">
        <is>
          <t>VÄSTERBOTTENS LÄN</t>
        </is>
      </c>
      <c r="E6192" t="inlineStr">
        <is>
          <t>BJURHOLM</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11468-2022</t>
        </is>
      </c>
      <c r="B6193" s="1" t="n">
        <v>44630</v>
      </c>
      <c r="C6193" s="1" t="n">
        <v>45357</v>
      </c>
      <c r="D6193" t="inlineStr">
        <is>
          <t>VÄSTERBOTTENS LÄN</t>
        </is>
      </c>
      <c r="E6193" t="inlineStr">
        <is>
          <t>SKELLEFTEÅ</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11538-2022</t>
        </is>
      </c>
      <c r="B6194" s="1" t="n">
        <v>44631</v>
      </c>
      <c r="C6194" s="1" t="n">
        <v>45357</v>
      </c>
      <c r="D6194" t="inlineStr">
        <is>
          <t>VÄSTERBOTTENS LÄN</t>
        </is>
      </c>
      <c r="E6194" t="inlineStr">
        <is>
          <t>UMEÅ</t>
        </is>
      </c>
      <c r="F6194" t="inlineStr">
        <is>
          <t>Kommuner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11648-2022</t>
        </is>
      </c>
      <c r="B6195" s="1" t="n">
        <v>44632</v>
      </c>
      <c r="C6195" s="1" t="n">
        <v>45357</v>
      </c>
      <c r="D6195" t="inlineStr">
        <is>
          <t>VÄSTERBOTTENS LÄN</t>
        </is>
      </c>
      <c r="E6195" t="inlineStr">
        <is>
          <t>ÅSELE</t>
        </is>
      </c>
      <c r="F6195" t="inlineStr">
        <is>
          <t>SCA</t>
        </is>
      </c>
      <c r="G6195" t="n">
        <v>28.6</v>
      </c>
      <c r="H6195" t="n">
        <v>0</v>
      </c>
      <c r="I6195" t="n">
        <v>0</v>
      </c>
      <c r="J6195" t="n">
        <v>0</v>
      </c>
      <c r="K6195" t="n">
        <v>0</v>
      </c>
      <c r="L6195" t="n">
        <v>0</v>
      </c>
      <c r="M6195" t="n">
        <v>0</v>
      </c>
      <c r="N6195" t="n">
        <v>0</v>
      </c>
      <c r="O6195" t="n">
        <v>0</v>
      </c>
      <c r="P6195" t="n">
        <v>0</v>
      </c>
      <c r="Q6195" t="n">
        <v>0</v>
      </c>
      <c r="R6195" s="2" t="inlineStr"/>
    </row>
    <row r="6196" ht="15" customHeight="1">
      <c r="A6196" t="inlineStr">
        <is>
          <t>A 11515-2022</t>
        </is>
      </c>
      <c r="B6196" s="1" t="n">
        <v>44631</v>
      </c>
      <c r="C6196" s="1" t="n">
        <v>45357</v>
      </c>
      <c r="D6196" t="inlineStr">
        <is>
          <t>VÄSTERBOTTENS LÄN</t>
        </is>
      </c>
      <c r="E6196" t="inlineStr">
        <is>
          <t>UMEÅ</t>
        </is>
      </c>
      <c r="F6196" t="inlineStr">
        <is>
          <t>Kommuner</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11511-2022</t>
        </is>
      </c>
      <c r="B6197" s="1" t="n">
        <v>44631</v>
      </c>
      <c r="C6197" s="1" t="n">
        <v>45357</v>
      </c>
      <c r="D6197" t="inlineStr">
        <is>
          <t>VÄSTERBOTTENS LÄN</t>
        </is>
      </c>
      <c r="E6197" t="inlineStr">
        <is>
          <t>UMEÅ</t>
        </is>
      </c>
      <c r="F6197" t="inlineStr">
        <is>
          <t>Kommuner</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11685-2022</t>
        </is>
      </c>
      <c r="B6198" s="1" t="n">
        <v>44634</v>
      </c>
      <c r="C6198" s="1" t="n">
        <v>45357</v>
      </c>
      <c r="D6198" t="inlineStr">
        <is>
          <t>VÄSTERBOTTENS LÄN</t>
        </is>
      </c>
      <c r="E6198" t="inlineStr">
        <is>
          <t>SKELLEFTEÅ</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11790-2022</t>
        </is>
      </c>
      <c r="B6199" s="1" t="n">
        <v>44634</v>
      </c>
      <c r="C6199" s="1" t="n">
        <v>45357</v>
      </c>
      <c r="D6199" t="inlineStr">
        <is>
          <t>VÄSTERBOTTENS LÄN</t>
        </is>
      </c>
      <c r="E6199" t="inlineStr">
        <is>
          <t>SKELLEFTEÅ</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11879-2022</t>
        </is>
      </c>
      <c r="B6200" s="1" t="n">
        <v>44635</v>
      </c>
      <c r="C6200" s="1" t="n">
        <v>45357</v>
      </c>
      <c r="D6200" t="inlineStr">
        <is>
          <t>VÄSTERBOTTENS LÄN</t>
        </is>
      </c>
      <c r="E6200" t="inlineStr">
        <is>
          <t>SKELLEFTEÅ</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12013-2022</t>
        </is>
      </c>
      <c r="B6201" s="1" t="n">
        <v>44635</v>
      </c>
      <c r="C6201" s="1" t="n">
        <v>45357</v>
      </c>
      <c r="D6201" t="inlineStr">
        <is>
          <t>VÄSTERBOTTENS LÄN</t>
        </is>
      </c>
      <c r="E6201" t="inlineStr">
        <is>
          <t>ROBERTSFORS</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12002-2022</t>
        </is>
      </c>
      <c r="B6202" s="1" t="n">
        <v>44635</v>
      </c>
      <c r="C6202" s="1" t="n">
        <v>45357</v>
      </c>
      <c r="D6202" t="inlineStr">
        <is>
          <t>VÄSTERBOTTENS LÄN</t>
        </is>
      </c>
      <c r="E6202" t="inlineStr">
        <is>
          <t>STORUMAN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12011-2022</t>
        </is>
      </c>
      <c r="B6203" s="1" t="n">
        <v>44635</v>
      </c>
      <c r="C6203" s="1" t="n">
        <v>45357</v>
      </c>
      <c r="D6203" t="inlineStr">
        <is>
          <t>VÄSTERBOTTENS LÄN</t>
        </is>
      </c>
      <c r="E6203" t="inlineStr">
        <is>
          <t>STORUMAN</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12009-2022</t>
        </is>
      </c>
      <c r="B6204" s="1" t="n">
        <v>44635</v>
      </c>
      <c r="C6204" s="1" t="n">
        <v>45357</v>
      </c>
      <c r="D6204" t="inlineStr">
        <is>
          <t>VÄSTERBOTTENS LÄN</t>
        </is>
      </c>
      <c r="E6204" t="inlineStr">
        <is>
          <t>SKELLEFTEÅ</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12396-2022</t>
        </is>
      </c>
      <c r="B6205" s="1" t="n">
        <v>44637</v>
      </c>
      <c r="C6205" s="1" t="n">
        <v>45357</v>
      </c>
      <c r="D6205" t="inlineStr">
        <is>
          <t>VÄSTERBOTTENS LÄN</t>
        </is>
      </c>
      <c r="E6205" t="inlineStr">
        <is>
          <t>ÅSELE</t>
        </is>
      </c>
      <c r="F6205" t="inlineStr">
        <is>
          <t>SCA</t>
        </is>
      </c>
      <c r="G6205" t="n">
        <v>9.9</v>
      </c>
      <c r="H6205" t="n">
        <v>0</v>
      </c>
      <c r="I6205" t="n">
        <v>0</v>
      </c>
      <c r="J6205" t="n">
        <v>0</v>
      </c>
      <c r="K6205" t="n">
        <v>0</v>
      </c>
      <c r="L6205" t="n">
        <v>0</v>
      </c>
      <c r="M6205" t="n">
        <v>0</v>
      </c>
      <c r="N6205" t="n">
        <v>0</v>
      </c>
      <c r="O6205" t="n">
        <v>0</v>
      </c>
      <c r="P6205" t="n">
        <v>0</v>
      </c>
      <c r="Q6205" t="n">
        <v>0</v>
      </c>
      <c r="R6205" s="2" t="inlineStr"/>
    </row>
    <row r="6206" ht="15" customHeight="1">
      <c r="A6206" t="inlineStr">
        <is>
          <t>A 12261-2022</t>
        </is>
      </c>
      <c r="B6206" s="1" t="n">
        <v>44637</v>
      </c>
      <c r="C6206" s="1" t="n">
        <v>45357</v>
      </c>
      <c r="D6206" t="inlineStr">
        <is>
          <t>VÄSTERBOTTENS LÄN</t>
        </is>
      </c>
      <c r="E6206" t="inlineStr">
        <is>
          <t>LYCKSELE</t>
        </is>
      </c>
      <c r="G6206" t="n">
        <v>30.8</v>
      </c>
      <c r="H6206" t="n">
        <v>0</v>
      </c>
      <c r="I6206" t="n">
        <v>0</v>
      </c>
      <c r="J6206" t="n">
        <v>0</v>
      </c>
      <c r="K6206" t="n">
        <v>0</v>
      </c>
      <c r="L6206" t="n">
        <v>0</v>
      </c>
      <c r="M6206" t="n">
        <v>0</v>
      </c>
      <c r="N6206" t="n">
        <v>0</v>
      </c>
      <c r="O6206" t="n">
        <v>0</v>
      </c>
      <c r="P6206" t="n">
        <v>0</v>
      </c>
      <c r="Q6206" t="n">
        <v>0</v>
      </c>
      <c r="R6206" s="2" t="inlineStr"/>
    </row>
    <row r="6207" ht="15" customHeight="1">
      <c r="A6207" t="inlineStr">
        <is>
          <t>A 12326-2022</t>
        </is>
      </c>
      <c r="B6207" s="1" t="n">
        <v>44637</v>
      </c>
      <c r="C6207" s="1" t="n">
        <v>45357</v>
      </c>
      <c r="D6207" t="inlineStr">
        <is>
          <t>VÄSTERBOTTENS LÄN</t>
        </is>
      </c>
      <c r="E6207" t="inlineStr">
        <is>
          <t>SKELLEFTEÅ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12065-2022</t>
        </is>
      </c>
      <c r="B6208" s="1" t="n">
        <v>44637</v>
      </c>
      <c r="C6208" s="1" t="n">
        <v>45357</v>
      </c>
      <c r="D6208" t="inlineStr">
        <is>
          <t>VÄSTERBOTTENS LÄN</t>
        </is>
      </c>
      <c r="E6208" t="inlineStr">
        <is>
          <t>VILHELMINA</t>
        </is>
      </c>
      <c r="G6208" t="n">
        <v>27.7</v>
      </c>
      <c r="H6208" t="n">
        <v>0</v>
      </c>
      <c r="I6208" t="n">
        <v>0</v>
      </c>
      <c r="J6208" t="n">
        <v>0</v>
      </c>
      <c r="K6208" t="n">
        <v>0</v>
      </c>
      <c r="L6208" t="n">
        <v>0</v>
      </c>
      <c r="M6208" t="n">
        <v>0</v>
      </c>
      <c r="N6208" t="n">
        <v>0</v>
      </c>
      <c r="O6208" t="n">
        <v>0</v>
      </c>
      <c r="P6208" t="n">
        <v>0</v>
      </c>
      <c r="Q6208" t="n">
        <v>0</v>
      </c>
      <c r="R6208" s="2" t="inlineStr"/>
    </row>
    <row r="6209" ht="15" customHeight="1">
      <c r="A6209" t="inlineStr">
        <is>
          <t>A 12437-2022</t>
        </is>
      </c>
      <c r="B6209" s="1" t="n">
        <v>44638</v>
      </c>
      <c r="C6209" s="1" t="n">
        <v>45357</v>
      </c>
      <c r="D6209" t="inlineStr">
        <is>
          <t>VÄSTERBOTTENS LÄN</t>
        </is>
      </c>
      <c r="E6209" t="inlineStr">
        <is>
          <t>SORSELE</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12512-2022</t>
        </is>
      </c>
      <c r="B6210" s="1" t="n">
        <v>44638</v>
      </c>
      <c r="C6210" s="1" t="n">
        <v>45357</v>
      </c>
      <c r="D6210" t="inlineStr">
        <is>
          <t>VÄSTERBOTTENS LÄN</t>
        </is>
      </c>
      <c r="E6210" t="inlineStr">
        <is>
          <t>SKELLEFTEÅ</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12518-2022</t>
        </is>
      </c>
      <c r="B6211" s="1" t="n">
        <v>44638</v>
      </c>
      <c r="C6211" s="1" t="n">
        <v>45357</v>
      </c>
      <c r="D6211" t="inlineStr">
        <is>
          <t>VÄSTERBOTTENS LÄN</t>
        </is>
      </c>
      <c r="E6211" t="inlineStr">
        <is>
          <t>SKELLEFTEÅ</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12529-2022</t>
        </is>
      </c>
      <c r="B6212" s="1" t="n">
        <v>44638</v>
      </c>
      <c r="C6212" s="1" t="n">
        <v>45357</v>
      </c>
      <c r="D6212" t="inlineStr">
        <is>
          <t>VÄSTERBOTTENS LÄN</t>
        </is>
      </c>
      <c r="E6212" t="inlineStr">
        <is>
          <t>SKELLEFTEÅ</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12451-2022</t>
        </is>
      </c>
      <c r="B6213" s="1" t="n">
        <v>44638</v>
      </c>
      <c r="C6213" s="1" t="n">
        <v>45357</v>
      </c>
      <c r="D6213" t="inlineStr">
        <is>
          <t>VÄSTERBOTTENS LÄN</t>
        </is>
      </c>
      <c r="E6213" t="inlineStr">
        <is>
          <t>VINDELN</t>
        </is>
      </c>
      <c r="G6213" t="n">
        <v>13.1</v>
      </c>
      <c r="H6213" t="n">
        <v>0</v>
      </c>
      <c r="I6213" t="n">
        <v>0</v>
      </c>
      <c r="J6213" t="n">
        <v>0</v>
      </c>
      <c r="K6213" t="n">
        <v>0</v>
      </c>
      <c r="L6213" t="n">
        <v>0</v>
      </c>
      <c r="M6213" t="n">
        <v>0</v>
      </c>
      <c r="N6213" t="n">
        <v>0</v>
      </c>
      <c r="O6213" t="n">
        <v>0</v>
      </c>
      <c r="P6213" t="n">
        <v>0</v>
      </c>
      <c r="Q6213" t="n">
        <v>0</v>
      </c>
      <c r="R6213" s="2" t="inlineStr"/>
    </row>
    <row r="6214" ht="15" customHeight="1">
      <c r="A6214" t="inlineStr">
        <is>
          <t>A 12516-2022</t>
        </is>
      </c>
      <c r="B6214" s="1" t="n">
        <v>44638</v>
      </c>
      <c r="C6214" s="1" t="n">
        <v>45357</v>
      </c>
      <c r="D6214" t="inlineStr">
        <is>
          <t>VÄSTERBOTTENS LÄN</t>
        </is>
      </c>
      <c r="E6214" t="inlineStr">
        <is>
          <t>SKELLEFTEÅ</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12511-2022</t>
        </is>
      </c>
      <c r="B6215" s="1" t="n">
        <v>44638</v>
      </c>
      <c r="C6215" s="1" t="n">
        <v>45357</v>
      </c>
      <c r="D6215" t="inlineStr">
        <is>
          <t>VÄSTERBOTTENS LÄN</t>
        </is>
      </c>
      <c r="E6215" t="inlineStr">
        <is>
          <t>SKELLEFTEÅ</t>
        </is>
      </c>
      <c r="G6215" t="n">
        <v>5.6</v>
      </c>
      <c r="H6215" t="n">
        <v>0</v>
      </c>
      <c r="I6215" t="n">
        <v>0</v>
      </c>
      <c r="J6215" t="n">
        <v>0</v>
      </c>
      <c r="K6215" t="n">
        <v>0</v>
      </c>
      <c r="L6215" t="n">
        <v>0</v>
      </c>
      <c r="M6215" t="n">
        <v>0</v>
      </c>
      <c r="N6215" t="n">
        <v>0</v>
      </c>
      <c r="O6215" t="n">
        <v>0</v>
      </c>
      <c r="P6215" t="n">
        <v>0</v>
      </c>
      <c r="Q6215" t="n">
        <v>0</v>
      </c>
      <c r="R6215" s="2" t="inlineStr"/>
    </row>
    <row r="6216" ht="15" customHeight="1">
      <c r="A6216" t="inlineStr">
        <is>
          <t>A 12509-2022</t>
        </is>
      </c>
      <c r="B6216" s="1" t="n">
        <v>44638</v>
      </c>
      <c r="C6216" s="1" t="n">
        <v>45357</v>
      </c>
      <c r="D6216" t="inlineStr">
        <is>
          <t>VÄSTERBOTTENS LÄN</t>
        </is>
      </c>
      <c r="E6216" t="inlineStr">
        <is>
          <t>SKELLEFTEÅ</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12593-2022</t>
        </is>
      </c>
      <c r="B6217" s="1" t="n">
        <v>44640</v>
      </c>
      <c r="C6217" s="1" t="n">
        <v>45357</v>
      </c>
      <c r="D6217" t="inlineStr">
        <is>
          <t>VÄSTERBOTTENS LÄN</t>
        </is>
      </c>
      <c r="E6217" t="inlineStr">
        <is>
          <t>VILHELMINA</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12674-2022</t>
        </is>
      </c>
      <c r="B6218" s="1" t="n">
        <v>44641</v>
      </c>
      <c r="C6218" s="1" t="n">
        <v>45357</v>
      </c>
      <c r="D6218" t="inlineStr">
        <is>
          <t>VÄSTERBOTTENS LÄN</t>
        </is>
      </c>
      <c r="E6218" t="inlineStr">
        <is>
          <t>MALÅ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12715-2022</t>
        </is>
      </c>
      <c r="B6219" s="1" t="n">
        <v>44641</v>
      </c>
      <c r="C6219" s="1" t="n">
        <v>45357</v>
      </c>
      <c r="D6219" t="inlineStr">
        <is>
          <t>VÄSTERBOTTENS LÄN</t>
        </is>
      </c>
      <c r="E6219" t="inlineStr">
        <is>
          <t>SKELLEFTEÅ</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12754-2022</t>
        </is>
      </c>
      <c r="B6220" s="1" t="n">
        <v>44641</v>
      </c>
      <c r="C6220" s="1" t="n">
        <v>45357</v>
      </c>
      <c r="D6220" t="inlineStr">
        <is>
          <t>VÄSTERBOTTENS LÄN</t>
        </is>
      </c>
      <c r="E6220" t="inlineStr">
        <is>
          <t>VINDELN</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12757-2022</t>
        </is>
      </c>
      <c r="B6221" s="1" t="n">
        <v>44641</v>
      </c>
      <c r="C6221" s="1" t="n">
        <v>45357</v>
      </c>
      <c r="D6221" t="inlineStr">
        <is>
          <t>VÄSTERBOTTENS LÄN</t>
        </is>
      </c>
      <c r="E6221" t="inlineStr">
        <is>
          <t>VINDELN</t>
        </is>
      </c>
      <c r="G6221" t="n">
        <v>18.2</v>
      </c>
      <c r="H6221" t="n">
        <v>0</v>
      </c>
      <c r="I6221" t="n">
        <v>0</v>
      </c>
      <c r="J6221" t="n">
        <v>0</v>
      </c>
      <c r="K6221" t="n">
        <v>0</v>
      </c>
      <c r="L6221" t="n">
        <v>0</v>
      </c>
      <c r="M6221" t="n">
        <v>0</v>
      </c>
      <c r="N6221" t="n">
        <v>0</v>
      </c>
      <c r="O6221" t="n">
        <v>0</v>
      </c>
      <c r="P6221" t="n">
        <v>0</v>
      </c>
      <c r="Q6221" t="n">
        <v>0</v>
      </c>
      <c r="R6221" s="2" t="inlineStr"/>
    </row>
    <row r="6222" ht="15" customHeight="1">
      <c r="A6222" t="inlineStr">
        <is>
          <t>A 12622-2022</t>
        </is>
      </c>
      <c r="B6222" s="1" t="n">
        <v>44641</v>
      </c>
      <c r="C6222" s="1" t="n">
        <v>45357</v>
      </c>
      <c r="D6222" t="inlineStr">
        <is>
          <t>VÄSTERBOTTENS LÄN</t>
        </is>
      </c>
      <c r="E6222" t="inlineStr">
        <is>
          <t>ROBERTSFORS</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12629-2022</t>
        </is>
      </c>
      <c r="B6223" s="1" t="n">
        <v>44641</v>
      </c>
      <c r="C6223" s="1" t="n">
        <v>45357</v>
      </c>
      <c r="D6223" t="inlineStr">
        <is>
          <t>VÄSTERBOTTENS LÄN</t>
        </is>
      </c>
      <c r="E6223" t="inlineStr">
        <is>
          <t>ROBERTSFORS</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12680-2022</t>
        </is>
      </c>
      <c r="B6224" s="1" t="n">
        <v>44641</v>
      </c>
      <c r="C6224" s="1" t="n">
        <v>45357</v>
      </c>
      <c r="D6224" t="inlineStr">
        <is>
          <t>VÄSTERBOTTENS LÄN</t>
        </is>
      </c>
      <c r="E6224" t="inlineStr">
        <is>
          <t>MALÅ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12716-2022</t>
        </is>
      </c>
      <c r="B6225" s="1" t="n">
        <v>44641</v>
      </c>
      <c r="C6225" s="1" t="n">
        <v>45357</v>
      </c>
      <c r="D6225" t="inlineStr">
        <is>
          <t>VÄSTERBOTTENS LÄN</t>
        </is>
      </c>
      <c r="E6225" t="inlineStr">
        <is>
          <t>NORDMALING</t>
        </is>
      </c>
      <c r="G6225" t="n">
        <v>25.4</v>
      </c>
      <c r="H6225" t="n">
        <v>0</v>
      </c>
      <c r="I6225" t="n">
        <v>0</v>
      </c>
      <c r="J6225" t="n">
        <v>0</v>
      </c>
      <c r="K6225" t="n">
        <v>0</v>
      </c>
      <c r="L6225" t="n">
        <v>0</v>
      </c>
      <c r="M6225" t="n">
        <v>0</v>
      </c>
      <c r="N6225" t="n">
        <v>0</v>
      </c>
      <c r="O6225" t="n">
        <v>0</v>
      </c>
      <c r="P6225" t="n">
        <v>0</v>
      </c>
      <c r="Q6225" t="n">
        <v>0</v>
      </c>
      <c r="R6225" s="2" t="inlineStr"/>
    </row>
    <row r="6226" ht="15" customHeight="1">
      <c r="A6226" t="inlineStr">
        <is>
          <t>A 12752-2022</t>
        </is>
      </c>
      <c r="B6226" s="1" t="n">
        <v>44641</v>
      </c>
      <c r="C6226" s="1" t="n">
        <v>45357</v>
      </c>
      <c r="D6226" t="inlineStr">
        <is>
          <t>VÄSTERBOTTENS LÄN</t>
        </is>
      </c>
      <c r="E6226" t="inlineStr">
        <is>
          <t>VINDELN</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12756-2022</t>
        </is>
      </c>
      <c r="B6227" s="1" t="n">
        <v>44641</v>
      </c>
      <c r="C6227" s="1" t="n">
        <v>45357</v>
      </c>
      <c r="D6227" t="inlineStr">
        <is>
          <t>VÄSTERBOTTENS LÄN</t>
        </is>
      </c>
      <c r="E6227" t="inlineStr">
        <is>
          <t>VINDELN</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12760-2022</t>
        </is>
      </c>
      <c r="B6228" s="1" t="n">
        <v>44641</v>
      </c>
      <c r="C6228" s="1" t="n">
        <v>45357</v>
      </c>
      <c r="D6228" t="inlineStr">
        <is>
          <t>VÄSTERBOTTENS LÄN</t>
        </is>
      </c>
      <c r="E6228" t="inlineStr">
        <is>
          <t>LYCKSELE</t>
        </is>
      </c>
      <c r="G6228" t="n">
        <v>11.6</v>
      </c>
      <c r="H6228" t="n">
        <v>0</v>
      </c>
      <c r="I6228" t="n">
        <v>0</v>
      </c>
      <c r="J6228" t="n">
        <v>0</v>
      </c>
      <c r="K6228" t="n">
        <v>0</v>
      </c>
      <c r="L6228" t="n">
        <v>0</v>
      </c>
      <c r="M6228" t="n">
        <v>0</v>
      </c>
      <c r="N6228" t="n">
        <v>0</v>
      </c>
      <c r="O6228" t="n">
        <v>0</v>
      </c>
      <c r="P6228" t="n">
        <v>0</v>
      </c>
      <c r="Q6228" t="n">
        <v>0</v>
      </c>
      <c r="R6228" s="2" t="inlineStr"/>
    </row>
    <row r="6229" ht="15" customHeight="1">
      <c r="A6229" t="inlineStr">
        <is>
          <t>A 12755-2022</t>
        </is>
      </c>
      <c r="B6229" s="1" t="n">
        <v>44641</v>
      </c>
      <c r="C6229" s="1" t="n">
        <v>45357</v>
      </c>
      <c r="D6229" t="inlineStr">
        <is>
          <t>VÄSTERBOTTENS LÄN</t>
        </is>
      </c>
      <c r="E6229" t="inlineStr">
        <is>
          <t>VINDELN</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12759-2022</t>
        </is>
      </c>
      <c r="B6230" s="1" t="n">
        <v>44641</v>
      </c>
      <c r="C6230" s="1" t="n">
        <v>45357</v>
      </c>
      <c r="D6230" t="inlineStr">
        <is>
          <t>VÄSTERBOTTENS LÄN</t>
        </is>
      </c>
      <c r="E6230" t="inlineStr">
        <is>
          <t>VINDELN</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12778-2022</t>
        </is>
      </c>
      <c r="B6231" s="1" t="n">
        <v>44642</v>
      </c>
      <c r="C6231" s="1" t="n">
        <v>45357</v>
      </c>
      <c r="D6231" t="inlineStr">
        <is>
          <t>VÄSTERBOTTENS LÄN</t>
        </is>
      </c>
      <c r="E6231" t="inlineStr">
        <is>
          <t>VILHELMINA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12839-2022</t>
        </is>
      </c>
      <c r="B6232" s="1" t="n">
        <v>44642</v>
      </c>
      <c r="C6232" s="1" t="n">
        <v>45357</v>
      </c>
      <c r="D6232" t="inlineStr">
        <is>
          <t>VÄSTERBOTTENS LÄN</t>
        </is>
      </c>
      <c r="E6232" t="inlineStr">
        <is>
          <t>LYCKSELE</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12942-2022</t>
        </is>
      </c>
      <c r="B6233" s="1" t="n">
        <v>44642</v>
      </c>
      <c r="C6233" s="1" t="n">
        <v>45357</v>
      </c>
      <c r="D6233" t="inlineStr">
        <is>
          <t>VÄSTERBOTTENS LÄN</t>
        </is>
      </c>
      <c r="E6233" t="inlineStr">
        <is>
          <t>UMEÅ</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12949-2022</t>
        </is>
      </c>
      <c r="B6234" s="1" t="n">
        <v>44642</v>
      </c>
      <c r="C6234" s="1" t="n">
        <v>45357</v>
      </c>
      <c r="D6234" t="inlineStr">
        <is>
          <t>VÄSTERBOTTENS LÄN</t>
        </is>
      </c>
      <c r="E6234" t="inlineStr">
        <is>
          <t>ÅSELE</t>
        </is>
      </c>
      <c r="F6234" t="inlineStr">
        <is>
          <t>SCA</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12963-2022</t>
        </is>
      </c>
      <c r="B6235" s="1" t="n">
        <v>44642</v>
      </c>
      <c r="C6235" s="1" t="n">
        <v>45357</v>
      </c>
      <c r="D6235" t="inlineStr">
        <is>
          <t>VÄSTERBOTTENS LÄN</t>
        </is>
      </c>
      <c r="E6235" t="inlineStr">
        <is>
          <t>SKELLEFTEÅ</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13184-2022</t>
        </is>
      </c>
      <c r="B6236" s="1" t="n">
        <v>44644</v>
      </c>
      <c r="C6236" s="1" t="n">
        <v>45357</v>
      </c>
      <c r="D6236" t="inlineStr">
        <is>
          <t>VÄSTERBOTTENS LÄN</t>
        </is>
      </c>
      <c r="E6236" t="inlineStr">
        <is>
          <t>BJURHOLM</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13212-2022</t>
        </is>
      </c>
      <c r="B6237" s="1" t="n">
        <v>44644</v>
      </c>
      <c r="C6237" s="1" t="n">
        <v>45357</v>
      </c>
      <c r="D6237" t="inlineStr">
        <is>
          <t>VÄSTERBOTTENS LÄN</t>
        </is>
      </c>
      <c r="E6237" t="inlineStr">
        <is>
          <t>STORUMAN</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13131-2022</t>
        </is>
      </c>
      <c r="B6238" s="1" t="n">
        <v>44644</v>
      </c>
      <c r="C6238" s="1" t="n">
        <v>45357</v>
      </c>
      <c r="D6238" t="inlineStr">
        <is>
          <t>VÄSTERBOTTENS LÄN</t>
        </is>
      </c>
      <c r="E6238" t="inlineStr">
        <is>
          <t>SKELLEFTEÅ</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13202-2022</t>
        </is>
      </c>
      <c r="B6239" s="1" t="n">
        <v>44644</v>
      </c>
      <c r="C6239" s="1" t="n">
        <v>45357</v>
      </c>
      <c r="D6239" t="inlineStr">
        <is>
          <t>VÄSTERBOTTENS LÄN</t>
        </is>
      </c>
      <c r="E6239" t="inlineStr">
        <is>
          <t>VINDELN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13329-2022</t>
        </is>
      </c>
      <c r="B6240" s="1" t="n">
        <v>44644</v>
      </c>
      <c r="C6240" s="1" t="n">
        <v>45357</v>
      </c>
      <c r="D6240" t="inlineStr">
        <is>
          <t>VÄSTERBOTTENS LÄN</t>
        </is>
      </c>
      <c r="E6240" t="inlineStr">
        <is>
          <t>ROBERTSFORS</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13385-2022</t>
        </is>
      </c>
      <c r="B6241" s="1" t="n">
        <v>44645</v>
      </c>
      <c r="C6241" s="1" t="n">
        <v>45357</v>
      </c>
      <c r="D6241" t="inlineStr">
        <is>
          <t>VÄSTERBOTTENS LÄN</t>
        </is>
      </c>
      <c r="E6241" t="inlineStr">
        <is>
          <t>LYCKSELE</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13430-2022</t>
        </is>
      </c>
      <c r="B6242" s="1" t="n">
        <v>44645</v>
      </c>
      <c r="C6242" s="1" t="n">
        <v>45357</v>
      </c>
      <c r="D6242" t="inlineStr">
        <is>
          <t>VÄSTERBOTTENS LÄN</t>
        </is>
      </c>
      <c r="E6242" t="inlineStr">
        <is>
          <t>SKELLEFTEÅ</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13369-2022</t>
        </is>
      </c>
      <c r="B6243" s="1" t="n">
        <v>44645</v>
      </c>
      <c r="C6243" s="1" t="n">
        <v>45357</v>
      </c>
      <c r="D6243" t="inlineStr">
        <is>
          <t>VÄSTERBOTTENS LÄN</t>
        </is>
      </c>
      <c r="E6243" t="inlineStr">
        <is>
          <t>ROBERTSFORS</t>
        </is>
      </c>
      <c r="G6243" t="n">
        <v>13.1</v>
      </c>
      <c r="H6243" t="n">
        <v>0</v>
      </c>
      <c r="I6243" t="n">
        <v>0</v>
      </c>
      <c r="J6243" t="n">
        <v>0</v>
      </c>
      <c r="K6243" t="n">
        <v>0</v>
      </c>
      <c r="L6243" t="n">
        <v>0</v>
      </c>
      <c r="M6243" t="n">
        <v>0</v>
      </c>
      <c r="N6243" t="n">
        <v>0</v>
      </c>
      <c r="O6243" t="n">
        <v>0</v>
      </c>
      <c r="P6243" t="n">
        <v>0</v>
      </c>
      <c r="Q6243" t="n">
        <v>0</v>
      </c>
      <c r="R6243" s="2" t="inlineStr"/>
    </row>
    <row r="6244" ht="15" customHeight="1">
      <c r="A6244" t="inlineStr">
        <is>
          <t>A 13391-2022</t>
        </is>
      </c>
      <c r="B6244" s="1" t="n">
        <v>44645</v>
      </c>
      <c r="C6244" s="1" t="n">
        <v>45357</v>
      </c>
      <c r="D6244" t="inlineStr">
        <is>
          <t>VÄSTERBOTTENS LÄN</t>
        </is>
      </c>
      <c r="E6244" t="inlineStr">
        <is>
          <t>SKELLEFTEÅ</t>
        </is>
      </c>
      <c r="G6244" t="n">
        <v>11.7</v>
      </c>
      <c r="H6244" t="n">
        <v>0</v>
      </c>
      <c r="I6244" t="n">
        <v>0</v>
      </c>
      <c r="J6244" t="n">
        <v>0</v>
      </c>
      <c r="K6244" t="n">
        <v>0</v>
      </c>
      <c r="L6244" t="n">
        <v>0</v>
      </c>
      <c r="M6244" t="n">
        <v>0</v>
      </c>
      <c r="N6244" t="n">
        <v>0</v>
      </c>
      <c r="O6244" t="n">
        <v>0</v>
      </c>
      <c r="P6244" t="n">
        <v>0</v>
      </c>
      <c r="Q6244" t="n">
        <v>0</v>
      </c>
      <c r="R6244" s="2" t="inlineStr"/>
    </row>
    <row r="6245" ht="15" customHeight="1">
      <c r="A6245" t="inlineStr">
        <is>
          <t>A 13451-2022</t>
        </is>
      </c>
      <c r="B6245" s="1" t="n">
        <v>44645</v>
      </c>
      <c r="C6245" s="1" t="n">
        <v>45357</v>
      </c>
      <c r="D6245" t="inlineStr">
        <is>
          <t>VÄSTERBOTTENS LÄN</t>
        </is>
      </c>
      <c r="E6245" t="inlineStr">
        <is>
          <t>DOROTEA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13530-2022</t>
        </is>
      </c>
      <c r="B6246" s="1" t="n">
        <v>44648</v>
      </c>
      <c r="C6246" s="1" t="n">
        <v>45357</v>
      </c>
      <c r="D6246" t="inlineStr">
        <is>
          <t>VÄSTERBOTTENS LÄN</t>
        </is>
      </c>
      <c r="E6246" t="inlineStr">
        <is>
          <t>SKELLEFTEÅ</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13727-2022</t>
        </is>
      </c>
      <c r="B6247" s="1" t="n">
        <v>44648</v>
      </c>
      <c r="C6247" s="1" t="n">
        <v>45357</v>
      </c>
      <c r="D6247" t="inlineStr">
        <is>
          <t>VÄSTERBOTTENS LÄN</t>
        </is>
      </c>
      <c r="E6247" t="inlineStr">
        <is>
          <t>SORSELE</t>
        </is>
      </c>
      <c r="G6247" t="n">
        <v>45.5</v>
      </c>
      <c r="H6247" t="n">
        <v>0</v>
      </c>
      <c r="I6247" t="n">
        <v>0</v>
      </c>
      <c r="J6247" t="n">
        <v>0</v>
      </c>
      <c r="K6247" t="n">
        <v>0</v>
      </c>
      <c r="L6247" t="n">
        <v>0</v>
      </c>
      <c r="M6247" t="n">
        <v>0</v>
      </c>
      <c r="N6247" t="n">
        <v>0</v>
      </c>
      <c r="O6247" t="n">
        <v>0</v>
      </c>
      <c r="P6247" t="n">
        <v>0</v>
      </c>
      <c r="Q6247" t="n">
        <v>0</v>
      </c>
      <c r="R6247" s="2" t="inlineStr"/>
    </row>
    <row r="6248" ht="15" customHeight="1">
      <c r="A6248" t="inlineStr">
        <is>
          <t>A 13693-2022</t>
        </is>
      </c>
      <c r="B6248" s="1" t="n">
        <v>44648</v>
      </c>
      <c r="C6248" s="1" t="n">
        <v>45357</v>
      </c>
      <c r="D6248" t="inlineStr">
        <is>
          <t>VÄSTERBOTTENS LÄN</t>
        </is>
      </c>
      <c r="E6248" t="inlineStr">
        <is>
          <t>SKELLEFTEÅ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13749-2022</t>
        </is>
      </c>
      <c r="B6249" s="1" t="n">
        <v>44648</v>
      </c>
      <c r="C6249" s="1" t="n">
        <v>45357</v>
      </c>
      <c r="D6249" t="inlineStr">
        <is>
          <t>VÄSTERBOTTENS LÄN</t>
        </is>
      </c>
      <c r="E6249" t="inlineStr">
        <is>
          <t>DOROTEA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13708-2022</t>
        </is>
      </c>
      <c r="B6250" s="1" t="n">
        <v>44649</v>
      </c>
      <c r="C6250" s="1" t="n">
        <v>45357</v>
      </c>
      <c r="D6250" t="inlineStr">
        <is>
          <t>VÄSTERBOTTENS LÄN</t>
        </is>
      </c>
      <c r="E6250" t="inlineStr">
        <is>
          <t>STORUMAN</t>
        </is>
      </c>
      <c r="G6250" t="n">
        <v>17.1</v>
      </c>
      <c r="H6250" t="n">
        <v>0</v>
      </c>
      <c r="I6250" t="n">
        <v>0</v>
      </c>
      <c r="J6250" t="n">
        <v>0</v>
      </c>
      <c r="K6250" t="n">
        <v>0</v>
      </c>
      <c r="L6250" t="n">
        <v>0</v>
      </c>
      <c r="M6250" t="n">
        <v>0</v>
      </c>
      <c r="N6250" t="n">
        <v>0</v>
      </c>
      <c r="O6250" t="n">
        <v>0</v>
      </c>
      <c r="P6250" t="n">
        <v>0</v>
      </c>
      <c r="Q6250" t="n">
        <v>0</v>
      </c>
      <c r="R6250" s="2" t="inlineStr"/>
    </row>
    <row r="6251" ht="15" customHeight="1">
      <c r="A6251" t="inlineStr">
        <is>
          <t>A 14042-2022</t>
        </is>
      </c>
      <c r="B6251" s="1" t="n">
        <v>44651</v>
      </c>
      <c r="C6251" s="1" t="n">
        <v>45357</v>
      </c>
      <c r="D6251" t="inlineStr">
        <is>
          <t>VÄSTERBOTTENS LÄN</t>
        </is>
      </c>
      <c r="E6251" t="inlineStr">
        <is>
          <t>VINDELN</t>
        </is>
      </c>
      <c r="G6251" t="n">
        <v>11.1</v>
      </c>
      <c r="H6251" t="n">
        <v>0</v>
      </c>
      <c r="I6251" t="n">
        <v>0</v>
      </c>
      <c r="J6251" t="n">
        <v>0</v>
      </c>
      <c r="K6251" t="n">
        <v>0</v>
      </c>
      <c r="L6251" t="n">
        <v>0</v>
      </c>
      <c r="M6251" t="n">
        <v>0</v>
      </c>
      <c r="N6251" t="n">
        <v>0</v>
      </c>
      <c r="O6251" t="n">
        <v>0</v>
      </c>
      <c r="P6251" t="n">
        <v>0</v>
      </c>
      <c r="Q6251" t="n">
        <v>0</v>
      </c>
      <c r="R6251" s="2" t="inlineStr"/>
    </row>
    <row r="6252" ht="15" customHeight="1">
      <c r="A6252" t="inlineStr">
        <is>
          <t>A 14057-2022</t>
        </is>
      </c>
      <c r="B6252" s="1" t="n">
        <v>44651</v>
      </c>
      <c r="C6252" s="1" t="n">
        <v>45357</v>
      </c>
      <c r="D6252" t="inlineStr">
        <is>
          <t>VÄSTERBOTTENS LÄN</t>
        </is>
      </c>
      <c r="E6252" t="inlineStr">
        <is>
          <t>NORDMALING</t>
        </is>
      </c>
      <c r="F6252" t="inlineStr">
        <is>
          <t>SCA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14185-2022</t>
        </is>
      </c>
      <c r="B6253" s="1" t="n">
        <v>44650</v>
      </c>
      <c r="C6253" s="1" t="n">
        <v>45357</v>
      </c>
      <c r="D6253" t="inlineStr">
        <is>
          <t>VÄSTERBOTTENS LÄN</t>
        </is>
      </c>
      <c r="E6253" t="inlineStr">
        <is>
          <t>STORUMAN</t>
        </is>
      </c>
      <c r="F6253" t="inlineStr">
        <is>
          <t>Övriga statliga verk och myndigheter</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14088-2022</t>
        </is>
      </c>
      <c r="B6254" s="1" t="n">
        <v>44650</v>
      </c>
      <c r="C6254" s="1" t="n">
        <v>45357</v>
      </c>
      <c r="D6254" t="inlineStr">
        <is>
          <t>VÄSTERBOTTENS LÄN</t>
        </is>
      </c>
      <c r="E6254" t="inlineStr">
        <is>
          <t>SKELLEFTEÅ</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14479-2022</t>
        </is>
      </c>
      <c r="B6255" s="1" t="n">
        <v>44650</v>
      </c>
      <c r="C6255" s="1" t="n">
        <v>45357</v>
      </c>
      <c r="D6255" t="inlineStr">
        <is>
          <t>VÄSTERBOTTENS LÄN</t>
        </is>
      </c>
      <c r="E6255" t="inlineStr">
        <is>
          <t>STORUMAN</t>
        </is>
      </c>
      <c r="F6255" t="inlineStr">
        <is>
          <t>Övriga statliga verk och myndigheter</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14199-2022</t>
        </is>
      </c>
      <c r="B6256" s="1" t="n">
        <v>44651</v>
      </c>
      <c r="C6256" s="1" t="n">
        <v>45357</v>
      </c>
      <c r="D6256" t="inlineStr">
        <is>
          <t>VÄSTERBOTTENS LÄN</t>
        </is>
      </c>
      <c r="E6256" t="inlineStr">
        <is>
          <t>NORDMALING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14207-2022</t>
        </is>
      </c>
      <c r="B6257" s="1" t="n">
        <v>44651</v>
      </c>
      <c r="C6257" s="1" t="n">
        <v>45357</v>
      </c>
      <c r="D6257" t="inlineStr">
        <is>
          <t>VÄSTERBOTTENS LÄN</t>
        </is>
      </c>
      <c r="E6257" t="inlineStr">
        <is>
          <t>NORDMALING</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14222-2022</t>
        </is>
      </c>
      <c r="B6258" s="1" t="n">
        <v>44651</v>
      </c>
      <c r="C6258" s="1" t="n">
        <v>45357</v>
      </c>
      <c r="D6258" t="inlineStr">
        <is>
          <t>VÄSTERBOTTENS LÄN</t>
        </is>
      </c>
      <c r="E6258" t="inlineStr">
        <is>
          <t>VÄNNÄS</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14096-2022</t>
        </is>
      </c>
      <c r="B6259" s="1" t="n">
        <v>44651</v>
      </c>
      <c r="C6259" s="1" t="n">
        <v>45357</v>
      </c>
      <c r="D6259" t="inlineStr">
        <is>
          <t>VÄSTERBOTTENS LÄN</t>
        </is>
      </c>
      <c r="E6259" t="inlineStr">
        <is>
          <t>SKELLEFTEÅ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14285-2022</t>
        </is>
      </c>
      <c r="B6260" s="1" t="n">
        <v>44652</v>
      </c>
      <c r="C6260" s="1" t="n">
        <v>45357</v>
      </c>
      <c r="D6260" t="inlineStr">
        <is>
          <t>VÄSTERBOTTENS LÄN</t>
        </is>
      </c>
      <c r="E6260" t="inlineStr">
        <is>
          <t>VINDELN</t>
        </is>
      </c>
      <c r="F6260" t="inlineStr">
        <is>
          <t>SCA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14431-2022</t>
        </is>
      </c>
      <c r="B6261" s="1" t="n">
        <v>44653</v>
      </c>
      <c r="C6261" s="1" t="n">
        <v>45357</v>
      </c>
      <c r="D6261" t="inlineStr">
        <is>
          <t>VÄSTERBOTTENS LÄN</t>
        </is>
      </c>
      <c r="E6261" t="inlineStr">
        <is>
          <t>UMEÅ</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14446-2022</t>
        </is>
      </c>
      <c r="B6262" s="1" t="n">
        <v>44652</v>
      </c>
      <c r="C6262" s="1" t="n">
        <v>45357</v>
      </c>
      <c r="D6262" t="inlineStr">
        <is>
          <t>VÄSTERBOTTENS LÄN</t>
        </is>
      </c>
      <c r="E6262" t="inlineStr">
        <is>
          <t>ÅSELE</t>
        </is>
      </c>
      <c r="F6262" t="inlineStr">
        <is>
          <t>SCA</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14395-2022</t>
        </is>
      </c>
      <c r="B6263" s="1" t="n">
        <v>44652</v>
      </c>
      <c r="C6263" s="1" t="n">
        <v>45357</v>
      </c>
      <c r="D6263" t="inlineStr">
        <is>
          <t>VÄSTERBOTTENS LÄN</t>
        </is>
      </c>
      <c r="E6263" t="inlineStr">
        <is>
          <t>STORUMAN</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14351-2022</t>
        </is>
      </c>
      <c r="B6264" s="1" t="n">
        <v>44652</v>
      </c>
      <c r="C6264" s="1" t="n">
        <v>45357</v>
      </c>
      <c r="D6264" t="inlineStr">
        <is>
          <t>VÄSTERBOTTENS LÄN</t>
        </is>
      </c>
      <c r="E6264" t="inlineStr">
        <is>
          <t>VINDELN</t>
        </is>
      </c>
      <c r="G6264" t="n">
        <v>14.4</v>
      </c>
      <c r="H6264" t="n">
        <v>0</v>
      </c>
      <c r="I6264" t="n">
        <v>0</v>
      </c>
      <c r="J6264" t="n">
        <v>0</v>
      </c>
      <c r="K6264" t="n">
        <v>0</v>
      </c>
      <c r="L6264" t="n">
        <v>0</v>
      </c>
      <c r="M6264" t="n">
        <v>0</v>
      </c>
      <c r="N6264" t="n">
        <v>0</v>
      </c>
      <c r="O6264" t="n">
        <v>0</v>
      </c>
      <c r="P6264" t="n">
        <v>0</v>
      </c>
      <c r="Q6264" t="n">
        <v>0</v>
      </c>
      <c r="R6264" s="2" t="inlineStr"/>
    </row>
    <row r="6265" ht="15" customHeight="1">
      <c r="A6265" t="inlineStr">
        <is>
          <t>A 14357-2022</t>
        </is>
      </c>
      <c r="B6265" s="1" t="n">
        <v>44652</v>
      </c>
      <c r="C6265" s="1" t="n">
        <v>45357</v>
      </c>
      <c r="D6265" t="inlineStr">
        <is>
          <t>VÄSTERBOTTENS LÄN</t>
        </is>
      </c>
      <c r="E6265" t="inlineStr">
        <is>
          <t>VINDELN</t>
        </is>
      </c>
      <c r="G6265" t="n">
        <v>21.6</v>
      </c>
      <c r="H6265" t="n">
        <v>0</v>
      </c>
      <c r="I6265" t="n">
        <v>0</v>
      </c>
      <c r="J6265" t="n">
        <v>0</v>
      </c>
      <c r="K6265" t="n">
        <v>0</v>
      </c>
      <c r="L6265" t="n">
        <v>0</v>
      </c>
      <c r="M6265" t="n">
        <v>0</v>
      </c>
      <c r="N6265" t="n">
        <v>0</v>
      </c>
      <c r="O6265" t="n">
        <v>0</v>
      </c>
      <c r="P6265" t="n">
        <v>0</v>
      </c>
      <c r="Q6265" t="n">
        <v>0</v>
      </c>
      <c r="R6265" s="2" t="inlineStr"/>
    </row>
    <row r="6266" ht="15" customHeight="1">
      <c r="A6266" t="inlineStr">
        <is>
          <t>A 14432-2022</t>
        </is>
      </c>
      <c r="B6266" s="1" t="n">
        <v>44653</v>
      </c>
      <c r="C6266" s="1" t="n">
        <v>45357</v>
      </c>
      <c r="D6266" t="inlineStr">
        <is>
          <t>VÄSTERBOTTENS LÄN</t>
        </is>
      </c>
      <c r="E6266" t="inlineStr">
        <is>
          <t>UMEÅ</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14451-2022</t>
        </is>
      </c>
      <c r="B6267" s="1" t="n">
        <v>44652</v>
      </c>
      <c r="C6267" s="1" t="n">
        <v>45357</v>
      </c>
      <c r="D6267" t="inlineStr">
        <is>
          <t>VÄSTERBOTTENS LÄN</t>
        </is>
      </c>
      <c r="E6267" t="inlineStr">
        <is>
          <t>ÅSELE</t>
        </is>
      </c>
      <c r="F6267" t="inlineStr">
        <is>
          <t>SCA</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14540-2022</t>
        </is>
      </c>
      <c r="B6268" s="1" t="n">
        <v>44655</v>
      </c>
      <c r="C6268" s="1" t="n">
        <v>45357</v>
      </c>
      <c r="D6268" t="inlineStr">
        <is>
          <t>VÄSTERBOTTENS LÄN</t>
        </is>
      </c>
      <c r="E6268" t="inlineStr">
        <is>
          <t>NORDMALING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14627-2022</t>
        </is>
      </c>
      <c r="B6269" s="1" t="n">
        <v>44655</v>
      </c>
      <c r="C6269" s="1" t="n">
        <v>45357</v>
      </c>
      <c r="D6269" t="inlineStr">
        <is>
          <t>VÄSTERBOTTENS LÄN</t>
        </is>
      </c>
      <c r="E6269" t="inlineStr">
        <is>
          <t>SKELLEFTEÅ</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14690-2022</t>
        </is>
      </c>
      <c r="B6270" s="1" t="n">
        <v>44655</v>
      </c>
      <c r="C6270" s="1" t="n">
        <v>45357</v>
      </c>
      <c r="D6270" t="inlineStr">
        <is>
          <t>VÄSTERBOTTENS LÄN</t>
        </is>
      </c>
      <c r="E6270" t="inlineStr">
        <is>
          <t>STORUMAN</t>
        </is>
      </c>
      <c r="G6270" t="n">
        <v>8.5</v>
      </c>
      <c r="H6270" t="n">
        <v>0</v>
      </c>
      <c r="I6270" t="n">
        <v>0</v>
      </c>
      <c r="J6270" t="n">
        <v>0</v>
      </c>
      <c r="K6270" t="n">
        <v>0</v>
      </c>
      <c r="L6270" t="n">
        <v>0</v>
      </c>
      <c r="M6270" t="n">
        <v>0</v>
      </c>
      <c r="N6270" t="n">
        <v>0</v>
      </c>
      <c r="O6270" t="n">
        <v>0</v>
      </c>
      <c r="P6270" t="n">
        <v>0</v>
      </c>
      <c r="Q6270" t="n">
        <v>0</v>
      </c>
      <c r="R6270" s="2" t="inlineStr"/>
    </row>
    <row r="6271" ht="15" customHeight="1">
      <c r="A6271" t="inlineStr">
        <is>
          <t>A 14683-2022</t>
        </is>
      </c>
      <c r="B6271" s="1" t="n">
        <v>44655</v>
      </c>
      <c r="C6271" s="1" t="n">
        <v>45357</v>
      </c>
      <c r="D6271" t="inlineStr">
        <is>
          <t>VÄSTERBOTTENS LÄN</t>
        </is>
      </c>
      <c r="E6271" t="inlineStr">
        <is>
          <t>STORUMAN</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14759-2022</t>
        </is>
      </c>
      <c r="B6272" s="1" t="n">
        <v>44656</v>
      </c>
      <c r="C6272" s="1" t="n">
        <v>45357</v>
      </c>
      <c r="D6272" t="inlineStr">
        <is>
          <t>VÄSTERBOTTENS LÄN</t>
        </is>
      </c>
      <c r="E6272" t="inlineStr">
        <is>
          <t>SKELLEFTEÅ</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14756-2022</t>
        </is>
      </c>
      <c r="B6273" s="1" t="n">
        <v>44656</v>
      </c>
      <c r="C6273" s="1" t="n">
        <v>45357</v>
      </c>
      <c r="D6273" t="inlineStr">
        <is>
          <t>VÄSTERBOTTENS LÄN</t>
        </is>
      </c>
      <c r="E6273" t="inlineStr">
        <is>
          <t>SKELLEFTEÅ</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14952-2022</t>
        </is>
      </c>
      <c r="B6274" s="1" t="n">
        <v>44657</v>
      </c>
      <c r="C6274" s="1" t="n">
        <v>45357</v>
      </c>
      <c r="D6274" t="inlineStr">
        <is>
          <t>VÄSTERBOTTENS LÄN</t>
        </is>
      </c>
      <c r="E6274" t="inlineStr">
        <is>
          <t>SKELLEFTEÅ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14959-2022</t>
        </is>
      </c>
      <c r="B6275" s="1" t="n">
        <v>44657</v>
      </c>
      <c r="C6275" s="1" t="n">
        <v>45357</v>
      </c>
      <c r="D6275" t="inlineStr">
        <is>
          <t>VÄSTERBOTTENS LÄN</t>
        </is>
      </c>
      <c r="E6275" t="inlineStr">
        <is>
          <t>VILHELMINA</t>
        </is>
      </c>
      <c r="G6275" t="n">
        <v>71.8</v>
      </c>
      <c r="H6275" t="n">
        <v>0</v>
      </c>
      <c r="I6275" t="n">
        <v>0</v>
      </c>
      <c r="J6275" t="n">
        <v>0</v>
      </c>
      <c r="K6275" t="n">
        <v>0</v>
      </c>
      <c r="L6275" t="n">
        <v>0</v>
      </c>
      <c r="M6275" t="n">
        <v>0</v>
      </c>
      <c r="N6275" t="n">
        <v>0</v>
      </c>
      <c r="O6275" t="n">
        <v>0</v>
      </c>
      <c r="P6275" t="n">
        <v>0</v>
      </c>
      <c r="Q6275" t="n">
        <v>0</v>
      </c>
      <c r="R6275" s="2" t="inlineStr"/>
    </row>
    <row r="6276" ht="15" customHeight="1">
      <c r="A6276" t="inlineStr">
        <is>
          <t>A 14961-2022</t>
        </is>
      </c>
      <c r="B6276" s="1" t="n">
        <v>44657</v>
      </c>
      <c r="C6276" s="1" t="n">
        <v>45357</v>
      </c>
      <c r="D6276" t="inlineStr">
        <is>
          <t>VÄSTERBOTTENS LÄN</t>
        </is>
      </c>
      <c r="E6276" t="inlineStr">
        <is>
          <t>VILHELMINA</t>
        </is>
      </c>
      <c r="G6276" t="n">
        <v>19.9</v>
      </c>
      <c r="H6276" t="n">
        <v>0</v>
      </c>
      <c r="I6276" t="n">
        <v>0</v>
      </c>
      <c r="J6276" t="n">
        <v>0</v>
      </c>
      <c r="K6276" t="n">
        <v>0</v>
      </c>
      <c r="L6276" t="n">
        <v>0</v>
      </c>
      <c r="M6276" t="n">
        <v>0</v>
      </c>
      <c r="N6276" t="n">
        <v>0</v>
      </c>
      <c r="O6276" t="n">
        <v>0</v>
      </c>
      <c r="P6276" t="n">
        <v>0</v>
      </c>
      <c r="Q6276" t="n">
        <v>0</v>
      </c>
      <c r="R6276" s="2" t="inlineStr"/>
    </row>
    <row r="6277" ht="15" customHeight="1">
      <c r="A6277" t="inlineStr">
        <is>
          <t>A 14963-2022</t>
        </is>
      </c>
      <c r="B6277" s="1" t="n">
        <v>44657</v>
      </c>
      <c r="C6277" s="1" t="n">
        <v>45357</v>
      </c>
      <c r="D6277" t="inlineStr">
        <is>
          <t>VÄSTERBOTTENS LÄN</t>
        </is>
      </c>
      <c r="E6277" t="inlineStr">
        <is>
          <t>VILHELMINA</t>
        </is>
      </c>
      <c r="G6277" t="n">
        <v>11.5</v>
      </c>
      <c r="H6277" t="n">
        <v>0</v>
      </c>
      <c r="I6277" t="n">
        <v>0</v>
      </c>
      <c r="J6277" t="n">
        <v>0</v>
      </c>
      <c r="K6277" t="n">
        <v>0</v>
      </c>
      <c r="L6277" t="n">
        <v>0</v>
      </c>
      <c r="M6277" t="n">
        <v>0</v>
      </c>
      <c r="N6277" t="n">
        <v>0</v>
      </c>
      <c r="O6277" t="n">
        <v>0</v>
      </c>
      <c r="P6277" t="n">
        <v>0</v>
      </c>
      <c r="Q6277" t="n">
        <v>0</v>
      </c>
      <c r="R6277" s="2" t="inlineStr"/>
    </row>
    <row r="6278" ht="15" customHeight="1">
      <c r="A6278" t="inlineStr">
        <is>
          <t>A 15002-2022</t>
        </is>
      </c>
      <c r="B6278" s="1" t="n">
        <v>44657</v>
      </c>
      <c r="C6278" s="1" t="n">
        <v>45357</v>
      </c>
      <c r="D6278" t="inlineStr">
        <is>
          <t>VÄSTERBOTTENS LÄN</t>
        </is>
      </c>
      <c r="E6278" t="inlineStr">
        <is>
          <t>SORSELE</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15008-2022</t>
        </is>
      </c>
      <c r="B6279" s="1" t="n">
        <v>44657</v>
      </c>
      <c r="C6279" s="1" t="n">
        <v>45357</v>
      </c>
      <c r="D6279" t="inlineStr">
        <is>
          <t>VÄSTERBOTTENS LÄN</t>
        </is>
      </c>
      <c r="E6279" t="inlineStr">
        <is>
          <t>SORSELE</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15003-2022</t>
        </is>
      </c>
      <c r="B6280" s="1" t="n">
        <v>44657</v>
      </c>
      <c r="C6280" s="1" t="n">
        <v>45357</v>
      </c>
      <c r="D6280" t="inlineStr">
        <is>
          <t>VÄSTERBOTTENS LÄN</t>
        </is>
      </c>
      <c r="E6280" t="inlineStr">
        <is>
          <t>NORDMALING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14998-2022</t>
        </is>
      </c>
      <c r="B6281" s="1" t="n">
        <v>44657</v>
      </c>
      <c r="C6281" s="1" t="n">
        <v>45357</v>
      </c>
      <c r="D6281" t="inlineStr">
        <is>
          <t>VÄSTERBOTTENS LÄN</t>
        </is>
      </c>
      <c r="E6281" t="inlineStr">
        <is>
          <t>SORSELE</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15004-2022</t>
        </is>
      </c>
      <c r="B6282" s="1" t="n">
        <v>44657</v>
      </c>
      <c r="C6282" s="1" t="n">
        <v>45357</v>
      </c>
      <c r="D6282" t="inlineStr">
        <is>
          <t>VÄSTERBOTTENS LÄN</t>
        </is>
      </c>
      <c r="E6282" t="inlineStr">
        <is>
          <t>SORSELE</t>
        </is>
      </c>
      <c r="G6282" t="n">
        <v>24.5</v>
      </c>
      <c r="H6282" t="n">
        <v>0</v>
      </c>
      <c r="I6282" t="n">
        <v>0</v>
      </c>
      <c r="J6282" t="n">
        <v>0</v>
      </c>
      <c r="K6282" t="n">
        <v>0</v>
      </c>
      <c r="L6282" t="n">
        <v>0</v>
      </c>
      <c r="M6282" t="n">
        <v>0</v>
      </c>
      <c r="N6282" t="n">
        <v>0</v>
      </c>
      <c r="O6282" t="n">
        <v>0</v>
      </c>
      <c r="P6282" t="n">
        <v>0</v>
      </c>
      <c r="Q6282" t="n">
        <v>0</v>
      </c>
      <c r="R6282" s="2" t="inlineStr"/>
    </row>
    <row r="6283" ht="15" customHeight="1">
      <c r="A6283" t="inlineStr">
        <is>
          <t>A 15085-2022</t>
        </is>
      </c>
      <c r="B6283" s="1" t="n">
        <v>44658</v>
      </c>
      <c r="C6283" s="1" t="n">
        <v>45357</v>
      </c>
      <c r="D6283" t="inlineStr">
        <is>
          <t>VÄSTERBOTTENS LÄN</t>
        </is>
      </c>
      <c r="E6283" t="inlineStr">
        <is>
          <t>NORSJÖ</t>
        </is>
      </c>
      <c r="F6283" t="inlineStr">
        <is>
          <t>Kyrkan</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15111-2022</t>
        </is>
      </c>
      <c r="B6284" s="1" t="n">
        <v>44658</v>
      </c>
      <c r="C6284" s="1" t="n">
        <v>45357</v>
      </c>
      <c r="D6284" t="inlineStr">
        <is>
          <t>VÄSTERBOTTENS LÄN</t>
        </is>
      </c>
      <c r="E6284" t="inlineStr">
        <is>
          <t>ROBERTSFORS</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15176-2022</t>
        </is>
      </c>
      <c r="B6285" s="1" t="n">
        <v>44658</v>
      </c>
      <c r="C6285" s="1" t="n">
        <v>45357</v>
      </c>
      <c r="D6285" t="inlineStr">
        <is>
          <t>VÄSTERBOTTENS LÄN</t>
        </is>
      </c>
      <c r="E6285" t="inlineStr">
        <is>
          <t>VILHELMINA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15298-2022</t>
        </is>
      </c>
      <c r="B6286" s="1" t="n">
        <v>44659</v>
      </c>
      <c r="C6286" s="1" t="n">
        <v>45357</v>
      </c>
      <c r="D6286" t="inlineStr">
        <is>
          <t>VÄSTERBOTTENS LÄN</t>
        </is>
      </c>
      <c r="E6286" t="inlineStr">
        <is>
          <t>VINDELN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15416-2022</t>
        </is>
      </c>
      <c r="B6287" s="1" t="n">
        <v>44659</v>
      </c>
      <c r="C6287" s="1" t="n">
        <v>45357</v>
      </c>
      <c r="D6287" t="inlineStr">
        <is>
          <t>VÄSTERBOTTENS LÄN</t>
        </is>
      </c>
      <c r="E6287" t="inlineStr">
        <is>
          <t>STORUMAN</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15357-2022</t>
        </is>
      </c>
      <c r="B6288" s="1" t="n">
        <v>44659</v>
      </c>
      <c r="C6288" s="1" t="n">
        <v>45357</v>
      </c>
      <c r="D6288" t="inlineStr">
        <is>
          <t>VÄSTERBOTTENS LÄN</t>
        </is>
      </c>
      <c r="E6288" t="inlineStr">
        <is>
          <t>VINDELN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15295-2022</t>
        </is>
      </c>
      <c r="B6289" s="1" t="n">
        <v>44659</v>
      </c>
      <c r="C6289" s="1" t="n">
        <v>45357</v>
      </c>
      <c r="D6289" t="inlineStr">
        <is>
          <t>VÄSTERBOTTENS LÄN</t>
        </is>
      </c>
      <c r="E6289" t="inlineStr">
        <is>
          <t>VINDELN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15441-2022</t>
        </is>
      </c>
      <c r="B6290" s="1" t="n">
        <v>44659</v>
      </c>
      <c r="C6290" s="1" t="n">
        <v>45357</v>
      </c>
      <c r="D6290" t="inlineStr">
        <is>
          <t>VÄSTERBOTTENS LÄN</t>
        </is>
      </c>
      <c r="E6290" t="inlineStr">
        <is>
          <t>SKELLEFTEÅ</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15559-2022</t>
        </is>
      </c>
      <c r="B6291" s="1" t="n">
        <v>44662</v>
      </c>
      <c r="C6291" s="1" t="n">
        <v>45357</v>
      </c>
      <c r="D6291" t="inlineStr">
        <is>
          <t>VÄSTERBOTTENS LÄN</t>
        </is>
      </c>
      <c r="E6291" t="inlineStr">
        <is>
          <t>ÅSELE</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15644-2022</t>
        </is>
      </c>
      <c r="B6292" s="1" t="n">
        <v>44663</v>
      </c>
      <c r="C6292" s="1" t="n">
        <v>45357</v>
      </c>
      <c r="D6292" t="inlineStr">
        <is>
          <t>VÄSTERBOTTENS LÄN</t>
        </is>
      </c>
      <c r="E6292" t="inlineStr">
        <is>
          <t>ROBERTSFORS</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15661-2022</t>
        </is>
      </c>
      <c r="B6293" s="1" t="n">
        <v>44662</v>
      </c>
      <c r="C6293" s="1" t="n">
        <v>45357</v>
      </c>
      <c r="D6293" t="inlineStr">
        <is>
          <t>VÄSTERBOTTENS LÄN</t>
        </is>
      </c>
      <c r="E6293" t="inlineStr">
        <is>
          <t>ÅSELE</t>
        </is>
      </c>
      <c r="F6293" t="inlineStr">
        <is>
          <t>SCA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15680-2022</t>
        </is>
      </c>
      <c r="B6294" s="1" t="n">
        <v>44663</v>
      </c>
      <c r="C6294" s="1" t="n">
        <v>45357</v>
      </c>
      <c r="D6294" t="inlineStr">
        <is>
          <t>VÄSTERBOTTENS LÄN</t>
        </is>
      </c>
      <c r="E6294" t="inlineStr">
        <is>
          <t>STORUMAN</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15740-2022</t>
        </is>
      </c>
      <c r="B6295" s="1" t="n">
        <v>44663</v>
      </c>
      <c r="C6295" s="1" t="n">
        <v>45357</v>
      </c>
      <c r="D6295" t="inlineStr">
        <is>
          <t>VÄSTERBOTTENS LÄN</t>
        </is>
      </c>
      <c r="E6295" t="inlineStr">
        <is>
          <t>SKELLEFTEÅ</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16139-2022</t>
        </is>
      </c>
      <c r="B6296" s="1" t="n">
        <v>44665</v>
      </c>
      <c r="C6296" s="1" t="n">
        <v>45357</v>
      </c>
      <c r="D6296" t="inlineStr">
        <is>
          <t>VÄSTERBOTTENS LÄN</t>
        </is>
      </c>
      <c r="E6296" t="inlineStr">
        <is>
          <t>SKELLEFTEÅ</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16136-2022</t>
        </is>
      </c>
      <c r="B6297" s="1" t="n">
        <v>44665</v>
      </c>
      <c r="C6297" s="1" t="n">
        <v>45357</v>
      </c>
      <c r="D6297" t="inlineStr">
        <is>
          <t>VÄSTERBOTTENS LÄN</t>
        </is>
      </c>
      <c r="E6297" t="inlineStr">
        <is>
          <t>STORUMAN</t>
        </is>
      </c>
      <c r="F6297" t="inlineStr">
        <is>
          <t>Övriga statliga verk och myndigheter</t>
        </is>
      </c>
      <c r="G6297" t="n">
        <v>8.9</v>
      </c>
      <c r="H6297" t="n">
        <v>0</v>
      </c>
      <c r="I6297" t="n">
        <v>0</v>
      </c>
      <c r="J6297" t="n">
        <v>0</v>
      </c>
      <c r="K6297" t="n">
        <v>0</v>
      </c>
      <c r="L6297" t="n">
        <v>0</v>
      </c>
      <c r="M6297" t="n">
        <v>0</v>
      </c>
      <c r="N6297" t="n">
        <v>0</v>
      </c>
      <c r="O6297" t="n">
        <v>0</v>
      </c>
      <c r="P6297" t="n">
        <v>0</v>
      </c>
      <c r="Q6297" t="n">
        <v>0</v>
      </c>
      <c r="R6297" s="2" t="inlineStr"/>
    </row>
    <row r="6298" ht="15" customHeight="1">
      <c r="A6298" t="inlineStr">
        <is>
          <t>A 16198-2022</t>
        </is>
      </c>
      <c r="B6298" s="1" t="n">
        <v>44665</v>
      </c>
      <c r="C6298" s="1" t="n">
        <v>45357</v>
      </c>
      <c r="D6298" t="inlineStr">
        <is>
          <t>VÄSTERBOTTENS LÄN</t>
        </is>
      </c>
      <c r="E6298" t="inlineStr">
        <is>
          <t>SKELLEFTEÅ</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16138-2022</t>
        </is>
      </c>
      <c r="B6299" s="1" t="n">
        <v>44666</v>
      </c>
      <c r="C6299" s="1" t="n">
        <v>45357</v>
      </c>
      <c r="D6299" t="inlineStr">
        <is>
          <t>VÄSTERBOTTENS LÄN</t>
        </is>
      </c>
      <c r="E6299" t="inlineStr">
        <is>
          <t>UMEÅ</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16274-2022</t>
        </is>
      </c>
      <c r="B6300" s="1" t="n">
        <v>44670</v>
      </c>
      <c r="C6300" s="1" t="n">
        <v>45357</v>
      </c>
      <c r="D6300" t="inlineStr">
        <is>
          <t>VÄSTERBOTTENS LÄN</t>
        </is>
      </c>
      <c r="E6300" t="inlineStr">
        <is>
          <t>LYCKSELE</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16294-2022</t>
        </is>
      </c>
      <c r="B6301" s="1" t="n">
        <v>44670</v>
      </c>
      <c r="C6301" s="1" t="n">
        <v>45357</v>
      </c>
      <c r="D6301" t="inlineStr">
        <is>
          <t>VÄSTERBOTTENS LÄN</t>
        </is>
      </c>
      <c r="E6301" t="inlineStr">
        <is>
          <t>NORSJÖ</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16298-2022</t>
        </is>
      </c>
      <c r="B6302" s="1" t="n">
        <v>44670</v>
      </c>
      <c r="C6302" s="1" t="n">
        <v>45357</v>
      </c>
      <c r="D6302" t="inlineStr">
        <is>
          <t>VÄSTERBOTTENS LÄN</t>
        </is>
      </c>
      <c r="E6302" t="inlineStr">
        <is>
          <t>NORSJÖ</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16210-2022</t>
        </is>
      </c>
      <c r="B6303" s="1" t="n">
        <v>44670</v>
      </c>
      <c r="C6303" s="1" t="n">
        <v>45357</v>
      </c>
      <c r="D6303" t="inlineStr">
        <is>
          <t>VÄSTERBOTTENS LÄN</t>
        </is>
      </c>
      <c r="E6303" t="inlineStr">
        <is>
          <t>UMEÅ</t>
        </is>
      </c>
      <c r="F6303" t="inlineStr">
        <is>
          <t>Kommuner</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16272-2022</t>
        </is>
      </c>
      <c r="B6304" s="1" t="n">
        <v>44670</v>
      </c>
      <c r="C6304" s="1" t="n">
        <v>45357</v>
      </c>
      <c r="D6304" t="inlineStr">
        <is>
          <t>VÄSTERBOTTENS LÄN</t>
        </is>
      </c>
      <c r="E6304" t="inlineStr">
        <is>
          <t>LYCKSELE</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16527-2022</t>
        </is>
      </c>
      <c r="B6305" s="1" t="n">
        <v>44672</v>
      </c>
      <c r="C6305" s="1" t="n">
        <v>45357</v>
      </c>
      <c r="D6305" t="inlineStr">
        <is>
          <t>VÄSTERBOTTENS LÄN</t>
        </is>
      </c>
      <c r="E6305" t="inlineStr">
        <is>
          <t>ÅSELE</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16520-2022</t>
        </is>
      </c>
      <c r="B6306" s="1" t="n">
        <v>44671</v>
      </c>
      <c r="C6306" s="1" t="n">
        <v>45357</v>
      </c>
      <c r="D6306" t="inlineStr">
        <is>
          <t>VÄSTERBOTTENS LÄN</t>
        </is>
      </c>
      <c r="E6306" t="inlineStr">
        <is>
          <t>STORUMAN</t>
        </is>
      </c>
      <c r="G6306" t="n">
        <v>20.1</v>
      </c>
      <c r="H6306" t="n">
        <v>0</v>
      </c>
      <c r="I6306" t="n">
        <v>0</v>
      </c>
      <c r="J6306" t="n">
        <v>0</v>
      </c>
      <c r="K6306" t="n">
        <v>0</v>
      </c>
      <c r="L6306" t="n">
        <v>0</v>
      </c>
      <c r="M6306" t="n">
        <v>0</v>
      </c>
      <c r="N6306" t="n">
        <v>0</v>
      </c>
      <c r="O6306" t="n">
        <v>0</v>
      </c>
      <c r="P6306" t="n">
        <v>0</v>
      </c>
      <c r="Q6306" t="n">
        <v>0</v>
      </c>
      <c r="R6306" s="2" t="inlineStr"/>
    </row>
    <row r="6307" ht="15" customHeight="1">
      <c r="A6307" t="inlineStr">
        <is>
          <t>A 16653-2022</t>
        </is>
      </c>
      <c r="B6307" s="1" t="n">
        <v>44672</v>
      </c>
      <c r="C6307" s="1" t="n">
        <v>45357</v>
      </c>
      <c r="D6307" t="inlineStr">
        <is>
          <t>VÄSTERBOTTENS LÄN</t>
        </is>
      </c>
      <c r="E6307" t="inlineStr">
        <is>
          <t>SKELLEFTEÅ</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16669-2022</t>
        </is>
      </c>
      <c r="B6308" s="1" t="n">
        <v>44673</v>
      </c>
      <c r="C6308" s="1" t="n">
        <v>45357</v>
      </c>
      <c r="D6308" t="inlineStr">
        <is>
          <t>VÄSTERBOTTENS LÄN</t>
        </is>
      </c>
      <c r="E6308" t="inlineStr">
        <is>
          <t>LYCKSELE</t>
        </is>
      </c>
      <c r="G6308" t="n">
        <v>12.8</v>
      </c>
      <c r="H6308" t="n">
        <v>0</v>
      </c>
      <c r="I6308" t="n">
        <v>0</v>
      </c>
      <c r="J6308" t="n">
        <v>0</v>
      </c>
      <c r="K6308" t="n">
        <v>0</v>
      </c>
      <c r="L6308" t="n">
        <v>0</v>
      </c>
      <c r="M6308" t="n">
        <v>0</v>
      </c>
      <c r="N6308" t="n">
        <v>0</v>
      </c>
      <c r="O6308" t="n">
        <v>0</v>
      </c>
      <c r="P6308" t="n">
        <v>0</v>
      </c>
      <c r="Q6308" t="n">
        <v>0</v>
      </c>
      <c r="R6308" s="2" t="inlineStr"/>
    </row>
    <row r="6309" ht="15" customHeight="1">
      <c r="A6309" t="inlineStr">
        <is>
          <t>A 16606-2022</t>
        </is>
      </c>
      <c r="B6309" s="1" t="n">
        <v>44672</v>
      </c>
      <c r="C6309" s="1" t="n">
        <v>45357</v>
      </c>
      <c r="D6309" t="inlineStr">
        <is>
          <t>VÄSTERBOTTENS LÄN</t>
        </is>
      </c>
      <c r="E6309" t="inlineStr">
        <is>
          <t>UMEÅ</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16802-2022</t>
        </is>
      </c>
      <c r="B6310" s="1" t="n">
        <v>44673</v>
      </c>
      <c r="C6310" s="1" t="n">
        <v>45357</v>
      </c>
      <c r="D6310" t="inlineStr">
        <is>
          <t>VÄSTERBOTTENS LÄN</t>
        </is>
      </c>
      <c r="E6310" t="inlineStr">
        <is>
          <t>SKELLEFTEÅ</t>
        </is>
      </c>
      <c r="G6310" t="n">
        <v>8</v>
      </c>
      <c r="H6310" t="n">
        <v>0</v>
      </c>
      <c r="I6310" t="n">
        <v>0</v>
      </c>
      <c r="J6310" t="n">
        <v>0</v>
      </c>
      <c r="K6310" t="n">
        <v>0</v>
      </c>
      <c r="L6310" t="n">
        <v>0</v>
      </c>
      <c r="M6310" t="n">
        <v>0</v>
      </c>
      <c r="N6310" t="n">
        <v>0</v>
      </c>
      <c r="O6310" t="n">
        <v>0</v>
      </c>
      <c r="P6310" t="n">
        <v>0</v>
      </c>
      <c r="Q6310" t="n">
        <v>0</v>
      </c>
      <c r="R6310" s="2" t="inlineStr"/>
    </row>
    <row r="6311" ht="15" customHeight="1">
      <c r="A6311" t="inlineStr">
        <is>
          <t>A 16782-2022</t>
        </is>
      </c>
      <c r="B6311" s="1" t="n">
        <v>44673</v>
      </c>
      <c r="C6311" s="1" t="n">
        <v>45357</v>
      </c>
      <c r="D6311" t="inlineStr">
        <is>
          <t>VÄSTERBOTTENS LÄN</t>
        </is>
      </c>
      <c r="E6311" t="inlineStr">
        <is>
          <t>STORUMAN</t>
        </is>
      </c>
      <c r="F6311" t="inlineStr">
        <is>
          <t>Sveaskog</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16837-2022</t>
        </is>
      </c>
      <c r="B6312" s="1" t="n">
        <v>44674</v>
      </c>
      <c r="C6312" s="1" t="n">
        <v>45357</v>
      </c>
      <c r="D6312" t="inlineStr">
        <is>
          <t>VÄSTERBOTTENS LÄN</t>
        </is>
      </c>
      <c r="E6312" t="inlineStr">
        <is>
          <t>SKELLEFTEÅ</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16845-2022</t>
        </is>
      </c>
      <c r="B6313" s="1" t="n">
        <v>44673</v>
      </c>
      <c r="C6313" s="1" t="n">
        <v>45357</v>
      </c>
      <c r="D6313" t="inlineStr">
        <is>
          <t>VÄSTERBOTTENS LÄN</t>
        </is>
      </c>
      <c r="E6313" t="inlineStr">
        <is>
          <t>LYCKSELE</t>
        </is>
      </c>
      <c r="F6313" t="inlineStr">
        <is>
          <t>SCA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16750-2022</t>
        </is>
      </c>
      <c r="B6314" s="1" t="n">
        <v>44673</v>
      </c>
      <c r="C6314" s="1" t="n">
        <v>45357</v>
      </c>
      <c r="D6314" t="inlineStr">
        <is>
          <t>VÄSTERBOTTENS LÄN</t>
        </is>
      </c>
      <c r="E6314" t="inlineStr">
        <is>
          <t>SKELLEFTEÅ</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16754-2022</t>
        </is>
      </c>
      <c r="B6315" s="1" t="n">
        <v>44673</v>
      </c>
      <c r="C6315" s="1" t="n">
        <v>45357</v>
      </c>
      <c r="D6315" t="inlineStr">
        <is>
          <t>VÄSTERBOTTENS LÄN</t>
        </is>
      </c>
      <c r="E6315" t="inlineStr">
        <is>
          <t>VINDELN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16780-2022</t>
        </is>
      </c>
      <c r="B6316" s="1" t="n">
        <v>44673</v>
      </c>
      <c r="C6316" s="1" t="n">
        <v>45357</v>
      </c>
      <c r="D6316" t="inlineStr">
        <is>
          <t>VÄSTERBOTTENS LÄN</t>
        </is>
      </c>
      <c r="E6316" t="inlineStr">
        <is>
          <t>VINDELN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16846-2022</t>
        </is>
      </c>
      <c r="B6317" s="1" t="n">
        <v>44674</v>
      </c>
      <c r="C6317" s="1" t="n">
        <v>45357</v>
      </c>
      <c r="D6317" t="inlineStr">
        <is>
          <t>VÄSTERBOTTENS LÄN</t>
        </is>
      </c>
      <c r="E6317" t="inlineStr">
        <is>
          <t>ÅSELE</t>
        </is>
      </c>
      <c r="F6317" t="inlineStr">
        <is>
          <t>SCA</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16842-2022</t>
        </is>
      </c>
      <c r="B6318" s="1" t="n">
        <v>44674</v>
      </c>
      <c r="C6318" s="1" t="n">
        <v>45357</v>
      </c>
      <c r="D6318" t="inlineStr">
        <is>
          <t>VÄSTERBOTTENS LÄN</t>
        </is>
      </c>
      <c r="E6318" t="inlineStr">
        <is>
          <t>SKELLEFTEÅ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16792-2022</t>
        </is>
      </c>
      <c r="B6319" s="1" t="n">
        <v>44673</v>
      </c>
      <c r="C6319" s="1" t="n">
        <v>45357</v>
      </c>
      <c r="D6319" t="inlineStr">
        <is>
          <t>VÄSTERBOTTENS LÄN</t>
        </is>
      </c>
      <c r="E6319" t="inlineStr">
        <is>
          <t>BJURHOLM</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16843-2022</t>
        </is>
      </c>
      <c r="B6320" s="1" t="n">
        <v>44674</v>
      </c>
      <c r="C6320" s="1" t="n">
        <v>45357</v>
      </c>
      <c r="D6320" t="inlineStr">
        <is>
          <t>VÄSTERBOTTENS LÄN</t>
        </is>
      </c>
      <c r="E6320" t="inlineStr">
        <is>
          <t>ÅSELE</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17139-2022</t>
        </is>
      </c>
      <c r="B6321" s="1" t="n">
        <v>44677</v>
      </c>
      <c r="C6321" s="1" t="n">
        <v>45357</v>
      </c>
      <c r="D6321" t="inlineStr">
        <is>
          <t>VÄSTERBOTTENS LÄN</t>
        </is>
      </c>
      <c r="E6321" t="inlineStr">
        <is>
          <t>ROBERTSFORS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17197-2022</t>
        </is>
      </c>
      <c r="B6322" s="1" t="n">
        <v>44677</v>
      </c>
      <c r="C6322" s="1" t="n">
        <v>45357</v>
      </c>
      <c r="D6322" t="inlineStr">
        <is>
          <t>VÄSTERBOTTENS LÄN</t>
        </is>
      </c>
      <c r="E6322" t="inlineStr">
        <is>
          <t>SKELLEFTEÅ</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17150-2022</t>
        </is>
      </c>
      <c r="B6323" s="1" t="n">
        <v>44677</v>
      </c>
      <c r="C6323" s="1" t="n">
        <v>45357</v>
      </c>
      <c r="D6323" t="inlineStr">
        <is>
          <t>VÄSTERBOTTENS LÄN</t>
        </is>
      </c>
      <c r="E6323" t="inlineStr">
        <is>
          <t>STORUMAN</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17149-2022</t>
        </is>
      </c>
      <c r="B6324" s="1" t="n">
        <v>44677</v>
      </c>
      <c r="C6324" s="1" t="n">
        <v>45357</v>
      </c>
      <c r="D6324" t="inlineStr">
        <is>
          <t>VÄSTERBOTTENS LÄN</t>
        </is>
      </c>
      <c r="E6324" t="inlineStr">
        <is>
          <t>STORUMAN</t>
        </is>
      </c>
      <c r="F6324" t="inlineStr">
        <is>
          <t>Sveaskog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17255-2022</t>
        </is>
      </c>
      <c r="B6325" s="1" t="n">
        <v>44678</v>
      </c>
      <c r="C6325" s="1" t="n">
        <v>45357</v>
      </c>
      <c r="D6325" t="inlineStr">
        <is>
          <t>VÄSTERBOTTENS LÄN</t>
        </is>
      </c>
      <c r="E6325" t="inlineStr">
        <is>
          <t>ÅSELE</t>
        </is>
      </c>
      <c r="F6325" t="inlineStr">
        <is>
          <t>Allmännings- och besparingsskogar</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17295-2022</t>
        </is>
      </c>
      <c r="B6326" s="1" t="n">
        <v>44678</v>
      </c>
      <c r="C6326" s="1" t="n">
        <v>45357</v>
      </c>
      <c r="D6326" t="inlineStr">
        <is>
          <t>VÄSTERBOTTENS LÄN</t>
        </is>
      </c>
      <c r="E6326" t="inlineStr">
        <is>
          <t>MALÅ</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17257-2022</t>
        </is>
      </c>
      <c r="B6327" s="1" t="n">
        <v>44678</v>
      </c>
      <c r="C6327" s="1" t="n">
        <v>45357</v>
      </c>
      <c r="D6327" t="inlineStr">
        <is>
          <t>VÄSTERBOTTENS LÄN</t>
        </is>
      </c>
      <c r="E6327" t="inlineStr">
        <is>
          <t>SKELLEFTEÅ</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17251-2022</t>
        </is>
      </c>
      <c r="B6328" s="1" t="n">
        <v>44678</v>
      </c>
      <c r="C6328" s="1" t="n">
        <v>45357</v>
      </c>
      <c r="D6328" t="inlineStr">
        <is>
          <t>VÄSTERBOTTENS LÄN</t>
        </is>
      </c>
      <c r="E6328" t="inlineStr">
        <is>
          <t>SKELLEFTEÅ</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17409-2022</t>
        </is>
      </c>
      <c r="B6329" s="1" t="n">
        <v>44678</v>
      </c>
      <c r="C6329" s="1" t="n">
        <v>45357</v>
      </c>
      <c r="D6329" t="inlineStr">
        <is>
          <t>VÄSTERBOTTENS LÄN</t>
        </is>
      </c>
      <c r="E6329" t="inlineStr">
        <is>
          <t>BJURHOLM</t>
        </is>
      </c>
      <c r="F6329" t="inlineStr">
        <is>
          <t>Holmen skog AB</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17484-2022</t>
        </is>
      </c>
      <c r="B6330" s="1" t="n">
        <v>44679</v>
      </c>
      <c r="C6330" s="1" t="n">
        <v>45357</v>
      </c>
      <c r="D6330" t="inlineStr">
        <is>
          <t>VÄSTERBOTTENS LÄN</t>
        </is>
      </c>
      <c r="E6330" t="inlineStr">
        <is>
          <t>UMEÅ</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17471-2022</t>
        </is>
      </c>
      <c r="B6331" s="1" t="n">
        <v>44679</v>
      </c>
      <c r="C6331" s="1" t="n">
        <v>45357</v>
      </c>
      <c r="D6331" t="inlineStr">
        <is>
          <t>VÄSTERBOTTENS LÄN</t>
        </is>
      </c>
      <c r="E6331" t="inlineStr">
        <is>
          <t>STORUMAN</t>
        </is>
      </c>
      <c r="G6331" t="n">
        <v>59.1</v>
      </c>
      <c r="H6331" t="n">
        <v>0</v>
      </c>
      <c r="I6331" t="n">
        <v>0</v>
      </c>
      <c r="J6331" t="n">
        <v>0</v>
      </c>
      <c r="K6331" t="n">
        <v>0</v>
      </c>
      <c r="L6331" t="n">
        <v>0</v>
      </c>
      <c r="M6331" t="n">
        <v>0</v>
      </c>
      <c r="N6331" t="n">
        <v>0</v>
      </c>
      <c r="O6331" t="n">
        <v>0</v>
      </c>
      <c r="P6331" t="n">
        <v>0</v>
      </c>
      <c r="Q6331" t="n">
        <v>0</v>
      </c>
      <c r="R6331" s="2" t="inlineStr"/>
    </row>
    <row r="6332" ht="15" customHeight="1">
      <c r="A6332" t="inlineStr">
        <is>
          <t>A 17477-2022</t>
        </is>
      </c>
      <c r="B6332" s="1" t="n">
        <v>44679</v>
      </c>
      <c r="C6332" s="1" t="n">
        <v>45357</v>
      </c>
      <c r="D6332" t="inlineStr">
        <is>
          <t>VÄSTERBOTTENS LÄN</t>
        </is>
      </c>
      <c r="E6332" t="inlineStr">
        <is>
          <t>UMEÅ</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17554-2022</t>
        </is>
      </c>
      <c r="B6333" s="1" t="n">
        <v>44679</v>
      </c>
      <c r="C6333" s="1" t="n">
        <v>45357</v>
      </c>
      <c r="D6333" t="inlineStr">
        <is>
          <t>VÄSTERBOTTENS LÄN</t>
        </is>
      </c>
      <c r="E6333" t="inlineStr">
        <is>
          <t>BJURHOLM</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17591-2022</t>
        </is>
      </c>
      <c r="B6334" s="1" t="n">
        <v>44679</v>
      </c>
      <c r="C6334" s="1" t="n">
        <v>45357</v>
      </c>
      <c r="D6334" t="inlineStr">
        <is>
          <t>VÄSTERBOTTENS LÄN</t>
        </is>
      </c>
      <c r="E6334" t="inlineStr">
        <is>
          <t>VILHELMINA</t>
        </is>
      </c>
      <c r="F6334" t="inlineStr">
        <is>
          <t>SCA</t>
        </is>
      </c>
      <c r="G6334" t="n">
        <v>10</v>
      </c>
      <c r="H6334" t="n">
        <v>0</v>
      </c>
      <c r="I6334" t="n">
        <v>0</v>
      </c>
      <c r="J6334" t="n">
        <v>0</v>
      </c>
      <c r="K6334" t="n">
        <v>0</v>
      </c>
      <c r="L6334" t="n">
        <v>0</v>
      </c>
      <c r="M6334" t="n">
        <v>0</v>
      </c>
      <c r="N6334" t="n">
        <v>0</v>
      </c>
      <c r="O6334" t="n">
        <v>0</v>
      </c>
      <c r="P6334" t="n">
        <v>0</v>
      </c>
      <c r="Q6334" t="n">
        <v>0</v>
      </c>
      <c r="R6334" s="2" t="inlineStr"/>
    </row>
    <row r="6335" ht="15" customHeight="1">
      <c r="A6335" t="inlineStr">
        <is>
          <t>A 17551-2022</t>
        </is>
      </c>
      <c r="B6335" s="1" t="n">
        <v>44679</v>
      </c>
      <c r="C6335" s="1" t="n">
        <v>45357</v>
      </c>
      <c r="D6335" t="inlineStr">
        <is>
          <t>VÄSTERBOTTENS LÄN</t>
        </is>
      </c>
      <c r="E6335" t="inlineStr">
        <is>
          <t>BJURHOLM</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17581-2022</t>
        </is>
      </c>
      <c r="B6336" s="1" t="n">
        <v>44680</v>
      </c>
      <c r="C6336" s="1" t="n">
        <v>45357</v>
      </c>
      <c r="D6336" t="inlineStr">
        <is>
          <t>VÄSTERBOTTENS LÄN</t>
        </is>
      </c>
      <c r="E6336" t="inlineStr">
        <is>
          <t>VINDELN</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17590-2022</t>
        </is>
      </c>
      <c r="B6337" s="1" t="n">
        <v>44679</v>
      </c>
      <c r="C6337" s="1" t="n">
        <v>45357</v>
      </c>
      <c r="D6337" t="inlineStr">
        <is>
          <t>VÄSTERBOTTENS LÄN</t>
        </is>
      </c>
      <c r="E6337" t="inlineStr">
        <is>
          <t>VILHELMINA</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17609-2022</t>
        </is>
      </c>
      <c r="B6338" s="1" t="n">
        <v>44680</v>
      </c>
      <c r="C6338" s="1" t="n">
        <v>45357</v>
      </c>
      <c r="D6338" t="inlineStr">
        <is>
          <t>VÄSTERBOTTENS LÄN</t>
        </is>
      </c>
      <c r="E6338" t="inlineStr">
        <is>
          <t>BJURHOLM</t>
        </is>
      </c>
      <c r="G6338" t="n">
        <v>10.2</v>
      </c>
      <c r="H6338" t="n">
        <v>0</v>
      </c>
      <c r="I6338" t="n">
        <v>0</v>
      </c>
      <c r="J6338" t="n">
        <v>0</v>
      </c>
      <c r="K6338" t="n">
        <v>0</v>
      </c>
      <c r="L6338" t="n">
        <v>0</v>
      </c>
      <c r="M6338" t="n">
        <v>0</v>
      </c>
      <c r="N6338" t="n">
        <v>0</v>
      </c>
      <c r="O6338" t="n">
        <v>0</v>
      </c>
      <c r="P6338" t="n">
        <v>0</v>
      </c>
      <c r="Q6338" t="n">
        <v>0</v>
      </c>
      <c r="R6338" s="2" t="inlineStr"/>
    </row>
    <row r="6339" ht="15" customHeight="1">
      <c r="A6339" t="inlineStr">
        <is>
          <t>A 17740-2022</t>
        </is>
      </c>
      <c r="B6339" s="1" t="n">
        <v>44681</v>
      </c>
      <c r="C6339" s="1" t="n">
        <v>45357</v>
      </c>
      <c r="D6339" t="inlineStr">
        <is>
          <t>VÄSTERBOTTENS LÄN</t>
        </is>
      </c>
      <c r="E6339" t="inlineStr">
        <is>
          <t>ÅSELE</t>
        </is>
      </c>
      <c r="F6339" t="inlineStr">
        <is>
          <t>SCA</t>
        </is>
      </c>
      <c r="G6339" t="n">
        <v>8</v>
      </c>
      <c r="H6339" t="n">
        <v>0</v>
      </c>
      <c r="I6339" t="n">
        <v>0</v>
      </c>
      <c r="J6339" t="n">
        <v>0</v>
      </c>
      <c r="K6339" t="n">
        <v>0</v>
      </c>
      <c r="L6339" t="n">
        <v>0</v>
      </c>
      <c r="M6339" t="n">
        <v>0</v>
      </c>
      <c r="N6339" t="n">
        <v>0</v>
      </c>
      <c r="O6339" t="n">
        <v>0</v>
      </c>
      <c r="P6339" t="n">
        <v>0</v>
      </c>
      <c r="Q6339" t="n">
        <v>0</v>
      </c>
      <c r="R6339" s="2" t="inlineStr"/>
    </row>
    <row r="6340" ht="15" customHeight="1">
      <c r="A6340" t="inlineStr">
        <is>
          <t>A 17831-2022</t>
        </is>
      </c>
      <c r="B6340" s="1" t="n">
        <v>44683</v>
      </c>
      <c r="C6340" s="1" t="n">
        <v>45357</v>
      </c>
      <c r="D6340" t="inlineStr">
        <is>
          <t>VÄSTERBOTTENS LÄN</t>
        </is>
      </c>
      <c r="E6340" t="inlineStr">
        <is>
          <t>LYCKSELE</t>
        </is>
      </c>
      <c r="F6340" t="inlineStr">
        <is>
          <t>Sveaskog</t>
        </is>
      </c>
      <c r="G6340" t="n">
        <v>12.3</v>
      </c>
      <c r="H6340" t="n">
        <v>0</v>
      </c>
      <c r="I6340" t="n">
        <v>0</v>
      </c>
      <c r="J6340" t="n">
        <v>0</v>
      </c>
      <c r="K6340" t="n">
        <v>0</v>
      </c>
      <c r="L6340" t="n">
        <v>0</v>
      </c>
      <c r="M6340" t="n">
        <v>0</v>
      </c>
      <c r="N6340" t="n">
        <v>0</v>
      </c>
      <c r="O6340" t="n">
        <v>0</v>
      </c>
      <c r="P6340" t="n">
        <v>0</v>
      </c>
      <c r="Q6340" t="n">
        <v>0</v>
      </c>
      <c r="R6340" s="2" t="inlineStr"/>
    </row>
    <row r="6341" ht="15" customHeight="1">
      <c r="A6341" t="inlineStr">
        <is>
          <t>A 17848-2022</t>
        </is>
      </c>
      <c r="B6341" s="1" t="n">
        <v>44683</v>
      </c>
      <c r="C6341" s="1" t="n">
        <v>45357</v>
      </c>
      <c r="D6341" t="inlineStr">
        <is>
          <t>VÄSTERBOTTENS LÄN</t>
        </is>
      </c>
      <c r="E6341" t="inlineStr">
        <is>
          <t>ROBERTSFORS</t>
        </is>
      </c>
      <c r="F6341" t="inlineStr">
        <is>
          <t>Holmen skog AB</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18004-2022</t>
        </is>
      </c>
      <c r="B6342" s="1" t="n">
        <v>44684</v>
      </c>
      <c r="C6342" s="1" t="n">
        <v>45357</v>
      </c>
      <c r="D6342" t="inlineStr">
        <is>
          <t>VÄSTERBOTTENS LÄN</t>
        </is>
      </c>
      <c r="E6342" t="inlineStr">
        <is>
          <t>DOROTEA</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17997-2022</t>
        </is>
      </c>
      <c r="B6343" s="1" t="n">
        <v>44683</v>
      </c>
      <c r="C6343" s="1" t="n">
        <v>45357</v>
      </c>
      <c r="D6343" t="inlineStr">
        <is>
          <t>VÄSTERBOTTENS LÄN</t>
        </is>
      </c>
      <c r="E6343" t="inlineStr">
        <is>
          <t>ROBERTSFORS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18056-2022</t>
        </is>
      </c>
      <c r="B6344" s="1" t="n">
        <v>44684</v>
      </c>
      <c r="C6344" s="1" t="n">
        <v>45357</v>
      </c>
      <c r="D6344" t="inlineStr">
        <is>
          <t>VÄSTERBOTTENS LÄN</t>
        </is>
      </c>
      <c r="E6344" t="inlineStr">
        <is>
          <t>SKELLEFTEÅ</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18070-2022</t>
        </is>
      </c>
      <c r="B6345" s="1" t="n">
        <v>44684</v>
      </c>
      <c r="C6345" s="1" t="n">
        <v>45357</v>
      </c>
      <c r="D6345" t="inlineStr">
        <is>
          <t>VÄSTERBOTTENS LÄN</t>
        </is>
      </c>
      <c r="E6345" t="inlineStr">
        <is>
          <t>SKELLEFTEÅ</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18046-2022</t>
        </is>
      </c>
      <c r="B6346" s="1" t="n">
        <v>44684</v>
      </c>
      <c r="C6346" s="1" t="n">
        <v>45357</v>
      </c>
      <c r="D6346" t="inlineStr">
        <is>
          <t>VÄSTERBOTTENS LÄN</t>
        </is>
      </c>
      <c r="E6346" t="inlineStr">
        <is>
          <t>SKELLEFTEÅ</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18081-2022</t>
        </is>
      </c>
      <c r="B6347" s="1" t="n">
        <v>44684</v>
      </c>
      <c r="C6347" s="1" t="n">
        <v>45357</v>
      </c>
      <c r="D6347" t="inlineStr">
        <is>
          <t>VÄSTERBOTTENS LÄN</t>
        </is>
      </c>
      <c r="E6347" t="inlineStr">
        <is>
          <t>SKELLEFTEÅ</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18172-2022</t>
        </is>
      </c>
      <c r="B6348" s="1" t="n">
        <v>44684</v>
      </c>
      <c r="C6348" s="1" t="n">
        <v>45357</v>
      </c>
      <c r="D6348" t="inlineStr">
        <is>
          <t>VÄSTERBOTTENS LÄN</t>
        </is>
      </c>
      <c r="E6348" t="inlineStr">
        <is>
          <t>VINDELN</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18255-2022</t>
        </is>
      </c>
      <c r="B6349" s="1" t="n">
        <v>44685</v>
      </c>
      <c r="C6349" s="1" t="n">
        <v>45357</v>
      </c>
      <c r="D6349" t="inlineStr">
        <is>
          <t>VÄSTERBOTTENS LÄN</t>
        </is>
      </c>
      <c r="E6349" t="inlineStr">
        <is>
          <t>SKELLEFTEÅ</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18392-2022</t>
        </is>
      </c>
      <c r="B6350" s="1" t="n">
        <v>44685</v>
      </c>
      <c r="C6350" s="1" t="n">
        <v>45357</v>
      </c>
      <c r="D6350" t="inlineStr">
        <is>
          <t>VÄSTERBOTTENS LÄN</t>
        </is>
      </c>
      <c r="E6350" t="inlineStr">
        <is>
          <t>VINDELN</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18366-2022</t>
        </is>
      </c>
      <c r="B6351" s="1" t="n">
        <v>44685</v>
      </c>
      <c r="C6351" s="1" t="n">
        <v>45357</v>
      </c>
      <c r="D6351" t="inlineStr">
        <is>
          <t>VÄSTERBOTTENS LÄN</t>
        </is>
      </c>
      <c r="E6351" t="inlineStr">
        <is>
          <t>STORUMAN</t>
        </is>
      </c>
      <c r="G6351" t="n">
        <v>18.9</v>
      </c>
      <c r="H6351" t="n">
        <v>0</v>
      </c>
      <c r="I6351" t="n">
        <v>0</v>
      </c>
      <c r="J6351" t="n">
        <v>0</v>
      </c>
      <c r="K6351" t="n">
        <v>0</v>
      </c>
      <c r="L6351" t="n">
        <v>0</v>
      </c>
      <c r="M6351" t="n">
        <v>0</v>
      </c>
      <c r="N6351" t="n">
        <v>0</v>
      </c>
      <c r="O6351" t="n">
        <v>0</v>
      </c>
      <c r="P6351" t="n">
        <v>0</v>
      </c>
      <c r="Q6351" t="n">
        <v>0</v>
      </c>
      <c r="R6351" s="2" t="inlineStr"/>
    </row>
    <row r="6352" ht="15" customHeight="1">
      <c r="A6352" t="inlineStr">
        <is>
          <t>A 18399-2022</t>
        </is>
      </c>
      <c r="B6352" s="1" t="n">
        <v>44685</v>
      </c>
      <c r="C6352" s="1" t="n">
        <v>45357</v>
      </c>
      <c r="D6352" t="inlineStr">
        <is>
          <t>VÄSTERBOTTENS LÄN</t>
        </is>
      </c>
      <c r="E6352" t="inlineStr">
        <is>
          <t>VINDELN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18369-2022</t>
        </is>
      </c>
      <c r="B6353" s="1" t="n">
        <v>44686</v>
      </c>
      <c r="C6353" s="1" t="n">
        <v>45357</v>
      </c>
      <c r="D6353" t="inlineStr">
        <is>
          <t>VÄSTERBOTTENS LÄN</t>
        </is>
      </c>
      <c r="E6353" t="inlineStr">
        <is>
          <t>NORDMALING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18447-2022</t>
        </is>
      </c>
      <c r="B6354" s="1" t="n">
        <v>44686</v>
      </c>
      <c r="C6354" s="1" t="n">
        <v>45357</v>
      </c>
      <c r="D6354" t="inlineStr">
        <is>
          <t>VÄSTERBOTTENS LÄN</t>
        </is>
      </c>
      <c r="E6354" t="inlineStr">
        <is>
          <t>VINDELN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18497-2022</t>
        </is>
      </c>
      <c r="B6355" s="1" t="n">
        <v>44686</v>
      </c>
      <c r="C6355" s="1" t="n">
        <v>45357</v>
      </c>
      <c r="D6355" t="inlineStr">
        <is>
          <t>VÄSTERBOTTENS LÄN</t>
        </is>
      </c>
      <c r="E6355" t="inlineStr">
        <is>
          <t>VILHELMINA</t>
        </is>
      </c>
      <c r="F6355" t="inlineStr">
        <is>
          <t>Övriga statliga verk och myndigheter</t>
        </is>
      </c>
      <c r="G6355" t="n">
        <v>64.7</v>
      </c>
      <c r="H6355" t="n">
        <v>0</v>
      </c>
      <c r="I6355" t="n">
        <v>0</v>
      </c>
      <c r="J6355" t="n">
        <v>0</v>
      </c>
      <c r="K6355" t="n">
        <v>0</v>
      </c>
      <c r="L6355" t="n">
        <v>0</v>
      </c>
      <c r="M6355" t="n">
        <v>0</v>
      </c>
      <c r="N6355" t="n">
        <v>0</v>
      </c>
      <c r="O6355" t="n">
        <v>0</v>
      </c>
      <c r="P6355" t="n">
        <v>0</v>
      </c>
      <c r="Q6355" t="n">
        <v>0</v>
      </c>
      <c r="R6355" s="2" t="inlineStr"/>
    </row>
    <row r="6356" ht="15" customHeight="1">
      <c r="A6356" t="inlineStr">
        <is>
          <t>A 18569-2022</t>
        </is>
      </c>
      <c r="B6356" s="1" t="n">
        <v>44687</v>
      </c>
      <c r="C6356" s="1" t="n">
        <v>45357</v>
      </c>
      <c r="D6356" t="inlineStr">
        <is>
          <t>VÄSTERBOTTENS LÄN</t>
        </is>
      </c>
      <c r="E6356" t="inlineStr">
        <is>
          <t>ÅSELE</t>
        </is>
      </c>
      <c r="F6356" t="inlineStr">
        <is>
          <t>SCA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18564-2022</t>
        </is>
      </c>
      <c r="B6357" s="1" t="n">
        <v>44686</v>
      </c>
      <c r="C6357" s="1" t="n">
        <v>45357</v>
      </c>
      <c r="D6357" t="inlineStr">
        <is>
          <t>VÄSTERBOTTENS LÄN</t>
        </is>
      </c>
      <c r="E6357" t="inlineStr">
        <is>
          <t>VILHELMINA</t>
        </is>
      </c>
      <c r="F6357" t="inlineStr">
        <is>
          <t>SCA</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18571-2022</t>
        </is>
      </c>
      <c r="B6358" s="1" t="n">
        <v>44687</v>
      </c>
      <c r="C6358" s="1" t="n">
        <v>45357</v>
      </c>
      <c r="D6358" t="inlineStr">
        <is>
          <t>VÄSTERBOTTENS LÄN</t>
        </is>
      </c>
      <c r="E6358" t="inlineStr">
        <is>
          <t>NORDMALING</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18568-2022</t>
        </is>
      </c>
      <c r="B6359" s="1" t="n">
        <v>44687</v>
      </c>
      <c r="C6359" s="1" t="n">
        <v>45357</v>
      </c>
      <c r="D6359" t="inlineStr">
        <is>
          <t>VÄSTERBOTTENS LÄN</t>
        </is>
      </c>
      <c r="E6359" t="inlineStr">
        <is>
          <t>ÅSELE</t>
        </is>
      </c>
      <c r="F6359" t="inlineStr">
        <is>
          <t>SCA</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18576-2022</t>
        </is>
      </c>
      <c r="B6360" s="1" t="n">
        <v>44687</v>
      </c>
      <c r="C6360" s="1" t="n">
        <v>45357</v>
      </c>
      <c r="D6360" t="inlineStr">
        <is>
          <t>VÄSTERBOTTENS LÄN</t>
        </is>
      </c>
      <c r="E6360" t="inlineStr">
        <is>
          <t>ÅSELE</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18578-2022</t>
        </is>
      </c>
      <c r="B6361" s="1" t="n">
        <v>44687</v>
      </c>
      <c r="C6361" s="1" t="n">
        <v>45357</v>
      </c>
      <c r="D6361" t="inlineStr">
        <is>
          <t>VÄSTERBOTTENS LÄN</t>
        </is>
      </c>
      <c r="E6361" t="inlineStr">
        <is>
          <t>ÅSELE</t>
        </is>
      </c>
      <c r="F6361" t="inlineStr">
        <is>
          <t>Holmen skog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18641-2022</t>
        </is>
      </c>
      <c r="B6362" s="1" t="n">
        <v>44687</v>
      </c>
      <c r="C6362" s="1" t="n">
        <v>45357</v>
      </c>
      <c r="D6362" t="inlineStr">
        <is>
          <t>VÄSTERBOTTENS LÄN</t>
        </is>
      </c>
      <c r="E6362" t="inlineStr">
        <is>
          <t>NORDMALING</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18584-2022</t>
        </is>
      </c>
      <c r="B6363" s="1" t="n">
        <v>44687</v>
      </c>
      <c r="C6363" s="1" t="n">
        <v>45357</v>
      </c>
      <c r="D6363" t="inlineStr">
        <is>
          <t>VÄSTERBOTTENS LÄN</t>
        </is>
      </c>
      <c r="E6363" t="inlineStr">
        <is>
          <t>SKELLEFTEÅ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18639-2022</t>
        </is>
      </c>
      <c r="B6364" s="1" t="n">
        <v>44687</v>
      </c>
      <c r="C6364" s="1" t="n">
        <v>45357</v>
      </c>
      <c r="D6364" t="inlineStr">
        <is>
          <t>VÄSTERBOTTENS LÄN</t>
        </is>
      </c>
      <c r="E6364" t="inlineStr">
        <is>
          <t>NORDMALING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18661-2022</t>
        </is>
      </c>
      <c r="B6365" s="1" t="n">
        <v>44687</v>
      </c>
      <c r="C6365" s="1" t="n">
        <v>45357</v>
      </c>
      <c r="D6365" t="inlineStr">
        <is>
          <t>VÄSTERBOTTENS LÄN</t>
        </is>
      </c>
      <c r="E6365" t="inlineStr">
        <is>
          <t>SKELLEFTEÅ</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18618-2022</t>
        </is>
      </c>
      <c r="B6366" s="1" t="n">
        <v>44687</v>
      </c>
      <c r="C6366" s="1" t="n">
        <v>45357</v>
      </c>
      <c r="D6366" t="inlineStr">
        <is>
          <t>VÄSTERBOTTENS LÄN</t>
        </is>
      </c>
      <c r="E6366" t="inlineStr">
        <is>
          <t>ÅSELE</t>
        </is>
      </c>
      <c r="F6366" t="inlineStr">
        <is>
          <t>Holmen skog AB</t>
        </is>
      </c>
      <c r="G6366" t="n">
        <v>11.9</v>
      </c>
      <c r="H6366" t="n">
        <v>0</v>
      </c>
      <c r="I6366" t="n">
        <v>0</v>
      </c>
      <c r="J6366" t="n">
        <v>0</v>
      </c>
      <c r="K6366" t="n">
        <v>0</v>
      </c>
      <c r="L6366" t="n">
        <v>0</v>
      </c>
      <c r="M6366" t="n">
        <v>0</v>
      </c>
      <c r="N6366" t="n">
        <v>0</v>
      </c>
      <c r="O6366" t="n">
        <v>0</v>
      </c>
      <c r="P6366" t="n">
        <v>0</v>
      </c>
      <c r="Q6366" t="n">
        <v>0</v>
      </c>
      <c r="R6366" s="2" t="inlineStr"/>
    </row>
    <row r="6367" ht="15" customHeight="1">
      <c r="A6367" t="inlineStr">
        <is>
          <t>A 18686-2022</t>
        </is>
      </c>
      <c r="B6367" s="1" t="n">
        <v>44687</v>
      </c>
      <c r="C6367" s="1" t="n">
        <v>45357</v>
      </c>
      <c r="D6367" t="inlineStr">
        <is>
          <t>VÄSTERBOTTENS LÄN</t>
        </is>
      </c>
      <c r="E6367" t="inlineStr">
        <is>
          <t>LYCKSELE</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18788-2022</t>
        </is>
      </c>
      <c r="B6368" s="1" t="n">
        <v>44687</v>
      </c>
      <c r="C6368" s="1" t="n">
        <v>45357</v>
      </c>
      <c r="D6368" t="inlineStr">
        <is>
          <t>VÄSTERBOTTENS LÄN</t>
        </is>
      </c>
      <c r="E6368" t="inlineStr">
        <is>
          <t>UMEÅ</t>
        </is>
      </c>
      <c r="F6368" t="inlineStr">
        <is>
          <t>Kommuner</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18768-2022</t>
        </is>
      </c>
      <c r="B6369" s="1" t="n">
        <v>44689</v>
      </c>
      <c r="C6369" s="1" t="n">
        <v>45357</v>
      </c>
      <c r="D6369" t="inlineStr">
        <is>
          <t>VÄSTERBOTTENS LÄN</t>
        </is>
      </c>
      <c r="E6369" t="inlineStr">
        <is>
          <t>VINDELN</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18766-2022</t>
        </is>
      </c>
      <c r="B6370" s="1" t="n">
        <v>44689</v>
      </c>
      <c r="C6370" s="1" t="n">
        <v>45357</v>
      </c>
      <c r="D6370" t="inlineStr">
        <is>
          <t>VÄSTERBOTTENS LÄN</t>
        </is>
      </c>
      <c r="E6370" t="inlineStr">
        <is>
          <t>VINDELN</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18767-2022</t>
        </is>
      </c>
      <c r="B6371" s="1" t="n">
        <v>44689</v>
      </c>
      <c r="C6371" s="1" t="n">
        <v>45357</v>
      </c>
      <c r="D6371" t="inlineStr">
        <is>
          <t>VÄSTERBOTTENS LÄN</t>
        </is>
      </c>
      <c r="E6371" t="inlineStr">
        <is>
          <t>VINDELN</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18995-2022</t>
        </is>
      </c>
      <c r="B6372" s="1" t="n">
        <v>44690</v>
      </c>
      <c r="C6372" s="1" t="n">
        <v>45357</v>
      </c>
      <c r="D6372" t="inlineStr">
        <is>
          <t>VÄSTERBOTTENS LÄN</t>
        </is>
      </c>
      <c r="E6372" t="inlineStr">
        <is>
          <t>VILHELMINA</t>
        </is>
      </c>
      <c r="F6372" t="inlineStr">
        <is>
          <t>SCA</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18996-2022</t>
        </is>
      </c>
      <c r="B6373" s="1" t="n">
        <v>44690</v>
      </c>
      <c r="C6373" s="1" t="n">
        <v>45357</v>
      </c>
      <c r="D6373" t="inlineStr">
        <is>
          <t>VÄSTERBOTTENS LÄN</t>
        </is>
      </c>
      <c r="E6373" t="inlineStr">
        <is>
          <t>VILHELMINA</t>
        </is>
      </c>
      <c r="F6373" t="inlineStr">
        <is>
          <t>SCA</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19082-2022</t>
        </is>
      </c>
      <c r="B6374" s="1" t="n">
        <v>44691</v>
      </c>
      <c r="C6374" s="1" t="n">
        <v>45357</v>
      </c>
      <c r="D6374" t="inlineStr">
        <is>
          <t>VÄSTERBOTTENS LÄN</t>
        </is>
      </c>
      <c r="E6374" t="inlineStr">
        <is>
          <t>VÄNNÄS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19093-2022</t>
        </is>
      </c>
      <c r="B6375" s="1" t="n">
        <v>44691</v>
      </c>
      <c r="C6375" s="1" t="n">
        <v>45357</v>
      </c>
      <c r="D6375" t="inlineStr">
        <is>
          <t>VÄSTERBOTTENS LÄN</t>
        </is>
      </c>
      <c r="E6375" t="inlineStr">
        <is>
          <t>VÄNNÄS</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19100-2022</t>
        </is>
      </c>
      <c r="B6376" s="1" t="n">
        <v>44691</v>
      </c>
      <c r="C6376" s="1" t="n">
        <v>45357</v>
      </c>
      <c r="D6376" t="inlineStr">
        <is>
          <t>VÄSTERBOTTENS LÄN</t>
        </is>
      </c>
      <c r="E6376" t="inlineStr">
        <is>
          <t>VÄNNÄS</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19023-2022</t>
        </is>
      </c>
      <c r="B6377" s="1" t="n">
        <v>44691</v>
      </c>
      <c r="C6377" s="1" t="n">
        <v>45357</v>
      </c>
      <c r="D6377" t="inlineStr">
        <is>
          <t>VÄSTERBOTTENS LÄN</t>
        </is>
      </c>
      <c r="E6377" t="inlineStr">
        <is>
          <t>VINDELN</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19204-2022</t>
        </is>
      </c>
      <c r="B6378" s="1" t="n">
        <v>44692</v>
      </c>
      <c r="C6378" s="1" t="n">
        <v>45357</v>
      </c>
      <c r="D6378" t="inlineStr">
        <is>
          <t>VÄSTERBOTTENS LÄN</t>
        </is>
      </c>
      <c r="E6378" t="inlineStr">
        <is>
          <t>DOROTEA</t>
        </is>
      </c>
      <c r="F6378" t="inlineStr">
        <is>
          <t>SCA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19225-2022</t>
        </is>
      </c>
      <c r="B6379" s="1" t="n">
        <v>44692</v>
      </c>
      <c r="C6379" s="1" t="n">
        <v>45357</v>
      </c>
      <c r="D6379" t="inlineStr">
        <is>
          <t>VÄSTERBOTTENS LÄN</t>
        </is>
      </c>
      <c r="E6379" t="inlineStr">
        <is>
          <t>VINDELN</t>
        </is>
      </c>
      <c r="G6379" t="n">
        <v>8.1</v>
      </c>
      <c r="H6379" t="n">
        <v>0</v>
      </c>
      <c r="I6379" t="n">
        <v>0</v>
      </c>
      <c r="J6379" t="n">
        <v>0</v>
      </c>
      <c r="K6379" t="n">
        <v>0</v>
      </c>
      <c r="L6379" t="n">
        <v>0</v>
      </c>
      <c r="M6379" t="n">
        <v>0</v>
      </c>
      <c r="N6379" t="n">
        <v>0</v>
      </c>
      <c r="O6379" t="n">
        <v>0</v>
      </c>
      <c r="P6379" t="n">
        <v>0</v>
      </c>
      <c r="Q6379" t="n">
        <v>0</v>
      </c>
      <c r="R6379" s="2" t="inlineStr"/>
    </row>
    <row r="6380" ht="15" customHeight="1">
      <c r="A6380" t="inlineStr">
        <is>
          <t>A 19366-2022</t>
        </is>
      </c>
      <c r="B6380" s="1" t="n">
        <v>44692</v>
      </c>
      <c r="C6380" s="1" t="n">
        <v>45357</v>
      </c>
      <c r="D6380" t="inlineStr">
        <is>
          <t>VÄSTERBOTTENS LÄN</t>
        </is>
      </c>
      <c r="E6380" t="inlineStr">
        <is>
          <t>ROBERTSFORS</t>
        </is>
      </c>
      <c r="F6380" t="inlineStr">
        <is>
          <t>Holmen skog AB</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19394-2022</t>
        </is>
      </c>
      <c r="B6381" s="1" t="n">
        <v>44692</v>
      </c>
      <c r="C6381" s="1" t="n">
        <v>45357</v>
      </c>
      <c r="D6381" t="inlineStr">
        <is>
          <t>VÄSTERBOTTENS LÄN</t>
        </is>
      </c>
      <c r="E6381" t="inlineStr">
        <is>
          <t>VILHELMINA</t>
        </is>
      </c>
      <c r="F6381" t="inlineStr">
        <is>
          <t>SCA</t>
        </is>
      </c>
      <c r="G6381" t="n">
        <v>9.9</v>
      </c>
      <c r="H6381" t="n">
        <v>0</v>
      </c>
      <c r="I6381" t="n">
        <v>0</v>
      </c>
      <c r="J6381" t="n">
        <v>0</v>
      </c>
      <c r="K6381" t="n">
        <v>0</v>
      </c>
      <c r="L6381" t="n">
        <v>0</v>
      </c>
      <c r="M6381" t="n">
        <v>0</v>
      </c>
      <c r="N6381" t="n">
        <v>0</v>
      </c>
      <c r="O6381" t="n">
        <v>0</v>
      </c>
      <c r="P6381" t="n">
        <v>0</v>
      </c>
      <c r="Q6381" t="n">
        <v>0</v>
      </c>
      <c r="R6381" s="2" t="inlineStr"/>
    </row>
    <row r="6382" ht="15" customHeight="1">
      <c r="A6382" t="inlineStr">
        <is>
          <t>A 19406-2022</t>
        </is>
      </c>
      <c r="B6382" s="1" t="n">
        <v>44692</v>
      </c>
      <c r="C6382" s="1" t="n">
        <v>45357</v>
      </c>
      <c r="D6382" t="inlineStr">
        <is>
          <t>VÄSTERBOTTENS LÄN</t>
        </is>
      </c>
      <c r="E6382" t="inlineStr">
        <is>
          <t>DOROTEA</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19442-2022</t>
        </is>
      </c>
      <c r="B6383" s="1" t="n">
        <v>44693</v>
      </c>
      <c r="C6383" s="1" t="n">
        <v>45357</v>
      </c>
      <c r="D6383" t="inlineStr">
        <is>
          <t>VÄSTERBOTTENS LÄN</t>
        </is>
      </c>
      <c r="E6383" t="inlineStr">
        <is>
          <t>VINDELN</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19471-2022</t>
        </is>
      </c>
      <c r="B6384" s="1" t="n">
        <v>44693</v>
      </c>
      <c r="C6384" s="1" t="n">
        <v>45357</v>
      </c>
      <c r="D6384" t="inlineStr">
        <is>
          <t>VÄSTERBOTTENS LÄN</t>
        </is>
      </c>
      <c r="E6384" t="inlineStr">
        <is>
          <t>VILHELMINA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19423-2022</t>
        </is>
      </c>
      <c r="B6385" s="1" t="n">
        <v>44693</v>
      </c>
      <c r="C6385" s="1" t="n">
        <v>45357</v>
      </c>
      <c r="D6385" t="inlineStr">
        <is>
          <t>VÄSTERBOTTENS LÄN</t>
        </is>
      </c>
      <c r="E6385" t="inlineStr">
        <is>
          <t>VILHELMINA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19452-2022</t>
        </is>
      </c>
      <c r="B6386" s="1" t="n">
        <v>44693</v>
      </c>
      <c r="C6386" s="1" t="n">
        <v>45357</v>
      </c>
      <c r="D6386" t="inlineStr">
        <is>
          <t>VÄSTERBOTTENS LÄN</t>
        </is>
      </c>
      <c r="E6386" t="inlineStr">
        <is>
          <t>VINDELN</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19463-2022</t>
        </is>
      </c>
      <c r="B6387" s="1" t="n">
        <v>44693</v>
      </c>
      <c r="C6387" s="1" t="n">
        <v>45357</v>
      </c>
      <c r="D6387" t="inlineStr">
        <is>
          <t>VÄSTERBOTTENS LÄN</t>
        </is>
      </c>
      <c r="E6387" t="inlineStr">
        <is>
          <t>STORUMAN</t>
        </is>
      </c>
      <c r="G6387" t="n">
        <v>10.3</v>
      </c>
      <c r="H6387" t="n">
        <v>0</v>
      </c>
      <c r="I6387" t="n">
        <v>0</v>
      </c>
      <c r="J6387" t="n">
        <v>0</v>
      </c>
      <c r="K6387" t="n">
        <v>0</v>
      </c>
      <c r="L6387" t="n">
        <v>0</v>
      </c>
      <c r="M6387" t="n">
        <v>0</v>
      </c>
      <c r="N6387" t="n">
        <v>0</v>
      </c>
      <c r="O6387" t="n">
        <v>0</v>
      </c>
      <c r="P6387" t="n">
        <v>0</v>
      </c>
      <c r="Q6387" t="n">
        <v>0</v>
      </c>
      <c r="R6387" s="2" t="inlineStr"/>
    </row>
    <row r="6388" ht="15" customHeight="1">
      <c r="A6388" t="inlineStr">
        <is>
          <t>A 19701-2022</t>
        </is>
      </c>
      <c r="B6388" s="1" t="n">
        <v>44694</v>
      </c>
      <c r="C6388" s="1" t="n">
        <v>45357</v>
      </c>
      <c r="D6388" t="inlineStr">
        <is>
          <t>VÄSTERBOTTENS LÄN</t>
        </is>
      </c>
      <c r="E6388" t="inlineStr">
        <is>
          <t>ÅSELE</t>
        </is>
      </c>
      <c r="F6388" t="inlineStr">
        <is>
          <t>Holmen skog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19710-2022</t>
        </is>
      </c>
      <c r="B6389" s="1" t="n">
        <v>44694</v>
      </c>
      <c r="C6389" s="1" t="n">
        <v>45357</v>
      </c>
      <c r="D6389" t="inlineStr">
        <is>
          <t>VÄSTERBOTTENS LÄN</t>
        </is>
      </c>
      <c r="E6389" t="inlineStr">
        <is>
          <t>ÅSELE</t>
        </is>
      </c>
      <c r="F6389" t="inlineStr">
        <is>
          <t>Naturvårdsverket</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19667-2022</t>
        </is>
      </c>
      <c r="B6390" s="1" t="n">
        <v>44694</v>
      </c>
      <c r="C6390" s="1" t="n">
        <v>45357</v>
      </c>
      <c r="D6390" t="inlineStr">
        <is>
          <t>VÄSTERBOTTENS LÄN</t>
        </is>
      </c>
      <c r="E6390" t="inlineStr">
        <is>
          <t>NORDMALING</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19705-2022</t>
        </is>
      </c>
      <c r="B6391" s="1" t="n">
        <v>44694</v>
      </c>
      <c r="C6391" s="1" t="n">
        <v>45357</v>
      </c>
      <c r="D6391" t="inlineStr">
        <is>
          <t>VÄSTERBOTTENS LÄN</t>
        </is>
      </c>
      <c r="E6391" t="inlineStr">
        <is>
          <t>ÅSELE</t>
        </is>
      </c>
      <c r="F6391" t="inlineStr">
        <is>
          <t>Naturvårdsverket</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19769-2022</t>
        </is>
      </c>
      <c r="B6392" s="1" t="n">
        <v>44694</v>
      </c>
      <c r="C6392" s="1" t="n">
        <v>45357</v>
      </c>
      <c r="D6392" t="inlineStr">
        <is>
          <t>VÄSTERBOTTENS LÄN</t>
        </is>
      </c>
      <c r="E6392" t="inlineStr">
        <is>
          <t>LYCKSELE</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19804-2022</t>
        </is>
      </c>
      <c r="B6393" s="1" t="n">
        <v>44694</v>
      </c>
      <c r="C6393" s="1" t="n">
        <v>45357</v>
      </c>
      <c r="D6393" t="inlineStr">
        <is>
          <t>VÄSTERBOTTENS LÄN</t>
        </is>
      </c>
      <c r="E6393" t="inlineStr">
        <is>
          <t>SKELLEFTEÅ</t>
        </is>
      </c>
      <c r="F6393" t="inlineStr">
        <is>
          <t>SCA</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19805-2022</t>
        </is>
      </c>
      <c r="B6394" s="1" t="n">
        <v>44694</v>
      </c>
      <c r="C6394" s="1" t="n">
        <v>45357</v>
      </c>
      <c r="D6394" t="inlineStr">
        <is>
          <t>VÄSTERBOTTENS LÄN</t>
        </is>
      </c>
      <c r="E6394" t="inlineStr">
        <is>
          <t>SKELLEFTEÅ</t>
        </is>
      </c>
      <c r="F6394" t="inlineStr">
        <is>
          <t>SCA</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19870-2022</t>
        </is>
      </c>
      <c r="B6395" s="1" t="n">
        <v>44694</v>
      </c>
      <c r="C6395" s="1" t="n">
        <v>45357</v>
      </c>
      <c r="D6395" t="inlineStr">
        <is>
          <t>VÄSTERBOTTENS LÄN</t>
        </is>
      </c>
      <c r="E6395" t="inlineStr">
        <is>
          <t>SKELLEFTEÅ</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19872-2022</t>
        </is>
      </c>
      <c r="B6396" s="1" t="n">
        <v>44697</v>
      </c>
      <c r="C6396" s="1" t="n">
        <v>45357</v>
      </c>
      <c r="D6396" t="inlineStr">
        <is>
          <t>VÄSTERBOTTENS LÄN</t>
        </is>
      </c>
      <c r="E6396" t="inlineStr">
        <is>
          <t>VINDELN</t>
        </is>
      </c>
      <c r="F6396" t="inlineStr">
        <is>
          <t>Holmen skog AB</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19962-2022</t>
        </is>
      </c>
      <c r="B6397" s="1" t="n">
        <v>44697</v>
      </c>
      <c r="C6397" s="1" t="n">
        <v>45357</v>
      </c>
      <c r="D6397" t="inlineStr">
        <is>
          <t>VÄSTERBOTTENS LÄN</t>
        </is>
      </c>
      <c r="E6397" t="inlineStr">
        <is>
          <t>ROBERTSFORS</t>
        </is>
      </c>
      <c r="F6397" t="inlineStr">
        <is>
          <t>Holmen skog AB</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19878-2022</t>
        </is>
      </c>
      <c r="B6398" s="1" t="n">
        <v>44697</v>
      </c>
      <c r="C6398" s="1" t="n">
        <v>45357</v>
      </c>
      <c r="D6398" t="inlineStr">
        <is>
          <t>VÄSTERBOTTENS LÄN</t>
        </is>
      </c>
      <c r="E6398" t="inlineStr">
        <is>
          <t>VINDELN</t>
        </is>
      </c>
      <c r="F6398" t="inlineStr">
        <is>
          <t>Holmen skog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20068-2022</t>
        </is>
      </c>
      <c r="B6399" s="1" t="n">
        <v>44697</v>
      </c>
      <c r="C6399" s="1" t="n">
        <v>45357</v>
      </c>
      <c r="D6399" t="inlineStr">
        <is>
          <t>VÄSTERBOTTENS LÄN</t>
        </is>
      </c>
      <c r="E6399" t="inlineStr">
        <is>
          <t>ÅSELE</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19940-2022</t>
        </is>
      </c>
      <c r="B6400" s="1" t="n">
        <v>44697</v>
      </c>
      <c r="C6400" s="1" t="n">
        <v>45357</v>
      </c>
      <c r="D6400" t="inlineStr">
        <is>
          <t>VÄSTERBOTTENS LÄN</t>
        </is>
      </c>
      <c r="E6400" t="inlineStr">
        <is>
          <t>VINDELN</t>
        </is>
      </c>
      <c r="F6400" t="inlineStr">
        <is>
          <t>Holmen skog AB</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20087-2022</t>
        </is>
      </c>
      <c r="B6401" s="1" t="n">
        <v>44698</v>
      </c>
      <c r="C6401" s="1" t="n">
        <v>45357</v>
      </c>
      <c r="D6401" t="inlineStr">
        <is>
          <t>VÄSTERBOTTENS LÄN</t>
        </is>
      </c>
      <c r="E6401" t="inlineStr">
        <is>
          <t>ÅSELE</t>
        </is>
      </c>
      <c r="F6401" t="inlineStr">
        <is>
          <t>Holmen skog AB</t>
        </is>
      </c>
      <c r="G6401" t="n">
        <v>8.4</v>
      </c>
      <c r="H6401" t="n">
        <v>0</v>
      </c>
      <c r="I6401" t="n">
        <v>0</v>
      </c>
      <c r="J6401" t="n">
        <v>0</v>
      </c>
      <c r="K6401" t="n">
        <v>0</v>
      </c>
      <c r="L6401" t="n">
        <v>0</v>
      </c>
      <c r="M6401" t="n">
        <v>0</v>
      </c>
      <c r="N6401" t="n">
        <v>0</v>
      </c>
      <c r="O6401" t="n">
        <v>0</v>
      </c>
      <c r="P6401" t="n">
        <v>0</v>
      </c>
      <c r="Q6401" t="n">
        <v>0</v>
      </c>
      <c r="R6401" s="2" t="inlineStr"/>
    </row>
    <row r="6402" ht="15" customHeight="1">
      <c r="A6402" t="inlineStr">
        <is>
          <t>A 20183-2022</t>
        </is>
      </c>
      <c r="B6402" s="1" t="n">
        <v>44698</v>
      </c>
      <c r="C6402" s="1" t="n">
        <v>45357</v>
      </c>
      <c r="D6402" t="inlineStr">
        <is>
          <t>VÄSTERBOTTENS LÄN</t>
        </is>
      </c>
      <c r="E6402" t="inlineStr">
        <is>
          <t>MALÅ</t>
        </is>
      </c>
      <c r="F6402" t="inlineStr">
        <is>
          <t>Sveaskog</t>
        </is>
      </c>
      <c r="G6402" t="n">
        <v>16.6</v>
      </c>
      <c r="H6402" t="n">
        <v>0</v>
      </c>
      <c r="I6402" t="n">
        <v>0</v>
      </c>
      <c r="J6402" t="n">
        <v>0</v>
      </c>
      <c r="K6402" t="n">
        <v>0</v>
      </c>
      <c r="L6402" t="n">
        <v>0</v>
      </c>
      <c r="M6402" t="n">
        <v>0</v>
      </c>
      <c r="N6402" t="n">
        <v>0</v>
      </c>
      <c r="O6402" t="n">
        <v>0</v>
      </c>
      <c r="P6402" t="n">
        <v>0</v>
      </c>
      <c r="Q6402" t="n">
        <v>0</v>
      </c>
      <c r="R6402" s="2" t="inlineStr"/>
    </row>
    <row r="6403" ht="15" customHeight="1">
      <c r="A6403" t="inlineStr">
        <is>
          <t>A 20140-2022</t>
        </is>
      </c>
      <c r="B6403" s="1" t="n">
        <v>44698</v>
      </c>
      <c r="C6403" s="1" t="n">
        <v>45357</v>
      </c>
      <c r="D6403" t="inlineStr">
        <is>
          <t>VÄSTERBOTTENS LÄN</t>
        </is>
      </c>
      <c r="E6403" t="inlineStr">
        <is>
          <t>ÅSELE</t>
        </is>
      </c>
      <c r="F6403" t="inlineStr">
        <is>
          <t>Holmen skog AB</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20194-2022</t>
        </is>
      </c>
      <c r="B6404" s="1" t="n">
        <v>44698</v>
      </c>
      <c r="C6404" s="1" t="n">
        <v>45357</v>
      </c>
      <c r="D6404" t="inlineStr">
        <is>
          <t>VÄSTERBOTTENS LÄN</t>
        </is>
      </c>
      <c r="E6404" t="inlineStr">
        <is>
          <t>STORUMAN</t>
        </is>
      </c>
      <c r="F6404" t="inlineStr">
        <is>
          <t>Sveaskog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20298-2022</t>
        </is>
      </c>
      <c r="B6405" s="1" t="n">
        <v>44698</v>
      </c>
      <c r="C6405" s="1" t="n">
        <v>45357</v>
      </c>
      <c r="D6405" t="inlineStr">
        <is>
          <t>VÄSTERBOTTENS LÄN</t>
        </is>
      </c>
      <c r="E6405" t="inlineStr">
        <is>
          <t>VILHELMINA</t>
        </is>
      </c>
      <c r="F6405" t="inlineStr">
        <is>
          <t>SCA</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20322-2022</t>
        </is>
      </c>
      <c r="B6406" s="1" t="n">
        <v>44698</v>
      </c>
      <c r="C6406" s="1" t="n">
        <v>45357</v>
      </c>
      <c r="D6406" t="inlineStr">
        <is>
          <t>VÄSTERBOTTENS LÄN</t>
        </is>
      </c>
      <c r="E6406" t="inlineStr">
        <is>
          <t>VILHELMINA</t>
        </is>
      </c>
      <c r="G6406" t="n">
        <v>10.5</v>
      </c>
      <c r="H6406" t="n">
        <v>0</v>
      </c>
      <c r="I6406" t="n">
        <v>0</v>
      </c>
      <c r="J6406" t="n">
        <v>0</v>
      </c>
      <c r="K6406" t="n">
        <v>0</v>
      </c>
      <c r="L6406" t="n">
        <v>0</v>
      </c>
      <c r="M6406" t="n">
        <v>0</v>
      </c>
      <c r="N6406" t="n">
        <v>0</v>
      </c>
      <c r="O6406" t="n">
        <v>0</v>
      </c>
      <c r="P6406" t="n">
        <v>0</v>
      </c>
      <c r="Q6406" t="n">
        <v>0</v>
      </c>
      <c r="R6406" s="2" t="inlineStr"/>
    </row>
    <row r="6407" ht="15" customHeight="1">
      <c r="A6407" t="inlineStr">
        <is>
          <t>A 20287-2022</t>
        </is>
      </c>
      <c r="B6407" s="1" t="n">
        <v>44698</v>
      </c>
      <c r="C6407" s="1" t="n">
        <v>45357</v>
      </c>
      <c r="D6407" t="inlineStr">
        <is>
          <t>VÄSTERBOTTENS LÄN</t>
        </is>
      </c>
      <c r="E6407" t="inlineStr">
        <is>
          <t>LYCKSELE</t>
        </is>
      </c>
      <c r="F6407" t="inlineStr">
        <is>
          <t>Holmen skog AB</t>
        </is>
      </c>
      <c r="G6407" t="n">
        <v>11.5</v>
      </c>
      <c r="H6407" t="n">
        <v>0</v>
      </c>
      <c r="I6407" t="n">
        <v>0</v>
      </c>
      <c r="J6407" t="n">
        <v>0</v>
      </c>
      <c r="K6407" t="n">
        <v>0</v>
      </c>
      <c r="L6407" t="n">
        <v>0</v>
      </c>
      <c r="M6407" t="n">
        <v>0</v>
      </c>
      <c r="N6407" t="n">
        <v>0</v>
      </c>
      <c r="O6407" t="n">
        <v>0</v>
      </c>
      <c r="P6407" t="n">
        <v>0</v>
      </c>
      <c r="Q6407" t="n">
        <v>0</v>
      </c>
      <c r="R6407" s="2" t="inlineStr"/>
    </row>
    <row r="6408" ht="15" customHeight="1">
      <c r="A6408" t="inlineStr">
        <is>
          <t>A 20327-2022</t>
        </is>
      </c>
      <c r="B6408" s="1" t="n">
        <v>44698</v>
      </c>
      <c r="C6408" s="1" t="n">
        <v>45357</v>
      </c>
      <c r="D6408" t="inlineStr">
        <is>
          <t>VÄSTERBOTTENS LÄN</t>
        </is>
      </c>
      <c r="E6408" t="inlineStr">
        <is>
          <t>VINDELN</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20515-2022</t>
        </is>
      </c>
      <c r="B6409" s="1" t="n">
        <v>44699</v>
      </c>
      <c r="C6409" s="1" t="n">
        <v>45357</v>
      </c>
      <c r="D6409" t="inlineStr">
        <is>
          <t>VÄSTERBOTTENS LÄN</t>
        </is>
      </c>
      <c r="E6409" t="inlineStr">
        <is>
          <t>SKELLEFTEÅ</t>
        </is>
      </c>
      <c r="G6409" t="n">
        <v>21.5</v>
      </c>
      <c r="H6409" t="n">
        <v>0</v>
      </c>
      <c r="I6409" t="n">
        <v>0</v>
      </c>
      <c r="J6409" t="n">
        <v>0</v>
      </c>
      <c r="K6409" t="n">
        <v>0</v>
      </c>
      <c r="L6409" t="n">
        <v>0</v>
      </c>
      <c r="M6409" t="n">
        <v>0</v>
      </c>
      <c r="N6409" t="n">
        <v>0</v>
      </c>
      <c r="O6409" t="n">
        <v>0</v>
      </c>
      <c r="P6409" t="n">
        <v>0</v>
      </c>
      <c r="Q6409" t="n">
        <v>0</v>
      </c>
      <c r="R6409" s="2" t="inlineStr"/>
    </row>
    <row r="6410" ht="15" customHeight="1">
      <c r="A6410" t="inlineStr">
        <is>
          <t>A 20519-2022</t>
        </is>
      </c>
      <c r="B6410" s="1" t="n">
        <v>44699</v>
      </c>
      <c r="C6410" s="1" t="n">
        <v>45357</v>
      </c>
      <c r="D6410" t="inlineStr">
        <is>
          <t>VÄSTERBOTTENS LÄN</t>
        </is>
      </c>
      <c r="E6410" t="inlineStr">
        <is>
          <t>ROBERTSFORS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20466-2022</t>
        </is>
      </c>
      <c r="B6411" s="1" t="n">
        <v>44699</v>
      </c>
      <c r="C6411" s="1" t="n">
        <v>45357</v>
      </c>
      <c r="D6411" t="inlineStr">
        <is>
          <t>VÄSTERBOTTENS LÄN</t>
        </is>
      </c>
      <c r="E6411" t="inlineStr">
        <is>
          <t>LYCKSELE</t>
        </is>
      </c>
      <c r="F6411" t="inlineStr">
        <is>
          <t>Sveaskog</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20638-2022</t>
        </is>
      </c>
      <c r="B6412" s="1" t="n">
        <v>44700</v>
      </c>
      <c r="C6412" s="1" t="n">
        <v>45357</v>
      </c>
      <c r="D6412" t="inlineStr">
        <is>
          <t>VÄSTERBOTTENS LÄN</t>
        </is>
      </c>
      <c r="E6412" t="inlineStr">
        <is>
          <t>SKELLEFTEÅ</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20654-2022</t>
        </is>
      </c>
      <c r="B6413" s="1" t="n">
        <v>44700</v>
      </c>
      <c r="C6413" s="1" t="n">
        <v>45357</v>
      </c>
      <c r="D6413" t="inlineStr">
        <is>
          <t>VÄSTERBOTTENS LÄN</t>
        </is>
      </c>
      <c r="E6413" t="inlineStr">
        <is>
          <t>SKELLEFTEÅ</t>
        </is>
      </c>
      <c r="F6413" t="inlineStr">
        <is>
          <t>Holmen skog AB</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20610-2022</t>
        </is>
      </c>
      <c r="B6414" s="1" t="n">
        <v>44700</v>
      </c>
      <c r="C6414" s="1" t="n">
        <v>45357</v>
      </c>
      <c r="D6414" t="inlineStr">
        <is>
          <t>VÄSTERBOTTENS LÄN</t>
        </is>
      </c>
      <c r="E6414" t="inlineStr">
        <is>
          <t>SKELLEFTEÅ</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20720-2022</t>
        </is>
      </c>
      <c r="B6415" s="1" t="n">
        <v>44700</v>
      </c>
      <c r="C6415" s="1" t="n">
        <v>45357</v>
      </c>
      <c r="D6415" t="inlineStr">
        <is>
          <t>VÄSTERBOTTENS LÄN</t>
        </is>
      </c>
      <c r="E6415" t="inlineStr">
        <is>
          <t>VILHELMINA</t>
        </is>
      </c>
      <c r="F6415" t="inlineStr">
        <is>
          <t>SCA</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20719-2022</t>
        </is>
      </c>
      <c r="B6416" s="1" t="n">
        <v>44701</v>
      </c>
      <c r="C6416" s="1" t="n">
        <v>45357</v>
      </c>
      <c r="D6416" t="inlineStr">
        <is>
          <t>VÄSTERBOTTENS LÄN</t>
        </is>
      </c>
      <c r="E6416" t="inlineStr">
        <is>
          <t>VILHELMINA</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20753-2022</t>
        </is>
      </c>
      <c r="B6417" s="1" t="n">
        <v>44700</v>
      </c>
      <c r="C6417" s="1" t="n">
        <v>45357</v>
      </c>
      <c r="D6417" t="inlineStr">
        <is>
          <t>VÄSTERBOTTENS LÄN</t>
        </is>
      </c>
      <c r="E6417" t="inlineStr">
        <is>
          <t>BJURHOLM</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20836-2022</t>
        </is>
      </c>
      <c r="B6418" s="1" t="n">
        <v>44701</v>
      </c>
      <c r="C6418" s="1" t="n">
        <v>45357</v>
      </c>
      <c r="D6418" t="inlineStr">
        <is>
          <t>VÄSTERBOTTENS LÄN</t>
        </is>
      </c>
      <c r="E6418" t="inlineStr">
        <is>
          <t>BJURHOLM</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20844-2022</t>
        </is>
      </c>
      <c r="B6419" s="1" t="n">
        <v>44701</v>
      </c>
      <c r="C6419" s="1" t="n">
        <v>45357</v>
      </c>
      <c r="D6419" t="inlineStr">
        <is>
          <t>VÄSTERBOTTENS LÄN</t>
        </is>
      </c>
      <c r="E6419" t="inlineStr">
        <is>
          <t>STORUMAN</t>
        </is>
      </c>
      <c r="G6419" t="n">
        <v>9.800000000000001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20803-2022</t>
        </is>
      </c>
      <c r="B6420" s="1" t="n">
        <v>44701</v>
      </c>
      <c r="C6420" s="1" t="n">
        <v>45357</v>
      </c>
      <c r="D6420" t="inlineStr">
        <is>
          <t>VÄSTERBOTTENS LÄN</t>
        </is>
      </c>
      <c r="E6420" t="inlineStr">
        <is>
          <t>ÅSELE</t>
        </is>
      </c>
      <c r="F6420" t="inlineStr">
        <is>
          <t>Holmen skog AB</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20830-2022</t>
        </is>
      </c>
      <c r="B6421" s="1" t="n">
        <v>44701</v>
      </c>
      <c r="C6421" s="1" t="n">
        <v>45357</v>
      </c>
      <c r="D6421" t="inlineStr">
        <is>
          <t>VÄSTERBOTTENS LÄN</t>
        </is>
      </c>
      <c r="E6421" t="inlineStr">
        <is>
          <t>BJURHOLM</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20862-2022</t>
        </is>
      </c>
      <c r="B6422" s="1" t="n">
        <v>44701</v>
      </c>
      <c r="C6422" s="1" t="n">
        <v>45357</v>
      </c>
      <c r="D6422" t="inlineStr">
        <is>
          <t>VÄSTERBOTTENS LÄN</t>
        </is>
      </c>
      <c r="E6422" t="inlineStr">
        <is>
          <t>UMEÅ</t>
        </is>
      </c>
      <c r="F6422" t="inlineStr">
        <is>
          <t>Holmen skog AB</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20944-2022</t>
        </is>
      </c>
      <c r="B6423" s="1" t="n">
        <v>44702</v>
      </c>
      <c r="C6423" s="1" t="n">
        <v>45357</v>
      </c>
      <c r="D6423" t="inlineStr">
        <is>
          <t>VÄSTERBOTTENS LÄN</t>
        </is>
      </c>
      <c r="E6423" t="inlineStr">
        <is>
          <t>ROBERTSFORS</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21117-2022</t>
        </is>
      </c>
      <c r="B6424" s="1" t="n">
        <v>44704</v>
      </c>
      <c r="C6424" s="1" t="n">
        <v>45357</v>
      </c>
      <c r="D6424" t="inlineStr">
        <is>
          <t>VÄSTERBOTTENS LÄN</t>
        </is>
      </c>
      <c r="E6424" t="inlineStr">
        <is>
          <t>ÅSELE</t>
        </is>
      </c>
      <c r="F6424" t="inlineStr">
        <is>
          <t>Holmen skog AB</t>
        </is>
      </c>
      <c r="G6424" t="n">
        <v>9.4</v>
      </c>
      <c r="H6424" t="n">
        <v>0</v>
      </c>
      <c r="I6424" t="n">
        <v>0</v>
      </c>
      <c r="J6424" t="n">
        <v>0</v>
      </c>
      <c r="K6424" t="n">
        <v>0</v>
      </c>
      <c r="L6424" t="n">
        <v>0</v>
      </c>
      <c r="M6424" t="n">
        <v>0</v>
      </c>
      <c r="N6424" t="n">
        <v>0</v>
      </c>
      <c r="O6424" t="n">
        <v>0</v>
      </c>
      <c r="P6424" t="n">
        <v>0</v>
      </c>
      <c r="Q6424" t="n">
        <v>0</v>
      </c>
      <c r="R6424" s="2" t="inlineStr"/>
    </row>
    <row r="6425" ht="15" customHeight="1">
      <c r="A6425" t="inlineStr">
        <is>
          <t>A 21131-2022</t>
        </is>
      </c>
      <c r="B6425" s="1" t="n">
        <v>44704</v>
      </c>
      <c r="C6425" s="1" t="n">
        <v>45357</v>
      </c>
      <c r="D6425" t="inlineStr">
        <is>
          <t>VÄSTERBOTTENS LÄN</t>
        </is>
      </c>
      <c r="E6425" t="inlineStr">
        <is>
          <t>ÅSELE</t>
        </is>
      </c>
      <c r="F6425" t="inlineStr">
        <is>
          <t>Holmen skog AB</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21035-2022</t>
        </is>
      </c>
      <c r="B6426" s="1" t="n">
        <v>44704</v>
      </c>
      <c r="C6426" s="1" t="n">
        <v>45357</v>
      </c>
      <c r="D6426" t="inlineStr">
        <is>
          <t>VÄSTERBOTTENS LÄN</t>
        </is>
      </c>
      <c r="E6426" t="inlineStr">
        <is>
          <t>SKELLEFTEÅ</t>
        </is>
      </c>
      <c r="G6426" t="n">
        <v>26.9</v>
      </c>
      <c r="H6426" t="n">
        <v>0</v>
      </c>
      <c r="I6426" t="n">
        <v>0</v>
      </c>
      <c r="J6426" t="n">
        <v>0</v>
      </c>
      <c r="K6426" t="n">
        <v>0</v>
      </c>
      <c r="L6426" t="n">
        <v>0</v>
      </c>
      <c r="M6426" t="n">
        <v>0</v>
      </c>
      <c r="N6426" t="n">
        <v>0</v>
      </c>
      <c r="O6426" t="n">
        <v>0</v>
      </c>
      <c r="P6426" t="n">
        <v>0</v>
      </c>
      <c r="Q6426" t="n">
        <v>0</v>
      </c>
      <c r="R6426" s="2" t="inlineStr"/>
    </row>
    <row r="6427" ht="15" customHeight="1">
      <c r="A6427" t="inlineStr">
        <is>
          <t>A 21058-2022</t>
        </is>
      </c>
      <c r="B6427" s="1" t="n">
        <v>44704</v>
      </c>
      <c r="C6427" s="1" t="n">
        <v>45357</v>
      </c>
      <c r="D6427" t="inlineStr">
        <is>
          <t>VÄSTERBOTTENS LÄN</t>
        </is>
      </c>
      <c r="E6427" t="inlineStr">
        <is>
          <t>LYCKSELE</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21136-2022</t>
        </is>
      </c>
      <c r="B6428" s="1" t="n">
        <v>44704</v>
      </c>
      <c r="C6428" s="1" t="n">
        <v>45357</v>
      </c>
      <c r="D6428" t="inlineStr">
        <is>
          <t>VÄSTERBOTTENS LÄN</t>
        </is>
      </c>
      <c r="E6428" t="inlineStr">
        <is>
          <t>SKELLEFTEÅ</t>
        </is>
      </c>
      <c r="F6428" t="inlineStr">
        <is>
          <t>Holmen skog AB</t>
        </is>
      </c>
      <c r="G6428" t="n">
        <v>22.6</v>
      </c>
      <c r="H6428" t="n">
        <v>0</v>
      </c>
      <c r="I6428" t="n">
        <v>0</v>
      </c>
      <c r="J6428" t="n">
        <v>0</v>
      </c>
      <c r="K6428" t="n">
        <v>0</v>
      </c>
      <c r="L6428" t="n">
        <v>0</v>
      </c>
      <c r="M6428" t="n">
        <v>0</v>
      </c>
      <c r="N6428" t="n">
        <v>0</v>
      </c>
      <c r="O6428" t="n">
        <v>0</v>
      </c>
      <c r="P6428" t="n">
        <v>0</v>
      </c>
      <c r="Q6428" t="n">
        <v>0</v>
      </c>
      <c r="R6428" s="2" t="inlineStr"/>
    </row>
    <row r="6429" ht="15" customHeight="1">
      <c r="A6429" t="inlineStr">
        <is>
          <t>A 21395-2022</t>
        </is>
      </c>
      <c r="B6429" s="1" t="n">
        <v>44706</v>
      </c>
      <c r="C6429" s="1" t="n">
        <v>45357</v>
      </c>
      <c r="D6429" t="inlineStr">
        <is>
          <t>VÄSTERBOTTENS LÄN</t>
        </is>
      </c>
      <c r="E6429" t="inlineStr">
        <is>
          <t>SKELLEFTEÅ</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21539-2022</t>
        </is>
      </c>
      <c r="B6430" s="1" t="n">
        <v>44706</v>
      </c>
      <c r="C6430" s="1" t="n">
        <v>45357</v>
      </c>
      <c r="D6430" t="inlineStr">
        <is>
          <t>VÄSTERBOTTENS LÄN</t>
        </is>
      </c>
      <c r="E6430" t="inlineStr">
        <is>
          <t>SKELLEFTEÅ</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21607-2022</t>
        </is>
      </c>
      <c r="B6431" s="1" t="n">
        <v>44706</v>
      </c>
      <c r="C6431" s="1" t="n">
        <v>45357</v>
      </c>
      <c r="D6431" t="inlineStr">
        <is>
          <t>VÄSTERBOTTENS LÄN</t>
        </is>
      </c>
      <c r="E6431" t="inlineStr">
        <is>
          <t>NORDMALING</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21574-2022</t>
        </is>
      </c>
      <c r="B6432" s="1" t="n">
        <v>44706</v>
      </c>
      <c r="C6432" s="1" t="n">
        <v>45357</v>
      </c>
      <c r="D6432" t="inlineStr">
        <is>
          <t>VÄSTERBOTTENS LÄN</t>
        </is>
      </c>
      <c r="E6432" t="inlineStr">
        <is>
          <t>UMEÅ</t>
        </is>
      </c>
      <c r="F6432" t="inlineStr">
        <is>
          <t>Holmen skog AB</t>
        </is>
      </c>
      <c r="G6432" t="n">
        <v>13.1</v>
      </c>
      <c r="H6432" t="n">
        <v>0</v>
      </c>
      <c r="I6432" t="n">
        <v>0</v>
      </c>
      <c r="J6432" t="n">
        <v>0</v>
      </c>
      <c r="K6432" t="n">
        <v>0</v>
      </c>
      <c r="L6432" t="n">
        <v>0</v>
      </c>
      <c r="M6432" t="n">
        <v>0</v>
      </c>
      <c r="N6432" t="n">
        <v>0</v>
      </c>
      <c r="O6432" t="n">
        <v>0</v>
      </c>
      <c r="P6432" t="n">
        <v>0</v>
      </c>
      <c r="Q6432" t="n">
        <v>0</v>
      </c>
      <c r="R6432" s="2" t="inlineStr"/>
    </row>
    <row r="6433" ht="15" customHeight="1">
      <c r="A6433" t="inlineStr">
        <is>
          <t>A 21658-2022</t>
        </is>
      </c>
      <c r="B6433" s="1" t="n">
        <v>44707</v>
      </c>
      <c r="C6433" s="1" t="n">
        <v>45357</v>
      </c>
      <c r="D6433" t="inlineStr">
        <is>
          <t>VÄSTERBOTTENS LÄN</t>
        </is>
      </c>
      <c r="E6433" t="inlineStr">
        <is>
          <t>SORSELE</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21681-2022</t>
        </is>
      </c>
      <c r="B6434" s="1" t="n">
        <v>44707</v>
      </c>
      <c r="C6434" s="1" t="n">
        <v>45357</v>
      </c>
      <c r="D6434" t="inlineStr">
        <is>
          <t>VÄSTERBOTTENS LÄN</t>
        </is>
      </c>
      <c r="E6434" t="inlineStr">
        <is>
          <t>LYCKSELE</t>
        </is>
      </c>
      <c r="F6434" t="inlineStr">
        <is>
          <t>Holmen skog AB</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21683-2022</t>
        </is>
      </c>
      <c r="B6435" s="1" t="n">
        <v>44707</v>
      </c>
      <c r="C6435" s="1" t="n">
        <v>45357</v>
      </c>
      <c r="D6435" t="inlineStr">
        <is>
          <t>VÄSTERBOTTENS LÄN</t>
        </is>
      </c>
      <c r="E6435" t="inlineStr">
        <is>
          <t>LYCKSELE</t>
        </is>
      </c>
      <c r="F6435" t="inlineStr">
        <is>
          <t>Holmen skog AB</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21748-2022</t>
        </is>
      </c>
      <c r="B6436" s="1" t="n">
        <v>44708</v>
      </c>
      <c r="C6436" s="1" t="n">
        <v>45357</v>
      </c>
      <c r="D6436" t="inlineStr">
        <is>
          <t>VÄSTERBOTTENS LÄN</t>
        </is>
      </c>
      <c r="E6436" t="inlineStr">
        <is>
          <t>ÅSELE</t>
        </is>
      </c>
      <c r="F6436" t="inlineStr">
        <is>
          <t>Holmen skog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21720-2022</t>
        </is>
      </c>
      <c r="B6437" s="1" t="n">
        <v>44708</v>
      </c>
      <c r="C6437" s="1" t="n">
        <v>45357</v>
      </c>
      <c r="D6437" t="inlineStr">
        <is>
          <t>VÄSTERBOTTENS LÄN</t>
        </is>
      </c>
      <c r="E6437" t="inlineStr">
        <is>
          <t>ÅSELE</t>
        </is>
      </c>
      <c r="F6437" t="inlineStr">
        <is>
          <t>Holmen skog AB</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21750-2022</t>
        </is>
      </c>
      <c r="B6438" s="1" t="n">
        <v>44708</v>
      </c>
      <c r="C6438" s="1" t="n">
        <v>45357</v>
      </c>
      <c r="D6438" t="inlineStr">
        <is>
          <t>VÄSTERBOTTENS LÄN</t>
        </is>
      </c>
      <c r="E6438" t="inlineStr">
        <is>
          <t>ÅSELE</t>
        </is>
      </c>
      <c r="F6438" t="inlineStr">
        <is>
          <t>Holmen skog AB</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21783-2022</t>
        </is>
      </c>
      <c r="B6439" s="1" t="n">
        <v>44708</v>
      </c>
      <c r="C6439" s="1" t="n">
        <v>45357</v>
      </c>
      <c r="D6439" t="inlineStr">
        <is>
          <t>VÄSTERBOTTENS LÄN</t>
        </is>
      </c>
      <c r="E6439" t="inlineStr">
        <is>
          <t>ÅSELE</t>
        </is>
      </c>
      <c r="F6439" t="inlineStr">
        <is>
          <t>Holmen skog AB</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21789-2022</t>
        </is>
      </c>
      <c r="B6440" s="1" t="n">
        <v>44708</v>
      </c>
      <c r="C6440" s="1" t="n">
        <v>45357</v>
      </c>
      <c r="D6440" t="inlineStr">
        <is>
          <t>VÄSTERBOTTENS LÄN</t>
        </is>
      </c>
      <c r="E6440" t="inlineStr">
        <is>
          <t>ÅSELE</t>
        </is>
      </c>
      <c r="F6440" t="inlineStr">
        <is>
          <t>Holmen skog AB</t>
        </is>
      </c>
      <c r="G6440" t="n">
        <v>29.7</v>
      </c>
      <c r="H6440" t="n">
        <v>0</v>
      </c>
      <c r="I6440" t="n">
        <v>0</v>
      </c>
      <c r="J6440" t="n">
        <v>0</v>
      </c>
      <c r="K6440" t="n">
        <v>0</v>
      </c>
      <c r="L6440" t="n">
        <v>0</v>
      </c>
      <c r="M6440" t="n">
        <v>0</v>
      </c>
      <c r="N6440" t="n">
        <v>0</v>
      </c>
      <c r="O6440" t="n">
        <v>0</v>
      </c>
      <c r="P6440" t="n">
        <v>0</v>
      </c>
      <c r="Q6440" t="n">
        <v>0</v>
      </c>
      <c r="R6440" s="2" t="inlineStr"/>
    </row>
    <row r="6441" ht="15" customHeight="1">
      <c r="A6441" t="inlineStr">
        <is>
          <t>A 21787-2022</t>
        </is>
      </c>
      <c r="B6441" s="1" t="n">
        <v>44708</v>
      </c>
      <c r="C6441" s="1" t="n">
        <v>45357</v>
      </c>
      <c r="D6441" t="inlineStr">
        <is>
          <t>VÄSTERBOTTENS LÄN</t>
        </is>
      </c>
      <c r="E6441" t="inlineStr">
        <is>
          <t>ÅSELE</t>
        </is>
      </c>
      <c r="F6441" t="inlineStr">
        <is>
          <t>Holmen skog AB</t>
        </is>
      </c>
      <c r="G6441" t="n">
        <v>27.8</v>
      </c>
      <c r="H6441" t="n">
        <v>0</v>
      </c>
      <c r="I6441" t="n">
        <v>0</v>
      </c>
      <c r="J6441" t="n">
        <v>0</v>
      </c>
      <c r="K6441" t="n">
        <v>0</v>
      </c>
      <c r="L6441" t="n">
        <v>0</v>
      </c>
      <c r="M6441" t="n">
        <v>0</v>
      </c>
      <c r="N6441" t="n">
        <v>0</v>
      </c>
      <c r="O6441" t="n">
        <v>0</v>
      </c>
      <c r="P6441" t="n">
        <v>0</v>
      </c>
      <c r="Q6441" t="n">
        <v>0</v>
      </c>
      <c r="R6441" s="2" t="inlineStr"/>
    </row>
    <row r="6442" ht="15" customHeight="1">
      <c r="A6442" t="inlineStr">
        <is>
          <t>A 21809-2022</t>
        </is>
      </c>
      <c r="B6442" s="1" t="n">
        <v>44709</v>
      </c>
      <c r="C6442" s="1" t="n">
        <v>45357</v>
      </c>
      <c r="D6442" t="inlineStr">
        <is>
          <t>VÄSTERBOTTENS LÄN</t>
        </is>
      </c>
      <c r="E6442" t="inlineStr">
        <is>
          <t>ÅSELE</t>
        </is>
      </c>
      <c r="F6442" t="inlineStr">
        <is>
          <t>SCA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21806-2022</t>
        </is>
      </c>
      <c r="B6443" s="1" t="n">
        <v>44708</v>
      </c>
      <c r="C6443" s="1" t="n">
        <v>45357</v>
      </c>
      <c r="D6443" t="inlineStr">
        <is>
          <t>VÄSTERBOTTENS LÄN</t>
        </is>
      </c>
      <c r="E6443" t="inlineStr">
        <is>
          <t>VILHELMINA</t>
        </is>
      </c>
      <c r="F6443" t="inlineStr">
        <is>
          <t>SCA</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21808-2022</t>
        </is>
      </c>
      <c r="B6444" s="1" t="n">
        <v>44708</v>
      </c>
      <c r="C6444" s="1" t="n">
        <v>45357</v>
      </c>
      <c r="D6444" t="inlineStr">
        <is>
          <t>VÄSTERBOTTENS LÄN</t>
        </is>
      </c>
      <c r="E6444" t="inlineStr">
        <is>
          <t>VILHELMINA</t>
        </is>
      </c>
      <c r="F6444" t="inlineStr">
        <is>
          <t>SCA</t>
        </is>
      </c>
      <c r="G6444" t="n">
        <v>16.1</v>
      </c>
      <c r="H6444" t="n">
        <v>0</v>
      </c>
      <c r="I6444" t="n">
        <v>0</v>
      </c>
      <c r="J6444" t="n">
        <v>0</v>
      </c>
      <c r="K6444" t="n">
        <v>0</v>
      </c>
      <c r="L6444" t="n">
        <v>0</v>
      </c>
      <c r="M6444" t="n">
        <v>0</v>
      </c>
      <c r="N6444" t="n">
        <v>0</v>
      </c>
      <c r="O6444" t="n">
        <v>0</v>
      </c>
      <c r="P6444" t="n">
        <v>0</v>
      </c>
      <c r="Q6444" t="n">
        <v>0</v>
      </c>
      <c r="R6444" s="2" t="inlineStr"/>
    </row>
    <row r="6445" ht="15" customHeight="1">
      <c r="A6445" t="inlineStr">
        <is>
          <t>A 21814-2022</t>
        </is>
      </c>
      <c r="B6445" s="1" t="n">
        <v>44708</v>
      </c>
      <c r="C6445" s="1" t="n">
        <v>45357</v>
      </c>
      <c r="D6445" t="inlineStr">
        <is>
          <t>VÄSTERBOTTENS LÄN</t>
        </is>
      </c>
      <c r="E6445" t="inlineStr">
        <is>
          <t>VILHELMINA</t>
        </is>
      </c>
      <c r="F6445" t="inlineStr">
        <is>
          <t>SCA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21843-2022</t>
        </is>
      </c>
      <c r="B6446" s="1" t="n">
        <v>44711</v>
      </c>
      <c r="C6446" s="1" t="n">
        <v>45357</v>
      </c>
      <c r="D6446" t="inlineStr">
        <is>
          <t>VÄSTERBOTTENS LÄN</t>
        </is>
      </c>
      <c r="E6446" t="inlineStr">
        <is>
          <t>SKELLEFTEÅ</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21882-2022</t>
        </is>
      </c>
      <c r="B6447" s="1" t="n">
        <v>44711</v>
      </c>
      <c r="C6447" s="1" t="n">
        <v>45357</v>
      </c>
      <c r="D6447" t="inlineStr">
        <is>
          <t>VÄSTERBOTTENS LÄN</t>
        </is>
      </c>
      <c r="E6447" t="inlineStr">
        <is>
          <t>SKELLEFTEÅ</t>
        </is>
      </c>
      <c r="F6447" t="inlineStr">
        <is>
          <t>Holmen skog AB</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21900-2022</t>
        </is>
      </c>
      <c r="B6448" s="1" t="n">
        <v>44711</v>
      </c>
      <c r="C6448" s="1" t="n">
        <v>45357</v>
      </c>
      <c r="D6448" t="inlineStr">
        <is>
          <t>VÄSTERBOTTENS LÄN</t>
        </is>
      </c>
      <c r="E6448" t="inlineStr">
        <is>
          <t>LYCKSELE</t>
        </is>
      </c>
      <c r="F6448" t="inlineStr">
        <is>
          <t>Holmen skog AB</t>
        </is>
      </c>
      <c r="G6448" t="n">
        <v>7.6</v>
      </c>
      <c r="H6448" t="n">
        <v>0</v>
      </c>
      <c r="I6448" t="n">
        <v>0</v>
      </c>
      <c r="J6448" t="n">
        <v>0</v>
      </c>
      <c r="K6448" t="n">
        <v>0</v>
      </c>
      <c r="L6448" t="n">
        <v>0</v>
      </c>
      <c r="M6448" t="n">
        <v>0</v>
      </c>
      <c r="N6448" t="n">
        <v>0</v>
      </c>
      <c r="O6448" t="n">
        <v>0</v>
      </c>
      <c r="P6448" t="n">
        <v>0</v>
      </c>
      <c r="Q6448" t="n">
        <v>0</v>
      </c>
      <c r="R6448" s="2" t="inlineStr"/>
    </row>
    <row r="6449" ht="15" customHeight="1">
      <c r="A6449" t="inlineStr">
        <is>
          <t>A 21883-2022</t>
        </is>
      </c>
      <c r="B6449" s="1" t="n">
        <v>44711</v>
      </c>
      <c r="C6449" s="1" t="n">
        <v>45357</v>
      </c>
      <c r="D6449" t="inlineStr">
        <is>
          <t>VÄSTERBOTTENS LÄN</t>
        </is>
      </c>
      <c r="E6449" t="inlineStr">
        <is>
          <t>SKELLEFTEÅ</t>
        </is>
      </c>
      <c r="F6449" t="inlineStr">
        <is>
          <t>Holmen skog AB</t>
        </is>
      </c>
      <c r="G6449" t="n">
        <v>9.9</v>
      </c>
      <c r="H6449" t="n">
        <v>0</v>
      </c>
      <c r="I6449" t="n">
        <v>0</v>
      </c>
      <c r="J6449" t="n">
        <v>0</v>
      </c>
      <c r="K6449" t="n">
        <v>0</v>
      </c>
      <c r="L6449" t="n">
        <v>0</v>
      </c>
      <c r="M6449" t="n">
        <v>0</v>
      </c>
      <c r="N6449" t="n">
        <v>0</v>
      </c>
      <c r="O6449" t="n">
        <v>0</v>
      </c>
      <c r="P6449" t="n">
        <v>0</v>
      </c>
      <c r="Q6449" t="n">
        <v>0</v>
      </c>
      <c r="R6449" s="2" t="inlineStr"/>
    </row>
    <row r="6450" ht="15" customHeight="1">
      <c r="A6450" t="inlineStr">
        <is>
          <t>A 21842-2022</t>
        </is>
      </c>
      <c r="B6450" s="1" t="n">
        <v>44711</v>
      </c>
      <c r="C6450" s="1" t="n">
        <v>45357</v>
      </c>
      <c r="D6450" t="inlineStr">
        <is>
          <t>VÄSTERBOTTENS LÄN</t>
        </is>
      </c>
      <c r="E6450" t="inlineStr">
        <is>
          <t>SKELLEFTEÅ</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21942-2022</t>
        </is>
      </c>
      <c r="B6451" s="1" t="n">
        <v>44711</v>
      </c>
      <c r="C6451" s="1" t="n">
        <v>45357</v>
      </c>
      <c r="D6451" t="inlineStr">
        <is>
          <t>VÄSTERBOTTENS LÄN</t>
        </is>
      </c>
      <c r="E6451" t="inlineStr">
        <is>
          <t>VINDELN</t>
        </is>
      </c>
      <c r="G6451" t="n">
        <v>11.2</v>
      </c>
      <c r="H6451" t="n">
        <v>0</v>
      </c>
      <c r="I6451" t="n">
        <v>0</v>
      </c>
      <c r="J6451" t="n">
        <v>0</v>
      </c>
      <c r="K6451" t="n">
        <v>0</v>
      </c>
      <c r="L6451" t="n">
        <v>0</v>
      </c>
      <c r="M6451" t="n">
        <v>0</v>
      </c>
      <c r="N6451" t="n">
        <v>0</v>
      </c>
      <c r="O6451" t="n">
        <v>0</v>
      </c>
      <c r="P6451" t="n">
        <v>0</v>
      </c>
      <c r="Q6451" t="n">
        <v>0</v>
      </c>
      <c r="R6451" s="2" t="inlineStr"/>
    </row>
    <row r="6452" ht="15" customHeight="1">
      <c r="A6452" t="inlineStr">
        <is>
          <t>A 21972-2022</t>
        </is>
      </c>
      <c r="B6452" s="1" t="n">
        <v>44711</v>
      </c>
      <c r="C6452" s="1" t="n">
        <v>45357</v>
      </c>
      <c r="D6452" t="inlineStr">
        <is>
          <t>VÄSTERBOTTENS LÄN</t>
        </is>
      </c>
      <c r="E6452" t="inlineStr">
        <is>
          <t>ÅSELE</t>
        </is>
      </c>
      <c r="F6452" t="inlineStr">
        <is>
          <t>Holmen skog AB</t>
        </is>
      </c>
      <c r="G6452" t="n">
        <v>22.1</v>
      </c>
      <c r="H6452" t="n">
        <v>0</v>
      </c>
      <c r="I6452" t="n">
        <v>0</v>
      </c>
      <c r="J6452" t="n">
        <v>0</v>
      </c>
      <c r="K6452" t="n">
        <v>0</v>
      </c>
      <c r="L6452" t="n">
        <v>0</v>
      </c>
      <c r="M6452" t="n">
        <v>0</v>
      </c>
      <c r="N6452" t="n">
        <v>0</v>
      </c>
      <c r="O6452" t="n">
        <v>0</v>
      </c>
      <c r="P6452" t="n">
        <v>0</v>
      </c>
      <c r="Q6452" t="n">
        <v>0</v>
      </c>
      <c r="R6452" s="2" t="inlineStr"/>
    </row>
    <row r="6453" ht="15" customHeight="1">
      <c r="A6453" t="inlineStr">
        <is>
          <t>A 22036-2022</t>
        </is>
      </c>
      <c r="B6453" s="1" t="n">
        <v>44711</v>
      </c>
      <c r="C6453" s="1" t="n">
        <v>45357</v>
      </c>
      <c r="D6453" t="inlineStr">
        <is>
          <t>VÄSTERBOTTENS LÄN</t>
        </is>
      </c>
      <c r="E6453" t="inlineStr">
        <is>
          <t>LYCKSELE</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22076-2022</t>
        </is>
      </c>
      <c r="B6454" s="1" t="n">
        <v>44711</v>
      </c>
      <c r="C6454" s="1" t="n">
        <v>45357</v>
      </c>
      <c r="D6454" t="inlineStr">
        <is>
          <t>VÄSTERBOTTENS LÄN</t>
        </is>
      </c>
      <c r="E6454" t="inlineStr">
        <is>
          <t>LYCKSELE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21996-2022</t>
        </is>
      </c>
      <c r="B6455" s="1" t="n">
        <v>44711</v>
      </c>
      <c r="C6455" s="1" t="n">
        <v>45357</v>
      </c>
      <c r="D6455" t="inlineStr">
        <is>
          <t>VÄSTERBOTTENS LÄN</t>
        </is>
      </c>
      <c r="E6455" t="inlineStr">
        <is>
          <t>SKELLEFTEÅ</t>
        </is>
      </c>
      <c r="F6455" t="inlineStr">
        <is>
          <t>Holmen skog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22075-2022</t>
        </is>
      </c>
      <c r="B6456" s="1" t="n">
        <v>44711</v>
      </c>
      <c r="C6456" s="1" t="n">
        <v>45357</v>
      </c>
      <c r="D6456" t="inlineStr">
        <is>
          <t>VÄSTERBOTTENS LÄN</t>
        </is>
      </c>
      <c r="E6456" t="inlineStr">
        <is>
          <t>LYCKSELE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22011-2022</t>
        </is>
      </c>
      <c r="B6457" s="1" t="n">
        <v>44711</v>
      </c>
      <c r="C6457" s="1" t="n">
        <v>45357</v>
      </c>
      <c r="D6457" t="inlineStr">
        <is>
          <t>VÄSTERBOTTENS LÄN</t>
        </is>
      </c>
      <c r="E6457" t="inlineStr">
        <is>
          <t>ÅSELE</t>
        </is>
      </c>
      <c r="G6457" t="n">
        <v>9.199999999999999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22074-2022</t>
        </is>
      </c>
      <c r="B6458" s="1" t="n">
        <v>44712</v>
      </c>
      <c r="C6458" s="1" t="n">
        <v>45357</v>
      </c>
      <c r="D6458" t="inlineStr">
        <is>
          <t>VÄSTERBOTTENS LÄN</t>
        </is>
      </c>
      <c r="E6458" t="inlineStr">
        <is>
          <t>ROBERTSFORS</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22319-2022</t>
        </is>
      </c>
      <c r="B6459" s="1" t="n">
        <v>44713</v>
      </c>
      <c r="C6459" s="1" t="n">
        <v>45357</v>
      </c>
      <c r="D6459" t="inlineStr">
        <is>
          <t>VÄSTERBOTTENS LÄN</t>
        </is>
      </c>
      <c r="E6459" t="inlineStr">
        <is>
          <t>STORUMAN</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22325-2022</t>
        </is>
      </c>
      <c r="B6460" s="1" t="n">
        <v>44712</v>
      </c>
      <c r="C6460" s="1" t="n">
        <v>45357</v>
      </c>
      <c r="D6460" t="inlineStr">
        <is>
          <t>VÄSTERBOTTENS LÄN</t>
        </is>
      </c>
      <c r="E6460" t="inlineStr">
        <is>
          <t>VILHELMINA</t>
        </is>
      </c>
      <c r="F6460" t="inlineStr">
        <is>
          <t>SCA</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22373-2022</t>
        </is>
      </c>
      <c r="B6461" s="1" t="n">
        <v>44713</v>
      </c>
      <c r="C6461" s="1" t="n">
        <v>45357</v>
      </c>
      <c r="D6461" t="inlineStr">
        <is>
          <t>VÄSTERBOTTENS LÄN</t>
        </is>
      </c>
      <c r="E6461" t="inlineStr">
        <is>
          <t>SKELLEFTEÅ</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22364-2022</t>
        </is>
      </c>
      <c r="B6462" s="1" t="n">
        <v>44713</v>
      </c>
      <c r="C6462" s="1" t="n">
        <v>45357</v>
      </c>
      <c r="D6462" t="inlineStr">
        <is>
          <t>VÄSTERBOTTENS LÄN</t>
        </is>
      </c>
      <c r="E6462" t="inlineStr">
        <is>
          <t>SKELLEFTEÅ</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22405-2022</t>
        </is>
      </c>
      <c r="B6463" s="1" t="n">
        <v>44713</v>
      </c>
      <c r="C6463" s="1" t="n">
        <v>45357</v>
      </c>
      <c r="D6463" t="inlineStr">
        <is>
          <t>VÄSTERBOTTENS LÄN</t>
        </is>
      </c>
      <c r="E6463" t="inlineStr">
        <is>
          <t>VILHELMINA</t>
        </is>
      </c>
      <c r="G6463" t="n">
        <v>13.2</v>
      </c>
      <c r="H6463" t="n">
        <v>0</v>
      </c>
      <c r="I6463" t="n">
        <v>0</v>
      </c>
      <c r="J6463" t="n">
        <v>0</v>
      </c>
      <c r="K6463" t="n">
        <v>0</v>
      </c>
      <c r="L6463" t="n">
        <v>0</v>
      </c>
      <c r="M6463" t="n">
        <v>0</v>
      </c>
      <c r="N6463" t="n">
        <v>0</v>
      </c>
      <c r="O6463" t="n">
        <v>0</v>
      </c>
      <c r="P6463" t="n">
        <v>0</v>
      </c>
      <c r="Q6463" t="n">
        <v>0</v>
      </c>
      <c r="R6463" s="2" t="inlineStr"/>
    </row>
    <row r="6464" ht="15" customHeight="1">
      <c r="A6464" t="inlineStr">
        <is>
          <t>A 22553-2022</t>
        </is>
      </c>
      <c r="B6464" s="1" t="n">
        <v>44714</v>
      </c>
      <c r="C6464" s="1" t="n">
        <v>45357</v>
      </c>
      <c r="D6464" t="inlineStr">
        <is>
          <t>VÄSTERBOTTENS LÄN</t>
        </is>
      </c>
      <c r="E6464" t="inlineStr">
        <is>
          <t>VINDELN</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22550-2022</t>
        </is>
      </c>
      <c r="B6465" s="1" t="n">
        <v>44713</v>
      </c>
      <c r="C6465" s="1" t="n">
        <v>45357</v>
      </c>
      <c r="D6465" t="inlineStr">
        <is>
          <t>VÄSTERBOTTENS LÄN</t>
        </is>
      </c>
      <c r="E6465" t="inlineStr">
        <is>
          <t>ÅSELE</t>
        </is>
      </c>
      <c r="F6465" t="inlineStr">
        <is>
          <t>SCA</t>
        </is>
      </c>
      <c r="G6465" t="n">
        <v>7.9</v>
      </c>
      <c r="H6465" t="n">
        <v>0</v>
      </c>
      <c r="I6465" t="n">
        <v>0</v>
      </c>
      <c r="J6465" t="n">
        <v>0</v>
      </c>
      <c r="K6465" t="n">
        <v>0</v>
      </c>
      <c r="L6465" t="n">
        <v>0</v>
      </c>
      <c r="M6465" t="n">
        <v>0</v>
      </c>
      <c r="N6465" t="n">
        <v>0</v>
      </c>
      <c r="O6465" t="n">
        <v>0</v>
      </c>
      <c r="P6465" t="n">
        <v>0</v>
      </c>
      <c r="Q6465" t="n">
        <v>0</v>
      </c>
      <c r="R6465" s="2" t="inlineStr"/>
    </row>
    <row r="6466" ht="15" customHeight="1">
      <c r="A6466" t="inlineStr">
        <is>
          <t>A 22661-2022</t>
        </is>
      </c>
      <c r="B6466" s="1" t="n">
        <v>44714</v>
      </c>
      <c r="C6466" s="1" t="n">
        <v>45357</v>
      </c>
      <c r="D6466" t="inlineStr">
        <is>
          <t>VÄSTERBOTTENS LÄN</t>
        </is>
      </c>
      <c r="E6466" t="inlineStr">
        <is>
          <t>SKELLEFTEÅ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22581-2022</t>
        </is>
      </c>
      <c r="B6467" s="1" t="n">
        <v>44714</v>
      </c>
      <c r="C6467" s="1" t="n">
        <v>45357</v>
      </c>
      <c r="D6467" t="inlineStr">
        <is>
          <t>VÄSTERBOTTENS LÄN</t>
        </is>
      </c>
      <c r="E6467" t="inlineStr">
        <is>
          <t>BJURHOLM</t>
        </is>
      </c>
      <c r="F6467" t="inlineStr">
        <is>
          <t>Holmen skog AB</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22609-2022</t>
        </is>
      </c>
      <c r="B6468" s="1" t="n">
        <v>44714</v>
      </c>
      <c r="C6468" s="1" t="n">
        <v>45357</v>
      </c>
      <c r="D6468" t="inlineStr">
        <is>
          <t>VÄSTERBOTTENS LÄN</t>
        </is>
      </c>
      <c r="E6468" t="inlineStr">
        <is>
          <t>UMEÅ</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22618-2022</t>
        </is>
      </c>
      <c r="B6469" s="1" t="n">
        <v>44714</v>
      </c>
      <c r="C6469" s="1" t="n">
        <v>45357</v>
      </c>
      <c r="D6469" t="inlineStr">
        <is>
          <t>VÄSTERBOTTENS LÄN</t>
        </is>
      </c>
      <c r="E6469" t="inlineStr">
        <is>
          <t>SKELLEFTEÅ</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22758-2022</t>
        </is>
      </c>
      <c r="B6470" s="1" t="n">
        <v>44714</v>
      </c>
      <c r="C6470" s="1" t="n">
        <v>45357</v>
      </c>
      <c r="D6470" t="inlineStr">
        <is>
          <t>VÄSTERBOTTENS LÄN</t>
        </is>
      </c>
      <c r="E6470" t="inlineStr">
        <is>
          <t>SKELLEFTEÅ</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22760-2022</t>
        </is>
      </c>
      <c r="B6471" s="1" t="n">
        <v>44714</v>
      </c>
      <c r="C6471" s="1" t="n">
        <v>45357</v>
      </c>
      <c r="D6471" t="inlineStr">
        <is>
          <t>VÄSTERBOTTENS LÄN</t>
        </is>
      </c>
      <c r="E6471" t="inlineStr">
        <is>
          <t>SKELLEFTEÅ</t>
        </is>
      </c>
      <c r="G6471" t="n">
        <v>12.2</v>
      </c>
      <c r="H6471" t="n">
        <v>0</v>
      </c>
      <c r="I6471" t="n">
        <v>0</v>
      </c>
      <c r="J6471" t="n">
        <v>0</v>
      </c>
      <c r="K6471" t="n">
        <v>0</v>
      </c>
      <c r="L6471" t="n">
        <v>0</v>
      </c>
      <c r="M6471" t="n">
        <v>0</v>
      </c>
      <c r="N6471" t="n">
        <v>0</v>
      </c>
      <c r="O6471" t="n">
        <v>0</v>
      </c>
      <c r="P6471" t="n">
        <v>0</v>
      </c>
      <c r="Q6471" t="n">
        <v>0</v>
      </c>
      <c r="R6471" s="2" t="inlineStr"/>
    </row>
    <row r="6472" ht="15" customHeight="1">
      <c r="A6472" t="inlineStr">
        <is>
          <t>A 22779-2022</t>
        </is>
      </c>
      <c r="B6472" s="1" t="n">
        <v>44714</v>
      </c>
      <c r="C6472" s="1" t="n">
        <v>45357</v>
      </c>
      <c r="D6472" t="inlineStr">
        <is>
          <t>VÄSTERBOTTENS LÄN</t>
        </is>
      </c>
      <c r="E6472" t="inlineStr">
        <is>
          <t>VINDELN</t>
        </is>
      </c>
      <c r="F6472" t="inlineStr">
        <is>
          <t>SCA</t>
        </is>
      </c>
      <c r="G6472" t="n">
        <v>9.9</v>
      </c>
      <c r="H6472" t="n">
        <v>0</v>
      </c>
      <c r="I6472" t="n">
        <v>0</v>
      </c>
      <c r="J6472" t="n">
        <v>0</v>
      </c>
      <c r="K6472" t="n">
        <v>0</v>
      </c>
      <c r="L6472" t="n">
        <v>0</v>
      </c>
      <c r="M6472" t="n">
        <v>0</v>
      </c>
      <c r="N6472" t="n">
        <v>0</v>
      </c>
      <c r="O6472" t="n">
        <v>0</v>
      </c>
      <c r="P6472" t="n">
        <v>0</v>
      </c>
      <c r="Q6472" t="n">
        <v>0</v>
      </c>
      <c r="R6472" s="2" t="inlineStr"/>
    </row>
    <row r="6473" ht="15" customHeight="1">
      <c r="A6473" t="inlineStr">
        <is>
          <t>A 22822-2022</t>
        </is>
      </c>
      <c r="B6473" s="1" t="n">
        <v>44714</v>
      </c>
      <c r="C6473" s="1" t="n">
        <v>45357</v>
      </c>
      <c r="D6473" t="inlineStr">
        <is>
          <t>VÄSTERBOTTENS LÄN</t>
        </is>
      </c>
      <c r="E6473" t="inlineStr">
        <is>
          <t>SKELLEFTEÅ</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22763-2022</t>
        </is>
      </c>
      <c r="B6474" s="1" t="n">
        <v>44715</v>
      </c>
      <c r="C6474" s="1" t="n">
        <v>45357</v>
      </c>
      <c r="D6474" t="inlineStr">
        <is>
          <t>VÄSTERBOTTENS LÄN</t>
        </is>
      </c>
      <c r="E6474" t="inlineStr">
        <is>
          <t>SKELLEFTEÅ</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22778-2022</t>
        </is>
      </c>
      <c r="B6475" s="1" t="n">
        <v>44715</v>
      </c>
      <c r="C6475" s="1" t="n">
        <v>45357</v>
      </c>
      <c r="D6475" t="inlineStr">
        <is>
          <t>VÄSTERBOTTENS LÄN</t>
        </is>
      </c>
      <c r="E6475" t="inlineStr">
        <is>
          <t>VINDELN</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22828-2022</t>
        </is>
      </c>
      <c r="B6476" s="1" t="n">
        <v>44714</v>
      </c>
      <c r="C6476" s="1" t="n">
        <v>45357</v>
      </c>
      <c r="D6476" t="inlineStr">
        <is>
          <t>VÄSTERBOTTENS LÄN</t>
        </is>
      </c>
      <c r="E6476" t="inlineStr">
        <is>
          <t>SKELLEFTEÅ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22795-2022</t>
        </is>
      </c>
      <c r="B6477" s="1" t="n">
        <v>44715</v>
      </c>
      <c r="C6477" s="1" t="n">
        <v>45357</v>
      </c>
      <c r="D6477" t="inlineStr">
        <is>
          <t>VÄSTERBOTTENS LÄN</t>
        </is>
      </c>
      <c r="E6477" t="inlineStr">
        <is>
          <t>UMEÅ</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22886-2022</t>
        </is>
      </c>
      <c r="B6478" s="1" t="n">
        <v>44715</v>
      </c>
      <c r="C6478" s="1" t="n">
        <v>45357</v>
      </c>
      <c r="D6478" t="inlineStr">
        <is>
          <t>VÄSTERBOTTENS LÄN</t>
        </is>
      </c>
      <c r="E6478" t="inlineStr">
        <is>
          <t>VINDELN</t>
        </is>
      </c>
      <c r="F6478" t="inlineStr">
        <is>
          <t>Holmen skog AB</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22912-2022</t>
        </is>
      </c>
      <c r="B6479" s="1" t="n">
        <v>44715</v>
      </c>
      <c r="C6479" s="1" t="n">
        <v>45357</v>
      </c>
      <c r="D6479" t="inlineStr">
        <is>
          <t>VÄSTERBOTTENS LÄN</t>
        </is>
      </c>
      <c r="E6479" t="inlineStr">
        <is>
          <t>NORSJÖ</t>
        </is>
      </c>
      <c r="F6479" t="inlineStr">
        <is>
          <t>Holmen skog AB</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22907-2022</t>
        </is>
      </c>
      <c r="B6480" s="1" t="n">
        <v>44715</v>
      </c>
      <c r="C6480" s="1" t="n">
        <v>45357</v>
      </c>
      <c r="D6480" t="inlineStr">
        <is>
          <t>VÄSTERBOTTENS LÄN</t>
        </is>
      </c>
      <c r="E6480" t="inlineStr">
        <is>
          <t>VINDELN</t>
        </is>
      </c>
      <c r="F6480" t="inlineStr">
        <is>
          <t>Holmen skog AB</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22948-2022</t>
        </is>
      </c>
      <c r="B6481" s="1" t="n">
        <v>44716</v>
      </c>
      <c r="C6481" s="1" t="n">
        <v>45357</v>
      </c>
      <c r="D6481" t="inlineStr">
        <is>
          <t>VÄSTERBOTTENS LÄN</t>
        </is>
      </c>
      <c r="E6481" t="inlineStr">
        <is>
          <t>VINDELN</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22896-2022</t>
        </is>
      </c>
      <c r="B6482" s="1" t="n">
        <v>44715</v>
      </c>
      <c r="C6482" s="1" t="n">
        <v>45357</v>
      </c>
      <c r="D6482" t="inlineStr">
        <is>
          <t>VÄSTERBOTTENS LÄN</t>
        </is>
      </c>
      <c r="E6482" t="inlineStr">
        <is>
          <t>SKELLEFTEÅ</t>
        </is>
      </c>
      <c r="F6482" t="inlineStr">
        <is>
          <t>Holmen skog AB</t>
        </is>
      </c>
      <c r="G6482" t="n">
        <v>8.800000000000001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23006-2022</t>
        </is>
      </c>
      <c r="B6483" s="1" t="n">
        <v>44715</v>
      </c>
      <c r="C6483" s="1" t="n">
        <v>45357</v>
      </c>
      <c r="D6483" t="inlineStr">
        <is>
          <t>VÄSTERBOTTENS LÄN</t>
        </is>
      </c>
      <c r="E6483" t="inlineStr">
        <is>
          <t>UMEÅ</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23127-2022</t>
        </is>
      </c>
      <c r="B6484" s="1" t="n">
        <v>44719</v>
      </c>
      <c r="C6484" s="1" t="n">
        <v>45357</v>
      </c>
      <c r="D6484" t="inlineStr">
        <is>
          <t>VÄSTERBOTTENS LÄN</t>
        </is>
      </c>
      <c r="E6484" t="inlineStr">
        <is>
          <t>NORSJÖ</t>
        </is>
      </c>
      <c r="F6484" t="inlineStr">
        <is>
          <t>Holmen skog AB</t>
        </is>
      </c>
      <c r="G6484" t="n">
        <v>9.9</v>
      </c>
      <c r="H6484" t="n">
        <v>0</v>
      </c>
      <c r="I6484" t="n">
        <v>0</v>
      </c>
      <c r="J6484" t="n">
        <v>0</v>
      </c>
      <c r="K6484" t="n">
        <v>0</v>
      </c>
      <c r="L6484" t="n">
        <v>0</v>
      </c>
      <c r="M6484" t="n">
        <v>0</v>
      </c>
      <c r="N6484" t="n">
        <v>0</v>
      </c>
      <c r="O6484" t="n">
        <v>0</v>
      </c>
      <c r="P6484" t="n">
        <v>0</v>
      </c>
      <c r="Q6484" t="n">
        <v>0</v>
      </c>
      <c r="R6484" s="2" t="inlineStr"/>
    </row>
    <row r="6485" ht="15" customHeight="1">
      <c r="A6485" t="inlineStr">
        <is>
          <t>A 23042-2022</t>
        </is>
      </c>
      <c r="B6485" s="1" t="n">
        <v>44719</v>
      </c>
      <c r="C6485" s="1" t="n">
        <v>45357</v>
      </c>
      <c r="D6485" t="inlineStr">
        <is>
          <t>VÄSTERBOTTENS LÄN</t>
        </is>
      </c>
      <c r="E6485" t="inlineStr">
        <is>
          <t>SKELLEFTEÅ</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23126-2022</t>
        </is>
      </c>
      <c r="B6486" s="1" t="n">
        <v>44719</v>
      </c>
      <c r="C6486" s="1" t="n">
        <v>45357</v>
      </c>
      <c r="D6486" t="inlineStr">
        <is>
          <t>VÄSTERBOTTENS LÄN</t>
        </is>
      </c>
      <c r="E6486" t="inlineStr">
        <is>
          <t>SORSELE</t>
        </is>
      </c>
      <c r="G6486" t="n">
        <v>20.6</v>
      </c>
      <c r="H6486" t="n">
        <v>0</v>
      </c>
      <c r="I6486" t="n">
        <v>0</v>
      </c>
      <c r="J6486" t="n">
        <v>0</v>
      </c>
      <c r="K6486" t="n">
        <v>0</v>
      </c>
      <c r="L6486" t="n">
        <v>0</v>
      </c>
      <c r="M6486" t="n">
        <v>0</v>
      </c>
      <c r="N6486" t="n">
        <v>0</v>
      </c>
      <c r="O6486" t="n">
        <v>0</v>
      </c>
      <c r="P6486" t="n">
        <v>0</v>
      </c>
      <c r="Q6486" t="n">
        <v>0</v>
      </c>
      <c r="R6486" s="2" t="inlineStr"/>
    </row>
    <row r="6487" ht="15" customHeight="1">
      <c r="A6487" t="inlineStr">
        <is>
          <t>A 23168-2022</t>
        </is>
      </c>
      <c r="B6487" s="1" t="n">
        <v>44719</v>
      </c>
      <c r="C6487" s="1" t="n">
        <v>45357</v>
      </c>
      <c r="D6487" t="inlineStr">
        <is>
          <t>VÄSTERBOTTENS LÄN</t>
        </is>
      </c>
      <c r="E6487" t="inlineStr">
        <is>
          <t>NORSJÖ</t>
        </is>
      </c>
      <c r="F6487" t="inlineStr">
        <is>
          <t>Holmen skog AB</t>
        </is>
      </c>
      <c r="G6487" t="n">
        <v>19.6</v>
      </c>
      <c r="H6487" t="n">
        <v>0</v>
      </c>
      <c r="I6487" t="n">
        <v>0</v>
      </c>
      <c r="J6487" t="n">
        <v>0</v>
      </c>
      <c r="K6487" t="n">
        <v>0</v>
      </c>
      <c r="L6487" t="n">
        <v>0</v>
      </c>
      <c r="M6487" t="n">
        <v>0</v>
      </c>
      <c r="N6487" t="n">
        <v>0</v>
      </c>
      <c r="O6487" t="n">
        <v>0</v>
      </c>
      <c r="P6487" t="n">
        <v>0</v>
      </c>
      <c r="Q6487" t="n">
        <v>0</v>
      </c>
      <c r="R6487" s="2" t="inlineStr"/>
    </row>
    <row r="6488" ht="15" customHeight="1">
      <c r="A6488" t="inlineStr">
        <is>
          <t>A 23164-2022</t>
        </is>
      </c>
      <c r="B6488" s="1" t="n">
        <v>44719</v>
      </c>
      <c r="C6488" s="1" t="n">
        <v>45357</v>
      </c>
      <c r="D6488" t="inlineStr">
        <is>
          <t>VÄSTERBOTTENS LÄN</t>
        </is>
      </c>
      <c r="E6488" t="inlineStr">
        <is>
          <t>LYCKSELE</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23188-2022</t>
        </is>
      </c>
      <c r="B6489" s="1" t="n">
        <v>44720</v>
      </c>
      <c r="C6489" s="1" t="n">
        <v>45357</v>
      </c>
      <c r="D6489" t="inlineStr">
        <is>
          <t>VÄSTERBOTTENS LÄN</t>
        </is>
      </c>
      <c r="E6489" t="inlineStr">
        <is>
          <t>STORUMAN</t>
        </is>
      </c>
      <c r="F6489" t="inlineStr">
        <is>
          <t>Sveaskog</t>
        </is>
      </c>
      <c r="G6489" t="n">
        <v>12.7</v>
      </c>
      <c r="H6489" t="n">
        <v>0</v>
      </c>
      <c r="I6489" t="n">
        <v>0</v>
      </c>
      <c r="J6489" t="n">
        <v>0</v>
      </c>
      <c r="K6489" t="n">
        <v>0</v>
      </c>
      <c r="L6489" t="n">
        <v>0</v>
      </c>
      <c r="M6489" t="n">
        <v>0</v>
      </c>
      <c r="N6489" t="n">
        <v>0</v>
      </c>
      <c r="O6489" t="n">
        <v>0</v>
      </c>
      <c r="P6489" t="n">
        <v>0</v>
      </c>
      <c r="Q6489" t="n">
        <v>0</v>
      </c>
      <c r="R6489" s="2" t="inlineStr"/>
    </row>
    <row r="6490" ht="15" customHeight="1">
      <c r="A6490" t="inlineStr">
        <is>
          <t>A 23213-2022</t>
        </is>
      </c>
      <c r="B6490" s="1" t="n">
        <v>44720</v>
      </c>
      <c r="C6490" s="1" t="n">
        <v>45357</v>
      </c>
      <c r="D6490" t="inlineStr">
        <is>
          <t>VÄSTERBOTTENS LÄN</t>
        </is>
      </c>
      <c r="E6490" t="inlineStr">
        <is>
          <t>DOROTEA</t>
        </is>
      </c>
      <c r="F6490" t="inlineStr">
        <is>
          <t>SCA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23229-2022</t>
        </is>
      </c>
      <c r="B6491" s="1" t="n">
        <v>44719</v>
      </c>
      <c r="C6491" s="1" t="n">
        <v>45357</v>
      </c>
      <c r="D6491" t="inlineStr">
        <is>
          <t>VÄSTERBOTTENS LÄN</t>
        </is>
      </c>
      <c r="E6491" t="inlineStr">
        <is>
          <t>SORSELE</t>
        </is>
      </c>
      <c r="G6491" t="n">
        <v>20.5</v>
      </c>
      <c r="H6491" t="n">
        <v>0</v>
      </c>
      <c r="I6491" t="n">
        <v>0</v>
      </c>
      <c r="J6491" t="n">
        <v>0</v>
      </c>
      <c r="K6491" t="n">
        <v>0</v>
      </c>
      <c r="L6491" t="n">
        <v>0</v>
      </c>
      <c r="M6491" t="n">
        <v>0</v>
      </c>
      <c r="N6491" t="n">
        <v>0</v>
      </c>
      <c r="O6491" t="n">
        <v>0</v>
      </c>
      <c r="P6491" t="n">
        <v>0</v>
      </c>
      <c r="Q6491" t="n">
        <v>0</v>
      </c>
      <c r="R6491" s="2" t="inlineStr"/>
    </row>
    <row r="6492" ht="15" customHeight="1">
      <c r="A6492" t="inlineStr">
        <is>
          <t>A 23189-2022</t>
        </is>
      </c>
      <c r="B6492" s="1" t="n">
        <v>44719</v>
      </c>
      <c r="C6492" s="1" t="n">
        <v>45357</v>
      </c>
      <c r="D6492" t="inlineStr">
        <is>
          <t>VÄSTERBOTTENS LÄN</t>
        </is>
      </c>
      <c r="E6492" t="inlineStr">
        <is>
          <t>ÅSELE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23046-2022</t>
        </is>
      </c>
      <c r="B6493" s="1" t="n">
        <v>44719</v>
      </c>
      <c r="C6493" s="1" t="n">
        <v>45357</v>
      </c>
      <c r="D6493" t="inlineStr">
        <is>
          <t>VÄSTERBOTTENS LÄN</t>
        </is>
      </c>
      <c r="E6493" t="inlineStr">
        <is>
          <t>SKELLEFTEÅ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23187-2022</t>
        </is>
      </c>
      <c r="B6494" s="1" t="n">
        <v>44719</v>
      </c>
      <c r="C6494" s="1" t="n">
        <v>45357</v>
      </c>
      <c r="D6494" t="inlineStr">
        <is>
          <t>VÄSTERBOTTENS LÄN</t>
        </is>
      </c>
      <c r="E6494" t="inlineStr">
        <is>
          <t>DOROTEA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23210-2022</t>
        </is>
      </c>
      <c r="B6495" s="1" t="n">
        <v>44719</v>
      </c>
      <c r="C6495" s="1" t="n">
        <v>45357</v>
      </c>
      <c r="D6495" t="inlineStr">
        <is>
          <t>VÄSTERBOTTENS LÄN</t>
        </is>
      </c>
      <c r="E6495" t="inlineStr">
        <is>
          <t>VILHELMINA</t>
        </is>
      </c>
      <c r="F6495" t="inlineStr">
        <is>
          <t>SCA</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23234-2022</t>
        </is>
      </c>
      <c r="B6496" s="1" t="n">
        <v>44719</v>
      </c>
      <c r="C6496" s="1" t="n">
        <v>45357</v>
      </c>
      <c r="D6496" t="inlineStr">
        <is>
          <t>VÄSTERBOTTENS LÄN</t>
        </is>
      </c>
      <c r="E6496" t="inlineStr">
        <is>
          <t>SORSELE</t>
        </is>
      </c>
      <c r="G6496" t="n">
        <v>19.3</v>
      </c>
      <c r="H6496" t="n">
        <v>0</v>
      </c>
      <c r="I6496" t="n">
        <v>0</v>
      </c>
      <c r="J6496" t="n">
        <v>0</v>
      </c>
      <c r="K6496" t="n">
        <v>0</v>
      </c>
      <c r="L6496" t="n">
        <v>0</v>
      </c>
      <c r="M6496" t="n">
        <v>0</v>
      </c>
      <c r="N6496" t="n">
        <v>0</v>
      </c>
      <c r="O6496" t="n">
        <v>0</v>
      </c>
      <c r="P6496" t="n">
        <v>0</v>
      </c>
      <c r="Q6496" t="n">
        <v>0</v>
      </c>
      <c r="R6496" s="2" t="inlineStr"/>
    </row>
    <row r="6497" ht="15" customHeight="1">
      <c r="A6497" t="inlineStr">
        <is>
          <t>A 23336-2022</t>
        </is>
      </c>
      <c r="B6497" s="1" t="n">
        <v>44719</v>
      </c>
      <c r="C6497" s="1" t="n">
        <v>45357</v>
      </c>
      <c r="D6497" t="inlineStr">
        <is>
          <t>VÄSTERBOTTENS LÄN</t>
        </is>
      </c>
      <c r="E6497" t="inlineStr">
        <is>
          <t>SORSELE</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23260-2022</t>
        </is>
      </c>
      <c r="B6498" s="1" t="n">
        <v>44720</v>
      </c>
      <c r="C6498" s="1" t="n">
        <v>45357</v>
      </c>
      <c r="D6498" t="inlineStr">
        <is>
          <t>VÄSTERBOTTENS LÄN</t>
        </is>
      </c>
      <c r="E6498" t="inlineStr">
        <is>
          <t>VINDELN</t>
        </is>
      </c>
      <c r="F6498" t="inlineStr">
        <is>
          <t>Holmen skog AB</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23505-2022</t>
        </is>
      </c>
      <c r="B6499" s="1" t="n">
        <v>44721</v>
      </c>
      <c r="C6499" s="1" t="n">
        <v>45357</v>
      </c>
      <c r="D6499" t="inlineStr">
        <is>
          <t>VÄSTERBOTTENS LÄN</t>
        </is>
      </c>
      <c r="E6499" t="inlineStr">
        <is>
          <t>ROBERTSFORS</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23513-2022</t>
        </is>
      </c>
      <c r="B6500" s="1" t="n">
        <v>44721</v>
      </c>
      <c r="C6500" s="1" t="n">
        <v>45357</v>
      </c>
      <c r="D6500" t="inlineStr">
        <is>
          <t>VÄSTERBOTTENS LÄN</t>
        </is>
      </c>
      <c r="E6500" t="inlineStr">
        <is>
          <t>SKELLEFTEÅ</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23522-2022</t>
        </is>
      </c>
      <c r="B6501" s="1" t="n">
        <v>44721</v>
      </c>
      <c r="C6501" s="1" t="n">
        <v>45357</v>
      </c>
      <c r="D6501" t="inlineStr">
        <is>
          <t>VÄSTERBOTTENS LÄN</t>
        </is>
      </c>
      <c r="E6501" t="inlineStr">
        <is>
          <t>DOROTEA</t>
        </is>
      </c>
      <c r="F6501" t="inlineStr">
        <is>
          <t>Övriga statliga verk och myndigheter</t>
        </is>
      </c>
      <c r="G6501" t="n">
        <v>8.6</v>
      </c>
      <c r="H6501" t="n">
        <v>0</v>
      </c>
      <c r="I6501" t="n">
        <v>0</v>
      </c>
      <c r="J6501" t="n">
        <v>0</v>
      </c>
      <c r="K6501" t="n">
        <v>0</v>
      </c>
      <c r="L6501" t="n">
        <v>0</v>
      </c>
      <c r="M6501" t="n">
        <v>0</v>
      </c>
      <c r="N6501" t="n">
        <v>0</v>
      </c>
      <c r="O6501" t="n">
        <v>0</v>
      </c>
      <c r="P6501" t="n">
        <v>0</v>
      </c>
      <c r="Q6501" t="n">
        <v>0</v>
      </c>
      <c r="R6501" s="2" t="inlineStr"/>
    </row>
    <row r="6502" ht="15" customHeight="1">
      <c r="A6502" t="inlineStr">
        <is>
          <t>A 23662-2022</t>
        </is>
      </c>
      <c r="B6502" s="1" t="n">
        <v>44721</v>
      </c>
      <c r="C6502" s="1" t="n">
        <v>45357</v>
      </c>
      <c r="D6502" t="inlineStr">
        <is>
          <t>VÄSTERBOTTENS LÄN</t>
        </is>
      </c>
      <c r="E6502" t="inlineStr">
        <is>
          <t>BJURHOLM</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23658-2022</t>
        </is>
      </c>
      <c r="B6503" s="1" t="n">
        <v>44721</v>
      </c>
      <c r="C6503" s="1" t="n">
        <v>45357</v>
      </c>
      <c r="D6503" t="inlineStr">
        <is>
          <t>VÄSTERBOTTENS LÄN</t>
        </is>
      </c>
      <c r="E6503" t="inlineStr">
        <is>
          <t>NORSJÖ</t>
        </is>
      </c>
      <c r="F6503" t="inlineStr">
        <is>
          <t>Holmen skog AB</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23680-2022</t>
        </is>
      </c>
      <c r="B6504" s="1" t="n">
        <v>44721</v>
      </c>
      <c r="C6504" s="1" t="n">
        <v>45357</v>
      </c>
      <c r="D6504" t="inlineStr">
        <is>
          <t>VÄSTERBOTTENS LÄN</t>
        </is>
      </c>
      <c r="E6504" t="inlineStr">
        <is>
          <t>VINDELN</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23697-2022</t>
        </is>
      </c>
      <c r="B6505" s="1" t="n">
        <v>44721</v>
      </c>
      <c r="C6505" s="1" t="n">
        <v>45357</v>
      </c>
      <c r="D6505" t="inlineStr">
        <is>
          <t>VÄSTERBOTTENS LÄN</t>
        </is>
      </c>
      <c r="E6505" t="inlineStr">
        <is>
          <t>VINDELN</t>
        </is>
      </c>
      <c r="F6505" t="inlineStr">
        <is>
          <t>SCA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23679-2022</t>
        </is>
      </c>
      <c r="B6506" s="1" t="n">
        <v>44722</v>
      </c>
      <c r="C6506" s="1" t="n">
        <v>45357</v>
      </c>
      <c r="D6506" t="inlineStr">
        <is>
          <t>VÄSTERBOTTENS LÄN</t>
        </is>
      </c>
      <c r="E6506" t="inlineStr">
        <is>
          <t>VINDELN</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23696-2022</t>
        </is>
      </c>
      <c r="B6507" s="1" t="n">
        <v>44721</v>
      </c>
      <c r="C6507" s="1" t="n">
        <v>45357</v>
      </c>
      <c r="D6507" t="inlineStr">
        <is>
          <t>VÄSTERBOTTENS LÄN</t>
        </is>
      </c>
      <c r="E6507" t="inlineStr">
        <is>
          <t>VINDELN</t>
        </is>
      </c>
      <c r="F6507" t="inlineStr">
        <is>
          <t>SCA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23699-2022</t>
        </is>
      </c>
      <c r="B6508" s="1" t="n">
        <v>44721</v>
      </c>
      <c r="C6508" s="1" t="n">
        <v>45357</v>
      </c>
      <c r="D6508" t="inlineStr">
        <is>
          <t>VÄSTERBOTTENS LÄN</t>
        </is>
      </c>
      <c r="E6508" t="inlineStr">
        <is>
          <t>VINDELN</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23715-2022</t>
        </is>
      </c>
      <c r="B6509" s="1" t="n">
        <v>44721</v>
      </c>
      <c r="C6509" s="1" t="n">
        <v>45357</v>
      </c>
      <c r="D6509" t="inlineStr">
        <is>
          <t>VÄSTERBOTTENS LÄN</t>
        </is>
      </c>
      <c r="E6509" t="inlineStr">
        <is>
          <t>SKELLEFTEÅ</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23698-2022</t>
        </is>
      </c>
      <c r="B6510" s="1" t="n">
        <v>44722</v>
      </c>
      <c r="C6510" s="1" t="n">
        <v>45357</v>
      </c>
      <c r="D6510" t="inlineStr">
        <is>
          <t>VÄSTERBOTTENS LÄN</t>
        </is>
      </c>
      <c r="E6510" t="inlineStr">
        <is>
          <t>VINDELN</t>
        </is>
      </c>
      <c r="F6510" t="inlineStr">
        <is>
          <t>SCA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23729-2022</t>
        </is>
      </c>
      <c r="B6511" s="1" t="n">
        <v>44722</v>
      </c>
      <c r="C6511" s="1" t="n">
        <v>45357</v>
      </c>
      <c r="D6511" t="inlineStr">
        <is>
          <t>VÄSTERBOTTENS LÄN</t>
        </is>
      </c>
      <c r="E6511" t="inlineStr">
        <is>
          <t>SKELLEFTEÅ</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23794-2022</t>
        </is>
      </c>
      <c r="B6512" s="1" t="n">
        <v>44722</v>
      </c>
      <c r="C6512" s="1" t="n">
        <v>45357</v>
      </c>
      <c r="D6512" t="inlineStr">
        <is>
          <t>VÄSTERBOTTENS LÄN</t>
        </is>
      </c>
      <c r="E6512" t="inlineStr">
        <is>
          <t>VINDELN</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23909-2022</t>
        </is>
      </c>
      <c r="B6513" s="1" t="n">
        <v>44722</v>
      </c>
      <c r="C6513" s="1" t="n">
        <v>45357</v>
      </c>
      <c r="D6513" t="inlineStr">
        <is>
          <t>VÄSTERBOTTENS LÄN</t>
        </is>
      </c>
      <c r="E6513" t="inlineStr">
        <is>
          <t>BJURHOLM</t>
        </is>
      </c>
      <c r="F6513" t="inlineStr">
        <is>
          <t>Holmen skog AB</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23974-2022</t>
        </is>
      </c>
      <c r="B6514" s="1" t="n">
        <v>44722</v>
      </c>
      <c r="C6514" s="1" t="n">
        <v>45357</v>
      </c>
      <c r="D6514" t="inlineStr">
        <is>
          <t>VÄSTERBOTTENS LÄN</t>
        </is>
      </c>
      <c r="E6514" t="inlineStr">
        <is>
          <t>BJURHOLM</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23996-2022</t>
        </is>
      </c>
      <c r="B6515" s="1" t="n">
        <v>44722</v>
      </c>
      <c r="C6515" s="1" t="n">
        <v>45357</v>
      </c>
      <c r="D6515" t="inlineStr">
        <is>
          <t>VÄSTERBOTTENS LÄN</t>
        </is>
      </c>
      <c r="E6515" t="inlineStr">
        <is>
          <t>ÅSELE</t>
        </is>
      </c>
      <c r="F6515" t="inlineStr">
        <is>
          <t>SCA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24010-2022</t>
        </is>
      </c>
      <c r="B6516" s="1" t="n">
        <v>44723</v>
      </c>
      <c r="C6516" s="1" t="n">
        <v>45357</v>
      </c>
      <c r="D6516" t="inlineStr">
        <is>
          <t>VÄSTERBOTTENS LÄN</t>
        </is>
      </c>
      <c r="E6516" t="inlineStr">
        <is>
          <t>NORDMALING</t>
        </is>
      </c>
      <c r="F6516" t="inlineStr">
        <is>
          <t>SCA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24241-2022</t>
        </is>
      </c>
      <c r="B6517" s="1" t="n">
        <v>44725</v>
      </c>
      <c r="C6517" s="1" t="n">
        <v>45357</v>
      </c>
      <c r="D6517" t="inlineStr">
        <is>
          <t>VÄSTERBOTTENS LÄN</t>
        </is>
      </c>
      <c r="E6517" t="inlineStr">
        <is>
          <t>ROBERTSFORS</t>
        </is>
      </c>
      <c r="F6517" t="inlineStr">
        <is>
          <t>Holmen skog AB</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24238-2022</t>
        </is>
      </c>
      <c r="B6518" s="1" t="n">
        <v>44725</v>
      </c>
      <c r="C6518" s="1" t="n">
        <v>45357</v>
      </c>
      <c r="D6518" t="inlineStr">
        <is>
          <t>VÄSTERBOTTENS LÄN</t>
        </is>
      </c>
      <c r="E6518" t="inlineStr">
        <is>
          <t>SKELLEFTEÅ</t>
        </is>
      </c>
      <c r="F6518" t="inlineStr">
        <is>
          <t>Övriga Aktiebolag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24296-2022</t>
        </is>
      </c>
      <c r="B6519" s="1" t="n">
        <v>44726</v>
      </c>
      <c r="C6519" s="1" t="n">
        <v>45357</v>
      </c>
      <c r="D6519" t="inlineStr">
        <is>
          <t>VÄSTERBOTTENS LÄN</t>
        </is>
      </c>
      <c r="E6519" t="inlineStr">
        <is>
          <t>VILHELMINA</t>
        </is>
      </c>
      <c r="G6519" t="n">
        <v>8.699999999999999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24297-2022</t>
        </is>
      </c>
      <c r="B6520" s="1" t="n">
        <v>44725</v>
      </c>
      <c r="C6520" s="1" t="n">
        <v>45357</v>
      </c>
      <c r="D6520" t="inlineStr">
        <is>
          <t>VÄSTERBOTTENS LÄN</t>
        </is>
      </c>
      <c r="E6520" t="inlineStr">
        <is>
          <t>VILHELMINA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24311-2022</t>
        </is>
      </c>
      <c r="B6521" s="1" t="n">
        <v>44726</v>
      </c>
      <c r="C6521" s="1" t="n">
        <v>45357</v>
      </c>
      <c r="D6521" t="inlineStr">
        <is>
          <t>VÄSTERBOTTENS LÄN</t>
        </is>
      </c>
      <c r="E6521" t="inlineStr">
        <is>
          <t>ÅSELE</t>
        </is>
      </c>
      <c r="F6521" t="inlineStr">
        <is>
          <t>SCA</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24295-2022</t>
        </is>
      </c>
      <c r="B6522" s="1" t="n">
        <v>44725</v>
      </c>
      <c r="C6522" s="1" t="n">
        <v>45357</v>
      </c>
      <c r="D6522" t="inlineStr">
        <is>
          <t>VÄSTERBOTTENS LÄN</t>
        </is>
      </c>
      <c r="E6522" t="inlineStr">
        <is>
          <t>SORSELE</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24323-2022</t>
        </is>
      </c>
      <c r="B6523" s="1" t="n">
        <v>44725</v>
      </c>
      <c r="C6523" s="1" t="n">
        <v>45357</v>
      </c>
      <c r="D6523" t="inlineStr">
        <is>
          <t>VÄSTERBOTTENS LÄN</t>
        </is>
      </c>
      <c r="E6523" t="inlineStr">
        <is>
          <t>SKELLEFTEÅ</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24183-2022</t>
        </is>
      </c>
      <c r="B6524" s="1" t="n">
        <v>44725</v>
      </c>
      <c r="C6524" s="1" t="n">
        <v>45357</v>
      </c>
      <c r="D6524" t="inlineStr">
        <is>
          <t>VÄSTERBOTTENS LÄN</t>
        </is>
      </c>
      <c r="E6524" t="inlineStr">
        <is>
          <t>DOROTEA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24242-2022</t>
        </is>
      </c>
      <c r="B6525" s="1" t="n">
        <v>44725</v>
      </c>
      <c r="C6525" s="1" t="n">
        <v>45357</v>
      </c>
      <c r="D6525" t="inlineStr">
        <is>
          <t>VÄSTERBOTTENS LÄN</t>
        </is>
      </c>
      <c r="E6525" t="inlineStr">
        <is>
          <t>SKELLEFTEÅ</t>
        </is>
      </c>
      <c r="F6525" t="inlineStr">
        <is>
          <t>Övriga Aktiebolag</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24294-2022</t>
        </is>
      </c>
      <c r="B6526" s="1" t="n">
        <v>44725</v>
      </c>
      <c r="C6526" s="1" t="n">
        <v>45357</v>
      </c>
      <c r="D6526" t="inlineStr">
        <is>
          <t>VÄSTERBOTTENS LÄN</t>
        </is>
      </c>
      <c r="E6526" t="inlineStr">
        <is>
          <t>SORSELE</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24310-2022</t>
        </is>
      </c>
      <c r="B6527" s="1" t="n">
        <v>44726</v>
      </c>
      <c r="C6527" s="1" t="n">
        <v>45357</v>
      </c>
      <c r="D6527" t="inlineStr">
        <is>
          <t>VÄSTERBOTTENS LÄN</t>
        </is>
      </c>
      <c r="E6527" t="inlineStr">
        <is>
          <t>ÅSELE</t>
        </is>
      </c>
      <c r="F6527" t="inlineStr">
        <is>
          <t>SCA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24478-2022</t>
        </is>
      </c>
      <c r="B6528" s="1" t="n">
        <v>44726</v>
      </c>
      <c r="C6528" s="1" t="n">
        <v>45357</v>
      </c>
      <c r="D6528" t="inlineStr">
        <is>
          <t>VÄSTERBOTTENS LÄN</t>
        </is>
      </c>
      <c r="E6528" t="inlineStr">
        <is>
          <t>LYCKSELE</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24515-2022</t>
        </is>
      </c>
      <c r="B6529" s="1" t="n">
        <v>44726</v>
      </c>
      <c r="C6529" s="1" t="n">
        <v>45357</v>
      </c>
      <c r="D6529" t="inlineStr">
        <is>
          <t>VÄSTERBOTTENS LÄN</t>
        </is>
      </c>
      <c r="E6529" t="inlineStr">
        <is>
          <t>NORDMALING</t>
        </is>
      </c>
      <c r="F6529" t="inlineStr">
        <is>
          <t>SCA</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24505-2022</t>
        </is>
      </c>
      <c r="B6530" s="1" t="n">
        <v>44727</v>
      </c>
      <c r="C6530" s="1" t="n">
        <v>45357</v>
      </c>
      <c r="D6530" t="inlineStr">
        <is>
          <t>VÄSTERBOTTENS LÄN</t>
        </is>
      </c>
      <c r="E6530" t="inlineStr">
        <is>
          <t>SKELLEFTEÅ</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24516-2022</t>
        </is>
      </c>
      <c r="B6531" s="1" t="n">
        <v>44726</v>
      </c>
      <c r="C6531" s="1" t="n">
        <v>45357</v>
      </c>
      <c r="D6531" t="inlineStr">
        <is>
          <t>VÄSTERBOTTENS LÄN</t>
        </is>
      </c>
      <c r="E6531" t="inlineStr">
        <is>
          <t>NORDMALING</t>
        </is>
      </c>
      <c r="F6531" t="inlineStr">
        <is>
          <t>SCA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24541-2022</t>
        </is>
      </c>
      <c r="B6532" s="1" t="n">
        <v>44727</v>
      </c>
      <c r="C6532" s="1" t="n">
        <v>45357</v>
      </c>
      <c r="D6532" t="inlineStr">
        <is>
          <t>VÄSTERBOTTENS LÄN</t>
        </is>
      </c>
      <c r="E6532" t="inlineStr">
        <is>
          <t>STORUMAN</t>
        </is>
      </c>
      <c r="F6532" t="inlineStr">
        <is>
          <t>Kommuner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24556-2022</t>
        </is>
      </c>
      <c r="B6533" s="1" t="n">
        <v>44727</v>
      </c>
      <c r="C6533" s="1" t="n">
        <v>45357</v>
      </c>
      <c r="D6533" t="inlineStr">
        <is>
          <t>VÄSTERBOTTENS LÄN</t>
        </is>
      </c>
      <c r="E6533" t="inlineStr">
        <is>
          <t>LYCKSELE</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24586-2022</t>
        </is>
      </c>
      <c r="B6534" s="1" t="n">
        <v>44727</v>
      </c>
      <c r="C6534" s="1" t="n">
        <v>45357</v>
      </c>
      <c r="D6534" t="inlineStr">
        <is>
          <t>VÄSTERBOTTENS LÄN</t>
        </is>
      </c>
      <c r="E6534" t="inlineStr">
        <is>
          <t>UMEÅ</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24611-2022</t>
        </is>
      </c>
      <c r="B6535" s="1" t="n">
        <v>44727</v>
      </c>
      <c r="C6535" s="1" t="n">
        <v>45357</v>
      </c>
      <c r="D6535" t="inlineStr">
        <is>
          <t>VÄSTERBOTTENS LÄN</t>
        </is>
      </c>
      <c r="E6535" t="inlineStr">
        <is>
          <t>MALÅ</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24577-2022</t>
        </is>
      </c>
      <c r="B6536" s="1" t="n">
        <v>44727</v>
      </c>
      <c r="C6536" s="1" t="n">
        <v>45357</v>
      </c>
      <c r="D6536" t="inlineStr">
        <is>
          <t>VÄSTERBOTTENS LÄN</t>
        </is>
      </c>
      <c r="E6536" t="inlineStr">
        <is>
          <t>SKELLEFTEÅ</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24583-2022</t>
        </is>
      </c>
      <c r="B6537" s="1" t="n">
        <v>44727</v>
      </c>
      <c r="C6537" s="1" t="n">
        <v>45357</v>
      </c>
      <c r="D6537" t="inlineStr">
        <is>
          <t>VÄSTERBOTTENS LÄN</t>
        </is>
      </c>
      <c r="E6537" t="inlineStr">
        <is>
          <t>SKELLEFTEÅ</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24669-2022</t>
        </is>
      </c>
      <c r="B6538" s="1" t="n">
        <v>44727</v>
      </c>
      <c r="C6538" s="1" t="n">
        <v>45357</v>
      </c>
      <c r="D6538" t="inlineStr">
        <is>
          <t>VÄSTERBOTTENS LÄN</t>
        </is>
      </c>
      <c r="E6538" t="inlineStr">
        <is>
          <t>ÅSELE</t>
        </is>
      </c>
      <c r="F6538" t="inlineStr">
        <is>
          <t>Holmen skog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24709-2022</t>
        </is>
      </c>
      <c r="B6539" s="1" t="n">
        <v>44727</v>
      </c>
      <c r="C6539" s="1" t="n">
        <v>45357</v>
      </c>
      <c r="D6539" t="inlineStr">
        <is>
          <t>VÄSTERBOTTENS LÄN</t>
        </is>
      </c>
      <c r="E6539" t="inlineStr">
        <is>
          <t>STORUMAN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24663-2022</t>
        </is>
      </c>
      <c r="B6540" s="1" t="n">
        <v>44728</v>
      </c>
      <c r="C6540" s="1" t="n">
        <v>45357</v>
      </c>
      <c r="D6540" t="inlineStr">
        <is>
          <t>VÄSTERBOTTENS LÄN</t>
        </is>
      </c>
      <c r="E6540" t="inlineStr">
        <is>
          <t>SKELLEFTEÅ</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24814-2022</t>
        </is>
      </c>
      <c r="B6541" s="1" t="n">
        <v>44728</v>
      </c>
      <c r="C6541" s="1" t="n">
        <v>45357</v>
      </c>
      <c r="D6541" t="inlineStr">
        <is>
          <t>VÄSTERBOTTENS LÄN</t>
        </is>
      </c>
      <c r="E6541" t="inlineStr">
        <is>
          <t>NORSJÖ</t>
        </is>
      </c>
      <c r="F6541" t="inlineStr">
        <is>
          <t>Holmen skog AB</t>
        </is>
      </c>
      <c r="G6541" t="n">
        <v>13.7</v>
      </c>
      <c r="H6541" t="n">
        <v>0</v>
      </c>
      <c r="I6541" t="n">
        <v>0</v>
      </c>
      <c r="J6541" t="n">
        <v>0</v>
      </c>
      <c r="K6541" t="n">
        <v>0</v>
      </c>
      <c r="L6541" t="n">
        <v>0</v>
      </c>
      <c r="M6541" t="n">
        <v>0</v>
      </c>
      <c r="N6541" t="n">
        <v>0</v>
      </c>
      <c r="O6541" t="n">
        <v>0</v>
      </c>
      <c r="P6541" t="n">
        <v>0</v>
      </c>
      <c r="Q6541" t="n">
        <v>0</v>
      </c>
      <c r="R6541" s="2" t="inlineStr"/>
    </row>
    <row r="6542" ht="15" customHeight="1">
      <c r="A6542" t="inlineStr">
        <is>
          <t>A 24832-2022</t>
        </is>
      </c>
      <c r="B6542" s="1" t="n">
        <v>44728</v>
      </c>
      <c r="C6542" s="1" t="n">
        <v>45357</v>
      </c>
      <c r="D6542" t="inlineStr">
        <is>
          <t>VÄSTERBOTTENS LÄN</t>
        </is>
      </c>
      <c r="E6542" t="inlineStr">
        <is>
          <t>SKELLEFTEÅ</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24899-2022</t>
        </is>
      </c>
      <c r="B6543" s="1" t="n">
        <v>44728</v>
      </c>
      <c r="C6543" s="1" t="n">
        <v>45357</v>
      </c>
      <c r="D6543" t="inlineStr">
        <is>
          <t>VÄSTERBOTTENS LÄN</t>
        </is>
      </c>
      <c r="E6543" t="inlineStr">
        <is>
          <t>SKELLEFTEÅ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24943-2022</t>
        </is>
      </c>
      <c r="B6544" s="1" t="n">
        <v>44728</v>
      </c>
      <c r="C6544" s="1" t="n">
        <v>45357</v>
      </c>
      <c r="D6544" t="inlineStr">
        <is>
          <t>VÄSTERBOTTENS LÄN</t>
        </is>
      </c>
      <c r="E6544" t="inlineStr">
        <is>
          <t>ÅSELE</t>
        </is>
      </c>
      <c r="F6544" t="inlineStr">
        <is>
          <t>Holmen skog AB</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24941-2022</t>
        </is>
      </c>
      <c r="B6545" s="1" t="n">
        <v>44728</v>
      </c>
      <c r="C6545" s="1" t="n">
        <v>45357</v>
      </c>
      <c r="D6545" t="inlineStr">
        <is>
          <t>VÄSTERBOTTENS LÄN</t>
        </is>
      </c>
      <c r="E6545" t="inlineStr">
        <is>
          <t>SKELLEFTEÅ</t>
        </is>
      </c>
      <c r="F6545" t="inlineStr">
        <is>
          <t>Holmen skog AB</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24931-2022</t>
        </is>
      </c>
      <c r="B6546" s="1" t="n">
        <v>44728</v>
      </c>
      <c r="C6546" s="1" t="n">
        <v>45357</v>
      </c>
      <c r="D6546" t="inlineStr">
        <is>
          <t>VÄSTERBOTTENS LÄN</t>
        </is>
      </c>
      <c r="E6546" t="inlineStr">
        <is>
          <t>ÅSELE</t>
        </is>
      </c>
      <c r="F6546" t="inlineStr">
        <is>
          <t>Sveaskog</t>
        </is>
      </c>
      <c r="G6546" t="n">
        <v>14.8</v>
      </c>
      <c r="H6546" t="n">
        <v>0</v>
      </c>
      <c r="I6546" t="n">
        <v>0</v>
      </c>
      <c r="J6546" t="n">
        <v>0</v>
      </c>
      <c r="K6546" t="n">
        <v>0</v>
      </c>
      <c r="L6546" t="n">
        <v>0</v>
      </c>
      <c r="M6546" t="n">
        <v>0</v>
      </c>
      <c r="N6546" t="n">
        <v>0</v>
      </c>
      <c r="O6546" t="n">
        <v>0</v>
      </c>
      <c r="P6546" t="n">
        <v>0</v>
      </c>
      <c r="Q6546" t="n">
        <v>0</v>
      </c>
      <c r="R6546" s="2" t="inlineStr"/>
    </row>
    <row r="6547" ht="15" customHeight="1">
      <c r="A6547" t="inlineStr">
        <is>
          <t>A 24944-2022</t>
        </is>
      </c>
      <c r="B6547" s="1" t="n">
        <v>44728</v>
      </c>
      <c r="C6547" s="1" t="n">
        <v>45357</v>
      </c>
      <c r="D6547" t="inlineStr">
        <is>
          <t>VÄSTERBOTTENS LÄN</t>
        </is>
      </c>
      <c r="E6547" t="inlineStr">
        <is>
          <t>NORDMALING</t>
        </is>
      </c>
      <c r="G6547" t="n">
        <v>1.2</v>
      </c>
      <c r="H6547" t="n">
        <v>0</v>
      </c>
      <c r="I6547" t="n">
        <v>0</v>
      </c>
      <c r="J6547" t="n">
        <v>0</v>
      </c>
      <c r="K6547" t="n">
        <v>0</v>
      </c>
      <c r="L6547" t="n">
        <v>0</v>
      </c>
      <c r="M6547" t="n">
        <v>0</v>
      </c>
      <c r="N6547" t="n">
        <v>0</v>
      </c>
      <c r="O6547" t="n">
        <v>0</v>
      </c>
      <c r="P6547" t="n">
        <v>0</v>
      </c>
      <c r="Q6547" t="n">
        <v>0</v>
      </c>
      <c r="R6547" s="2" t="inlineStr"/>
      <c r="U6547">
        <f>HYPERLINK("https://klasma.github.io/Logging_2401/knärot/A 24944-2022 karta knärot.png", "A 24944-2022")</f>
        <v/>
      </c>
      <c r="V6547">
        <f>HYPERLINK("https://klasma.github.io/Logging_2401/klagomål/A 24944-2022 FSC-klagomål.docx", "A 24944-2022")</f>
        <v/>
      </c>
      <c r="W6547">
        <f>HYPERLINK("https://klasma.github.io/Logging_2401/klagomålsmail/A 24944-2022 FSC-klagomål mail.docx", "A 24944-2022")</f>
        <v/>
      </c>
      <c r="X6547">
        <f>HYPERLINK("https://klasma.github.io/Logging_2401/tillsyn/A 24944-2022 tillsynsbegäran.docx", "A 24944-2022")</f>
        <v/>
      </c>
      <c r="Y6547">
        <f>HYPERLINK("https://klasma.github.io/Logging_2401/tillsynsmail/A 24944-2022 tillsynsbegäran mail.docx", "A 24944-2022")</f>
        <v/>
      </c>
    </row>
    <row r="6548" ht="15" customHeight="1">
      <c r="A6548" t="inlineStr">
        <is>
          <t>A 24945-2022</t>
        </is>
      </c>
      <c r="B6548" s="1" t="n">
        <v>44728</v>
      </c>
      <c r="C6548" s="1" t="n">
        <v>45357</v>
      </c>
      <c r="D6548" t="inlineStr">
        <is>
          <t>VÄSTERBOTTENS LÄN</t>
        </is>
      </c>
      <c r="E6548" t="inlineStr">
        <is>
          <t>NORDMALING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25009-2022</t>
        </is>
      </c>
      <c r="B6549" s="1" t="n">
        <v>44729</v>
      </c>
      <c r="C6549" s="1" t="n">
        <v>45357</v>
      </c>
      <c r="D6549" t="inlineStr">
        <is>
          <t>VÄSTERBOTTENS LÄN</t>
        </is>
      </c>
      <c r="E6549" t="inlineStr">
        <is>
          <t>SKELLEFTEÅ</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25022-2022</t>
        </is>
      </c>
      <c r="B6550" s="1" t="n">
        <v>44729</v>
      </c>
      <c r="C6550" s="1" t="n">
        <v>45357</v>
      </c>
      <c r="D6550" t="inlineStr">
        <is>
          <t>VÄSTERBOTTENS LÄN</t>
        </is>
      </c>
      <c r="E6550" t="inlineStr">
        <is>
          <t>ÅSELE</t>
        </is>
      </c>
      <c r="F6550" t="inlineStr">
        <is>
          <t>SCA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25068-2022</t>
        </is>
      </c>
      <c r="B6551" s="1" t="n">
        <v>44729</v>
      </c>
      <c r="C6551" s="1" t="n">
        <v>45357</v>
      </c>
      <c r="D6551" t="inlineStr">
        <is>
          <t>VÄSTERBOTTENS LÄN</t>
        </is>
      </c>
      <c r="E6551" t="inlineStr">
        <is>
          <t>UMEÅ</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25182-2022</t>
        </is>
      </c>
      <c r="B6552" s="1" t="n">
        <v>44729</v>
      </c>
      <c r="C6552" s="1" t="n">
        <v>45357</v>
      </c>
      <c r="D6552" t="inlineStr">
        <is>
          <t>VÄSTERBOTTENS LÄN</t>
        </is>
      </c>
      <c r="E6552" t="inlineStr">
        <is>
          <t>SKELLEFTEÅ</t>
        </is>
      </c>
      <c r="F6552" t="inlineStr">
        <is>
          <t>Holmen skog AB</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25257-2022</t>
        </is>
      </c>
      <c r="B6553" s="1" t="n">
        <v>44729</v>
      </c>
      <c r="C6553" s="1" t="n">
        <v>45357</v>
      </c>
      <c r="D6553" t="inlineStr">
        <is>
          <t>VÄSTERBOTTENS LÄN</t>
        </is>
      </c>
      <c r="E6553" t="inlineStr">
        <is>
          <t>LYCKSELE</t>
        </is>
      </c>
      <c r="F6553" t="inlineStr">
        <is>
          <t>Naturvårdsverket</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25093-2022</t>
        </is>
      </c>
      <c r="B6554" s="1" t="n">
        <v>44729</v>
      </c>
      <c r="C6554" s="1" t="n">
        <v>45357</v>
      </c>
      <c r="D6554" t="inlineStr">
        <is>
          <t>VÄSTERBOTTENS LÄN</t>
        </is>
      </c>
      <c r="E6554" t="inlineStr">
        <is>
          <t>UMEÅ</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25099-2022</t>
        </is>
      </c>
      <c r="B6555" s="1" t="n">
        <v>44729</v>
      </c>
      <c r="C6555" s="1" t="n">
        <v>45357</v>
      </c>
      <c r="D6555" t="inlineStr">
        <is>
          <t>VÄSTERBOTTENS LÄN</t>
        </is>
      </c>
      <c r="E6555" t="inlineStr">
        <is>
          <t>UMEÅ</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25216-2022</t>
        </is>
      </c>
      <c r="B6556" s="1" t="n">
        <v>44729</v>
      </c>
      <c r="C6556" s="1" t="n">
        <v>45357</v>
      </c>
      <c r="D6556" t="inlineStr">
        <is>
          <t>VÄSTERBOTTENS LÄN</t>
        </is>
      </c>
      <c r="E6556" t="inlineStr">
        <is>
          <t>ROBERTSFORS</t>
        </is>
      </c>
      <c r="G6556" t="n">
        <v>9.1</v>
      </c>
      <c r="H6556" t="n">
        <v>0</v>
      </c>
      <c r="I6556" t="n">
        <v>0</v>
      </c>
      <c r="J6556" t="n">
        <v>0</v>
      </c>
      <c r="K6556" t="n">
        <v>0</v>
      </c>
      <c r="L6556" t="n">
        <v>0</v>
      </c>
      <c r="M6556" t="n">
        <v>0</v>
      </c>
      <c r="N6556" t="n">
        <v>0</v>
      </c>
      <c r="O6556" t="n">
        <v>0</v>
      </c>
      <c r="P6556" t="n">
        <v>0</v>
      </c>
      <c r="Q6556" t="n">
        <v>0</v>
      </c>
      <c r="R6556" s="2" t="inlineStr"/>
    </row>
    <row r="6557" ht="15" customHeight="1">
      <c r="A6557" t="inlineStr">
        <is>
          <t>A 25255-2022</t>
        </is>
      </c>
      <c r="B6557" s="1" t="n">
        <v>44730</v>
      </c>
      <c r="C6557" s="1" t="n">
        <v>45357</v>
      </c>
      <c r="D6557" t="inlineStr">
        <is>
          <t>VÄSTERBOTTENS LÄN</t>
        </is>
      </c>
      <c r="E6557" t="inlineStr">
        <is>
          <t>VINDELN</t>
        </is>
      </c>
      <c r="F6557" t="inlineStr">
        <is>
          <t>SCA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25207-2022</t>
        </is>
      </c>
      <c r="B6558" s="1" t="n">
        <v>44729</v>
      </c>
      <c r="C6558" s="1" t="n">
        <v>45357</v>
      </c>
      <c r="D6558" t="inlineStr">
        <is>
          <t>VÄSTERBOTTENS LÄN</t>
        </is>
      </c>
      <c r="E6558" t="inlineStr">
        <is>
          <t>SKELLEFTEÅ</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25308-2022</t>
        </is>
      </c>
      <c r="B6559" s="1" t="n">
        <v>44731</v>
      </c>
      <c r="C6559" s="1" t="n">
        <v>45357</v>
      </c>
      <c r="D6559" t="inlineStr">
        <is>
          <t>VÄSTERBOTTENS LÄN</t>
        </is>
      </c>
      <c r="E6559" t="inlineStr">
        <is>
          <t>LYCKSELE</t>
        </is>
      </c>
      <c r="F6559" t="inlineStr">
        <is>
          <t>Holmen skog AB</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25374-2022</t>
        </is>
      </c>
      <c r="B6560" s="1" t="n">
        <v>44731</v>
      </c>
      <c r="C6560" s="1" t="n">
        <v>45357</v>
      </c>
      <c r="D6560" t="inlineStr">
        <is>
          <t>VÄSTERBOTTENS LÄN</t>
        </is>
      </c>
      <c r="E6560" t="inlineStr">
        <is>
          <t>SORSELE</t>
        </is>
      </c>
      <c r="G6560" t="n">
        <v>37.1</v>
      </c>
      <c r="H6560" t="n">
        <v>0</v>
      </c>
      <c r="I6560" t="n">
        <v>0</v>
      </c>
      <c r="J6560" t="n">
        <v>0</v>
      </c>
      <c r="K6560" t="n">
        <v>0</v>
      </c>
      <c r="L6560" t="n">
        <v>0</v>
      </c>
      <c r="M6560" t="n">
        <v>0</v>
      </c>
      <c r="N6560" t="n">
        <v>0</v>
      </c>
      <c r="O6560" t="n">
        <v>0</v>
      </c>
      <c r="P6560" t="n">
        <v>0</v>
      </c>
      <c r="Q6560" t="n">
        <v>0</v>
      </c>
      <c r="R6560" s="2" t="inlineStr"/>
    </row>
    <row r="6561" ht="15" customHeight="1">
      <c r="A6561" t="inlineStr">
        <is>
          <t>A 25315-2022</t>
        </is>
      </c>
      <c r="B6561" s="1" t="n">
        <v>44731</v>
      </c>
      <c r="C6561" s="1" t="n">
        <v>45357</v>
      </c>
      <c r="D6561" t="inlineStr">
        <is>
          <t>VÄSTERBOTTENS LÄN</t>
        </is>
      </c>
      <c r="E6561" t="inlineStr">
        <is>
          <t>UMEÅ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25336-2022</t>
        </is>
      </c>
      <c r="B6562" s="1" t="n">
        <v>44732</v>
      </c>
      <c r="C6562" s="1" t="n">
        <v>45357</v>
      </c>
      <c r="D6562" t="inlineStr">
        <is>
          <t>VÄSTERBOTTENS LÄN</t>
        </is>
      </c>
      <c r="E6562" t="inlineStr">
        <is>
          <t>SKELLEFTEÅ</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25397-2022</t>
        </is>
      </c>
      <c r="B6563" s="1" t="n">
        <v>44732</v>
      </c>
      <c r="C6563" s="1" t="n">
        <v>45357</v>
      </c>
      <c r="D6563" t="inlineStr">
        <is>
          <t>VÄSTERBOTTENS LÄN</t>
        </is>
      </c>
      <c r="E6563" t="inlineStr">
        <is>
          <t>STORUMAN</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25404-2022</t>
        </is>
      </c>
      <c r="B6564" s="1" t="n">
        <v>44732</v>
      </c>
      <c r="C6564" s="1" t="n">
        <v>45357</v>
      </c>
      <c r="D6564" t="inlineStr">
        <is>
          <t>VÄSTERBOTTENS LÄN</t>
        </is>
      </c>
      <c r="E6564" t="inlineStr">
        <is>
          <t>SKELLEFTEÅ</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25575-2022</t>
        </is>
      </c>
      <c r="B6565" s="1" t="n">
        <v>44732</v>
      </c>
      <c r="C6565" s="1" t="n">
        <v>45357</v>
      </c>
      <c r="D6565" t="inlineStr">
        <is>
          <t>VÄSTERBOTTENS LÄN</t>
        </is>
      </c>
      <c r="E6565" t="inlineStr">
        <is>
          <t>ROBERTSFORS</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25617-2022</t>
        </is>
      </c>
      <c r="B6566" s="1" t="n">
        <v>44732</v>
      </c>
      <c r="C6566" s="1" t="n">
        <v>45357</v>
      </c>
      <c r="D6566" t="inlineStr">
        <is>
          <t>VÄSTERBOTTENS LÄN</t>
        </is>
      </c>
      <c r="E6566" t="inlineStr">
        <is>
          <t>VINDELN</t>
        </is>
      </c>
      <c r="F6566" t="inlineStr">
        <is>
          <t>Holmen skog AB</t>
        </is>
      </c>
      <c r="G6566" t="n">
        <v>18.3</v>
      </c>
      <c r="H6566" t="n">
        <v>0</v>
      </c>
      <c r="I6566" t="n">
        <v>0</v>
      </c>
      <c r="J6566" t="n">
        <v>0</v>
      </c>
      <c r="K6566" t="n">
        <v>0</v>
      </c>
      <c r="L6566" t="n">
        <v>0</v>
      </c>
      <c r="M6566" t="n">
        <v>0</v>
      </c>
      <c r="N6566" t="n">
        <v>0</v>
      </c>
      <c r="O6566" t="n">
        <v>0</v>
      </c>
      <c r="P6566" t="n">
        <v>0</v>
      </c>
      <c r="Q6566" t="n">
        <v>0</v>
      </c>
      <c r="R6566" s="2" t="inlineStr"/>
    </row>
    <row r="6567" ht="15" customHeight="1">
      <c r="A6567" t="inlineStr">
        <is>
          <t>A 25568-2022</t>
        </is>
      </c>
      <c r="B6567" s="1" t="n">
        <v>44732</v>
      </c>
      <c r="C6567" s="1" t="n">
        <v>45357</v>
      </c>
      <c r="D6567" t="inlineStr">
        <is>
          <t>VÄSTERBOTTENS LÄN</t>
        </is>
      </c>
      <c r="E6567" t="inlineStr">
        <is>
          <t>SKELLEFTEÅ</t>
        </is>
      </c>
      <c r="F6567" t="inlineStr">
        <is>
          <t>Holmen skog AB</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25580-2022</t>
        </is>
      </c>
      <c r="B6568" s="1" t="n">
        <v>44732</v>
      </c>
      <c r="C6568" s="1" t="n">
        <v>45357</v>
      </c>
      <c r="D6568" t="inlineStr">
        <is>
          <t>VÄSTERBOTTENS LÄN</t>
        </is>
      </c>
      <c r="E6568" t="inlineStr">
        <is>
          <t>ROBERTSFORS</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25596-2022</t>
        </is>
      </c>
      <c r="B6569" s="1" t="n">
        <v>44732</v>
      </c>
      <c r="C6569" s="1" t="n">
        <v>45357</v>
      </c>
      <c r="D6569" t="inlineStr">
        <is>
          <t>VÄSTERBOTTENS LÄN</t>
        </is>
      </c>
      <c r="E6569" t="inlineStr">
        <is>
          <t>SKELLEFTEÅ</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25612-2022</t>
        </is>
      </c>
      <c r="B6570" s="1" t="n">
        <v>44732</v>
      </c>
      <c r="C6570" s="1" t="n">
        <v>45357</v>
      </c>
      <c r="D6570" t="inlineStr">
        <is>
          <t>VÄSTERBOTTENS LÄN</t>
        </is>
      </c>
      <c r="E6570" t="inlineStr">
        <is>
          <t>VINDELN</t>
        </is>
      </c>
      <c r="F6570" t="inlineStr">
        <is>
          <t>Holmen skog AB</t>
        </is>
      </c>
      <c r="G6570" t="n">
        <v>11.4</v>
      </c>
      <c r="H6570" t="n">
        <v>0</v>
      </c>
      <c r="I6570" t="n">
        <v>0</v>
      </c>
      <c r="J6570" t="n">
        <v>0</v>
      </c>
      <c r="K6570" t="n">
        <v>0</v>
      </c>
      <c r="L6570" t="n">
        <v>0</v>
      </c>
      <c r="M6570" t="n">
        <v>0</v>
      </c>
      <c r="N6570" t="n">
        <v>0</v>
      </c>
      <c r="O6570" t="n">
        <v>0</v>
      </c>
      <c r="P6570" t="n">
        <v>0</v>
      </c>
      <c r="Q6570" t="n">
        <v>0</v>
      </c>
      <c r="R6570" s="2" t="inlineStr"/>
    </row>
    <row r="6571" ht="15" customHeight="1">
      <c r="A6571" t="inlineStr">
        <is>
          <t>A 25674-2022</t>
        </is>
      </c>
      <c r="B6571" s="1" t="n">
        <v>44732</v>
      </c>
      <c r="C6571" s="1" t="n">
        <v>45357</v>
      </c>
      <c r="D6571" t="inlineStr">
        <is>
          <t>VÄSTERBOTTENS LÄN</t>
        </is>
      </c>
      <c r="E6571" t="inlineStr">
        <is>
          <t>SKELLEFTEÅ</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25696-2022</t>
        </is>
      </c>
      <c r="B6572" s="1" t="n">
        <v>44733</v>
      </c>
      <c r="C6572" s="1" t="n">
        <v>45357</v>
      </c>
      <c r="D6572" t="inlineStr">
        <is>
          <t>VÄSTERBOTTENS LÄN</t>
        </is>
      </c>
      <c r="E6572" t="inlineStr">
        <is>
          <t>VINDELN</t>
        </is>
      </c>
      <c r="F6572" t="inlineStr">
        <is>
          <t>Holmen skog AB</t>
        </is>
      </c>
      <c r="G6572" t="n">
        <v>21.9</v>
      </c>
      <c r="H6572" t="n">
        <v>0</v>
      </c>
      <c r="I6572" t="n">
        <v>0</v>
      </c>
      <c r="J6572" t="n">
        <v>0</v>
      </c>
      <c r="K6572" t="n">
        <v>0</v>
      </c>
      <c r="L6572" t="n">
        <v>0</v>
      </c>
      <c r="M6572" t="n">
        <v>0</v>
      </c>
      <c r="N6572" t="n">
        <v>0</v>
      </c>
      <c r="O6572" t="n">
        <v>0</v>
      </c>
      <c r="P6572" t="n">
        <v>0</v>
      </c>
      <c r="Q6572" t="n">
        <v>0</v>
      </c>
      <c r="R6572" s="2" t="inlineStr"/>
    </row>
    <row r="6573" ht="15" customHeight="1">
      <c r="A6573" t="inlineStr">
        <is>
          <t>A 25752-2022</t>
        </is>
      </c>
      <c r="B6573" s="1" t="n">
        <v>44733</v>
      </c>
      <c r="C6573" s="1" t="n">
        <v>45357</v>
      </c>
      <c r="D6573" t="inlineStr">
        <is>
          <t>VÄSTERBOTTENS LÄN</t>
        </is>
      </c>
      <c r="E6573" t="inlineStr">
        <is>
          <t>LYCKSELE</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25904-2022</t>
        </is>
      </c>
      <c r="B6574" s="1" t="n">
        <v>44734</v>
      </c>
      <c r="C6574" s="1" t="n">
        <v>45357</v>
      </c>
      <c r="D6574" t="inlineStr">
        <is>
          <t>VÄSTERBOTTENS LÄN</t>
        </is>
      </c>
      <c r="E6574" t="inlineStr">
        <is>
          <t>ROBERTSFORS</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25902-2022</t>
        </is>
      </c>
      <c r="B6575" s="1" t="n">
        <v>44733</v>
      </c>
      <c r="C6575" s="1" t="n">
        <v>45357</v>
      </c>
      <c r="D6575" t="inlineStr">
        <is>
          <t>VÄSTERBOTTENS LÄN</t>
        </is>
      </c>
      <c r="E6575" t="inlineStr">
        <is>
          <t>LYCKSELE</t>
        </is>
      </c>
      <c r="G6575" t="n">
        <v>8.199999999999999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25923-2022</t>
        </is>
      </c>
      <c r="B6576" s="1" t="n">
        <v>44733</v>
      </c>
      <c r="C6576" s="1" t="n">
        <v>45357</v>
      </c>
      <c r="D6576" t="inlineStr">
        <is>
          <t>VÄSTERBOTTENS LÄN</t>
        </is>
      </c>
      <c r="E6576" t="inlineStr">
        <is>
          <t>VILHELMINA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25945-2022</t>
        </is>
      </c>
      <c r="B6577" s="1" t="n">
        <v>44734</v>
      </c>
      <c r="C6577" s="1" t="n">
        <v>45357</v>
      </c>
      <c r="D6577" t="inlineStr">
        <is>
          <t>VÄSTERBOTTENS LÄN</t>
        </is>
      </c>
      <c r="E6577" t="inlineStr">
        <is>
          <t>SORSELE</t>
        </is>
      </c>
      <c r="G6577" t="n">
        <v>7.7</v>
      </c>
      <c r="H6577" t="n">
        <v>0</v>
      </c>
      <c r="I6577" t="n">
        <v>0</v>
      </c>
      <c r="J6577" t="n">
        <v>0</v>
      </c>
      <c r="K6577" t="n">
        <v>0</v>
      </c>
      <c r="L6577" t="n">
        <v>0</v>
      </c>
      <c r="M6577" t="n">
        <v>0</v>
      </c>
      <c r="N6577" t="n">
        <v>0</v>
      </c>
      <c r="O6577" t="n">
        <v>0</v>
      </c>
      <c r="P6577" t="n">
        <v>0</v>
      </c>
      <c r="Q6577" t="n">
        <v>0</v>
      </c>
      <c r="R6577" s="2" t="inlineStr"/>
    </row>
    <row r="6578" ht="15" customHeight="1">
      <c r="A6578" t="inlineStr">
        <is>
          <t>A 25950-2022</t>
        </is>
      </c>
      <c r="B6578" s="1" t="n">
        <v>44734</v>
      </c>
      <c r="C6578" s="1" t="n">
        <v>45357</v>
      </c>
      <c r="D6578" t="inlineStr">
        <is>
          <t>VÄSTERBOTTENS LÄN</t>
        </is>
      </c>
      <c r="E6578" t="inlineStr">
        <is>
          <t>STORUMAN</t>
        </is>
      </c>
      <c r="F6578" t="inlineStr">
        <is>
          <t>Sveaskog</t>
        </is>
      </c>
      <c r="G6578" t="n">
        <v>30.3</v>
      </c>
      <c r="H6578" t="n">
        <v>0</v>
      </c>
      <c r="I6578" t="n">
        <v>0</v>
      </c>
      <c r="J6578" t="n">
        <v>0</v>
      </c>
      <c r="K6578" t="n">
        <v>0</v>
      </c>
      <c r="L6578" t="n">
        <v>0</v>
      </c>
      <c r="M6578" t="n">
        <v>0</v>
      </c>
      <c r="N6578" t="n">
        <v>0</v>
      </c>
      <c r="O6578" t="n">
        <v>0</v>
      </c>
      <c r="P6578" t="n">
        <v>0</v>
      </c>
      <c r="Q6578" t="n">
        <v>0</v>
      </c>
      <c r="R6578" s="2" t="inlineStr"/>
    </row>
    <row r="6579" ht="15" customHeight="1">
      <c r="A6579" t="inlineStr">
        <is>
          <t>A 26031-2022</t>
        </is>
      </c>
      <c r="B6579" s="1" t="n">
        <v>44734</v>
      </c>
      <c r="C6579" s="1" t="n">
        <v>45357</v>
      </c>
      <c r="D6579" t="inlineStr">
        <is>
          <t>VÄSTERBOTTENS LÄN</t>
        </is>
      </c>
      <c r="E6579" t="inlineStr">
        <is>
          <t>SKELLEFTEÅ</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25966-2022</t>
        </is>
      </c>
      <c r="B6580" s="1" t="n">
        <v>44734</v>
      </c>
      <c r="C6580" s="1" t="n">
        <v>45357</v>
      </c>
      <c r="D6580" t="inlineStr">
        <is>
          <t>VÄSTERBOTTENS LÄN</t>
        </is>
      </c>
      <c r="E6580" t="inlineStr">
        <is>
          <t>UMEÅ</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26038-2022</t>
        </is>
      </c>
      <c r="B6581" s="1" t="n">
        <v>44734</v>
      </c>
      <c r="C6581" s="1" t="n">
        <v>45357</v>
      </c>
      <c r="D6581" t="inlineStr">
        <is>
          <t>VÄSTERBOTTENS LÄN</t>
        </is>
      </c>
      <c r="E6581" t="inlineStr">
        <is>
          <t>ROBERTSFORS</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26018-2022</t>
        </is>
      </c>
      <c r="B6582" s="1" t="n">
        <v>44734</v>
      </c>
      <c r="C6582" s="1" t="n">
        <v>45357</v>
      </c>
      <c r="D6582" t="inlineStr">
        <is>
          <t>VÄSTERBOTTENS LÄN</t>
        </is>
      </c>
      <c r="E6582" t="inlineStr">
        <is>
          <t>ROBERTSFORS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26048-2022</t>
        </is>
      </c>
      <c r="B6583" s="1" t="n">
        <v>44734</v>
      </c>
      <c r="C6583" s="1" t="n">
        <v>45357</v>
      </c>
      <c r="D6583" t="inlineStr">
        <is>
          <t>VÄSTERBOTTENS LÄN</t>
        </is>
      </c>
      <c r="E6583" t="inlineStr">
        <is>
          <t>ROBERTSFORS</t>
        </is>
      </c>
      <c r="G6583" t="n">
        <v>12.2</v>
      </c>
      <c r="H6583" t="n">
        <v>0</v>
      </c>
      <c r="I6583" t="n">
        <v>0</v>
      </c>
      <c r="J6583" t="n">
        <v>0</v>
      </c>
      <c r="K6583" t="n">
        <v>0</v>
      </c>
      <c r="L6583" t="n">
        <v>0</v>
      </c>
      <c r="M6583" t="n">
        <v>0</v>
      </c>
      <c r="N6583" t="n">
        <v>0</v>
      </c>
      <c r="O6583" t="n">
        <v>0</v>
      </c>
      <c r="P6583" t="n">
        <v>0</v>
      </c>
      <c r="Q6583" t="n">
        <v>0</v>
      </c>
      <c r="R6583" s="2" t="inlineStr"/>
    </row>
    <row r="6584" ht="15" customHeight="1">
      <c r="A6584" t="inlineStr">
        <is>
          <t>A 26203-2022</t>
        </is>
      </c>
      <c r="B6584" s="1" t="n">
        <v>44735</v>
      </c>
      <c r="C6584" s="1" t="n">
        <v>45357</v>
      </c>
      <c r="D6584" t="inlineStr">
        <is>
          <t>VÄSTERBOTTENS LÄN</t>
        </is>
      </c>
      <c r="E6584" t="inlineStr">
        <is>
          <t>SKELLEFTEÅ</t>
        </is>
      </c>
      <c r="F6584" t="inlineStr">
        <is>
          <t>Kommuner</t>
        </is>
      </c>
      <c r="G6584" t="n">
        <v>11.2</v>
      </c>
      <c r="H6584" t="n">
        <v>0</v>
      </c>
      <c r="I6584" t="n">
        <v>0</v>
      </c>
      <c r="J6584" t="n">
        <v>0</v>
      </c>
      <c r="K6584" t="n">
        <v>0</v>
      </c>
      <c r="L6584" t="n">
        <v>0</v>
      </c>
      <c r="M6584" t="n">
        <v>0</v>
      </c>
      <c r="N6584" t="n">
        <v>0</v>
      </c>
      <c r="O6584" t="n">
        <v>0</v>
      </c>
      <c r="P6584" t="n">
        <v>0</v>
      </c>
      <c r="Q6584" t="n">
        <v>0</v>
      </c>
      <c r="R6584" s="2" t="inlineStr"/>
    </row>
    <row r="6585" ht="15" customHeight="1">
      <c r="A6585" t="inlineStr">
        <is>
          <t>A 26231-2022</t>
        </is>
      </c>
      <c r="B6585" s="1" t="n">
        <v>44735</v>
      </c>
      <c r="C6585" s="1" t="n">
        <v>45357</v>
      </c>
      <c r="D6585" t="inlineStr">
        <is>
          <t>VÄSTERBOTTENS LÄN</t>
        </is>
      </c>
      <c r="E6585" t="inlineStr">
        <is>
          <t>ROBERTSFORS</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26191-2022</t>
        </is>
      </c>
      <c r="B6586" s="1" t="n">
        <v>44735</v>
      </c>
      <c r="C6586" s="1" t="n">
        <v>45357</v>
      </c>
      <c r="D6586" t="inlineStr">
        <is>
          <t>VÄSTERBOTTENS LÄN</t>
        </is>
      </c>
      <c r="E6586" t="inlineStr">
        <is>
          <t>VILHELMINA</t>
        </is>
      </c>
      <c r="G6586" t="n">
        <v>42.1</v>
      </c>
      <c r="H6586" t="n">
        <v>0</v>
      </c>
      <c r="I6586" t="n">
        <v>0</v>
      </c>
      <c r="J6586" t="n">
        <v>0</v>
      </c>
      <c r="K6586" t="n">
        <v>0</v>
      </c>
      <c r="L6586" t="n">
        <v>0</v>
      </c>
      <c r="M6586" t="n">
        <v>0</v>
      </c>
      <c r="N6586" t="n">
        <v>0</v>
      </c>
      <c r="O6586" t="n">
        <v>0</v>
      </c>
      <c r="P6586" t="n">
        <v>0</v>
      </c>
      <c r="Q6586" t="n">
        <v>0</v>
      </c>
      <c r="R6586" s="2" t="inlineStr"/>
    </row>
    <row r="6587" ht="15" customHeight="1">
      <c r="A6587" t="inlineStr">
        <is>
          <t>A 26197-2022</t>
        </is>
      </c>
      <c r="B6587" s="1" t="n">
        <v>44735</v>
      </c>
      <c r="C6587" s="1" t="n">
        <v>45357</v>
      </c>
      <c r="D6587" t="inlineStr">
        <is>
          <t>VÄSTERBOTTENS LÄN</t>
        </is>
      </c>
      <c r="E6587" t="inlineStr">
        <is>
          <t>NORDMALING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26166-2022</t>
        </is>
      </c>
      <c r="B6588" s="1" t="n">
        <v>44735</v>
      </c>
      <c r="C6588" s="1" t="n">
        <v>45357</v>
      </c>
      <c r="D6588" t="inlineStr">
        <is>
          <t>VÄSTERBOTTENS LÄN</t>
        </is>
      </c>
      <c r="E6588" t="inlineStr">
        <is>
          <t>SKELLEFTEÅ</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26351-2022</t>
        </is>
      </c>
      <c r="B6589" s="1" t="n">
        <v>44735</v>
      </c>
      <c r="C6589" s="1" t="n">
        <v>45357</v>
      </c>
      <c r="D6589" t="inlineStr">
        <is>
          <t>VÄSTERBOTTENS LÄN</t>
        </is>
      </c>
      <c r="E6589" t="inlineStr">
        <is>
          <t>LYCKSELE</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26385-2022</t>
        </is>
      </c>
      <c r="B6590" s="1" t="n">
        <v>44735</v>
      </c>
      <c r="C6590" s="1" t="n">
        <v>45357</v>
      </c>
      <c r="D6590" t="inlineStr">
        <is>
          <t>VÄSTERBOTTENS LÄN</t>
        </is>
      </c>
      <c r="E6590" t="inlineStr">
        <is>
          <t>VÄNNÄS</t>
        </is>
      </c>
      <c r="F6590" t="inlineStr">
        <is>
          <t>Holmen skog AB</t>
        </is>
      </c>
      <c r="G6590" t="n">
        <v>10.8</v>
      </c>
      <c r="H6590" t="n">
        <v>0</v>
      </c>
      <c r="I6590" t="n">
        <v>0</v>
      </c>
      <c r="J6590" t="n">
        <v>0</v>
      </c>
      <c r="K6590" t="n">
        <v>0</v>
      </c>
      <c r="L6590" t="n">
        <v>0</v>
      </c>
      <c r="M6590" t="n">
        <v>0</v>
      </c>
      <c r="N6590" t="n">
        <v>0</v>
      </c>
      <c r="O6590" t="n">
        <v>0</v>
      </c>
      <c r="P6590" t="n">
        <v>0</v>
      </c>
      <c r="Q6590" t="n">
        <v>0</v>
      </c>
      <c r="R6590" s="2" t="inlineStr"/>
    </row>
    <row r="6591" ht="15" customHeight="1">
      <c r="A6591" t="inlineStr">
        <is>
          <t>A 26401-2022</t>
        </is>
      </c>
      <c r="B6591" s="1" t="n">
        <v>44735</v>
      </c>
      <c r="C6591" s="1" t="n">
        <v>45357</v>
      </c>
      <c r="D6591" t="inlineStr">
        <is>
          <t>VÄSTERBOTTENS LÄN</t>
        </is>
      </c>
      <c r="E6591" t="inlineStr">
        <is>
          <t>VILHELMINA</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26409-2022</t>
        </is>
      </c>
      <c r="B6592" s="1" t="n">
        <v>44735</v>
      </c>
      <c r="C6592" s="1" t="n">
        <v>45357</v>
      </c>
      <c r="D6592" t="inlineStr">
        <is>
          <t>VÄSTERBOTTENS LÄN</t>
        </is>
      </c>
      <c r="E6592" t="inlineStr">
        <is>
          <t>VILHELMINA</t>
        </is>
      </c>
      <c r="F6592" t="inlineStr">
        <is>
          <t>SCA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26419-2022</t>
        </is>
      </c>
      <c r="B6593" s="1" t="n">
        <v>44736</v>
      </c>
      <c r="C6593" s="1" t="n">
        <v>45357</v>
      </c>
      <c r="D6593" t="inlineStr">
        <is>
          <t>VÄSTERBOTTENS LÄN</t>
        </is>
      </c>
      <c r="E6593" t="inlineStr">
        <is>
          <t>DOROTEA</t>
        </is>
      </c>
      <c r="F6593" t="inlineStr">
        <is>
          <t>SCA</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26352-2022</t>
        </is>
      </c>
      <c r="B6594" s="1" t="n">
        <v>44735</v>
      </c>
      <c r="C6594" s="1" t="n">
        <v>45357</v>
      </c>
      <c r="D6594" t="inlineStr">
        <is>
          <t>VÄSTERBOTTENS LÄN</t>
        </is>
      </c>
      <c r="E6594" t="inlineStr">
        <is>
          <t>BJURHOLM</t>
        </is>
      </c>
      <c r="F6594" t="inlineStr">
        <is>
          <t>Holmen skog AB</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26396-2022</t>
        </is>
      </c>
      <c r="B6595" s="1" t="n">
        <v>44735</v>
      </c>
      <c r="C6595" s="1" t="n">
        <v>45357</v>
      </c>
      <c r="D6595" t="inlineStr">
        <is>
          <t>VÄSTERBOTTENS LÄN</t>
        </is>
      </c>
      <c r="E6595" t="inlineStr">
        <is>
          <t>LYCKSELE</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26410-2022</t>
        </is>
      </c>
      <c r="B6596" s="1" t="n">
        <v>44735</v>
      </c>
      <c r="C6596" s="1" t="n">
        <v>45357</v>
      </c>
      <c r="D6596" t="inlineStr">
        <is>
          <t>VÄSTERBOTTENS LÄN</t>
        </is>
      </c>
      <c r="E6596" t="inlineStr">
        <is>
          <t>VILHELMINA</t>
        </is>
      </c>
      <c r="F6596" t="inlineStr">
        <is>
          <t>SCA</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26397-2022</t>
        </is>
      </c>
      <c r="B6597" s="1" t="n">
        <v>44735</v>
      </c>
      <c r="C6597" s="1" t="n">
        <v>45357</v>
      </c>
      <c r="D6597" t="inlineStr">
        <is>
          <t>VÄSTERBOTTENS LÄN</t>
        </is>
      </c>
      <c r="E6597" t="inlineStr">
        <is>
          <t>LYCKSELE</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26545-2022</t>
        </is>
      </c>
      <c r="B6598" s="1" t="n">
        <v>44739</v>
      </c>
      <c r="C6598" s="1" t="n">
        <v>45357</v>
      </c>
      <c r="D6598" t="inlineStr">
        <is>
          <t>VÄSTERBOTTENS LÄN</t>
        </is>
      </c>
      <c r="E6598" t="inlineStr">
        <is>
          <t>SKELLEFTEÅ</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26471-2022</t>
        </is>
      </c>
      <c r="B6599" s="1" t="n">
        <v>44739</v>
      </c>
      <c r="C6599" s="1" t="n">
        <v>45357</v>
      </c>
      <c r="D6599" t="inlineStr">
        <is>
          <t>VÄSTERBOTTENS LÄN</t>
        </is>
      </c>
      <c r="E6599" t="inlineStr">
        <is>
          <t>VINDELN</t>
        </is>
      </c>
      <c r="F6599" t="inlineStr">
        <is>
          <t>Holmen skog AB</t>
        </is>
      </c>
      <c r="G6599" t="n">
        <v>8.6</v>
      </c>
      <c r="H6599" t="n">
        <v>0</v>
      </c>
      <c r="I6599" t="n">
        <v>0</v>
      </c>
      <c r="J6599" t="n">
        <v>0</v>
      </c>
      <c r="K6599" t="n">
        <v>0</v>
      </c>
      <c r="L6599" t="n">
        <v>0</v>
      </c>
      <c r="M6599" t="n">
        <v>0</v>
      </c>
      <c r="N6599" t="n">
        <v>0</v>
      </c>
      <c r="O6599" t="n">
        <v>0</v>
      </c>
      <c r="P6599" t="n">
        <v>0</v>
      </c>
      <c r="Q6599" t="n">
        <v>0</v>
      </c>
      <c r="R6599" s="2" t="inlineStr"/>
    </row>
    <row r="6600" ht="15" customHeight="1">
      <c r="A6600" t="inlineStr">
        <is>
          <t>A 26483-2022</t>
        </is>
      </c>
      <c r="B6600" s="1" t="n">
        <v>44739</v>
      </c>
      <c r="C6600" s="1" t="n">
        <v>45357</v>
      </c>
      <c r="D6600" t="inlineStr">
        <is>
          <t>VÄSTERBOTTENS LÄN</t>
        </is>
      </c>
      <c r="E6600" t="inlineStr">
        <is>
          <t>SKELLEFTEÅ</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26737-2022</t>
        </is>
      </c>
      <c r="B6601" s="1" t="n">
        <v>44740</v>
      </c>
      <c r="C6601" s="1" t="n">
        <v>45357</v>
      </c>
      <c r="D6601" t="inlineStr">
        <is>
          <t>VÄSTERBOTTENS LÄN</t>
        </is>
      </c>
      <c r="E6601" t="inlineStr">
        <is>
          <t>ÅSELE</t>
        </is>
      </c>
      <c r="F6601" t="inlineStr">
        <is>
          <t>SCA</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26540-2022</t>
        </is>
      </c>
      <c r="B6602" s="1" t="n">
        <v>44739</v>
      </c>
      <c r="C6602" s="1" t="n">
        <v>45357</v>
      </c>
      <c r="D6602" t="inlineStr">
        <is>
          <t>VÄSTERBOTTENS LÄN</t>
        </is>
      </c>
      <c r="E6602" t="inlineStr">
        <is>
          <t>ÅSELE</t>
        </is>
      </c>
      <c r="G6602" t="n">
        <v>10.8</v>
      </c>
      <c r="H6602" t="n">
        <v>0</v>
      </c>
      <c r="I6602" t="n">
        <v>0</v>
      </c>
      <c r="J6602" t="n">
        <v>0</v>
      </c>
      <c r="K6602" t="n">
        <v>0</v>
      </c>
      <c r="L6602" t="n">
        <v>0</v>
      </c>
      <c r="M6602" t="n">
        <v>0</v>
      </c>
      <c r="N6602" t="n">
        <v>0</v>
      </c>
      <c r="O6602" t="n">
        <v>0</v>
      </c>
      <c r="P6602" t="n">
        <v>0</v>
      </c>
      <c r="Q6602" t="n">
        <v>0</v>
      </c>
      <c r="R6602" s="2" t="inlineStr"/>
    </row>
    <row r="6603" ht="15" customHeight="1">
      <c r="A6603" t="inlineStr">
        <is>
          <t>A 26798-2022</t>
        </is>
      </c>
      <c r="B6603" s="1" t="n">
        <v>44740</v>
      </c>
      <c r="C6603" s="1" t="n">
        <v>45357</v>
      </c>
      <c r="D6603" t="inlineStr">
        <is>
          <t>VÄSTERBOTTENS LÄN</t>
        </is>
      </c>
      <c r="E6603" t="inlineStr">
        <is>
          <t>SKELLEFTEÅ</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26892-2022</t>
        </is>
      </c>
      <c r="B6604" s="1" t="n">
        <v>44740</v>
      </c>
      <c r="C6604" s="1" t="n">
        <v>45357</v>
      </c>
      <c r="D6604" t="inlineStr">
        <is>
          <t>VÄSTERBOTTENS LÄN</t>
        </is>
      </c>
      <c r="E6604" t="inlineStr">
        <is>
          <t>MALÅ</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26807-2022</t>
        </is>
      </c>
      <c r="B6605" s="1" t="n">
        <v>44740</v>
      </c>
      <c r="C6605" s="1" t="n">
        <v>45357</v>
      </c>
      <c r="D6605" t="inlineStr">
        <is>
          <t>VÄSTERBOTTENS LÄN</t>
        </is>
      </c>
      <c r="E6605" t="inlineStr">
        <is>
          <t>SKELLEFTEÅ</t>
        </is>
      </c>
      <c r="F6605" t="inlineStr">
        <is>
          <t>Holmen skog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26833-2022</t>
        </is>
      </c>
      <c r="B6606" s="1" t="n">
        <v>44740</v>
      </c>
      <c r="C6606" s="1" t="n">
        <v>45357</v>
      </c>
      <c r="D6606" t="inlineStr">
        <is>
          <t>VÄSTERBOTTENS LÄN</t>
        </is>
      </c>
      <c r="E6606" t="inlineStr">
        <is>
          <t>BJURHOLM</t>
        </is>
      </c>
      <c r="F6606" t="inlineStr">
        <is>
          <t>Holmen skog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26838-2022</t>
        </is>
      </c>
      <c r="B6607" s="1" t="n">
        <v>44740</v>
      </c>
      <c r="C6607" s="1" t="n">
        <v>45357</v>
      </c>
      <c r="D6607" t="inlineStr">
        <is>
          <t>VÄSTERBOTTENS LÄN</t>
        </is>
      </c>
      <c r="E6607" t="inlineStr">
        <is>
          <t>VINDELN</t>
        </is>
      </c>
      <c r="F6607" t="inlineStr">
        <is>
          <t>Holmen skog AB</t>
        </is>
      </c>
      <c r="G6607" t="n">
        <v>7.1</v>
      </c>
      <c r="H6607" t="n">
        <v>0</v>
      </c>
      <c r="I6607" t="n">
        <v>0</v>
      </c>
      <c r="J6607" t="n">
        <v>0</v>
      </c>
      <c r="K6607" t="n">
        <v>0</v>
      </c>
      <c r="L6607" t="n">
        <v>0</v>
      </c>
      <c r="M6607" t="n">
        <v>0</v>
      </c>
      <c r="N6607" t="n">
        <v>0</v>
      </c>
      <c r="O6607" t="n">
        <v>0</v>
      </c>
      <c r="P6607" t="n">
        <v>0</v>
      </c>
      <c r="Q6607" t="n">
        <v>0</v>
      </c>
      <c r="R6607" s="2" t="inlineStr"/>
    </row>
    <row r="6608" ht="15" customHeight="1">
      <c r="A6608" t="inlineStr">
        <is>
          <t>A 26872-2022</t>
        </is>
      </c>
      <c r="B6608" s="1" t="n">
        <v>44740</v>
      </c>
      <c r="C6608" s="1" t="n">
        <v>45357</v>
      </c>
      <c r="D6608" t="inlineStr">
        <is>
          <t>VÄSTERBOTTENS LÄN</t>
        </is>
      </c>
      <c r="E6608" t="inlineStr">
        <is>
          <t>UMEÅ</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26878-2022</t>
        </is>
      </c>
      <c r="B6609" s="1" t="n">
        <v>44740</v>
      </c>
      <c r="C6609" s="1" t="n">
        <v>45357</v>
      </c>
      <c r="D6609" t="inlineStr">
        <is>
          <t>VÄSTERBOTTENS LÄN</t>
        </is>
      </c>
      <c r="E6609" t="inlineStr">
        <is>
          <t>UMEÅ</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26803-2022</t>
        </is>
      </c>
      <c r="B6610" s="1" t="n">
        <v>44740</v>
      </c>
      <c r="C6610" s="1" t="n">
        <v>45357</v>
      </c>
      <c r="D6610" t="inlineStr">
        <is>
          <t>VÄSTERBOTTENS LÄN</t>
        </is>
      </c>
      <c r="E6610" t="inlineStr">
        <is>
          <t>SKELLEFTEÅ</t>
        </is>
      </c>
      <c r="G6610" t="n">
        <v>0.1</v>
      </c>
      <c r="H6610" t="n">
        <v>0</v>
      </c>
      <c r="I6610" t="n">
        <v>0</v>
      </c>
      <c r="J6610" t="n">
        <v>0</v>
      </c>
      <c r="K6610" t="n">
        <v>0</v>
      </c>
      <c r="L6610" t="n">
        <v>0</v>
      </c>
      <c r="M6610" t="n">
        <v>0</v>
      </c>
      <c r="N6610" t="n">
        <v>0</v>
      </c>
      <c r="O6610" t="n">
        <v>0</v>
      </c>
      <c r="P6610" t="n">
        <v>0</v>
      </c>
      <c r="Q6610" t="n">
        <v>0</v>
      </c>
      <c r="R6610" s="2" t="inlineStr"/>
    </row>
    <row r="6611" ht="15" customHeight="1">
      <c r="A6611" t="inlineStr">
        <is>
          <t>A 26881-2022</t>
        </is>
      </c>
      <c r="B6611" s="1" t="n">
        <v>44740</v>
      </c>
      <c r="C6611" s="1" t="n">
        <v>45357</v>
      </c>
      <c r="D6611" t="inlineStr">
        <is>
          <t>VÄSTERBOTTENS LÄN</t>
        </is>
      </c>
      <c r="E6611" t="inlineStr">
        <is>
          <t>SKELLEFTEÅ</t>
        </is>
      </c>
      <c r="F6611" t="inlineStr">
        <is>
          <t>Holmen skog AB</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26999-2022</t>
        </is>
      </c>
      <c r="B6612" s="1" t="n">
        <v>44740</v>
      </c>
      <c r="C6612" s="1" t="n">
        <v>45357</v>
      </c>
      <c r="D6612" t="inlineStr">
        <is>
          <t>VÄSTERBOTTENS LÄN</t>
        </is>
      </c>
      <c r="E6612" t="inlineStr">
        <is>
          <t>SKELLEFTEÅ</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26919-2022</t>
        </is>
      </c>
      <c r="B6613" s="1" t="n">
        <v>44740</v>
      </c>
      <c r="C6613" s="1" t="n">
        <v>45357</v>
      </c>
      <c r="D6613" t="inlineStr">
        <is>
          <t>VÄSTERBOTTENS LÄN</t>
        </is>
      </c>
      <c r="E6613" t="inlineStr">
        <is>
          <t>UMEÅ</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27003-2022</t>
        </is>
      </c>
      <c r="B6614" s="1" t="n">
        <v>44741</v>
      </c>
      <c r="C6614" s="1" t="n">
        <v>45357</v>
      </c>
      <c r="D6614" t="inlineStr">
        <is>
          <t>VÄSTERBOTTENS LÄN</t>
        </is>
      </c>
      <c r="E6614" t="inlineStr">
        <is>
          <t>SKELLEFTEÅ</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27028-2022</t>
        </is>
      </c>
      <c r="B6615" s="1" t="n">
        <v>44740</v>
      </c>
      <c r="C6615" s="1" t="n">
        <v>45357</v>
      </c>
      <c r="D6615" t="inlineStr">
        <is>
          <t>VÄSTERBOTTENS LÄN</t>
        </is>
      </c>
      <c r="E6615" t="inlineStr">
        <is>
          <t>SKELLEFTEÅ</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27002-2022</t>
        </is>
      </c>
      <c r="B6616" s="1" t="n">
        <v>44740</v>
      </c>
      <c r="C6616" s="1" t="n">
        <v>45357</v>
      </c>
      <c r="D6616" t="inlineStr">
        <is>
          <t>VÄSTERBOTTENS LÄN</t>
        </is>
      </c>
      <c r="E6616" t="inlineStr">
        <is>
          <t>SKELLEFTEÅ</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27104-2022</t>
        </is>
      </c>
      <c r="B6617" s="1" t="n">
        <v>44741</v>
      </c>
      <c r="C6617" s="1" t="n">
        <v>45357</v>
      </c>
      <c r="D6617" t="inlineStr">
        <is>
          <t>VÄSTERBOTTENS LÄN</t>
        </is>
      </c>
      <c r="E6617" t="inlineStr">
        <is>
          <t>UMEÅ</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27138-2022</t>
        </is>
      </c>
      <c r="B6618" s="1" t="n">
        <v>44741</v>
      </c>
      <c r="C6618" s="1" t="n">
        <v>45357</v>
      </c>
      <c r="D6618" t="inlineStr">
        <is>
          <t>VÄSTERBOTTENS LÄN</t>
        </is>
      </c>
      <c r="E6618" t="inlineStr">
        <is>
          <t>DOROTEA</t>
        </is>
      </c>
      <c r="F6618" t="inlineStr">
        <is>
          <t>Sveaskog</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27127-2022</t>
        </is>
      </c>
      <c r="B6619" s="1" t="n">
        <v>44741</v>
      </c>
      <c r="C6619" s="1" t="n">
        <v>45357</v>
      </c>
      <c r="D6619" t="inlineStr">
        <is>
          <t>VÄSTERBOTTENS LÄN</t>
        </is>
      </c>
      <c r="E6619" t="inlineStr">
        <is>
          <t>VILHELMINA</t>
        </is>
      </c>
      <c r="F6619" t="inlineStr">
        <is>
          <t>Sveaskog</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27166-2022</t>
        </is>
      </c>
      <c r="B6620" s="1" t="n">
        <v>44741</v>
      </c>
      <c r="C6620" s="1" t="n">
        <v>45357</v>
      </c>
      <c r="D6620" t="inlineStr">
        <is>
          <t>VÄSTERBOTTENS LÄN</t>
        </is>
      </c>
      <c r="E6620" t="inlineStr">
        <is>
          <t>ROBERTSFORS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27079-2022</t>
        </is>
      </c>
      <c r="B6621" s="1" t="n">
        <v>44741</v>
      </c>
      <c r="C6621" s="1" t="n">
        <v>45357</v>
      </c>
      <c r="D6621" t="inlineStr">
        <is>
          <t>VÄSTERBOTTENS LÄN</t>
        </is>
      </c>
      <c r="E6621" t="inlineStr">
        <is>
          <t>NORSJÖ</t>
        </is>
      </c>
      <c r="F6621" t="inlineStr">
        <is>
          <t>Holmen skog AB</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27094-2022</t>
        </is>
      </c>
      <c r="B6622" s="1" t="n">
        <v>44741</v>
      </c>
      <c r="C6622" s="1" t="n">
        <v>45357</v>
      </c>
      <c r="D6622" t="inlineStr">
        <is>
          <t>VÄSTERBOTTENS LÄN</t>
        </is>
      </c>
      <c r="E6622" t="inlineStr">
        <is>
          <t>ÅSELE</t>
        </is>
      </c>
      <c r="F6622" t="inlineStr">
        <is>
          <t>Naturvårdsverket</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27098-2022</t>
        </is>
      </c>
      <c r="B6623" s="1" t="n">
        <v>44741</v>
      </c>
      <c r="C6623" s="1" t="n">
        <v>45357</v>
      </c>
      <c r="D6623" t="inlineStr">
        <is>
          <t>VÄSTERBOTTENS LÄN</t>
        </is>
      </c>
      <c r="E6623" t="inlineStr">
        <is>
          <t>MALÅ</t>
        </is>
      </c>
      <c r="G6623" t="n">
        <v>13.8</v>
      </c>
      <c r="H6623" t="n">
        <v>0</v>
      </c>
      <c r="I6623" t="n">
        <v>0</v>
      </c>
      <c r="J6623" t="n">
        <v>0</v>
      </c>
      <c r="K6623" t="n">
        <v>0</v>
      </c>
      <c r="L6623" t="n">
        <v>0</v>
      </c>
      <c r="M6623" t="n">
        <v>0</v>
      </c>
      <c r="N6623" t="n">
        <v>0</v>
      </c>
      <c r="O6623" t="n">
        <v>0</v>
      </c>
      <c r="P6623" t="n">
        <v>0</v>
      </c>
      <c r="Q6623" t="n">
        <v>0</v>
      </c>
      <c r="R6623" s="2" t="inlineStr"/>
    </row>
    <row r="6624" ht="15" customHeight="1">
      <c r="A6624" t="inlineStr">
        <is>
          <t>A 27250-2022</t>
        </is>
      </c>
      <c r="B6624" s="1" t="n">
        <v>44741</v>
      </c>
      <c r="C6624" s="1" t="n">
        <v>45357</v>
      </c>
      <c r="D6624" t="inlineStr">
        <is>
          <t>VÄSTERBOTTENS LÄN</t>
        </is>
      </c>
      <c r="E6624" t="inlineStr">
        <is>
          <t>VINDELN</t>
        </is>
      </c>
      <c r="G6624" t="n">
        <v>28.7</v>
      </c>
      <c r="H6624" t="n">
        <v>0</v>
      </c>
      <c r="I6624" t="n">
        <v>0</v>
      </c>
      <c r="J6624" t="n">
        <v>0</v>
      </c>
      <c r="K6624" t="n">
        <v>0</v>
      </c>
      <c r="L6624" t="n">
        <v>0</v>
      </c>
      <c r="M6624" t="n">
        <v>0</v>
      </c>
      <c r="N6624" t="n">
        <v>0</v>
      </c>
      <c r="O6624" t="n">
        <v>0</v>
      </c>
      <c r="P6624" t="n">
        <v>0</v>
      </c>
      <c r="Q6624" t="n">
        <v>0</v>
      </c>
      <c r="R6624" s="2" t="inlineStr"/>
    </row>
    <row r="6625" ht="15" customHeight="1">
      <c r="A6625" t="inlineStr">
        <is>
          <t>A 27265-2022</t>
        </is>
      </c>
      <c r="B6625" s="1" t="n">
        <v>44741</v>
      </c>
      <c r="C6625" s="1" t="n">
        <v>45357</v>
      </c>
      <c r="D6625" t="inlineStr">
        <is>
          <t>VÄSTERBOTTENS LÄN</t>
        </is>
      </c>
      <c r="E6625" t="inlineStr">
        <is>
          <t>SKELLEFTEÅ</t>
        </is>
      </c>
      <c r="F6625" t="inlineStr">
        <is>
          <t>Holmen skog AB</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27279-2022</t>
        </is>
      </c>
      <c r="B6626" s="1" t="n">
        <v>44742</v>
      </c>
      <c r="C6626" s="1" t="n">
        <v>45357</v>
      </c>
      <c r="D6626" t="inlineStr">
        <is>
          <t>VÄSTERBOTTENS LÄN</t>
        </is>
      </c>
      <c r="E6626" t="inlineStr">
        <is>
          <t>VINDELN</t>
        </is>
      </c>
      <c r="F6626" t="inlineStr">
        <is>
          <t>Holmen skog AB</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27294-2022</t>
        </is>
      </c>
      <c r="B6627" s="1" t="n">
        <v>44742</v>
      </c>
      <c r="C6627" s="1" t="n">
        <v>45357</v>
      </c>
      <c r="D6627" t="inlineStr">
        <is>
          <t>VÄSTERBOTTENS LÄN</t>
        </is>
      </c>
      <c r="E6627" t="inlineStr">
        <is>
          <t>ÅSELE</t>
        </is>
      </c>
      <c r="F6627" t="inlineStr">
        <is>
          <t>SCA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27293-2022</t>
        </is>
      </c>
      <c r="B6628" s="1" t="n">
        <v>44742</v>
      </c>
      <c r="C6628" s="1" t="n">
        <v>45357</v>
      </c>
      <c r="D6628" t="inlineStr">
        <is>
          <t>VÄSTERBOTTENS LÄN</t>
        </is>
      </c>
      <c r="E6628" t="inlineStr">
        <is>
          <t>ÅSELE</t>
        </is>
      </c>
      <c r="F6628" t="inlineStr">
        <is>
          <t>SCA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27307-2022</t>
        </is>
      </c>
      <c r="B6629" s="1" t="n">
        <v>44742</v>
      </c>
      <c r="C6629" s="1" t="n">
        <v>45357</v>
      </c>
      <c r="D6629" t="inlineStr">
        <is>
          <t>VÄSTERBOTTENS LÄN</t>
        </is>
      </c>
      <c r="E6629" t="inlineStr">
        <is>
          <t>UMEÅ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27333-2022</t>
        </is>
      </c>
      <c r="B6630" s="1" t="n">
        <v>44742</v>
      </c>
      <c r="C6630" s="1" t="n">
        <v>45357</v>
      </c>
      <c r="D6630" t="inlineStr">
        <is>
          <t>VÄSTERBOTTENS LÄN</t>
        </is>
      </c>
      <c r="E6630" t="inlineStr">
        <is>
          <t>VINDELN</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27555-2022</t>
        </is>
      </c>
      <c r="B6631" s="1" t="n">
        <v>44743</v>
      </c>
      <c r="C6631" s="1" t="n">
        <v>45357</v>
      </c>
      <c r="D6631" t="inlineStr">
        <is>
          <t>VÄSTERBOTTENS LÄN</t>
        </is>
      </c>
      <c r="E6631" t="inlineStr">
        <is>
          <t>SKELLEFTEÅ</t>
        </is>
      </c>
      <c r="F6631" t="inlineStr">
        <is>
          <t>Kommuner</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27563-2022</t>
        </is>
      </c>
      <c r="B6632" s="1" t="n">
        <v>44743</v>
      </c>
      <c r="C6632" s="1" t="n">
        <v>45357</v>
      </c>
      <c r="D6632" t="inlineStr">
        <is>
          <t>VÄSTERBOTTENS LÄN</t>
        </is>
      </c>
      <c r="E6632" t="inlineStr">
        <is>
          <t>NORSJÖ</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27504-2022</t>
        </is>
      </c>
      <c r="B6633" s="1" t="n">
        <v>44742</v>
      </c>
      <c r="C6633" s="1" t="n">
        <v>45357</v>
      </c>
      <c r="D6633" t="inlineStr">
        <is>
          <t>VÄSTERBOTTENS LÄN</t>
        </is>
      </c>
      <c r="E6633" t="inlineStr">
        <is>
          <t>NORDMALING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27558-2022</t>
        </is>
      </c>
      <c r="B6634" s="1" t="n">
        <v>44742</v>
      </c>
      <c r="C6634" s="1" t="n">
        <v>45357</v>
      </c>
      <c r="D6634" t="inlineStr">
        <is>
          <t>VÄSTERBOTTENS LÄN</t>
        </is>
      </c>
      <c r="E6634" t="inlineStr">
        <is>
          <t>DOROTEA</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27620-2022</t>
        </is>
      </c>
      <c r="B6635" s="1" t="n">
        <v>44742</v>
      </c>
      <c r="C6635" s="1" t="n">
        <v>45357</v>
      </c>
      <c r="D6635" t="inlineStr">
        <is>
          <t>VÄSTERBOTTENS LÄN</t>
        </is>
      </c>
      <c r="E6635" t="inlineStr">
        <is>
          <t>UMEÅ</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27590-2022</t>
        </is>
      </c>
      <c r="B6636" s="1" t="n">
        <v>44742</v>
      </c>
      <c r="C6636" s="1" t="n">
        <v>45357</v>
      </c>
      <c r="D6636" t="inlineStr">
        <is>
          <t>VÄSTERBOTTENS LÄN</t>
        </is>
      </c>
      <c r="E6636" t="inlineStr">
        <is>
          <t>DOROTEA</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27560-2022</t>
        </is>
      </c>
      <c r="B6637" s="1" t="n">
        <v>44743</v>
      </c>
      <c r="C6637" s="1" t="n">
        <v>45357</v>
      </c>
      <c r="D6637" t="inlineStr">
        <is>
          <t>VÄSTERBOTTENS LÄN</t>
        </is>
      </c>
      <c r="E6637" t="inlineStr">
        <is>
          <t>SKELLEFTEÅ</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27548-2022</t>
        </is>
      </c>
      <c r="B6638" s="1" t="n">
        <v>44742</v>
      </c>
      <c r="C6638" s="1" t="n">
        <v>45357</v>
      </c>
      <c r="D6638" t="inlineStr">
        <is>
          <t>VÄSTERBOTTENS LÄN</t>
        </is>
      </c>
      <c r="E6638" t="inlineStr">
        <is>
          <t>LYCKSELE</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27556-2022</t>
        </is>
      </c>
      <c r="B6639" s="1" t="n">
        <v>44743</v>
      </c>
      <c r="C6639" s="1" t="n">
        <v>45357</v>
      </c>
      <c r="D6639" t="inlineStr">
        <is>
          <t>VÄSTERBOTTENS LÄN</t>
        </is>
      </c>
      <c r="E6639" t="inlineStr">
        <is>
          <t>ROBERTSFORS</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27605-2022</t>
        </is>
      </c>
      <c r="B6640" s="1" t="n">
        <v>44742</v>
      </c>
      <c r="C6640" s="1" t="n">
        <v>45357</v>
      </c>
      <c r="D6640" t="inlineStr">
        <is>
          <t>VÄSTERBOTTENS LÄN</t>
        </is>
      </c>
      <c r="E6640" t="inlineStr">
        <is>
          <t>VÄNNÄS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27589-2022</t>
        </is>
      </c>
      <c r="B6641" s="1" t="n">
        <v>44742</v>
      </c>
      <c r="C6641" s="1" t="n">
        <v>45357</v>
      </c>
      <c r="D6641" t="inlineStr">
        <is>
          <t>VÄSTERBOTTENS LÄN</t>
        </is>
      </c>
      <c r="E6641" t="inlineStr">
        <is>
          <t>DOROTEA</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27817-2022</t>
        </is>
      </c>
      <c r="B6642" s="1" t="n">
        <v>44743</v>
      </c>
      <c r="C6642" s="1" t="n">
        <v>45357</v>
      </c>
      <c r="D6642" t="inlineStr">
        <is>
          <t>VÄSTERBOTTENS LÄN</t>
        </is>
      </c>
      <c r="E6642" t="inlineStr">
        <is>
          <t>SKELLEFTEÅ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27865-2022</t>
        </is>
      </c>
      <c r="B6643" s="1" t="n">
        <v>44743</v>
      </c>
      <c r="C6643" s="1" t="n">
        <v>45357</v>
      </c>
      <c r="D6643" t="inlineStr">
        <is>
          <t>VÄSTERBOTTENS LÄN</t>
        </is>
      </c>
      <c r="E6643" t="inlineStr">
        <is>
          <t>VILHELMINA</t>
        </is>
      </c>
      <c r="F6643" t="inlineStr">
        <is>
          <t>Sveaskog</t>
        </is>
      </c>
      <c r="G6643" t="n">
        <v>8.699999999999999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27881-2022</t>
        </is>
      </c>
      <c r="B6644" s="1" t="n">
        <v>44743</v>
      </c>
      <c r="C6644" s="1" t="n">
        <v>45357</v>
      </c>
      <c r="D6644" t="inlineStr">
        <is>
          <t>VÄSTERBOTTENS LÄN</t>
        </is>
      </c>
      <c r="E6644" t="inlineStr">
        <is>
          <t>VILHELMINA</t>
        </is>
      </c>
      <c r="F6644" t="inlineStr">
        <is>
          <t>Sveaskog</t>
        </is>
      </c>
      <c r="G6644" t="n">
        <v>14.3</v>
      </c>
      <c r="H6644" t="n">
        <v>0</v>
      </c>
      <c r="I6644" t="n">
        <v>0</v>
      </c>
      <c r="J6644" t="n">
        <v>0</v>
      </c>
      <c r="K6644" t="n">
        <v>0</v>
      </c>
      <c r="L6644" t="n">
        <v>0</v>
      </c>
      <c r="M6644" t="n">
        <v>0</v>
      </c>
      <c r="N6644" t="n">
        <v>0</v>
      </c>
      <c r="O6644" t="n">
        <v>0</v>
      </c>
      <c r="P6644" t="n">
        <v>0</v>
      </c>
      <c r="Q6644" t="n">
        <v>0</v>
      </c>
      <c r="R6644" s="2" t="inlineStr"/>
    </row>
    <row r="6645" ht="15" customHeight="1">
      <c r="A6645" t="inlineStr">
        <is>
          <t>A 27637-2022</t>
        </is>
      </c>
      <c r="B6645" s="1" t="n">
        <v>44743</v>
      </c>
      <c r="C6645" s="1" t="n">
        <v>45357</v>
      </c>
      <c r="D6645" t="inlineStr">
        <is>
          <t>VÄSTERBOTTENS LÄN</t>
        </is>
      </c>
      <c r="E6645" t="inlineStr">
        <is>
          <t>SKELLEFTEÅ</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27672-2022</t>
        </is>
      </c>
      <c r="B6646" s="1" t="n">
        <v>44743</v>
      </c>
      <c r="C6646" s="1" t="n">
        <v>45357</v>
      </c>
      <c r="D6646" t="inlineStr">
        <is>
          <t>VÄSTERBOTTENS LÄN</t>
        </is>
      </c>
      <c r="E6646" t="inlineStr">
        <is>
          <t>SKELLEFTEÅ</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27714-2022</t>
        </is>
      </c>
      <c r="B6647" s="1" t="n">
        <v>44743</v>
      </c>
      <c r="C6647" s="1" t="n">
        <v>45357</v>
      </c>
      <c r="D6647" t="inlineStr">
        <is>
          <t>VÄSTERBOTTENS LÄN</t>
        </is>
      </c>
      <c r="E6647" t="inlineStr">
        <is>
          <t>VILHELMINA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27631-2022</t>
        </is>
      </c>
      <c r="B6648" s="1" t="n">
        <v>44743</v>
      </c>
      <c r="C6648" s="1" t="n">
        <v>45357</v>
      </c>
      <c r="D6648" t="inlineStr">
        <is>
          <t>VÄSTERBOTTENS LÄN</t>
        </is>
      </c>
      <c r="E6648" t="inlineStr">
        <is>
          <t>SKELLEFTEÅ</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27761-2022</t>
        </is>
      </c>
      <c r="B6649" s="1" t="n">
        <v>44743</v>
      </c>
      <c r="C6649" s="1" t="n">
        <v>45357</v>
      </c>
      <c r="D6649" t="inlineStr">
        <is>
          <t>VÄSTERBOTTENS LÄN</t>
        </is>
      </c>
      <c r="E6649" t="inlineStr">
        <is>
          <t>LYCKSELE</t>
        </is>
      </c>
      <c r="F6649" t="inlineStr">
        <is>
          <t>Sveaskog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27848-2022</t>
        </is>
      </c>
      <c r="B6650" s="1" t="n">
        <v>44743</v>
      </c>
      <c r="C6650" s="1" t="n">
        <v>45357</v>
      </c>
      <c r="D6650" t="inlineStr">
        <is>
          <t>VÄSTERBOTTENS LÄN</t>
        </is>
      </c>
      <c r="E6650" t="inlineStr">
        <is>
          <t>VILHELMINA</t>
        </is>
      </c>
      <c r="F6650" t="inlineStr">
        <is>
          <t>Sveaskog</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27880-2022</t>
        </is>
      </c>
      <c r="B6651" s="1" t="n">
        <v>44743</v>
      </c>
      <c r="C6651" s="1" t="n">
        <v>45357</v>
      </c>
      <c r="D6651" t="inlineStr">
        <is>
          <t>VÄSTERBOTTENS LÄN</t>
        </is>
      </c>
      <c r="E6651" t="inlineStr">
        <is>
          <t>VILHELMINA</t>
        </is>
      </c>
      <c r="F6651" t="inlineStr">
        <is>
          <t>Sveaskog</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27889-2022</t>
        </is>
      </c>
      <c r="B6652" s="1" t="n">
        <v>44743</v>
      </c>
      <c r="C6652" s="1" t="n">
        <v>45357</v>
      </c>
      <c r="D6652" t="inlineStr">
        <is>
          <t>VÄSTERBOTTENS LÄN</t>
        </is>
      </c>
      <c r="E6652" t="inlineStr">
        <is>
          <t>VILHELMINA</t>
        </is>
      </c>
      <c r="F6652" t="inlineStr">
        <is>
          <t>Sveaskog</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27874-2022</t>
        </is>
      </c>
      <c r="B6653" s="1" t="n">
        <v>44743</v>
      </c>
      <c r="C6653" s="1" t="n">
        <v>45357</v>
      </c>
      <c r="D6653" t="inlineStr">
        <is>
          <t>VÄSTERBOTTENS LÄN</t>
        </is>
      </c>
      <c r="E6653" t="inlineStr">
        <is>
          <t>VILHELMINA</t>
        </is>
      </c>
      <c r="F6653" t="inlineStr">
        <is>
          <t>Sveaskog</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27920-2022</t>
        </is>
      </c>
      <c r="B6654" s="1" t="n">
        <v>44743</v>
      </c>
      <c r="C6654" s="1" t="n">
        <v>45357</v>
      </c>
      <c r="D6654" t="inlineStr">
        <is>
          <t>VÄSTERBOTTENS LÄN</t>
        </is>
      </c>
      <c r="E6654" t="inlineStr">
        <is>
          <t>VILHELMINA</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27636-2022</t>
        </is>
      </c>
      <c r="B6655" s="1" t="n">
        <v>44743</v>
      </c>
      <c r="C6655" s="1" t="n">
        <v>45357</v>
      </c>
      <c r="D6655" t="inlineStr">
        <is>
          <t>VÄSTERBOTTENS LÄN</t>
        </is>
      </c>
      <c r="E6655" t="inlineStr">
        <is>
          <t>SKELLEFTEÅ</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27665-2022</t>
        </is>
      </c>
      <c r="B6656" s="1" t="n">
        <v>44743</v>
      </c>
      <c r="C6656" s="1" t="n">
        <v>45357</v>
      </c>
      <c r="D6656" t="inlineStr">
        <is>
          <t>VÄSTERBOTTENS LÄN</t>
        </is>
      </c>
      <c r="E6656" t="inlineStr">
        <is>
          <t>VINDELN</t>
        </is>
      </c>
      <c r="F6656" t="inlineStr">
        <is>
          <t>Holmen skog AB</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27692-2022</t>
        </is>
      </c>
      <c r="B6657" s="1" t="n">
        <v>44743</v>
      </c>
      <c r="C6657" s="1" t="n">
        <v>45357</v>
      </c>
      <c r="D6657" t="inlineStr">
        <is>
          <t>VÄSTERBOTTENS LÄN</t>
        </is>
      </c>
      <c r="E6657" t="inlineStr">
        <is>
          <t>VINDELN</t>
        </is>
      </c>
      <c r="F6657" t="inlineStr">
        <is>
          <t>Holmen skog AB</t>
        </is>
      </c>
      <c r="G6657" t="n">
        <v>10.6</v>
      </c>
      <c r="H6657" t="n">
        <v>0</v>
      </c>
      <c r="I6657" t="n">
        <v>0</v>
      </c>
      <c r="J6657" t="n">
        <v>0</v>
      </c>
      <c r="K6657" t="n">
        <v>0</v>
      </c>
      <c r="L6657" t="n">
        <v>0</v>
      </c>
      <c r="M6657" t="n">
        <v>0</v>
      </c>
      <c r="N6657" t="n">
        <v>0</v>
      </c>
      <c r="O6657" t="n">
        <v>0</v>
      </c>
      <c r="P6657" t="n">
        <v>0</v>
      </c>
      <c r="Q6657" t="n">
        <v>0</v>
      </c>
      <c r="R6657" s="2" t="inlineStr"/>
    </row>
    <row r="6658" ht="15" customHeight="1">
      <c r="A6658" t="inlineStr">
        <is>
          <t>A 27844-2022</t>
        </is>
      </c>
      <c r="B6658" s="1" t="n">
        <v>44743</v>
      </c>
      <c r="C6658" s="1" t="n">
        <v>45357</v>
      </c>
      <c r="D6658" t="inlineStr">
        <is>
          <t>VÄSTERBOTTENS LÄN</t>
        </is>
      </c>
      <c r="E6658" t="inlineStr">
        <is>
          <t>VILHELMINA</t>
        </is>
      </c>
      <c r="F6658" t="inlineStr">
        <is>
          <t>Sveaskog</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27879-2022</t>
        </is>
      </c>
      <c r="B6659" s="1" t="n">
        <v>44743</v>
      </c>
      <c r="C6659" s="1" t="n">
        <v>45357</v>
      </c>
      <c r="D6659" t="inlineStr">
        <is>
          <t>VÄSTERBOTTENS LÄN</t>
        </is>
      </c>
      <c r="E6659" t="inlineStr">
        <is>
          <t>VILHELMINA</t>
        </is>
      </c>
      <c r="F6659" t="inlineStr">
        <is>
          <t>Sveaskog</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27886-2022</t>
        </is>
      </c>
      <c r="B6660" s="1" t="n">
        <v>44743</v>
      </c>
      <c r="C6660" s="1" t="n">
        <v>45357</v>
      </c>
      <c r="D6660" t="inlineStr">
        <is>
          <t>VÄSTERBOTTENS LÄN</t>
        </is>
      </c>
      <c r="E6660" t="inlineStr">
        <is>
          <t>BJURHOLM</t>
        </is>
      </c>
      <c r="F6660" t="inlineStr">
        <is>
          <t>Holmen skog AB</t>
        </is>
      </c>
      <c r="G6660" t="n">
        <v>11.8</v>
      </c>
      <c r="H6660" t="n">
        <v>0</v>
      </c>
      <c r="I6660" t="n">
        <v>0</v>
      </c>
      <c r="J6660" t="n">
        <v>0</v>
      </c>
      <c r="K6660" t="n">
        <v>0</v>
      </c>
      <c r="L6660" t="n">
        <v>0</v>
      </c>
      <c r="M6660" t="n">
        <v>0</v>
      </c>
      <c r="N6660" t="n">
        <v>0</v>
      </c>
      <c r="O6660" t="n">
        <v>0</v>
      </c>
      <c r="P6660" t="n">
        <v>0</v>
      </c>
      <c r="Q6660" t="n">
        <v>0</v>
      </c>
      <c r="R6660" s="2" t="inlineStr"/>
    </row>
    <row r="6661" ht="15" customHeight="1">
      <c r="A6661" t="inlineStr">
        <is>
          <t>A 27907-2022</t>
        </is>
      </c>
      <c r="B6661" s="1" t="n">
        <v>44743</v>
      </c>
      <c r="C6661" s="1" t="n">
        <v>45357</v>
      </c>
      <c r="D6661" t="inlineStr">
        <is>
          <t>VÄSTERBOTTENS LÄN</t>
        </is>
      </c>
      <c r="E6661" t="inlineStr">
        <is>
          <t>SKELLEFTEÅ</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27918-2022</t>
        </is>
      </c>
      <c r="B6662" s="1" t="n">
        <v>44744</v>
      </c>
      <c r="C6662" s="1" t="n">
        <v>45357</v>
      </c>
      <c r="D6662" t="inlineStr">
        <is>
          <t>VÄSTERBOTTENS LÄN</t>
        </is>
      </c>
      <c r="E6662" t="inlineStr">
        <is>
          <t>VILHELMINA</t>
        </is>
      </c>
      <c r="F6662" t="inlineStr">
        <is>
          <t>SCA</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27938-2022</t>
        </is>
      </c>
      <c r="B6663" s="1" t="n">
        <v>44744</v>
      </c>
      <c r="C6663" s="1" t="n">
        <v>45357</v>
      </c>
      <c r="D6663" t="inlineStr">
        <is>
          <t>VÄSTERBOTTENS LÄN</t>
        </is>
      </c>
      <c r="E6663" t="inlineStr">
        <is>
          <t>VILHELMINA</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27947-2022</t>
        </is>
      </c>
      <c r="B6664" s="1" t="n">
        <v>44744</v>
      </c>
      <c r="C6664" s="1" t="n">
        <v>45357</v>
      </c>
      <c r="D6664" t="inlineStr">
        <is>
          <t>VÄSTERBOTTENS LÄN</t>
        </is>
      </c>
      <c r="E6664" t="inlineStr">
        <is>
          <t>ÅSELE</t>
        </is>
      </c>
      <c r="F6664" t="inlineStr">
        <is>
          <t>SCA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27952-2022</t>
        </is>
      </c>
      <c r="B6665" s="1" t="n">
        <v>44743</v>
      </c>
      <c r="C6665" s="1" t="n">
        <v>45357</v>
      </c>
      <c r="D6665" t="inlineStr">
        <is>
          <t>VÄSTERBOTTENS LÄN</t>
        </is>
      </c>
      <c r="E6665" t="inlineStr">
        <is>
          <t>BJURHOLM</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27922-2022</t>
        </is>
      </c>
      <c r="B6666" s="1" t="n">
        <v>44744</v>
      </c>
      <c r="C6666" s="1" t="n">
        <v>45357</v>
      </c>
      <c r="D6666" t="inlineStr">
        <is>
          <t>VÄSTERBOTTENS LÄN</t>
        </is>
      </c>
      <c r="E6666" t="inlineStr">
        <is>
          <t>VILHELMINA</t>
        </is>
      </c>
      <c r="F6666" t="inlineStr">
        <is>
          <t>SCA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27937-2022</t>
        </is>
      </c>
      <c r="B6667" s="1" t="n">
        <v>44744</v>
      </c>
      <c r="C6667" s="1" t="n">
        <v>45357</v>
      </c>
      <c r="D6667" t="inlineStr">
        <is>
          <t>VÄSTERBOTTENS LÄN</t>
        </is>
      </c>
      <c r="E6667" t="inlineStr">
        <is>
          <t>VILHELMINA</t>
        </is>
      </c>
      <c r="F6667" t="inlineStr">
        <is>
          <t>SCA</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27935-2022</t>
        </is>
      </c>
      <c r="B6668" s="1" t="n">
        <v>44744</v>
      </c>
      <c r="C6668" s="1" t="n">
        <v>45357</v>
      </c>
      <c r="D6668" t="inlineStr">
        <is>
          <t>VÄSTERBOTTENS LÄN</t>
        </is>
      </c>
      <c r="E6668" t="inlineStr">
        <is>
          <t>VILHELMINA</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27901-2022</t>
        </is>
      </c>
      <c r="B6669" s="1" t="n">
        <v>44743</v>
      </c>
      <c r="C6669" s="1" t="n">
        <v>45357</v>
      </c>
      <c r="D6669" t="inlineStr">
        <is>
          <t>VÄSTERBOTTENS LÄN</t>
        </is>
      </c>
      <c r="E6669" t="inlineStr">
        <is>
          <t>SKELLEFTEÅ</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27919-2022</t>
        </is>
      </c>
      <c r="B6670" s="1" t="n">
        <v>44744</v>
      </c>
      <c r="C6670" s="1" t="n">
        <v>45357</v>
      </c>
      <c r="D6670" t="inlineStr">
        <is>
          <t>VÄSTERBOTTENS LÄN</t>
        </is>
      </c>
      <c r="E6670" t="inlineStr">
        <is>
          <t>VILHELMINA</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27951-2022</t>
        </is>
      </c>
      <c r="B6671" s="1" t="n">
        <v>44744</v>
      </c>
      <c r="C6671" s="1" t="n">
        <v>45357</v>
      </c>
      <c r="D6671" t="inlineStr">
        <is>
          <t>VÄSTERBOTTENS LÄN</t>
        </is>
      </c>
      <c r="E6671" t="inlineStr">
        <is>
          <t>BJURHOLM</t>
        </is>
      </c>
      <c r="F6671" t="inlineStr">
        <is>
          <t>SCA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28001-2022</t>
        </is>
      </c>
      <c r="B6672" s="1" t="n">
        <v>44743</v>
      </c>
      <c r="C6672" s="1" t="n">
        <v>45357</v>
      </c>
      <c r="D6672" t="inlineStr">
        <is>
          <t>VÄSTERBOTTENS LÄN</t>
        </is>
      </c>
      <c r="E6672" t="inlineStr">
        <is>
          <t>STORUMAN</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27976-2022</t>
        </is>
      </c>
      <c r="B6673" s="1" t="n">
        <v>44745</v>
      </c>
      <c r="C6673" s="1" t="n">
        <v>45357</v>
      </c>
      <c r="D6673" t="inlineStr">
        <is>
          <t>VÄSTERBOTTENS LÄN</t>
        </is>
      </c>
      <c r="E6673" t="inlineStr">
        <is>
          <t>NORDMALING</t>
        </is>
      </c>
      <c r="F6673" t="inlineStr">
        <is>
          <t>SCA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28040-2022</t>
        </is>
      </c>
      <c r="B6674" s="1" t="n">
        <v>44746</v>
      </c>
      <c r="C6674" s="1" t="n">
        <v>45357</v>
      </c>
      <c r="D6674" t="inlineStr">
        <is>
          <t>VÄSTERBOTTENS LÄN</t>
        </is>
      </c>
      <c r="E6674" t="inlineStr">
        <is>
          <t>BJURHOLM</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28037-2022</t>
        </is>
      </c>
      <c r="B6675" s="1" t="n">
        <v>44746</v>
      </c>
      <c r="C6675" s="1" t="n">
        <v>45357</v>
      </c>
      <c r="D6675" t="inlineStr">
        <is>
          <t>VÄSTERBOTTENS LÄN</t>
        </is>
      </c>
      <c r="E6675" t="inlineStr">
        <is>
          <t>BJURHOLM</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28061-2022</t>
        </is>
      </c>
      <c r="B6676" s="1" t="n">
        <v>44746</v>
      </c>
      <c r="C6676" s="1" t="n">
        <v>45357</v>
      </c>
      <c r="D6676" t="inlineStr">
        <is>
          <t>VÄSTERBOTTENS LÄN</t>
        </is>
      </c>
      <c r="E6676" t="inlineStr">
        <is>
          <t>STORUMAN</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28266-2022</t>
        </is>
      </c>
      <c r="B6677" s="1" t="n">
        <v>44746</v>
      </c>
      <c r="C6677" s="1" t="n">
        <v>45357</v>
      </c>
      <c r="D6677" t="inlineStr">
        <is>
          <t>VÄSTERBOTTENS LÄN</t>
        </is>
      </c>
      <c r="E6677" t="inlineStr">
        <is>
          <t>VINDELN</t>
        </is>
      </c>
      <c r="G6677" t="n">
        <v>13.6</v>
      </c>
      <c r="H6677" t="n">
        <v>0</v>
      </c>
      <c r="I6677" t="n">
        <v>0</v>
      </c>
      <c r="J6677" t="n">
        <v>0</v>
      </c>
      <c r="K6677" t="n">
        <v>0</v>
      </c>
      <c r="L6677" t="n">
        <v>0</v>
      </c>
      <c r="M6677" t="n">
        <v>0</v>
      </c>
      <c r="N6677" t="n">
        <v>0</v>
      </c>
      <c r="O6677" t="n">
        <v>0</v>
      </c>
      <c r="P6677" t="n">
        <v>0</v>
      </c>
      <c r="Q6677" t="n">
        <v>0</v>
      </c>
      <c r="R6677" s="2" t="inlineStr"/>
    </row>
    <row r="6678" ht="15" customHeight="1">
      <c r="A6678" t="inlineStr">
        <is>
          <t>A 28135-2022</t>
        </is>
      </c>
      <c r="B6678" s="1" t="n">
        <v>44746</v>
      </c>
      <c r="C6678" s="1" t="n">
        <v>45357</v>
      </c>
      <c r="D6678" t="inlineStr">
        <is>
          <t>VÄSTERBOTTENS LÄN</t>
        </is>
      </c>
      <c r="E6678" t="inlineStr">
        <is>
          <t>ROBERTSFORS</t>
        </is>
      </c>
      <c r="F6678" t="inlineStr">
        <is>
          <t>Holmen skog AB</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28347-2022</t>
        </is>
      </c>
      <c r="B6679" s="1" t="n">
        <v>44747</v>
      </c>
      <c r="C6679" s="1" t="n">
        <v>45357</v>
      </c>
      <c r="D6679" t="inlineStr">
        <is>
          <t>VÄSTERBOTTENS LÄN</t>
        </is>
      </c>
      <c r="E6679" t="inlineStr">
        <is>
          <t>VÄNNÄS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28352-2022</t>
        </is>
      </c>
      <c r="B6680" s="1" t="n">
        <v>44747</v>
      </c>
      <c r="C6680" s="1" t="n">
        <v>45357</v>
      </c>
      <c r="D6680" t="inlineStr">
        <is>
          <t>VÄSTERBOTTENS LÄN</t>
        </is>
      </c>
      <c r="E6680" t="inlineStr">
        <is>
          <t>SKELLEFTEÅ</t>
        </is>
      </c>
      <c r="F6680" t="inlineStr">
        <is>
          <t>Holmen skog AB</t>
        </is>
      </c>
      <c r="G6680" t="n">
        <v>21.1</v>
      </c>
      <c r="H6680" t="n">
        <v>0</v>
      </c>
      <c r="I6680" t="n">
        <v>0</v>
      </c>
      <c r="J6680" t="n">
        <v>0</v>
      </c>
      <c r="K6680" t="n">
        <v>0</v>
      </c>
      <c r="L6680" t="n">
        <v>0</v>
      </c>
      <c r="M6680" t="n">
        <v>0</v>
      </c>
      <c r="N6680" t="n">
        <v>0</v>
      </c>
      <c r="O6680" t="n">
        <v>0</v>
      </c>
      <c r="P6680" t="n">
        <v>0</v>
      </c>
      <c r="Q6680" t="n">
        <v>0</v>
      </c>
      <c r="R6680" s="2" t="inlineStr"/>
    </row>
    <row r="6681" ht="15" customHeight="1">
      <c r="A6681" t="inlineStr">
        <is>
          <t>A 28381-2022</t>
        </is>
      </c>
      <c r="B6681" s="1" t="n">
        <v>44747</v>
      </c>
      <c r="C6681" s="1" t="n">
        <v>45357</v>
      </c>
      <c r="D6681" t="inlineStr">
        <is>
          <t>VÄSTERBOTTENS LÄN</t>
        </is>
      </c>
      <c r="E6681" t="inlineStr">
        <is>
          <t>ÅSELE</t>
        </is>
      </c>
      <c r="F6681" t="inlineStr">
        <is>
          <t>Sveaskog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28337-2022</t>
        </is>
      </c>
      <c r="B6682" s="1" t="n">
        <v>44747</v>
      </c>
      <c r="C6682" s="1" t="n">
        <v>45357</v>
      </c>
      <c r="D6682" t="inlineStr">
        <is>
          <t>VÄSTERBOTTENS LÄN</t>
        </is>
      </c>
      <c r="E6682" t="inlineStr">
        <is>
          <t>VÄNNÄS</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28378-2022</t>
        </is>
      </c>
      <c r="B6683" s="1" t="n">
        <v>44747</v>
      </c>
      <c r="C6683" s="1" t="n">
        <v>45357</v>
      </c>
      <c r="D6683" t="inlineStr">
        <is>
          <t>VÄSTERBOTTENS LÄN</t>
        </is>
      </c>
      <c r="E6683" t="inlineStr">
        <is>
          <t>VILHELMINA</t>
        </is>
      </c>
      <c r="F6683" t="inlineStr">
        <is>
          <t>Sveaskog</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28367-2022</t>
        </is>
      </c>
      <c r="B6684" s="1" t="n">
        <v>44747</v>
      </c>
      <c r="C6684" s="1" t="n">
        <v>45357</v>
      </c>
      <c r="D6684" t="inlineStr">
        <is>
          <t>VÄSTERBOTTENS LÄN</t>
        </is>
      </c>
      <c r="E6684" t="inlineStr">
        <is>
          <t>VÄNNÄS</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28383-2022</t>
        </is>
      </c>
      <c r="B6685" s="1" t="n">
        <v>44747</v>
      </c>
      <c r="C6685" s="1" t="n">
        <v>45357</v>
      </c>
      <c r="D6685" t="inlineStr">
        <is>
          <t>VÄSTERBOTTENS LÄN</t>
        </is>
      </c>
      <c r="E6685" t="inlineStr">
        <is>
          <t>ÅSELE</t>
        </is>
      </c>
      <c r="F6685" t="inlineStr">
        <is>
          <t>Sveaskog</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28486-2022</t>
        </is>
      </c>
      <c r="B6686" s="1" t="n">
        <v>44747</v>
      </c>
      <c r="C6686" s="1" t="n">
        <v>45357</v>
      </c>
      <c r="D6686" t="inlineStr">
        <is>
          <t>VÄSTERBOTTENS LÄN</t>
        </is>
      </c>
      <c r="E6686" t="inlineStr">
        <is>
          <t>VILHELMINA</t>
        </is>
      </c>
      <c r="F6686" t="inlineStr">
        <is>
          <t>SCA</t>
        </is>
      </c>
      <c r="G6686" t="n">
        <v>7.9</v>
      </c>
      <c r="H6686" t="n">
        <v>0</v>
      </c>
      <c r="I6686" t="n">
        <v>0</v>
      </c>
      <c r="J6686" t="n">
        <v>0</v>
      </c>
      <c r="K6686" t="n">
        <v>0</v>
      </c>
      <c r="L6686" t="n">
        <v>0</v>
      </c>
      <c r="M6686" t="n">
        <v>0</v>
      </c>
      <c r="N6686" t="n">
        <v>0</v>
      </c>
      <c r="O6686" t="n">
        <v>0</v>
      </c>
      <c r="P6686" t="n">
        <v>0</v>
      </c>
      <c r="Q6686" t="n">
        <v>0</v>
      </c>
      <c r="R6686" s="2" t="inlineStr"/>
    </row>
    <row r="6687" ht="15" customHeight="1">
      <c r="A6687" t="inlineStr">
        <is>
          <t>A 28485-2022</t>
        </is>
      </c>
      <c r="B6687" s="1" t="n">
        <v>44748</v>
      </c>
      <c r="C6687" s="1" t="n">
        <v>45357</v>
      </c>
      <c r="D6687" t="inlineStr">
        <is>
          <t>VÄSTERBOTTENS LÄN</t>
        </is>
      </c>
      <c r="E6687" t="inlineStr">
        <is>
          <t>VILHELMINA</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28713-2022</t>
        </is>
      </c>
      <c r="B6688" s="1" t="n">
        <v>44748</v>
      </c>
      <c r="C6688" s="1" t="n">
        <v>45357</v>
      </c>
      <c r="D6688" t="inlineStr">
        <is>
          <t>VÄSTERBOTTENS LÄN</t>
        </is>
      </c>
      <c r="E6688" t="inlineStr">
        <is>
          <t>STORUMAN</t>
        </is>
      </c>
      <c r="G6688" t="n">
        <v>14.9</v>
      </c>
      <c r="H6688" t="n">
        <v>0</v>
      </c>
      <c r="I6688" t="n">
        <v>0</v>
      </c>
      <c r="J6688" t="n">
        <v>0</v>
      </c>
      <c r="K6688" t="n">
        <v>0</v>
      </c>
      <c r="L6688" t="n">
        <v>0</v>
      </c>
      <c r="M6688" t="n">
        <v>0</v>
      </c>
      <c r="N6688" t="n">
        <v>0</v>
      </c>
      <c r="O6688" t="n">
        <v>0</v>
      </c>
      <c r="P6688" t="n">
        <v>0</v>
      </c>
      <c r="Q6688" t="n">
        <v>0</v>
      </c>
      <c r="R6688" s="2" t="inlineStr"/>
    </row>
    <row r="6689" ht="15" customHeight="1">
      <c r="A6689" t="inlineStr">
        <is>
          <t>A 28699-2022</t>
        </is>
      </c>
      <c r="B6689" s="1" t="n">
        <v>44748</v>
      </c>
      <c r="C6689" s="1" t="n">
        <v>45357</v>
      </c>
      <c r="D6689" t="inlineStr">
        <is>
          <t>VÄSTERBOTTENS LÄN</t>
        </is>
      </c>
      <c r="E6689" t="inlineStr">
        <is>
          <t>LYCKSELE</t>
        </is>
      </c>
      <c r="F6689" t="inlineStr">
        <is>
          <t>Sveaskog</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28710-2022</t>
        </is>
      </c>
      <c r="B6690" s="1" t="n">
        <v>44749</v>
      </c>
      <c r="C6690" s="1" t="n">
        <v>45357</v>
      </c>
      <c r="D6690" t="inlineStr">
        <is>
          <t>VÄSTERBOTTENS LÄN</t>
        </is>
      </c>
      <c r="E6690" t="inlineStr">
        <is>
          <t>STORUMAN</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28717-2022</t>
        </is>
      </c>
      <c r="B6691" s="1" t="n">
        <v>44749</v>
      </c>
      <c r="C6691" s="1" t="n">
        <v>45357</v>
      </c>
      <c r="D6691" t="inlineStr">
        <is>
          <t>VÄSTERBOTTENS LÄN</t>
        </is>
      </c>
      <c r="E6691" t="inlineStr">
        <is>
          <t>DOROTEA</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28722-2022</t>
        </is>
      </c>
      <c r="B6692" s="1" t="n">
        <v>44748</v>
      </c>
      <c r="C6692" s="1" t="n">
        <v>45357</v>
      </c>
      <c r="D6692" t="inlineStr">
        <is>
          <t>VÄSTERBOTTENS LÄN</t>
        </is>
      </c>
      <c r="E6692" t="inlineStr">
        <is>
          <t>VILHELMINA</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28740-2022</t>
        </is>
      </c>
      <c r="B6693" s="1" t="n">
        <v>44749</v>
      </c>
      <c r="C6693" s="1" t="n">
        <v>45357</v>
      </c>
      <c r="D6693" t="inlineStr">
        <is>
          <t>VÄSTERBOTTENS LÄN</t>
        </is>
      </c>
      <c r="E6693" t="inlineStr">
        <is>
          <t>ÅSELE</t>
        </is>
      </c>
      <c r="F6693" t="inlineStr">
        <is>
          <t>SCA</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28884-2022</t>
        </is>
      </c>
      <c r="B6694" s="1" t="n">
        <v>44749</v>
      </c>
      <c r="C6694" s="1" t="n">
        <v>45357</v>
      </c>
      <c r="D6694" t="inlineStr">
        <is>
          <t>VÄSTERBOTTENS LÄN</t>
        </is>
      </c>
      <c r="E6694" t="inlineStr">
        <is>
          <t>NORSJÖ</t>
        </is>
      </c>
      <c r="F6694" t="inlineStr">
        <is>
          <t>Holmen skog AB</t>
        </is>
      </c>
      <c r="G6694" t="n">
        <v>10</v>
      </c>
      <c r="H6694" t="n">
        <v>0</v>
      </c>
      <c r="I6694" t="n">
        <v>0</v>
      </c>
      <c r="J6694" t="n">
        <v>0</v>
      </c>
      <c r="K6694" t="n">
        <v>0</v>
      </c>
      <c r="L6694" t="n">
        <v>0</v>
      </c>
      <c r="M6694" t="n">
        <v>0</v>
      </c>
      <c r="N6694" t="n">
        <v>0</v>
      </c>
      <c r="O6694" t="n">
        <v>0</v>
      </c>
      <c r="P6694" t="n">
        <v>0</v>
      </c>
      <c r="Q6694" t="n">
        <v>0</v>
      </c>
      <c r="R6694" s="2" t="inlineStr"/>
    </row>
    <row r="6695" ht="15" customHeight="1">
      <c r="A6695" t="inlineStr">
        <is>
          <t>A 28994-2022</t>
        </is>
      </c>
      <c r="B6695" s="1" t="n">
        <v>44749</v>
      </c>
      <c r="C6695" s="1" t="n">
        <v>45357</v>
      </c>
      <c r="D6695" t="inlineStr">
        <is>
          <t>VÄSTERBOTTENS LÄN</t>
        </is>
      </c>
      <c r="E6695" t="inlineStr">
        <is>
          <t>LYCKSELE</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29048-2022</t>
        </is>
      </c>
      <c r="B6696" s="1" t="n">
        <v>44750</v>
      </c>
      <c r="C6696" s="1" t="n">
        <v>45357</v>
      </c>
      <c r="D6696" t="inlineStr">
        <is>
          <t>VÄSTERBOTTENS LÄN</t>
        </is>
      </c>
      <c r="E6696" t="inlineStr">
        <is>
          <t>DOROTEA</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29085-2022</t>
        </is>
      </c>
      <c r="B6697" s="1" t="n">
        <v>44749</v>
      </c>
      <c r="C6697" s="1" t="n">
        <v>45357</v>
      </c>
      <c r="D6697" t="inlineStr">
        <is>
          <t>VÄSTERBOTTENS LÄN</t>
        </is>
      </c>
      <c r="E6697" t="inlineStr">
        <is>
          <t>SKELLEFTEÅ</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28987-2022</t>
        </is>
      </c>
      <c r="B6698" s="1" t="n">
        <v>44749</v>
      </c>
      <c r="C6698" s="1" t="n">
        <v>45357</v>
      </c>
      <c r="D6698" t="inlineStr">
        <is>
          <t>VÄSTERBOTTENS LÄN</t>
        </is>
      </c>
      <c r="E6698" t="inlineStr">
        <is>
          <t>VINDELN</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28993-2022</t>
        </is>
      </c>
      <c r="B6699" s="1" t="n">
        <v>44749</v>
      </c>
      <c r="C6699" s="1" t="n">
        <v>45357</v>
      </c>
      <c r="D6699" t="inlineStr">
        <is>
          <t>VÄSTERBOTTENS LÄN</t>
        </is>
      </c>
      <c r="E6699" t="inlineStr">
        <is>
          <t>LYCKSELE</t>
        </is>
      </c>
      <c r="F6699" t="inlineStr">
        <is>
          <t>Holmen skog AB</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28998-2022</t>
        </is>
      </c>
      <c r="B6700" s="1" t="n">
        <v>44749</v>
      </c>
      <c r="C6700" s="1" t="n">
        <v>45357</v>
      </c>
      <c r="D6700" t="inlineStr">
        <is>
          <t>VÄSTERBOTTENS LÄN</t>
        </is>
      </c>
      <c r="E6700" t="inlineStr">
        <is>
          <t>VINDELN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28989-2022</t>
        </is>
      </c>
      <c r="B6701" s="1" t="n">
        <v>44749</v>
      </c>
      <c r="C6701" s="1" t="n">
        <v>45357</v>
      </c>
      <c r="D6701" t="inlineStr">
        <is>
          <t>VÄSTERBOTTENS LÄN</t>
        </is>
      </c>
      <c r="E6701" t="inlineStr">
        <is>
          <t>LYCKSELE</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29030-2022</t>
        </is>
      </c>
      <c r="B6702" s="1" t="n">
        <v>44749</v>
      </c>
      <c r="C6702" s="1" t="n">
        <v>45357</v>
      </c>
      <c r="D6702" t="inlineStr">
        <is>
          <t>VÄSTERBOTTENS LÄN</t>
        </is>
      </c>
      <c r="E6702" t="inlineStr">
        <is>
          <t>SKELLEFTEÅ</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29028-2022</t>
        </is>
      </c>
      <c r="B6703" s="1" t="n">
        <v>44749</v>
      </c>
      <c r="C6703" s="1" t="n">
        <v>45357</v>
      </c>
      <c r="D6703" t="inlineStr">
        <is>
          <t>VÄSTERBOTTENS LÄN</t>
        </is>
      </c>
      <c r="E6703" t="inlineStr">
        <is>
          <t>SKELLEFTEÅ</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29029-2022</t>
        </is>
      </c>
      <c r="B6704" s="1" t="n">
        <v>44749</v>
      </c>
      <c r="C6704" s="1" t="n">
        <v>45357</v>
      </c>
      <c r="D6704" t="inlineStr">
        <is>
          <t>VÄSTERBOTTENS LÄN</t>
        </is>
      </c>
      <c r="E6704" t="inlineStr">
        <is>
          <t>SKELLEFTEÅ</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29027-2022</t>
        </is>
      </c>
      <c r="B6705" s="1" t="n">
        <v>44750</v>
      </c>
      <c r="C6705" s="1" t="n">
        <v>45357</v>
      </c>
      <c r="D6705" t="inlineStr">
        <is>
          <t>VÄSTERBOTTENS LÄN</t>
        </is>
      </c>
      <c r="E6705" t="inlineStr">
        <is>
          <t>UMEÅ</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29092-2022</t>
        </is>
      </c>
      <c r="B6706" s="1" t="n">
        <v>44750</v>
      </c>
      <c r="C6706" s="1" t="n">
        <v>45357</v>
      </c>
      <c r="D6706" t="inlineStr">
        <is>
          <t>VÄSTERBOTTENS LÄN</t>
        </is>
      </c>
      <c r="E6706" t="inlineStr">
        <is>
          <t>SKELLEFTEÅ</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29275-2022</t>
        </is>
      </c>
      <c r="B6707" s="1" t="n">
        <v>44750</v>
      </c>
      <c r="C6707" s="1" t="n">
        <v>45357</v>
      </c>
      <c r="D6707" t="inlineStr">
        <is>
          <t>VÄSTERBOTTENS LÄN</t>
        </is>
      </c>
      <c r="E6707" t="inlineStr">
        <is>
          <t>NORSJÖ</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29303-2022</t>
        </is>
      </c>
      <c r="B6708" s="1" t="n">
        <v>44751</v>
      </c>
      <c r="C6708" s="1" t="n">
        <v>45357</v>
      </c>
      <c r="D6708" t="inlineStr">
        <is>
          <t>VÄSTERBOTTENS LÄN</t>
        </is>
      </c>
      <c r="E6708" t="inlineStr">
        <is>
          <t>ÅSELE</t>
        </is>
      </c>
      <c r="F6708" t="inlineStr">
        <is>
          <t>SCA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29185-2022</t>
        </is>
      </c>
      <c r="B6709" s="1" t="n">
        <v>44750</v>
      </c>
      <c r="C6709" s="1" t="n">
        <v>45357</v>
      </c>
      <c r="D6709" t="inlineStr">
        <is>
          <t>VÄSTERBOTTENS LÄN</t>
        </is>
      </c>
      <c r="E6709" t="inlineStr">
        <is>
          <t>LYCKSELE</t>
        </is>
      </c>
      <c r="F6709" t="inlineStr">
        <is>
          <t>Holmen skog AB</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29209-2022</t>
        </is>
      </c>
      <c r="B6710" s="1" t="n">
        <v>44750</v>
      </c>
      <c r="C6710" s="1" t="n">
        <v>45357</v>
      </c>
      <c r="D6710" t="inlineStr">
        <is>
          <t>VÄSTERBOTTENS LÄN</t>
        </is>
      </c>
      <c r="E6710" t="inlineStr">
        <is>
          <t>ÅSELE</t>
        </is>
      </c>
      <c r="F6710" t="inlineStr">
        <is>
          <t>Holmen skog AB</t>
        </is>
      </c>
      <c r="G6710" t="n">
        <v>15.7</v>
      </c>
      <c r="H6710" t="n">
        <v>0</v>
      </c>
      <c r="I6710" t="n">
        <v>0</v>
      </c>
      <c r="J6710" t="n">
        <v>0</v>
      </c>
      <c r="K6710" t="n">
        <v>0</v>
      </c>
      <c r="L6710" t="n">
        <v>0</v>
      </c>
      <c r="M6710" t="n">
        <v>0</v>
      </c>
      <c r="N6710" t="n">
        <v>0</v>
      </c>
      <c r="O6710" t="n">
        <v>0</v>
      </c>
      <c r="P6710" t="n">
        <v>0</v>
      </c>
      <c r="Q6710" t="n">
        <v>0</v>
      </c>
      <c r="R6710" s="2" t="inlineStr"/>
    </row>
    <row r="6711" ht="15" customHeight="1">
      <c r="A6711" t="inlineStr">
        <is>
          <t>A 29304-2022</t>
        </is>
      </c>
      <c r="B6711" s="1" t="n">
        <v>44750</v>
      </c>
      <c r="C6711" s="1" t="n">
        <v>45357</v>
      </c>
      <c r="D6711" t="inlineStr">
        <is>
          <t>VÄSTERBOTTENS LÄN</t>
        </is>
      </c>
      <c r="E6711" t="inlineStr">
        <is>
          <t>ÅSELE</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29164-2022</t>
        </is>
      </c>
      <c r="B6712" s="1" t="n">
        <v>44750</v>
      </c>
      <c r="C6712" s="1" t="n">
        <v>45357</v>
      </c>
      <c r="D6712" t="inlineStr">
        <is>
          <t>VÄSTERBOTTENS LÄN</t>
        </is>
      </c>
      <c r="E6712" t="inlineStr">
        <is>
          <t>SKELLEFTEÅ</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29161-2022</t>
        </is>
      </c>
      <c r="B6713" s="1" t="n">
        <v>44750</v>
      </c>
      <c r="C6713" s="1" t="n">
        <v>45357</v>
      </c>
      <c r="D6713" t="inlineStr">
        <is>
          <t>VÄSTERBOTTENS LÄN</t>
        </is>
      </c>
      <c r="E6713" t="inlineStr">
        <is>
          <t>SKELLEFTEÅ</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29299-2022</t>
        </is>
      </c>
      <c r="B6714" s="1" t="n">
        <v>44750</v>
      </c>
      <c r="C6714" s="1" t="n">
        <v>45357</v>
      </c>
      <c r="D6714" t="inlineStr">
        <is>
          <t>VÄSTERBOTTENS LÄN</t>
        </is>
      </c>
      <c r="E6714" t="inlineStr">
        <is>
          <t>VINDELN</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29547-2022</t>
        </is>
      </c>
      <c r="B6715" s="1" t="n">
        <v>44754</v>
      </c>
      <c r="C6715" s="1" t="n">
        <v>45357</v>
      </c>
      <c r="D6715" t="inlineStr">
        <is>
          <t>VÄSTERBOTTENS LÄN</t>
        </is>
      </c>
      <c r="E6715" t="inlineStr">
        <is>
          <t>NORDMALING</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29524-2022</t>
        </is>
      </c>
      <c r="B6716" s="1" t="n">
        <v>44753</v>
      </c>
      <c r="C6716" s="1" t="n">
        <v>45357</v>
      </c>
      <c r="D6716" t="inlineStr">
        <is>
          <t>VÄSTERBOTTENS LÄN</t>
        </is>
      </c>
      <c r="E6716" t="inlineStr">
        <is>
          <t>BJURHOLM</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29555-2022</t>
        </is>
      </c>
      <c r="B6717" s="1" t="n">
        <v>44754</v>
      </c>
      <c r="C6717" s="1" t="n">
        <v>45357</v>
      </c>
      <c r="D6717" t="inlineStr">
        <is>
          <t>VÄSTERBOTTENS LÄN</t>
        </is>
      </c>
      <c r="E6717" t="inlineStr">
        <is>
          <t>VILHELMINA</t>
        </is>
      </c>
      <c r="F6717" t="inlineStr">
        <is>
          <t>Övriga Aktiebolag</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29683-2022</t>
        </is>
      </c>
      <c r="B6718" s="1" t="n">
        <v>44754</v>
      </c>
      <c r="C6718" s="1" t="n">
        <v>45357</v>
      </c>
      <c r="D6718" t="inlineStr">
        <is>
          <t>VÄSTERBOTTENS LÄN</t>
        </is>
      </c>
      <c r="E6718" t="inlineStr">
        <is>
          <t>ÅSELE</t>
        </is>
      </c>
      <c r="F6718" t="inlineStr">
        <is>
          <t>SCA</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29681-2022</t>
        </is>
      </c>
      <c r="B6719" s="1" t="n">
        <v>44755</v>
      </c>
      <c r="C6719" s="1" t="n">
        <v>45357</v>
      </c>
      <c r="D6719" t="inlineStr">
        <is>
          <t>VÄSTERBOTTENS LÄN</t>
        </is>
      </c>
      <c r="E6719" t="inlineStr">
        <is>
          <t>ÅSELE</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29682-2022</t>
        </is>
      </c>
      <c r="B6720" s="1" t="n">
        <v>44755</v>
      </c>
      <c r="C6720" s="1" t="n">
        <v>45357</v>
      </c>
      <c r="D6720" t="inlineStr">
        <is>
          <t>VÄSTERBOTTENS LÄN</t>
        </is>
      </c>
      <c r="E6720" t="inlineStr">
        <is>
          <t>ÅSELE</t>
        </is>
      </c>
      <c r="F6720" t="inlineStr">
        <is>
          <t>SCA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29773-2022</t>
        </is>
      </c>
      <c r="B6721" s="1" t="n">
        <v>44755</v>
      </c>
      <c r="C6721" s="1" t="n">
        <v>45357</v>
      </c>
      <c r="D6721" t="inlineStr">
        <is>
          <t>VÄSTERBOTTENS LÄN</t>
        </is>
      </c>
      <c r="E6721" t="inlineStr">
        <is>
          <t>VILHELMINA</t>
        </is>
      </c>
      <c r="F6721" t="inlineStr">
        <is>
          <t>Sveaskog</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29780-2022</t>
        </is>
      </c>
      <c r="B6722" s="1" t="n">
        <v>44755</v>
      </c>
      <c r="C6722" s="1" t="n">
        <v>45357</v>
      </c>
      <c r="D6722" t="inlineStr">
        <is>
          <t>VÄSTERBOTTENS LÄN</t>
        </is>
      </c>
      <c r="E6722" t="inlineStr">
        <is>
          <t>ÅSELE</t>
        </is>
      </c>
      <c r="F6722" t="inlineStr">
        <is>
          <t>Sveaskog</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29802-2022</t>
        </is>
      </c>
      <c r="B6723" s="1" t="n">
        <v>44755</v>
      </c>
      <c r="C6723" s="1" t="n">
        <v>45357</v>
      </c>
      <c r="D6723" t="inlineStr">
        <is>
          <t>VÄSTERBOTTENS LÄN</t>
        </is>
      </c>
      <c r="E6723" t="inlineStr">
        <is>
          <t>SKELLEFTEÅ</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29776-2022</t>
        </is>
      </c>
      <c r="B6724" s="1" t="n">
        <v>44755</v>
      </c>
      <c r="C6724" s="1" t="n">
        <v>45357</v>
      </c>
      <c r="D6724" t="inlineStr">
        <is>
          <t>VÄSTERBOTTENS LÄN</t>
        </is>
      </c>
      <c r="E6724" t="inlineStr">
        <is>
          <t>ÅSELE</t>
        </is>
      </c>
      <c r="F6724" t="inlineStr">
        <is>
          <t>Sveaskog</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29883-2022</t>
        </is>
      </c>
      <c r="B6725" s="1" t="n">
        <v>44756</v>
      </c>
      <c r="C6725" s="1" t="n">
        <v>45357</v>
      </c>
      <c r="D6725" t="inlineStr">
        <is>
          <t>VÄSTERBOTTENS LÄN</t>
        </is>
      </c>
      <c r="E6725" t="inlineStr">
        <is>
          <t>ÅSELE</t>
        </is>
      </c>
      <c r="F6725" t="inlineStr">
        <is>
          <t>Holmen skog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29855-2022</t>
        </is>
      </c>
      <c r="B6726" s="1" t="n">
        <v>44756</v>
      </c>
      <c r="C6726" s="1" t="n">
        <v>45357</v>
      </c>
      <c r="D6726" t="inlineStr">
        <is>
          <t>VÄSTERBOTTENS LÄN</t>
        </is>
      </c>
      <c r="E6726" t="inlineStr">
        <is>
          <t>VILHELMINA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29867-2022</t>
        </is>
      </c>
      <c r="B6727" s="1" t="n">
        <v>44756</v>
      </c>
      <c r="C6727" s="1" t="n">
        <v>45357</v>
      </c>
      <c r="D6727" t="inlineStr">
        <is>
          <t>VÄSTERBOTTENS LÄN</t>
        </is>
      </c>
      <c r="E6727" t="inlineStr">
        <is>
          <t>BJURHOLM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29862-2022</t>
        </is>
      </c>
      <c r="B6728" s="1" t="n">
        <v>44756</v>
      </c>
      <c r="C6728" s="1" t="n">
        <v>45357</v>
      </c>
      <c r="D6728" t="inlineStr">
        <is>
          <t>VÄSTERBOTTENS LÄN</t>
        </is>
      </c>
      <c r="E6728" t="inlineStr">
        <is>
          <t>DOROTEA</t>
        </is>
      </c>
      <c r="G6728" t="n">
        <v>13.6</v>
      </c>
      <c r="H6728" t="n">
        <v>0</v>
      </c>
      <c r="I6728" t="n">
        <v>0</v>
      </c>
      <c r="J6728" t="n">
        <v>0</v>
      </c>
      <c r="K6728" t="n">
        <v>0</v>
      </c>
      <c r="L6728" t="n">
        <v>0</v>
      </c>
      <c r="M6728" t="n">
        <v>0</v>
      </c>
      <c r="N6728" t="n">
        <v>0</v>
      </c>
      <c r="O6728" t="n">
        <v>0</v>
      </c>
      <c r="P6728" t="n">
        <v>0</v>
      </c>
      <c r="Q6728" t="n">
        <v>0</v>
      </c>
      <c r="R6728" s="2" t="inlineStr"/>
    </row>
    <row r="6729" ht="15" customHeight="1">
      <c r="A6729" t="inlineStr">
        <is>
          <t>A 29902-2022</t>
        </is>
      </c>
      <c r="B6729" s="1" t="n">
        <v>44756</v>
      </c>
      <c r="C6729" s="1" t="n">
        <v>45357</v>
      </c>
      <c r="D6729" t="inlineStr">
        <is>
          <t>VÄSTERBOTTENS LÄN</t>
        </is>
      </c>
      <c r="E6729" t="inlineStr">
        <is>
          <t>ÅSELE</t>
        </is>
      </c>
      <c r="F6729" t="inlineStr">
        <is>
          <t>Holmen skog AB</t>
        </is>
      </c>
      <c r="G6729" t="n">
        <v>20.6</v>
      </c>
      <c r="H6729" t="n">
        <v>0</v>
      </c>
      <c r="I6729" t="n">
        <v>0</v>
      </c>
      <c r="J6729" t="n">
        <v>0</v>
      </c>
      <c r="K6729" t="n">
        <v>0</v>
      </c>
      <c r="L6729" t="n">
        <v>0</v>
      </c>
      <c r="M6729" t="n">
        <v>0</v>
      </c>
      <c r="N6729" t="n">
        <v>0</v>
      </c>
      <c r="O6729" t="n">
        <v>0</v>
      </c>
      <c r="P6729" t="n">
        <v>0</v>
      </c>
      <c r="Q6729" t="n">
        <v>0</v>
      </c>
      <c r="R6729" s="2" t="inlineStr"/>
    </row>
    <row r="6730" ht="15" customHeight="1">
      <c r="A6730" t="inlineStr">
        <is>
          <t>A 29969-2022</t>
        </is>
      </c>
      <c r="B6730" s="1" t="n">
        <v>44756</v>
      </c>
      <c r="C6730" s="1" t="n">
        <v>45357</v>
      </c>
      <c r="D6730" t="inlineStr">
        <is>
          <t>VÄSTERBOTTENS LÄN</t>
        </is>
      </c>
      <c r="E6730" t="inlineStr">
        <is>
          <t>UMEÅ</t>
        </is>
      </c>
      <c r="F6730" t="inlineStr">
        <is>
          <t>Holmen skog AB</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29953-2022</t>
        </is>
      </c>
      <c r="B6731" s="1" t="n">
        <v>44756</v>
      </c>
      <c r="C6731" s="1" t="n">
        <v>45357</v>
      </c>
      <c r="D6731" t="inlineStr">
        <is>
          <t>VÄSTERBOTTENS LÄN</t>
        </is>
      </c>
      <c r="E6731" t="inlineStr">
        <is>
          <t>LYCKSELE</t>
        </is>
      </c>
      <c r="F6731" t="inlineStr">
        <is>
          <t>Sveaskog</t>
        </is>
      </c>
      <c r="G6731" t="n">
        <v>7.7</v>
      </c>
      <c r="H6731" t="n">
        <v>0</v>
      </c>
      <c r="I6731" t="n">
        <v>0</v>
      </c>
      <c r="J6731" t="n">
        <v>0</v>
      </c>
      <c r="K6731" t="n">
        <v>0</v>
      </c>
      <c r="L6731" t="n">
        <v>0</v>
      </c>
      <c r="M6731" t="n">
        <v>0</v>
      </c>
      <c r="N6731" t="n">
        <v>0</v>
      </c>
      <c r="O6731" t="n">
        <v>0</v>
      </c>
      <c r="P6731" t="n">
        <v>0</v>
      </c>
      <c r="Q6731" t="n">
        <v>0</v>
      </c>
      <c r="R6731" s="2" t="inlineStr"/>
    </row>
    <row r="6732" ht="15" customHeight="1">
      <c r="A6732" t="inlineStr">
        <is>
          <t>A 30009-2022</t>
        </is>
      </c>
      <c r="B6732" s="1" t="n">
        <v>44757</v>
      </c>
      <c r="C6732" s="1" t="n">
        <v>45357</v>
      </c>
      <c r="D6732" t="inlineStr">
        <is>
          <t>VÄSTERBOTTENS LÄN</t>
        </is>
      </c>
      <c r="E6732" t="inlineStr">
        <is>
          <t>NORDMALING</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30018-2022</t>
        </is>
      </c>
      <c r="B6733" s="1" t="n">
        <v>44756</v>
      </c>
      <c r="C6733" s="1" t="n">
        <v>45357</v>
      </c>
      <c r="D6733" t="inlineStr">
        <is>
          <t>VÄSTERBOTTENS LÄN</t>
        </is>
      </c>
      <c r="E6733" t="inlineStr">
        <is>
          <t>VILHELMINA</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30016-2022</t>
        </is>
      </c>
      <c r="B6734" s="1" t="n">
        <v>44757</v>
      </c>
      <c r="C6734" s="1" t="n">
        <v>45357</v>
      </c>
      <c r="D6734" t="inlineStr">
        <is>
          <t>VÄSTERBOTTENS LÄN</t>
        </is>
      </c>
      <c r="E6734" t="inlineStr">
        <is>
          <t>VINDELN</t>
        </is>
      </c>
      <c r="F6734" t="inlineStr">
        <is>
          <t>SCA</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30025-2022</t>
        </is>
      </c>
      <c r="B6735" s="1" t="n">
        <v>44757</v>
      </c>
      <c r="C6735" s="1" t="n">
        <v>45357</v>
      </c>
      <c r="D6735" t="inlineStr">
        <is>
          <t>VÄSTERBOTTENS LÄN</t>
        </is>
      </c>
      <c r="E6735" t="inlineStr">
        <is>
          <t>VILHELMINA</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30050-2022</t>
        </is>
      </c>
      <c r="B6736" s="1" t="n">
        <v>44756</v>
      </c>
      <c r="C6736" s="1" t="n">
        <v>45357</v>
      </c>
      <c r="D6736" t="inlineStr">
        <is>
          <t>VÄSTERBOTTENS LÄN</t>
        </is>
      </c>
      <c r="E6736" t="inlineStr">
        <is>
          <t>DOROTEA</t>
        </is>
      </c>
      <c r="F6736" t="inlineStr">
        <is>
          <t>SCA</t>
        </is>
      </c>
      <c r="G6736" t="n">
        <v>12.9</v>
      </c>
      <c r="H6736" t="n">
        <v>0</v>
      </c>
      <c r="I6736" t="n">
        <v>0</v>
      </c>
      <c r="J6736" t="n">
        <v>0</v>
      </c>
      <c r="K6736" t="n">
        <v>0</v>
      </c>
      <c r="L6736" t="n">
        <v>0</v>
      </c>
      <c r="M6736" t="n">
        <v>0</v>
      </c>
      <c r="N6736" t="n">
        <v>0</v>
      </c>
      <c r="O6736" t="n">
        <v>0</v>
      </c>
      <c r="P6736" t="n">
        <v>0</v>
      </c>
      <c r="Q6736" t="n">
        <v>0</v>
      </c>
      <c r="R6736" s="2" t="inlineStr"/>
    </row>
    <row r="6737" ht="15" customHeight="1">
      <c r="A6737" t="inlineStr">
        <is>
          <t>A 30015-2022</t>
        </is>
      </c>
      <c r="B6737" s="1" t="n">
        <v>44757</v>
      </c>
      <c r="C6737" s="1" t="n">
        <v>45357</v>
      </c>
      <c r="D6737" t="inlineStr">
        <is>
          <t>VÄSTERBOTTENS LÄN</t>
        </is>
      </c>
      <c r="E6737" t="inlineStr">
        <is>
          <t>VINDELN</t>
        </is>
      </c>
      <c r="F6737" t="inlineStr">
        <is>
          <t>SCA</t>
        </is>
      </c>
      <c r="G6737" t="n">
        <v>10.3</v>
      </c>
      <c r="H6737" t="n">
        <v>0</v>
      </c>
      <c r="I6737" t="n">
        <v>0</v>
      </c>
      <c r="J6737" t="n">
        <v>0</v>
      </c>
      <c r="K6737" t="n">
        <v>0</v>
      </c>
      <c r="L6737" t="n">
        <v>0</v>
      </c>
      <c r="M6737" t="n">
        <v>0</v>
      </c>
      <c r="N6737" t="n">
        <v>0</v>
      </c>
      <c r="O6737" t="n">
        <v>0</v>
      </c>
      <c r="P6737" t="n">
        <v>0</v>
      </c>
      <c r="Q6737" t="n">
        <v>0</v>
      </c>
      <c r="R6737" s="2" t="inlineStr"/>
    </row>
    <row r="6738" ht="15" customHeight="1">
      <c r="A6738" t="inlineStr">
        <is>
          <t>A 30020-2022</t>
        </is>
      </c>
      <c r="B6738" s="1" t="n">
        <v>44757</v>
      </c>
      <c r="C6738" s="1" t="n">
        <v>45357</v>
      </c>
      <c r="D6738" t="inlineStr">
        <is>
          <t>VÄSTERBOTTENS LÄN</t>
        </is>
      </c>
      <c r="E6738" t="inlineStr">
        <is>
          <t>VILHELMINA</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29994-2022</t>
        </is>
      </c>
      <c r="B6739" s="1" t="n">
        <v>44756</v>
      </c>
      <c r="C6739" s="1" t="n">
        <v>45357</v>
      </c>
      <c r="D6739" t="inlineStr">
        <is>
          <t>VÄSTERBOTTENS LÄN</t>
        </is>
      </c>
      <c r="E6739" t="inlineStr">
        <is>
          <t>BJURHOLM</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30019-2022</t>
        </is>
      </c>
      <c r="B6740" s="1" t="n">
        <v>44757</v>
      </c>
      <c r="C6740" s="1" t="n">
        <v>45357</v>
      </c>
      <c r="D6740" t="inlineStr">
        <is>
          <t>VÄSTERBOTTENS LÄN</t>
        </is>
      </c>
      <c r="E6740" t="inlineStr">
        <is>
          <t>VILHELMINA</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30026-2022</t>
        </is>
      </c>
      <c r="B6741" s="1" t="n">
        <v>44756</v>
      </c>
      <c r="C6741" s="1" t="n">
        <v>45357</v>
      </c>
      <c r="D6741" t="inlineStr">
        <is>
          <t>VÄSTERBOTTENS LÄN</t>
        </is>
      </c>
      <c r="E6741" t="inlineStr">
        <is>
          <t>LYCKSELE</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30049-2022</t>
        </is>
      </c>
      <c r="B6742" s="1" t="n">
        <v>44757</v>
      </c>
      <c r="C6742" s="1" t="n">
        <v>45357</v>
      </c>
      <c r="D6742" t="inlineStr">
        <is>
          <t>VÄSTERBOTTENS LÄN</t>
        </is>
      </c>
      <c r="E6742" t="inlineStr">
        <is>
          <t>DOROTEA</t>
        </is>
      </c>
      <c r="F6742" t="inlineStr">
        <is>
          <t>SCA</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30129-2022</t>
        </is>
      </c>
      <c r="B6743" s="1" t="n">
        <v>44757</v>
      </c>
      <c r="C6743" s="1" t="n">
        <v>45357</v>
      </c>
      <c r="D6743" t="inlineStr">
        <is>
          <t>VÄSTERBOTTENS LÄN</t>
        </is>
      </c>
      <c r="E6743" t="inlineStr">
        <is>
          <t>ÅSELE</t>
        </is>
      </c>
      <c r="F6743" t="inlineStr">
        <is>
          <t>Sveaskog</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30130-2022</t>
        </is>
      </c>
      <c r="B6744" s="1" t="n">
        <v>44757</v>
      </c>
      <c r="C6744" s="1" t="n">
        <v>45357</v>
      </c>
      <c r="D6744" t="inlineStr">
        <is>
          <t>VÄSTERBOTTENS LÄN</t>
        </is>
      </c>
      <c r="E6744" t="inlineStr">
        <is>
          <t>VILHELMINA</t>
        </is>
      </c>
      <c r="F6744" t="inlineStr">
        <is>
          <t>Sveaskog</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30184-2022</t>
        </is>
      </c>
      <c r="B6745" s="1" t="n">
        <v>44757</v>
      </c>
      <c r="C6745" s="1" t="n">
        <v>45357</v>
      </c>
      <c r="D6745" t="inlineStr">
        <is>
          <t>VÄSTERBOTTENS LÄN</t>
        </is>
      </c>
      <c r="E6745" t="inlineStr">
        <is>
          <t>SKELLEFTEÅ</t>
        </is>
      </c>
      <c r="F6745" t="inlineStr">
        <is>
          <t>Holmen skog AB</t>
        </is>
      </c>
      <c r="G6745" t="n">
        <v>11.5</v>
      </c>
      <c r="H6745" t="n">
        <v>0</v>
      </c>
      <c r="I6745" t="n">
        <v>0</v>
      </c>
      <c r="J6745" t="n">
        <v>0</v>
      </c>
      <c r="K6745" t="n">
        <v>0</v>
      </c>
      <c r="L6745" t="n">
        <v>0</v>
      </c>
      <c r="M6745" t="n">
        <v>0</v>
      </c>
      <c r="N6745" t="n">
        <v>0</v>
      </c>
      <c r="O6745" t="n">
        <v>0</v>
      </c>
      <c r="P6745" t="n">
        <v>0</v>
      </c>
      <c r="Q6745" t="n">
        <v>0</v>
      </c>
      <c r="R6745" s="2" t="inlineStr"/>
    </row>
    <row r="6746" ht="15" customHeight="1">
      <c r="A6746" t="inlineStr">
        <is>
          <t>A 30224-2022</t>
        </is>
      </c>
      <c r="B6746" s="1" t="n">
        <v>44758</v>
      </c>
      <c r="C6746" s="1" t="n">
        <v>45357</v>
      </c>
      <c r="D6746" t="inlineStr">
        <is>
          <t>VÄSTERBOTTENS LÄN</t>
        </is>
      </c>
      <c r="E6746" t="inlineStr">
        <is>
          <t>VINDELN</t>
        </is>
      </c>
      <c r="F6746" t="inlineStr">
        <is>
          <t>SCA</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30245-2022</t>
        </is>
      </c>
      <c r="B6747" s="1" t="n">
        <v>44757</v>
      </c>
      <c r="C6747" s="1" t="n">
        <v>45357</v>
      </c>
      <c r="D6747" t="inlineStr">
        <is>
          <t>VÄSTERBOTTENS LÄN</t>
        </is>
      </c>
      <c r="E6747" t="inlineStr">
        <is>
          <t>DOROTEA</t>
        </is>
      </c>
      <c r="F6747" t="inlineStr">
        <is>
          <t>SCA</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30276-2022</t>
        </is>
      </c>
      <c r="B6748" s="1" t="n">
        <v>44759</v>
      </c>
      <c r="C6748" s="1" t="n">
        <v>45357</v>
      </c>
      <c r="D6748" t="inlineStr">
        <is>
          <t>VÄSTERBOTTENS LÄN</t>
        </is>
      </c>
      <c r="E6748" t="inlineStr">
        <is>
          <t>NORDMALING</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30278-2022</t>
        </is>
      </c>
      <c r="B6749" s="1" t="n">
        <v>44759</v>
      </c>
      <c r="C6749" s="1" t="n">
        <v>45357</v>
      </c>
      <c r="D6749" t="inlineStr">
        <is>
          <t>VÄSTERBOTTENS LÄN</t>
        </is>
      </c>
      <c r="E6749" t="inlineStr">
        <is>
          <t>SKELLEFTEÅ</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30291-2022</t>
        </is>
      </c>
      <c r="B6750" s="1" t="n">
        <v>44760</v>
      </c>
      <c r="C6750" s="1" t="n">
        <v>45357</v>
      </c>
      <c r="D6750" t="inlineStr">
        <is>
          <t>VÄSTERBOTTENS LÄN</t>
        </is>
      </c>
      <c r="E6750" t="inlineStr">
        <is>
          <t>LYCKSELE</t>
        </is>
      </c>
      <c r="F6750" t="inlineStr">
        <is>
          <t>Sveaskog</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30298-2022</t>
        </is>
      </c>
      <c r="B6751" s="1" t="n">
        <v>44760</v>
      </c>
      <c r="C6751" s="1" t="n">
        <v>45357</v>
      </c>
      <c r="D6751" t="inlineStr">
        <is>
          <t>VÄSTERBOTTENS LÄN</t>
        </is>
      </c>
      <c r="E6751" t="inlineStr">
        <is>
          <t>LYCKSELE</t>
        </is>
      </c>
      <c r="F6751" t="inlineStr">
        <is>
          <t>Sveaskog</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30470-2022</t>
        </is>
      </c>
      <c r="B6752" s="1" t="n">
        <v>44761</v>
      </c>
      <c r="C6752" s="1" t="n">
        <v>45357</v>
      </c>
      <c r="D6752" t="inlineStr">
        <is>
          <t>VÄSTERBOTTENS LÄN</t>
        </is>
      </c>
      <c r="E6752" t="inlineStr">
        <is>
          <t>LYCKSELE</t>
        </is>
      </c>
      <c r="G6752" t="n">
        <v>11.9</v>
      </c>
      <c r="H6752" t="n">
        <v>0</v>
      </c>
      <c r="I6752" t="n">
        <v>0</v>
      </c>
      <c r="J6752" t="n">
        <v>0</v>
      </c>
      <c r="K6752" t="n">
        <v>0</v>
      </c>
      <c r="L6752" t="n">
        <v>0</v>
      </c>
      <c r="M6752" t="n">
        <v>0</v>
      </c>
      <c r="N6752" t="n">
        <v>0</v>
      </c>
      <c r="O6752" t="n">
        <v>0</v>
      </c>
      <c r="P6752" t="n">
        <v>0</v>
      </c>
      <c r="Q6752" t="n">
        <v>0</v>
      </c>
      <c r="R6752" s="2" t="inlineStr"/>
    </row>
    <row r="6753" ht="15" customHeight="1">
      <c r="A6753" t="inlineStr">
        <is>
          <t>A 30474-2022</t>
        </is>
      </c>
      <c r="B6753" s="1" t="n">
        <v>44761</v>
      </c>
      <c r="C6753" s="1" t="n">
        <v>45357</v>
      </c>
      <c r="D6753" t="inlineStr">
        <is>
          <t>VÄSTERBOTTENS LÄN</t>
        </is>
      </c>
      <c r="E6753" t="inlineStr">
        <is>
          <t>LYCKSELE</t>
        </is>
      </c>
      <c r="F6753" t="inlineStr">
        <is>
          <t>SCA</t>
        </is>
      </c>
      <c r="G6753" t="n">
        <v>14.9</v>
      </c>
      <c r="H6753" t="n">
        <v>0</v>
      </c>
      <c r="I6753" t="n">
        <v>0</v>
      </c>
      <c r="J6753" t="n">
        <v>0</v>
      </c>
      <c r="K6753" t="n">
        <v>0</v>
      </c>
      <c r="L6753" t="n">
        <v>0</v>
      </c>
      <c r="M6753" t="n">
        <v>0</v>
      </c>
      <c r="N6753" t="n">
        <v>0</v>
      </c>
      <c r="O6753" t="n">
        <v>0</v>
      </c>
      <c r="P6753" t="n">
        <v>0</v>
      </c>
      <c r="Q6753" t="n">
        <v>0</v>
      </c>
      <c r="R6753" s="2" t="inlineStr"/>
    </row>
    <row r="6754" ht="15" customHeight="1">
      <c r="A6754" t="inlineStr">
        <is>
          <t>A 30475-2022</t>
        </is>
      </c>
      <c r="B6754" s="1" t="n">
        <v>44762</v>
      </c>
      <c r="C6754" s="1" t="n">
        <v>45357</v>
      </c>
      <c r="D6754" t="inlineStr">
        <is>
          <t>VÄSTERBOTTENS LÄN</t>
        </is>
      </c>
      <c r="E6754" t="inlineStr">
        <is>
          <t>ÅSELE</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30491-2022</t>
        </is>
      </c>
      <c r="B6755" s="1" t="n">
        <v>44761</v>
      </c>
      <c r="C6755" s="1" t="n">
        <v>45357</v>
      </c>
      <c r="D6755" t="inlineStr">
        <is>
          <t>VÄSTERBOTTENS LÄN</t>
        </is>
      </c>
      <c r="E6755" t="inlineStr">
        <is>
          <t>ÅSELE</t>
        </is>
      </c>
      <c r="F6755" t="inlineStr">
        <is>
          <t>SCA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30476-2022</t>
        </is>
      </c>
      <c r="B6756" s="1" t="n">
        <v>44761</v>
      </c>
      <c r="C6756" s="1" t="n">
        <v>45357</v>
      </c>
      <c r="D6756" t="inlineStr">
        <is>
          <t>VÄSTERBOTTENS LÄN</t>
        </is>
      </c>
      <c r="E6756" t="inlineStr">
        <is>
          <t>ÅSELE</t>
        </is>
      </c>
      <c r="F6756" t="inlineStr">
        <is>
          <t>SCA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30456-2022</t>
        </is>
      </c>
      <c r="B6757" s="1" t="n">
        <v>44761</v>
      </c>
      <c r="C6757" s="1" t="n">
        <v>45357</v>
      </c>
      <c r="D6757" t="inlineStr">
        <is>
          <t>VÄSTERBOTTENS LÄN</t>
        </is>
      </c>
      <c r="E6757" t="inlineStr">
        <is>
          <t>DOROTEA</t>
        </is>
      </c>
      <c r="G6757" t="n">
        <v>10.6</v>
      </c>
      <c r="H6757" t="n">
        <v>0</v>
      </c>
      <c r="I6757" t="n">
        <v>0</v>
      </c>
      <c r="J6757" t="n">
        <v>0</v>
      </c>
      <c r="K6757" t="n">
        <v>0</v>
      </c>
      <c r="L6757" t="n">
        <v>0</v>
      </c>
      <c r="M6757" t="n">
        <v>0</v>
      </c>
      <c r="N6757" t="n">
        <v>0</v>
      </c>
      <c r="O6757" t="n">
        <v>0</v>
      </c>
      <c r="P6757" t="n">
        <v>0</v>
      </c>
      <c r="Q6757" t="n">
        <v>0</v>
      </c>
      <c r="R6757" s="2" t="inlineStr"/>
    </row>
    <row r="6758" ht="15" customHeight="1">
      <c r="A6758" t="inlineStr">
        <is>
          <t>A 30715-2022</t>
        </is>
      </c>
      <c r="B6758" s="1" t="n">
        <v>44763</v>
      </c>
      <c r="C6758" s="1" t="n">
        <v>45357</v>
      </c>
      <c r="D6758" t="inlineStr">
        <is>
          <t>VÄSTERBOTTENS LÄN</t>
        </is>
      </c>
      <c r="E6758" t="inlineStr">
        <is>
          <t>NORDMALING</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30720-2022</t>
        </is>
      </c>
      <c r="B6759" s="1" t="n">
        <v>44764</v>
      </c>
      <c r="C6759" s="1" t="n">
        <v>45357</v>
      </c>
      <c r="D6759" t="inlineStr">
        <is>
          <t>VÄSTERBOTTENS LÄN</t>
        </is>
      </c>
      <c r="E6759" t="inlineStr">
        <is>
          <t>LYCKSELE</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30742-2022</t>
        </is>
      </c>
      <c r="B6760" s="1" t="n">
        <v>44764</v>
      </c>
      <c r="C6760" s="1" t="n">
        <v>45357</v>
      </c>
      <c r="D6760" t="inlineStr">
        <is>
          <t>VÄSTERBOTTENS LÄN</t>
        </is>
      </c>
      <c r="E6760" t="inlineStr">
        <is>
          <t>LYCKSELE</t>
        </is>
      </c>
      <c r="F6760" t="inlineStr">
        <is>
          <t>Sveaskog</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30905-2022</t>
        </is>
      </c>
      <c r="B6761" s="1" t="n">
        <v>44767</v>
      </c>
      <c r="C6761" s="1" t="n">
        <v>45357</v>
      </c>
      <c r="D6761" t="inlineStr">
        <is>
          <t>VÄSTERBOTTENS LÄN</t>
        </is>
      </c>
      <c r="E6761" t="inlineStr">
        <is>
          <t>SKELLEFTEÅ</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30938-2022</t>
        </is>
      </c>
      <c r="B6762" s="1" t="n">
        <v>44768</v>
      </c>
      <c r="C6762" s="1" t="n">
        <v>45357</v>
      </c>
      <c r="D6762" t="inlineStr">
        <is>
          <t>VÄSTERBOTTENS LÄN</t>
        </is>
      </c>
      <c r="E6762" t="inlineStr">
        <is>
          <t>ÅSELE</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31134-2022</t>
        </is>
      </c>
      <c r="B6763" s="1" t="n">
        <v>44770</v>
      </c>
      <c r="C6763" s="1" t="n">
        <v>45357</v>
      </c>
      <c r="D6763" t="inlineStr">
        <is>
          <t>VÄSTERBOTTENS LÄN</t>
        </is>
      </c>
      <c r="E6763" t="inlineStr">
        <is>
          <t>ÅSELE</t>
        </is>
      </c>
      <c r="F6763" t="inlineStr">
        <is>
          <t>Naturvårdsverket</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31124-2022</t>
        </is>
      </c>
      <c r="B6764" s="1" t="n">
        <v>44770</v>
      </c>
      <c r="C6764" s="1" t="n">
        <v>45357</v>
      </c>
      <c r="D6764" t="inlineStr">
        <is>
          <t>VÄSTERBOTTENS LÄN</t>
        </is>
      </c>
      <c r="E6764" t="inlineStr">
        <is>
          <t>SKELLEFTEÅ</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31180-2022</t>
        </is>
      </c>
      <c r="B6765" s="1" t="n">
        <v>44770</v>
      </c>
      <c r="C6765" s="1" t="n">
        <v>45357</v>
      </c>
      <c r="D6765" t="inlineStr">
        <is>
          <t>VÄSTERBOTTENS LÄN</t>
        </is>
      </c>
      <c r="E6765" t="inlineStr">
        <is>
          <t>BJURHOLM</t>
        </is>
      </c>
      <c r="F6765" t="inlineStr">
        <is>
          <t>Holmen skog AB</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31195-2022</t>
        </is>
      </c>
      <c r="B6766" s="1" t="n">
        <v>44770</v>
      </c>
      <c r="C6766" s="1" t="n">
        <v>45357</v>
      </c>
      <c r="D6766" t="inlineStr">
        <is>
          <t>VÄSTERBOTTENS LÄN</t>
        </is>
      </c>
      <c r="E6766" t="inlineStr">
        <is>
          <t>BJURHOLM</t>
        </is>
      </c>
      <c r="F6766" t="inlineStr">
        <is>
          <t>Holmen skog AB</t>
        </is>
      </c>
      <c r="G6766" t="n">
        <v>14.1</v>
      </c>
      <c r="H6766" t="n">
        <v>0</v>
      </c>
      <c r="I6766" t="n">
        <v>0</v>
      </c>
      <c r="J6766" t="n">
        <v>0</v>
      </c>
      <c r="K6766" t="n">
        <v>0</v>
      </c>
      <c r="L6766" t="n">
        <v>0</v>
      </c>
      <c r="M6766" t="n">
        <v>0</v>
      </c>
      <c r="N6766" t="n">
        <v>0</v>
      </c>
      <c r="O6766" t="n">
        <v>0</v>
      </c>
      <c r="P6766" t="n">
        <v>0</v>
      </c>
      <c r="Q6766" t="n">
        <v>0</v>
      </c>
      <c r="R6766" s="2" t="inlineStr"/>
    </row>
    <row r="6767" ht="15" customHeight="1">
      <c r="A6767" t="inlineStr">
        <is>
          <t>A 31154-2022</t>
        </is>
      </c>
      <c r="B6767" s="1" t="n">
        <v>44770</v>
      </c>
      <c r="C6767" s="1" t="n">
        <v>45357</v>
      </c>
      <c r="D6767" t="inlineStr">
        <is>
          <t>VÄSTERBOTTENS LÄN</t>
        </is>
      </c>
      <c r="E6767" t="inlineStr">
        <is>
          <t>ÅSELE</t>
        </is>
      </c>
      <c r="F6767" t="inlineStr">
        <is>
          <t>Holmen skog AB</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31177-2022</t>
        </is>
      </c>
      <c r="B6768" s="1" t="n">
        <v>44770</v>
      </c>
      <c r="C6768" s="1" t="n">
        <v>45357</v>
      </c>
      <c r="D6768" t="inlineStr">
        <is>
          <t>VÄSTERBOTTENS LÄN</t>
        </is>
      </c>
      <c r="E6768" t="inlineStr">
        <is>
          <t>BJURHOLM</t>
        </is>
      </c>
      <c r="F6768" t="inlineStr">
        <is>
          <t>Holmen skog AB</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31274-2022</t>
        </is>
      </c>
      <c r="B6769" s="1" t="n">
        <v>44771</v>
      </c>
      <c r="C6769" s="1" t="n">
        <v>45357</v>
      </c>
      <c r="D6769" t="inlineStr">
        <is>
          <t>VÄSTERBOTTENS LÄN</t>
        </is>
      </c>
      <c r="E6769" t="inlineStr">
        <is>
          <t>BJURHOLM</t>
        </is>
      </c>
      <c r="F6769" t="inlineStr">
        <is>
          <t>Holmen skog AB</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31240-2022</t>
        </is>
      </c>
      <c r="B6770" s="1" t="n">
        <v>44771</v>
      </c>
      <c r="C6770" s="1" t="n">
        <v>45357</v>
      </c>
      <c r="D6770" t="inlineStr">
        <is>
          <t>VÄSTERBOTTENS LÄN</t>
        </is>
      </c>
      <c r="E6770" t="inlineStr">
        <is>
          <t>VINDELN</t>
        </is>
      </c>
      <c r="F6770" t="inlineStr">
        <is>
          <t>Holmen skog AB</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31234-2022</t>
        </is>
      </c>
      <c r="B6771" s="1" t="n">
        <v>44771</v>
      </c>
      <c r="C6771" s="1" t="n">
        <v>45357</v>
      </c>
      <c r="D6771" t="inlineStr">
        <is>
          <t>VÄSTERBOTTENS LÄN</t>
        </is>
      </c>
      <c r="E6771" t="inlineStr">
        <is>
          <t>SKELLEFTEÅ</t>
        </is>
      </c>
      <c r="F6771" t="inlineStr">
        <is>
          <t>Holmen skog AB</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31318-2022</t>
        </is>
      </c>
      <c r="B6772" s="1" t="n">
        <v>44772</v>
      </c>
      <c r="C6772" s="1" t="n">
        <v>45357</v>
      </c>
      <c r="D6772" t="inlineStr">
        <is>
          <t>VÄSTERBOTTENS LÄN</t>
        </is>
      </c>
      <c r="E6772" t="inlineStr">
        <is>
          <t>UMEÅ</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31296-2022</t>
        </is>
      </c>
      <c r="B6773" s="1" t="n">
        <v>44772</v>
      </c>
      <c r="C6773" s="1" t="n">
        <v>45357</v>
      </c>
      <c r="D6773" t="inlineStr">
        <is>
          <t>VÄSTERBOTTENS LÄN</t>
        </is>
      </c>
      <c r="E6773" t="inlineStr">
        <is>
          <t>UMEÅ</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31320-2022</t>
        </is>
      </c>
      <c r="B6774" s="1" t="n">
        <v>44773</v>
      </c>
      <c r="C6774" s="1" t="n">
        <v>45357</v>
      </c>
      <c r="D6774" t="inlineStr">
        <is>
          <t>VÄSTERBOTTENS LÄN</t>
        </is>
      </c>
      <c r="E6774" t="inlineStr">
        <is>
          <t>VILHELMINA</t>
        </is>
      </c>
      <c r="G6774" t="n">
        <v>15.5</v>
      </c>
      <c r="H6774" t="n">
        <v>0</v>
      </c>
      <c r="I6774" t="n">
        <v>0</v>
      </c>
      <c r="J6774" t="n">
        <v>0</v>
      </c>
      <c r="K6774" t="n">
        <v>0</v>
      </c>
      <c r="L6774" t="n">
        <v>0</v>
      </c>
      <c r="M6774" t="n">
        <v>0</v>
      </c>
      <c r="N6774" t="n">
        <v>0</v>
      </c>
      <c r="O6774" t="n">
        <v>0</v>
      </c>
      <c r="P6774" t="n">
        <v>0</v>
      </c>
      <c r="Q6774" t="n">
        <v>0</v>
      </c>
      <c r="R6774" s="2" t="inlineStr"/>
    </row>
    <row r="6775" ht="15" customHeight="1">
      <c r="A6775" t="inlineStr">
        <is>
          <t>A 31381-2022</t>
        </is>
      </c>
      <c r="B6775" s="1" t="n">
        <v>44774</v>
      </c>
      <c r="C6775" s="1" t="n">
        <v>45357</v>
      </c>
      <c r="D6775" t="inlineStr">
        <is>
          <t>VÄSTERBOTTENS LÄN</t>
        </is>
      </c>
      <c r="E6775" t="inlineStr">
        <is>
          <t>BJURHOLM</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31357-2022</t>
        </is>
      </c>
      <c r="B6776" s="1" t="n">
        <v>44774</v>
      </c>
      <c r="C6776" s="1" t="n">
        <v>45357</v>
      </c>
      <c r="D6776" t="inlineStr">
        <is>
          <t>VÄSTERBOTTENS LÄN</t>
        </is>
      </c>
      <c r="E6776" t="inlineStr">
        <is>
          <t>ROBERTSFORS</t>
        </is>
      </c>
      <c r="F6776" t="inlineStr">
        <is>
          <t>Holmen skog AB</t>
        </is>
      </c>
      <c r="G6776" t="n">
        <v>9.300000000000001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31314-2022</t>
        </is>
      </c>
      <c r="B6777" s="1" t="n">
        <v>44774</v>
      </c>
      <c r="C6777" s="1" t="n">
        <v>45357</v>
      </c>
      <c r="D6777" t="inlineStr">
        <is>
          <t>VÄSTERBOTTENS LÄN</t>
        </is>
      </c>
      <c r="E6777" t="inlineStr">
        <is>
          <t>UMEÅ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31337-2022</t>
        </is>
      </c>
      <c r="B6778" s="1" t="n">
        <v>44774</v>
      </c>
      <c r="C6778" s="1" t="n">
        <v>45357</v>
      </c>
      <c r="D6778" t="inlineStr">
        <is>
          <t>VÄSTERBOTTENS LÄN</t>
        </is>
      </c>
      <c r="E6778" t="inlineStr">
        <is>
          <t>UMEÅ</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31421-2022</t>
        </is>
      </c>
      <c r="B6779" s="1" t="n">
        <v>44774</v>
      </c>
      <c r="C6779" s="1" t="n">
        <v>45357</v>
      </c>
      <c r="D6779" t="inlineStr">
        <is>
          <t>VÄSTERBOTTENS LÄN</t>
        </is>
      </c>
      <c r="E6779" t="inlineStr">
        <is>
          <t>UMEÅ</t>
        </is>
      </c>
      <c r="F6779" t="inlineStr">
        <is>
          <t>Holmen skog AB</t>
        </is>
      </c>
      <c r="G6779" t="n">
        <v>15.7</v>
      </c>
      <c r="H6779" t="n">
        <v>0</v>
      </c>
      <c r="I6779" t="n">
        <v>0</v>
      </c>
      <c r="J6779" t="n">
        <v>0</v>
      </c>
      <c r="K6779" t="n">
        <v>0</v>
      </c>
      <c r="L6779" t="n">
        <v>0</v>
      </c>
      <c r="M6779" t="n">
        <v>0</v>
      </c>
      <c r="N6779" t="n">
        <v>0</v>
      </c>
      <c r="O6779" t="n">
        <v>0</v>
      </c>
      <c r="P6779" t="n">
        <v>0</v>
      </c>
      <c r="Q6779" t="n">
        <v>0</v>
      </c>
      <c r="R6779" s="2" t="inlineStr"/>
    </row>
    <row r="6780" ht="15" customHeight="1">
      <c r="A6780" t="inlineStr">
        <is>
          <t>A 31396-2022</t>
        </is>
      </c>
      <c r="B6780" s="1" t="n">
        <v>44774</v>
      </c>
      <c r="C6780" s="1" t="n">
        <v>45357</v>
      </c>
      <c r="D6780" t="inlineStr">
        <is>
          <t>VÄSTERBOTTENS LÄN</t>
        </is>
      </c>
      <c r="E6780" t="inlineStr">
        <is>
          <t>ROBERTSFORS</t>
        </is>
      </c>
      <c r="F6780" t="inlineStr">
        <is>
          <t>Holmen skog AB</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31402-2022</t>
        </is>
      </c>
      <c r="B6781" s="1" t="n">
        <v>44774</v>
      </c>
      <c r="C6781" s="1" t="n">
        <v>45357</v>
      </c>
      <c r="D6781" t="inlineStr">
        <is>
          <t>VÄSTERBOTTENS LÄN</t>
        </is>
      </c>
      <c r="E6781" t="inlineStr">
        <is>
          <t>ÅSELE</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31412-2022</t>
        </is>
      </c>
      <c r="B6782" s="1" t="n">
        <v>44774</v>
      </c>
      <c r="C6782" s="1" t="n">
        <v>45357</v>
      </c>
      <c r="D6782" t="inlineStr">
        <is>
          <t>VÄSTERBOTTENS LÄN</t>
        </is>
      </c>
      <c r="E6782" t="inlineStr">
        <is>
          <t>BJURHOLM</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31488-2022</t>
        </is>
      </c>
      <c r="B6783" s="1" t="n">
        <v>44775</v>
      </c>
      <c r="C6783" s="1" t="n">
        <v>45357</v>
      </c>
      <c r="D6783" t="inlineStr">
        <is>
          <t>VÄSTERBOTTENS LÄN</t>
        </is>
      </c>
      <c r="E6783" t="inlineStr">
        <is>
          <t>ÅSELE</t>
        </is>
      </c>
      <c r="F6783" t="inlineStr">
        <is>
          <t>SCA</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31596-2022</t>
        </is>
      </c>
      <c r="B6784" s="1" t="n">
        <v>44775</v>
      </c>
      <c r="C6784" s="1" t="n">
        <v>45357</v>
      </c>
      <c r="D6784" t="inlineStr">
        <is>
          <t>VÄSTERBOTTENS LÄN</t>
        </is>
      </c>
      <c r="E6784" t="inlineStr">
        <is>
          <t>ROBERTSFORS</t>
        </is>
      </c>
      <c r="F6784" t="inlineStr">
        <is>
          <t>Holmen skog AB</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31686-2022</t>
        </is>
      </c>
      <c r="B6785" s="1" t="n">
        <v>44776</v>
      </c>
      <c r="C6785" s="1" t="n">
        <v>45357</v>
      </c>
      <c r="D6785" t="inlineStr">
        <is>
          <t>VÄSTERBOTTENS LÄN</t>
        </is>
      </c>
      <c r="E6785" t="inlineStr">
        <is>
          <t>LYCKSELE</t>
        </is>
      </c>
      <c r="G6785" t="n">
        <v>11.1</v>
      </c>
      <c r="H6785" t="n">
        <v>0</v>
      </c>
      <c r="I6785" t="n">
        <v>0</v>
      </c>
      <c r="J6785" t="n">
        <v>0</v>
      </c>
      <c r="K6785" t="n">
        <v>0</v>
      </c>
      <c r="L6785" t="n">
        <v>0</v>
      </c>
      <c r="M6785" t="n">
        <v>0</v>
      </c>
      <c r="N6785" t="n">
        <v>0</v>
      </c>
      <c r="O6785" t="n">
        <v>0</v>
      </c>
      <c r="P6785" t="n">
        <v>0</v>
      </c>
      <c r="Q6785" t="n">
        <v>0</v>
      </c>
      <c r="R6785" s="2" t="inlineStr"/>
    </row>
    <row r="6786" ht="15" customHeight="1">
      <c r="A6786" t="inlineStr">
        <is>
          <t>A 31741-2022</t>
        </is>
      </c>
      <c r="B6786" s="1" t="n">
        <v>44776</v>
      </c>
      <c r="C6786" s="1" t="n">
        <v>45357</v>
      </c>
      <c r="D6786" t="inlineStr">
        <is>
          <t>VÄSTERBOTTENS LÄN</t>
        </is>
      </c>
      <c r="E6786" t="inlineStr">
        <is>
          <t>STORUMAN</t>
        </is>
      </c>
      <c r="F6786" t="inlineStr">
        <is>
          <t>Sveaskog</t>
        </is>
      </c>
      <c r="G6786" t="n">
        <v>13.3</v>
      </c>
      <c r="H6786" t="n">
        <v>0</v>
      </c>
      <c r="I6786" t="n">
        <v>0</v>
      </c>
      <c r="J6786" t="n">
        <v>0</v>
      </c>
      <c r="K6786" t="n">
        <v>0</v>
      </c>
      <c r="L6786" t="n">
        <v>0</v>
      </c>
      <c r="M6786" t="n">
        <v>0</v>
      </c>
      <c r="N6786" t="n">
        <v>0</v>
      </c>
      <c r="O6786" t="n">
        <v>0</v>
      </c>
      <c r="P6786" t="n">
        <v>0</v>
      </c>
      <c r="Q6786" t="n">
        <v>0</v>
      </c>
      <c r="R6786" s="2" t="inlineStr"/>
    </row>
    <row r="6787" ht="15" customHeight="1">
      <c r="A6787" t="inlineStr">
        <is>
          <t>A 31702-2022</t>
        </is>
      </c>
      <c r="B6787" s="1" t="n">
        <v>44776</v>
      </c>
      <c r="C6787" s="1" t="n">
        <v>45357</v>
      </c>
      <c r="D6787" t="inlineStr">
        <is>
          <t>VÄSTERBOTTENS LÄN</t>
        </is>
      </c>
      <c r="E6787" t="inlineStr">
        <is>
          <t>STORUMAN</t>
        </is>
      </c>
      <c r="F6787" t="inlineStr">
        <is>
          <t>Naturvårdsverket</t>
        </is>
      </c>
      <c r="G6787" t="n">
        <v>22.8</v>
      </c>
      <c r="H6787" t="n">
        <v>0</v>
      </c>
      <c r="I6787" t="n">
        <v>0</v>
      </c>
      <c r="J6787" t="n">
        <v>0</v>
      </c>
      <c r="K6787" t="n">
        <v>0</v>
      </c>
      <c r="L6787" t="n">
        <v>0</v>
      </c>
      <c r="M6787" t="n">
        <v>0</v>
      </c>
      <c r="N6787" t="n">
        <v>0</v>
      </c>
      <c r="O6787" t="n">
        <v>0</v>
      </c>
      <c r="P6787" t="n">
        <v>0</v>
      </c>
      <c r="Q6787" t="n">
        <v>0</v>
      </c>
      <c r="R6787" s="2" t="inlineStr"/>
    </row>
    <row r="6788" ht="15" customHeight="1">
      <c r="A6788" t="inlineStr">
        <is>
          <t>A 31782-2022</t>
        </is>
      </c>
      <c r="B6788" s="1" t="n">
        <v>44776</v>
      </c>
      <c r="C6788" s="1" t="n">
        <v>45357</v>
      </c>
      <c r="D6788" t="inlineStr">
        <is>
          <t>VÄSTERBOTTENS LÄN</t>
        </is>
      </c>
      <c r="E6788" t="inlineStr">
        <is>
          <t>BJURHOLM</t>
        </is>
      </c>
      <c r="F6788" t="inlineStr">
        <is>
          <t>Holmen skog AB</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31848-2022</t>
        </is>
      </c>
      <c r="B6789" s="1" t="n">
        <v>44776</v>
      </c>
      <c r="C6789" s="1" t="n">
        <v>45357</v>
      </c>
      <c r="D6789" t="inlineStr">
        <is>
          <t>VÄSTERBOTTENS LÄN</t>
        </is>
      </c>
      <c r="E6789" t="inlineStr">
        <is>
          <t>ÅSELE</t>
        </is>
      </c>
      <c r="F6789" t="inlineStr">
        <is>
          <t>SCA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31916-2022</t>
        </is>
      </c>
      <c r="B6790" s="1" t="n">
        <v>44777</v>
      </c>
      <c r="C6790" s="1" t="n">
        <v>45357</v>
      </c>
      <c r="D6790" t="inlineStr">
        <is>
          <t>VÄSTERBOTTENS LÄN</t>
        </is>
      </c>
      <c r="E6790" t="inlineStr">
        <is>
          <t>ROBERTSFORS</t>
        </is>
      </c>
      <c r="F6790" t="inlineStr">
        <is>
          <t>Holmen skog AB</t>
        </is>
      </c>
      <c r="G6790" t="n">
        <v>5.6</v>
      </c>
      <c r="H6790" t="n">
        <v>0</v>
      </c>
      <c r="I6790" t="n">
        <v>0</v>
      </c>
      <c r="J6790" t="n">
        <v>0</v>
      </c>
      <c r="K6790" t="n">
        <v>0</v>
      </c>
      <c r="L6790" t="n">
        <v>0</v>
      </c>
      <c r="M6790" t="n">
        <v>0</v>
      </c>
      <c r="N6790" t="n">
        <v>0</v>
      </c>
      <c r="O6790" t="n">
        <v>0</v>
      </c>
      <c r="P6790" t="n">
        <v>0</v>
      </c>
      <c r="Q6790" t="n">
        <v>0</v>
      </c>
      <c r="R6790" s="2" t="inlineStr"/>
    </row>
    <row r="6791" ht="15" customHeight="1">
      <c r="A6791" t="inlineStr">
        <is>
          <t>A 31955-2022</t>
        </is>
      </c>
      <c r="B6791" s="1" t="n">
        <v>44778</v>
      </c>
      <c r="C6791" s="1" t="n">
        <v>45357</v>
      </c>
      <c r="D6791" t="inlineStr">
        <is>
          <t>VÄSTERBOTTENS LÄN</t>
        </is>
      </c>
      <c r="E6791" t="inlineStr">
        <is>
          <t>SKELLEFTEÅ</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31960-2022</t>
        </is>
      </c>
      <c r="B6792" s="1" t="n">
        <v>44778</v>
      </c>
      <c r="C6792" s="1" t="n">
        <v>45357</v>
      </c>
      <c r="D6792" t="inlineStr">
        <is>
          <t>VÄSTERBOTTENS LÄN</t>
        </is>
      </c>
      <c r="E6792" t="inlineStr">
        <is>
          <t>SKELLEFTEÅ</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31913-2022</t>
        </is>
      </c>
      <c r="B6793" s="1" t="n">
        <v>44777</v>
      </c>
      <c r="C6793" s="1" t="n">
        <v>45357</v>
      </c>
      <c r="D6793" t="inlineStr">
        <is>
          <t>VÄSTERBOTTENS LÄN</t>
        </is>
      </c>
      <c r="E6793" t="inlineStr">
        <is>
          <t>LYCKSELE</t>
        </is>
      </c>
      <c r="G6793" t="n">
        <v>9.300000000000001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31920-2022</t>
        </is>
      </c>
      <c r="B6794" s="1" t="n">
        <v>44777</v>
      </c>
      <c r="C6794" s="1" t="n">
        <v>45357</v>
      </c>
      <c r="D6794" t="inlineStr">
        <is>
          <t>VÄSTERBOTTENS LÄN</t>
        </is>
      </c>
      <c r="E6794" t="inlineStr">
        <is>
          <t>UMEÅ</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31954-2022</t>
        </is>
      </c>
      <c r="B6795" s="1" t="n">
        <v>44778</v>
      </c>
      <c r="C6795" s="1" t="n">
        <v>45357</v>
      </c>
      <c r="D6795" t="inlineStr">
        <is>
          <t>VÄSTERBOTTENS LÄN</t>
        </is>
      </c>
      <c r="E6795" t="inlineStr">
        <is>
          <t>SKELLEFTEÅ</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31979-2022</t>
        </is>
      </c>
      <c r="B6796" s="1" t="n">
        <v>44777</v>
      </c>
      <c r="C6796" s="1" t="n">
        <v>45357</v>
      </c>
      <c r="D6796" t="inlineStr">
        <is>
          <t>VÄSTERBOTTENS LÄN</t>
        </is>
      </c>
      <c r="E6796" t="inlineStr">
        <is>
          <t>LYCKSELE</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31942-2022</t>
        </is>
      </c>
      <c r="B6797" s="1" t="n">
        <v>44777</v>
      </c>
      <c r="C6797" s="1" t="n">
        <v>45357</v>
      </c>
      <c r="D6797" t="inlineStr">
        <is>
          <t>VÄSTERBOTTENS LÄN</t>
        </is>
      </c>
      <c r="E6797" t="inlineStr">
        <is>
          <t>VINDELN</t>
        </is>
      </c>
      <c r="F6797" t="inlineStr">
        <is>
          <t>Naturvårdsverket</t>
        </is>
      </c>
      <c r="G6797" t="n">
        <v>8.800000000000001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32120-2022</t>
        </is>
      </c>
      <c r="B6798" s="1" t="n">
        <v>44779</v>
      </c>
      <c r="C6798" s="1" t="n">
        <v>45357</v>
      </c>
      <c r="D6798" t="inlineStr">
        <is>
          <t>VÄSTERBOTTENS LÄN</t>
        </is>
      </c>
      <c r="E6798" t="inlineStr">
        <is>
          <t>ÅSELE</t>
        </is>
      </c>
      <c r="F6798" t="inlineStr">
        <is>
          <t>SCA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32117-2022</t>
        </is>
      </c>
      <c r="B6799" s="1" t="n">
        <v>44778</v>
      </c>
      <c r="C6799" s="1" t="n">
        <v>45357</v>
      </c>
      <c r="D6799" t="inlineStr">
        <is>
          <t>VÄSTERBOTTENS LÄN</t>
        </is>
      </c>
      <c r="E6799" t="inlineStr">
        <is>
          <t>ÅSELE</t>
        </is>
      </c>
      <c r="F6799" t="inlineStr">
        <is>
          <t>SCA</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32041-2022</t>
        </is>
      </c>
      <c r="B6800" s="1" t="n">
        <v>44778</v>
      </c>
      <c r="C6800" s="1" t="n">
        <v>45357</v>
      </c>
      <c r="D6800" t="inlineStr">
        <is>
          <t>VÄSTERBOTTENS LÄN</t>
        </is>
      </c>
      <c r="E6800" t="inlineStr">
        <is>
          <t>BJURHOLM</t>
        </is>
      </c>
      <c r="F6800" t="inlineStr">
        <is>
          <t>Holmen skog AB</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32033-2022</t>
        </is>
      </c>
      <c r="B6801" s="1" t="n">
        <v>44778</v>
      </c>
      <c r="C6801" s="1" t="n">
        <v>45357</v>
      </c>
      <c r="D6801" t="inlineStr">
        <is>
          <t>VÄSTERBOTTENS LÄN</t>
        </is>
      </c>
      <c r="E6801" t="inlineStr">
        <is>
          <t>BJURHOLM</t>
        </is>
      </c>
      <c r="F6801" t="inlineStr">
        <is>
          <t>Holmen skog AB</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32075-2022</t>
        </is>
      </c>
      <c r="B6802" s="1" t="n">
        <v>44778</v>
      </c>
      <c r="C6802" s="1" t="n">
        <v>45357</v>
      </c>
      <c r="D6802" t="inlineStr">
        <is>
          <t>VÄSTERBOTTENS LÄN</t>
        </is>
      </c>
      <c r="E6802" t="inlineStr">
        <is>
          <t>BJURHOLM</t>
        </is>
      </c>
      <c r="F6802" t="inlineStr">
        <is>
          <t>Holmen skog AB</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32116-2022</t>
        </is>
      </c>
      <c r="B6803" s="1" t="n">
        <v>44779</v>
      </c>
      <c r="C6803" s="1" t="n">
        <v>45357</v>
      </c>
      <c r="D6803" t="inlineStr">
        <is>
          <t>VÄSTERBOTTENS LÄN</t>
        </is>
      </c>
      <c r="E6803" t="inlineStr">
        <is>
          <t>ÅSELE</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32121-2022</t>
        </is>
      </c>
      <c r="B6804" s="1" t="n">
        <v>44778</v>
      </c>
      <c r="C6804" s="1" t="n">
        <v>45357</v>
      </c>
      <c r="D6804" t="inlineStr">
        <is>
          <t>VÄSTERBOTTENS LÄN</t>
        </is>
      </c>
      <c r="E6804" t="inlineStr">
        <is>
          <t>ÅSELE</t>
        </is>
      </c>
      <c r="F6804" t="inlineStr">
        <is>
          <t>SCA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32173-2022</t>
        </is>
      </c>
      <c r="B6805" s="1" t="n">
        <v>44781</v>
      </c>
      <c r="C6805" s="1" t="n">
        <v>45357</v>
      </c>
      <c r="D6805" t="inlineStr">
        <is>
          <t>VÄSTERBOTTENS LÄN</t>
        </is>
      </c>
      <c r="E6805" t="inlineStr">
        <is>
          <t>SKELLEFTEÅ</t>
        </is>
      </c>
      <c r="F6805" t="inlineStr">
        <is>
          <t>Kommuner</t>
        </is>
      </c>
      <c r="G6805" t="n">
        <v>18.6</v>
      </c>
      <c r="H6805" t="n">
        <v>0</v>
      </c>
      <c r="I6805" t="n">
        <v>0</v>
      </c>
      <c r="J6805" t="n">
        <v>0</v>
      </c>
      <c r="K6805" t="n">
        <v>0</v>
      </c>
      <c r="L6805" t="n">
        <v>0</v>
      </c>
      <c r="M6805" t="n">
        <v>0</v>
      </c>
      <c r="N6805" t="n">
        <v>0</v>
      </c>
      <c r="O6805" t="n">
        <v>0</v>
      </c>
      <c r="P6805" t="n">
        <v>0</v>
      </c>
      <c r="Q6805" t="n">
        <v>0</v>
      </c>
      <c r="R6805" s="2" t="inlineStr"/>
    </row>
    <row r="6806" ht="15" customHeight="1">
      <c r="A6806" t="inlineStr">
        <is>
          <t>A 32244-2022</t>
        </is>
      </c>
      <c r="B6806" s="1" t="n">
        <v>44781</v>
      </c>
      <c r="C6806" s="1" t="n">
        <v>45357</v>
      </c>
      <c r="D6806" t="inlineStr">
        <is>
          <t>VÄSTERBOTTENS LÄN</t>
        </is>
      </c>
      <c r="E6806" t="inlineStr">
        <is>
          <t>SKELLEFTEÅ</t>
        </is>
      </c>
      <c r="F6806" t="inlineStr">
        <is>
          <t>Holmen skog AB</t>
        </is>
      </c>
      <c r="G6806" t="n">
        <v>7</v>
      </c>
      <c r="H6806" t="n">
        <v>0</v>
      </c>
      <c r="I6806" t="n">
        <v>0</v>
      </c>
      <c r="J6806" t="n">
        <v>0</v>
      </c>
      <c r="K6806" t="n">
        <v>0</v>
      </c>
      <c r="L6806" t="n">
        <v>0</v>
      </c>
      <c r="M6806" t="n">
        <v>0</v>
      </c>
      <c r="N6806" t="n">
        <v>0</v>
      </c>
      <c r="O6806" t="n">
        <v>0</v>
      </c>
      <c r="P6806" t="n">
        <v>0</v>
      </c>
      <c r="Q6806" t="n">
        <v>0</v>
      </c>
      <c r="R6806" s="2" t="inlineStr"/>
    </row>
    <row r="6807" ht="15" customHeight="1">
      <c r="A6807" t="inlineStr">
        <is>
          <t>A 32214-2022</t>
        </is>
      </c>
      <c r="B6807" s="1" t="n">
        <v>44781</v>
      </c>
      <c r="C6807" s="1" t="n">
        <v>45357</v>
      </c>
      <c r="D6807" t="inlineStr">
        <is>
          <t>VÄSTERBOTTENS LÄN</t>
        </is>
      </c>
      <c r="E6807" t="inlineStr">
        <is>
          <t>ÅSELE</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32279-2022</t>
        </is>
      </c>
      <c r="B6808" s="1" t="n">
        <v>44781</v>
      </c>
      <c r="C6808" s="1" t="n">
        <v>45357</v>
      </c>
      <c r="D6808" t="inlineStr">
        <is>
          <t>VÄSTERBOTTENS LÄN</t>
        </is>
      </c>
      <c r="E6808" t="inlineStr">
        <is>
          <t>SKELLEFTEÅ</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32296-2022</t>
        </is>
      </c>
      <c r="B6809" s="1" t="n">
        <v>44781</v>
      </c>
      <c r="C6809" s="1" t="n">
        <v>45357</v>
      </c>
      <c r="D6809" t="inlineStr">
        <is>
          <t>VÄSTERBOTTENS LÄN</t>
        </is>
      </c>
      <c r="E6809" t="inlineStr">
        <is>
          <t>ROBERTSFORS</t>
        </is>
      </c>
      <c r="F6809" t="inlineStr">
        <is>
          <t>Holmen skog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32200-2022</t>
        </is>
      </c>
      <c r="B6810" s="1" t="n">
        <v>44781</v>
      </c>
      <c r="C6810" s="1" t="n">
        <v>45357</v>
      </c>
      <c r="D6810" t="inlineStr">
        <is>
          <t>VÄSTERBOTTENS LÄN</t>
        </is>
      </c>
      <c r="E6810" t="inlineStr">
        <is>
          <t>SKELLEFTEÅ</t>
        </is>
      </c>
      <c r="F6810" t="inlineStr">
        <is>
          <t>Kommuner</t>
        </is>
      </c>
      <c r="G6810" t="n">
        <v>20.6</v>
      </c>
      <c r="H6810" t="n">
        <v>0</v>
      </c>
      <c r="I6810" t="n">
        <v>0</v>
      </c>
      <c r="J6810" t="n">
        <v>0</v>
      </c>
      <c r="K6810" t="n">
        <v>0</v>
      </c>
      <c r="L6810" t="n">
        <v>0</v>
      </c>
      <c r="M6810" t="n">
        <v>0</v>
      </c>
      <c r="N6810" t="n">
        <v>0</v>
      </c>
      <c r="O6810" t="n">
        <v>0</v>
      </c>
      <c r="P6810" t="n">
        <v>0</v>
      </c>
      <c r="Q6810" t="n">
        <v>0</v>
      </c>
      <c r="R6810" s="2" t="inlineStr"/>
    </row>
    <row r="6811" ht="15" customHeight="1">
      <c r="A6811" t="inlineStr">
        <is>
          <t>A 32276-2022</t>
        </is>
      </c>
      <c r="B6811" s="1" t="n">
        <v>44781</v>
      </c>
      <c r="C6811" s="1" t="n">
        <v>45357</v>
      </c>
      <c r="D6811" t="inlineStr">
        <is>
          <t>VÄSTERBOTTENS LÄN</t>
        </is>
      </c>
      <c r="E6811" t="inlineStr">
        <is>
          <t>ROBERTSFORS</t>
        </is>
      </c>
      <c r="F6811" t="inlineStr">
        <is>
          <t>Holmen skog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32316-2022</t>
        </is>
      </c>
      <c r="B6812" s="1" t="n">
        <v>44781</v>
      </c>
      <c r="C6812" s="1" t="n">
        <v>45357</v>
      </c>
      <c r="D6812" t="inlineStr">
        <is>
          <t>VÄSTERBOTTENS LÄN</t>
        </is>
      </c>
      <c r="E6812" t="inlineStr">
        <is>
          <t>UMEÅ</t>
        </is>
      </c>
      <c r="F6812" t="inlineStr">
        <is>
          <t>Holmen skog AB</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32344-2022</t>
        </is>
      </c>
      <c r="B6813" s="1" t="n">
        <v>44781</v>
      </c>
      <c r="C6813" s="1" t="n">
        <v>45357</v>
      </c>
      <c r="D6813" t="inlineStr">
        <is>
          <t>VÄSTERBOTTENS LÄN</t>
        </is>
      </c>
      <c r="E6813" t="inlineStr">
        <is>
          <t>SKELLEFTEÅ</t>
        </is>
      </c>
      <c r="F6813" t="inlineStr">
        <is>
          <t>Sveaskog</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32359-2022</t>
        </is>
      </c>
      <c r="B6814" s="1" t="n">
        <v>44781</v>
      </c>
      <c r="C6814" s="1" t="n">
        <v>45357</v>
      </c>
      <c r="D6814" t="inlineStr">
        <is>
          <t>VÄSTERBOTTENS LÄN</t>
        </is>
      </c>
      <c r="E6814" t="inlineStr">
        <is>
          <t>ÅSELE</t>
        </is>
      </c>
      <c r="F6814" t="inlineStr">
        <is>
          <t>SCA</t>
        </is>
      </c>
      <c r="G6814" t="n">
        <v>11.8</v>
      </c>
      <c r="H6814" t="n">
        <v>0</v>
      </c>
      <c r="I6814" t="n">
        <v>0</v>
      </c>
      <c r="J6814" t="n">
        <v>0</v>
      </c>
      <c r="K6814" t="n">
        <v>0</v>
      </c>
      <c r="L6814" t="n">
        <v>0</v>
      </c>
      <c r="M6814" t="n">
        <v>0</v>
      </c>
      <c r="N6814" t="n">
        <v>0</v>
      </c>
      <c r="O6814" t="n">
        <v>0</v>
      </c>
      <c r="P6814" t="n">
        <v>0</v>
      </c>
      <c r="Q6814" t="n">
        <v>0</v>
      </c>
      <c r="R6814" s="2" t="inlineStr"/>
    </row>
    <row r="6815" ht="15" customHeight="1">
      <c r="A6815" t="inlineStr">
        <is>
          <t>A 32347-2022</t>
        </is>
      </c>
      <c r="B6815" s="1" t="n">
        <v>44782</v>
      </c>
      <c r="C6815" s="1" t="n">
        <v>45357</v>
      </c>
      <c r="D6815" t="inlineStr">
        <is>
          <t>VÄSTERBOTTENS LÄN</t>
        </is>
      </c>
      <c r="E6815" t="inlineStr">
        <is>
          <t>NORSJÖ</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32427-2022</t>
        </is>
      </c>
      <c r="B6816" s="1" t="n">
        <v>44782</v>
      </c>
      <c r="C6816" s="1" t="n">
        <v>45357</v>
      </c>
      <c r="D6816" t="inlineStr">
        <is>
          <t>VÄSTERBOTTENS LÄN</t>
        </is>
      </c>
      <c r="E6816" t="inlineStr">
        <is>
          <t>SKELLEFTEÅ</t>
        </is>
      </c>
      <c r="F6816" t="inlineStr">
        <is>
          <t>Kommuner</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32434-2022</t>
        </is>
      </c>
      <c r="B6817" s="1" t="n">
        <v>44782</v>
      </c>
      <c r="C6817" s="1" t="n">
        <v>45357</v>
      </c>
      <c r="D6817" t="inlineStr">
        <is>
          <t>VÄSTERBOTTENS LÄN</t>
        </is>
      </c>
      <c r="E6817" t="inlineStr">
        <is>
          <t>SKELLEFTEÅ</t>
        </is>
      </c>
      <c r="G6817" t="n">
        <v>12.3</v>
      </c>
      <c r="H6817" t="n">
        <v>0</v>
      </c>
      <c r="I6817" t="n">
        <v>0</v>
      </c>
      <c r="J6817" t="n">
        <v>0</v>
      </c>
      <c r="K6817" t="n">
        <v>0</v>
      </c>
      <c r="L6817" t="n">
        <v>0</v>
      </c>
      <c r="M6817" t="n">
        <v>0</v>
      </c>
      <c r="N6817" t="n">
        <v>0</v>
      </c>
      <c r="O6817" t="n">
        <v>0</v>
      </c>
      <c r="P6817" t="n">
        <v>0</v>
      </c>
      <c r="Q6817" t="n">
        <v>0</v>
      </c>
      <c r="R6817" s="2" t="inlineStr"/>
    </row>
    <row r="6818" ht="15" customHeight="1">
      <c r="A6818" t="inlineStr">
        <is>
          <t>A 32415-2022</t>
        </is>
      </c>
      <c r="B6818" s="1" t="n">
        <v>44782</v>
      </c>
      <c r="C6818" s="1" t="n">
        <v>45357</v>
      </c>
      <c r="D6818" t="inlineStr">
        <is>
          <t>VÄSTERBOTTENS LÄN</t>
        </is>
      </c>
      <c r="E6818" t="inlineStr">
        <is>
          <t>SKELLEFTEÅ</t>
        </is>
      </c>
      <c r="F6818" t="inlineStr">
        <is>
          <t>Kommuner</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32436-2022</t>
        </is>
      </c>
      <c r="B6819" s="1" t="n">
        <v>44782</v>
      </c>
      <c r="C6819" s="1" t="n">
        <v>45357</v>
      </c>
      <c r="D6819" t="inlineStr">
        <is>
          <t>VÄSTERBOTTENS LÄN</t>
        </is>
      </c>
      <c r="E6819" t="inlineStr">
        <is>
          <t>SKELLEFTEÅ</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32420-2022</t>
        </is>
      </c>
      <c r="B6820" s="1" t="n">
        <v>44782</v>
      </c>
      <c r="C6820" s="1" t="n">
        <v>45357</v>
      </c>
      <c r="D6820" t="inlineStr">
        <is>
          <t>VÄSTERBOTTENS LÄN</t>
        </is>
      </c>
      <c r="E6820" t="inlineStr">
        <is>
          <t>SKELLEFTEÅ</t>
        </is>
      </c>
      <c r="F6820" t="inlineStr">
        <is>
          <t>Kommuner</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32448-2022</t>
        </is>
      </c>
      <c r="B6821" s="1" t="n">
        <v>44782</v>
      </c>
      <c r="C6821" s="1" t="n">
        <v>45357</v>
      </c>
      <c r="D6821" t="inlineStr">
        <is>
          <t>VÄSTERBOTTENS LÄN</t>
        </is>
      </c>
      <c r="E6821" t="inlineStr">
        <is>
          <t>SKELLEFTEÅ</t>
        </is>
      </c>
      <c r="F6821" t="inlineStr">
        <is>
          <t>Kommuner</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32459-2022</t>
        </is>
      </c>
      <c r="B6822" s="1" t="n">
        <v>44782</v>
      </c>
      <c r="C6822" s="1" t="n">
        <v>45357</v>
      </c>
      <c r="D6822" t="inlineStr">
        <is>
          <t>VÄSTERBOTTENS LÄN</t>
        </is>
      </c>
      <c r="E6822" t="inlineStr">
        <is>
          <t>STORUMAN</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32520-2022</t>
        </is>
      </c>
      <c r="B6823" s="1" t="n">
        <v>44783</v>
      </c>
      <c r="C6823" s="1" t="n">
        <v>45357</v>
      </c>
      <c r="D6823" t="inlineStr">
        <is>
          <t>VÄSTERBOTTENS LÄN</t>
        </is>
      </c>
      <c r="E6823" t="inlineStr">
        <is>
          <t>NORDMALING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32546-2022</t>
        </is>
      </c>
      <c r="B6824" s="1" t="n">
        <v>44783</v>
      </c>
      <c r="C6824" s="1" t="n">
        <v>45357</v>
      </c>
      <c r="D6824" t="inlineStr">
        <is>
          <t>VÄSTERBOTTENS LÄN</t>
        </is>
      </c>
      <c r="E6824" t="inlineStr">
        <is>
          <t>LYCKSELE</t>
        </is>
      </c>
      <c r="F6824" t="inlineStr">
        <is>
          <t>Sveaskog</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32617-2022</t>
        </is>
      </c>
      <c r="B6825" s="1" t="n">
        <v>44783</v>
      </c>
      <c r="C6825" s="1" t="n">
        <v>45357</v>
      </c>
      <c r="D6825" t="inlineStr">
        <is>
          <t>VÄSTERBOTTENS LÄN</t>
        </is>
      </c>
      <c r="E6825" t="inlineStr">
        <is>
          <t>BJURHOLM</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32560-2022</t>
        </is>
      </c>
      <c r="B6826" s="1" t="n">
        <v>44783</v>
      </c>
      <c r="C6826" s="1" t="n">
        <v>45357</v>
      </c>
      <c r="D6826" t="inlineStr">
        <is>
          <t>VÄSTERBOTTENS LÄN</t>
        </is>
      </c>
      <c r="E6826" t="inlineStr">
        <is>
          <t>SKELLEFTEÅ</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32677-2022</t>
        </is>
      </c>
      <c r="B6827" s="1" t="n">
        <v>44783</v>
      </c>
      <c r="C6827" s="1" t="n">
        <v>45357</v>
      </c>
      <c r="D6827" t="inlineStr">
        <is>
          <t>VÄSTERBOTTENS LÄN</t>
        </is>
      </c>
      <c r="E6827" t="inlineStr">
        <is>
          <t>SKELLEFTEÅ</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32663-2022</t>
        </is>
      </c>
      <c r="B6828" s="1" t="n">
        <v>44783</v>
      </c>
      <c r="C6828" s="1" t="n">
        <v>45357</v>
      </c>
      <c r="D6828" t="inlineStr">
        <is>
          <t>VÄSTERBOTTENS LÄN</t>
        </is>
      </c>
      <c r="E6828" t="inlineStr">
        <is>
          <t>LYCKSELE</t>
        </is>
      </c>
      <c r="F6828" t="inlineStr">
        <is>
          <t>Sveaskog</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32539-2022</t>
        </is>
      </c>
      <c r="B6829" s="1" t="n">
        <v>44783</v>
      </c>
      <c r="C6829" s="1" t="n">
        <v>45357</v>
      </c>
      <c r="D6829" t="inlineStr">
        <is>
          <t>VÄSTERBOTTENS LÄN</t>
        </is>
      </c>
      <c r="E6829" t="inlineStr">
        <is>
          <t>SKELLEFTEÅ</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32555-2022</t>
        </is>
      </c>
      <c r="B6830" s="1" t="n">
        <v>44783</v>
      </c>
      <c r="C6830" s="1" t="n">
        <v>45357</v>
      </c>
      <c r="D6830" t="inlineStr">
        <is>
          <t>VÄSTERBOTTENS LÄN</t>
        </is>
      </c>
      <c r="E6830" t="inlineStr">
        <is>
          <t>LYCKSELE</t>
        </is>
      </c>
      <c r="F6830" t="inlineStr">
        <is>
          <t>Sveaskog</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32581-2022</t>
        </is>
      </c>
      <c r="B6831" s="1" t="n">
        <v>44783</v>
      </c>
      <c r="C6831" s="1" t="n">
        <v>45357</v>
      </c>
      <c r="D6831" t="inlineStr">
        <is>
          <t>VÄSTERBOTTENS LÄN</t>
        </is>
      </c>
      <c r="E6831" t="inlineStr">
        <is>
          <t>ROBERTSFORS</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32668-2022</t>
        </is>
      </c>
      <c r="B6832" s="1" t="n">
        <v>44783</v>
      </c>
      <c r="C6832" s="1" t="n">
        <v>45357</v>
      </c>
      <c r="D6832" t="inlineStr">
        <is>
          <t>VÄSTERBOTTENS LÄN</t>
        </is>
      </c>
      <c r="E6832" t="inlineStr">
        <is>
          <t>LYCKSELE</t>
        </is>
      </c>
      <c r="F6832" t="inlineStr">
        <is>
          <t>Sveaskog</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32672-2022</t>
        </is>
      </c>
      <c r="B6833" s="1" t="n">
        <v>44783</v>
      </c>
      <c r="C6833" s="1" t="n">
        <v>45357</v>
      </c>
      <c r="D6833" t="inlineStr">
        <is>
          <t>VÄSTERBOTTENS LÄN</t>
        </is>
      </c>
      <c r="E6833" t="inlineStr">
        <is>
          <t>VINDELN</t>
        </is>
      </c>
      <c r="F6833" t="inlineStr">
        <is>
          <t>Holmen skog AB</t>
        </is>
      </c>
      <c r="G6833" t="n">
        <v>17.6</v>
      </c>
      <c r="H6833" t="n">
        <v>0</v>
      </c>
      <c r="I6833" t="n">
        <v>0</v>
      </c>
      <c r="J6833" t="n">
        <v>0</v>
      </c>
      <c r="K6833" t="n">
        <v>0</v>
      </c>
      <c r="L6833" t="n">
        <v>0</v>
      </c>
      <c r="M6833" t="n">
        <v>0</v>
      </c>
      <c r="N6833" t="n">
        <v>0</v>
      </c>
      <c r="O6833" t="n">
        <v>0</v>
      </c>
      <c r="P6833" t="n">
        <v>0</v>
      </c>
      <c r="Q6833" t="n">
        <v>0</v>
      </c>
      <c r="R6833" s="2" t="inlineStr"/>
    </row>
    <row r="6834" ht="15" customHeight="1">
      <c r="A6834" t="inlineStr">
        <is>
          <t>A 32657-2022</t>
        </is>
      </c>
      <c r="B6834" s="1" t="n">
        <v>44783</v>
      </c>
      <c r="C6834" s="1" t="n">
        <v>45357</v>
      </c>
      <c r="D6834" t="inlineStr">
        <is>
          <t>VÄSTERBOTTENS LÄN</t>
        </is>
      </c>
      <c r="E6834" t="inlineStr">
        <is>
          <t>SKELLEFTEÅ</t>
        </is>
      </c>
      <c r="F6834" t="inlineStr">
        <is>
          <t>Sveaskog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32775-2022</t>
        </is>
      </c>
      <c r="B6835" s="1" t="n">
        <v>44783</v>
      </c>
      <c r="C6835" s="1" t="n">
        <v>45357</v>
      </c>
      <c r="D6835" t="inlineStr">
        <is>
          <t>VÄSTERBOTTENS LÄN</t>
        </is>
      </c>
      <c r="E6835" t="inlineStr">
        <is>
          <t>ÅSELE</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32552-2022</t>
        </is>
      </c>
      <c r="B6836" s="1" t="n">
        <v>44783</v>
      </c>
      <c r="C6836" s="1" t="n">
        <v>45357</v>
      </c>
      <c r="D6836" t="inlineStr">
        <is>
          <t>VÄSTERBOTTENS LÄN</t>
        </is>
      </c>
      <c r="E6836" t="inlineStr">
        <is>
          <t>LYCKSELE</t>
        </is>
      </c>
      <c r="F6836" t="inlineStr">
        <is>
          <t>Sveaskog</t>
        </is>
      </c>
      <c r="G6836" t="n">
        <v>11.1</v>
      </c>
      <c r="H6836" t="n">
        <v>0</v>
      </c>
      <c r="I6836" t="n">
        <v>0</v>
      </c>
      <c r="J6836" t="n">
        <v>0</v>
      </c>
      <c r="K6836" t="n">
        <v>0</v>
      </c>
      <c r="L6836" t="n">
        <v>0</v>
      </c>
      <c r="M6836" t="n">
        <v>0</v>
      </c>
      <c r="N6836" t="n">
        <v>0</v>
      </c>
      <c r="O6836" t="n">
        <v>0</v>
      </c>
      <c r="P6836" t="n">
        <v>0</v>
      </c>
      <c r="Q6836" t="n">
        <v>0</v>
      </c>
      <c r="R6836" s="2" t="inlineStr"/>
    </row>
    <row r="6837" ht="15" customHeight="1">
      <c r="A6837" t="inlineStr">
        <is>
          <t>A 32554-2022</t>
        </is>
      </c>
      <c r="B6837" s="1" t="n">
        <v>44783</v>
      </c>
      <c r="C6837" s="1" t="n">
        <v>45357</v>
      </c>
      <c r="D6837" t="inlineStr">
        <is>
          <t>VÄSTERBOTTENS LÄN</t>
        </is>
      </c>
      <c r="E6837" t="inlineStr">
        <is>
          <t>LYCKSELE</t>
        </is>
      </c>
      <c r="F6837" t="inlineStr">
        <is>
          <t>Sveaskog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32803-2022</t>
        </is>
      </c>
      <c r="B6838" s="1" t="n">
        <v>44784</v>
      </c>
      <c r="C6838" s="1" t="n">
        <v>45357</v>
      </c>
      <c r="D6838" t="inlineStr">
        <is>
          <t>VÄSTERBOTTENS LÄN</t>
        </is>
      </c>
      <c r="E6838" t="inlineStr">
        <is>
          <t>MALÅ</t>
        </is>
      </c>
      <c r="F6838" t="inlineStr">
        <is>
          <t>Sveaskog</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32813-2022</t>
        </is>
      </c>
      <c r="B6839" s="1" t="n">
        <v>44784</v>
      </c>
      <c r="C6839" s="1" t="n">
        <v>45357</v>
      </c>
      <c r="D6839" t="inlineStr">
        <is>
          <t>VÄSTERBOTTENS LÄN</t>
        </is>
      </c>
      <c r="E6839" t="inlineStr">
        <is>
          <t>SORSELE</t>
        </is>
      </c>
      <c r="F6839" t="inlineStr">
        <is>
          <t>Sveaskog</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32787-2022</t>
        </is>
      </c>
      <c r="B6840" s="1" t="n">
        <v>44784</v>
      </c>
      <c r="C6840" s="1" t="n">
        <v>45357</v>
      </c>
      <c r="D6840" t="inlineStr">
        <is>
          <t>VÄSTERBOTTENS LÄN</t>
        </is>
      </c>
      <c r="E6840" t="inlineStr">
        <is>
          <t>UMEÅ</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32807-2022</t>
        </is>
      </c>
      <c r="B6841" s="1" t="n">
        <v>44784</v>
      </c>
      <c r="C6841" s="1" t="n">
        <v>45357</v>
      </c>
      <c r="D6841" t="inlineStr">
        <is>
          <t>VÄSTERBOTTENS LÄN</t>
        </is>
      </c>
      <c r="E6841" t="inlineStr">
        <is>
          <t>MALÅ</t>
        </is>
      </c>
      <c r="F6841" t="inlineStr">
        <is>
          <t>Sveaskog</t>
        </is>
      </c>
      <c r="G6841" t="n">
        <v>10.6</v>
      </c>
      <c r="H6841" t="n">
        <v>0</v>
      </c>
      <c r="I6841" t="n">
        <v>0</v>
      </c>
      <c r="J6841" t="n">
        <v>0</v>
      </c>
      <c r="K6841" t="n">
        <v>0</v>
      </c>
      <c r="L6841" t="n">
        <v>0</v>
      </c>
      <c r="M6841" t="n">
        <v>0</v>
      </c>
      <c r="N6841" t="n">
        <v>0</v>
      </c>
      <c r="O6841" t="n">
        <v>0</v>
      </c>
      <c r="P6841" t="n">
        <v>0</v>
      </c>
      <c r="Q6841" t="n">
        <v>0</v>
      </c>
      <c r="R6841" s="2" t="inlineStr"/>
    </row>
    <row r="6842" ht="15" customHeight="1">
      <c r="A6842" t="inlineStr">
        <is>
          <t>A 32798-2022</t>
        </is>
      </c>
      <c r="B6842" s="1" t="n">
        <v>44784</v>
      </c>
      <c r="C6842" s="1" t="n">
        <v>45357</v>
      </c>
      <c r="D6842" t="inlineStr">
        <is>
          <t>VÄSTERBOTTENS LÄN</t>
        </is>
      </c>
      <c r="E6842" t="inlineStr">
        <is>
          <t>MALÅ</t>
        </is>
      </c>
      <c r="F6842" t="inlineStr">
        <is>
          <t>Sveaskog</t>
        </is>
      </c>
      <c r="G6842" t="n">
        <v>14.9</v>
      </c>
      <c r="H6842" t="n">
        <v>0</v>
      </c>
      <c r="I6842" t="n">
        <v>0</v>
      </c>
      <c r="J6842" t="n">
        <v>0</v>
      </c>
      <c r="K6842" t="n">
        <v>0</v>
      </c>
      <c r="L6842" t="n">
        <v>0</v>
      </c>
      <c r="M6842" t="n">
        <v>0</v>
      </c>
      <c r="N6842" t="n">
        <v>0</v>
      </c>
      <c r="O6842" t="n">
        <v>0</v>
      </c>
      <c r="P6842" t="n">
        <v>0</v>
      </c>
      <c r="Q6842" t="n">
        <v>0</v>
      </c>
      <c r="R6842" s="2" t="inlineStr"/>
    </row>
    <row r="6843" ht="15" customHeight="1">
      <c r="A6843" t="inlineStr">
        <is>
          <t>A 32812-2022</t>
        </is>
      </c>
      <c r="B6843" s="1" t="n">
        <v>44784</v>
      </c>
      <c r="C6843" s="1" t="n">
        <v>45357</v>
      </c>
      <c r="D6843" t="inlineStr">
        <is>
          <t>VÄSTERBOTTENS LÄN</t>
        </is>
      </c>
      <c r="E6843" t="inlineStr">
        <is>
          <t>MALÅ</t>
        </is>
      </c>
      <c r="F6843" t="inlineStr">
        <is>
          <t>Sveaskog</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32862-2022</t>
        </is>
      </c>
      <c r="B6844" s="1" t="n">
        <v>44784</v>
      </c>
      <c r="C6844" s="1" t="n">
        <v>45357</v>
      </c>
      <c r="D6844" t="inlineStr">
        <is>
          <t>VÄSTERBOTTENS LÄN</t>
        </is>
      </c>
      <c r="E6844" t="inlineStr">
        <is>
          <t>VINDELN</t>
        </is>
      </c>
      <c r="F6844" t="inlineStr">
        <is>
          <t>Holmen skog AB</t>
        </is>
      </c>
      <c r="G6844" t="n">
        <v>19.5</v>
      </c>
      <c r="H6844" t="n">
        <v>0</v>
      </c>
      <c r="I6844" t="n">
        <v>0</v>
      </c>
      <c r="J6844" t="n">
        <v>0</v>
      </c>
      <c r="K6844" t="n">
        <v>0</v>
      </c>
      <c r="L6844" t="n">
        <v>0</v>
      </c>
      <c r="M6844" t="n">
        <v>0</v>
      </c>
      <c r="N6844" t="n">
        <v>0</v>
      </c>
      <c r="O6844" t="n">
        <v>0</v>
      </c>
      <c r="P6844" t="n">
        <v>0</v>
      </c>
      <c r="Q6844" t="n">
        <v>0</v>
      </c>
      <c r="R6844" s="2" t="inlineStr"/>
    </row>
    <row r="6845" ht="15" customHeight="1">
      <c r="A6845" t="inlineStr">
        <is>
          <t>A 32958-2022</t>
        </is>
      </c>
      <c r="B6845" s="1" t="n">
        <v>44784</v>
      </c>
      <c r="C6845" s="1" t="n">
        <v>45357</v>
      </c>
      <c r="D6845" t="inlineStr">
        <is>
          <t>VÄSTERBOTTENS LÄN</t>
        </is>
      </c>
      <c r="E6845" t="inlineStr">
        <is>
          <t>UMEÅ</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32942-2022</t>
        </is>
      </c>
      <c r="B6846" s="1" t="n">
        <v>44784</v>
      </c>
      <c r="C6846" s="1" t="n">
        <v>45357</v>
      </c>
      <c r="D6846" t="inlineStr">
        <is>
          <t>VÄSTERBOTTENS LÄN</t>
        </is>
      </c>
      <c r="E6846" t="inlineStr">
        <is>
          <t>ROBERTSFORS</t>
        </is>
      </c>
      <c r="F6846" t="inlineStr">
        <is>
          <t>Holmen skog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32960-2022</t>
        </is>
      </c>
      <c r="B6847" s="1" t="n">
        <v>44784</v>
      </c>
      <c r="C6847" s="1" t="n">
        <v>45357</v>
      </c>
      <c r="D6847" t="inlineStr">
        <is>
          <t>VÄSTERBOTTENS LÄN</t>
        </is>
      </c>
      <c r="E6847" t="inlineStr">
        <is>
          <t>VILHELMINA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32985-2022</t>
        </is>
      </c>
      <c r="B6848" s="1" t="n">
        <v>44785</v>
      </c>
      <c r="C6848" s="1" t="n">
        <v>45357</v>
      </c>
      <c r="D6848" t="inlineStr">
        <is>
          <t>VÄSTERBOTTENS LÄN</t>
        </is>
      </c>
      <c r="E6848" t="inlineStr">
        <is>
          <t>SKELLEFTEÅ</t>
        </is>
      </c>
      <c r="F6848" t="inlineStr">
        <is>
          <t>SCA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33001-2022</t>
        </is>
      </c>
      <c r="B6849" s="1" t="n">
        <v>44784</v>
      </c>
      <c r="C6849" s="1" t="n">
        <v>45357</v>
      </c>
      <c r="D6849" t="inlineStr">
        <is>
          <t>VÄSTERBOTTENS LÄN</t>
        </is>
      </c>
      <c r="E6849" t="inlineStr">
        <is>
          <t>VILHELMINA</t>
        </is>
      </c>
      <c r="F6849" t="inlineStr">
        <is>
          <t>SCA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32984-2022</t>
        </is>
      </c>
      <c r="B6850" s="1" t="n">
        <v>44784</v>
      </c>
      <c r="C6850" s="1" t="n">
        <v>45357</v>
      </c>
      <c r="D6850" t="inlineStr">
        <is>
          <t>VÄSTERBOTTENS LÄN</t>
        </is>
      </c>
      <c r="E6850" t="inlineStr">
        <is>
          <t>SKELLEFTEÅ</t>
        </is>
      </c>
      <c r="F6850" t="inlineStr">
        <is>
          <t>SCA</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32989-2022</t>
        </is>
      </c>
      <c r="B6851" s="1" t="n">
        <v>44785</v>
      </c>
      <c r="C6851" s="1" t="n">
        <v>45357</v>
      </c>
      <c r="D6851" t="inlineStr">
        <is>
          <t>VÄSTERBOTTENS LÄN</t>
        </is>
      </c>
      <c r="E6851" t="inlineStr">
        <is>
          <t>BJURHOLM</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32998-2022</t>
        </is>
      </c>
      <c r="B6852" s="1" t="n">
        <v>44784</v>
      </c>
      <c r="C6852" s="1" t="n">
        <v>45357</v>
      </c>
      <c r="D6852" t="inlineStr">
        <is>
          <t>VÄSTERBOTTENS LÄN</t>
        </is>
      </c>
      <c r="E6852" t="inlineStr">
        <is>
          <t>LYCKSELE</t>
        </is>
      </c>
      <c r="F6852" t="inlineStr">
        <is>
          <t>SCA</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33042-2022</t>
        </is>
      </c>
      <c r="B6853" s="1" t="n">
        <v>44785</v>
      </c>
      <c r="C6853" s="1" t="n">
        <v>45357</v>
      </c>
      <c r="D6853" t="inlineStr">
        <is>
          <t>VÄSTERBOTTENS LÄN</t>
        </is>
      </c>
      <c r="E6853" t="inlineStr">
        <is>
          <t>BJURHOLM</t>
        </is>
      </c>
      <c r="F6853" t="inlineStr">
        <is>
          <t>Holmen skog AB</t>
        </is>
      </c>
      <c r="G6853" t="n">
        <v>10</v>
      </c>
      <c r="H6853" t="n">
        <v>0</v>
      </c>
      <c r="I6853" t="n">
        <v>0</v>
      </c>
      <c r="J6853" t="n">
        <v>0</v>
      </c>
      <c r="K6853" t="n">
        <v>0</v>
      </c>
      <c r="L6853" t="n">
        <v>0</v>
      </c>
      <c r="M6853" t="n">
        <v>0</v>
      </c>
      <c r="N6853" t="n">
        <v>0</v>
      </c>
      <c r="O6853" t="n">
        <v>0</v>
      </c>
      <c r="P6853" t="n">
        <v>0</v>
      </c>
      <c r="Q6853" t="n">
        <v>0</v>
      </c>
      <c r="R6853" s="2" t="inlineStr"/>
    </row>
    <row r="6854" ht="15" customHeight="1">
      <c r="A6854" t="inlineStr">
        <is>
          <t>A 33007-2022</t>
        </is>
      </c>
      <c r="B6854" s="1" t="n">
        <v>44785</v>
      </c>
      <c r="C6854" s="1" t="n">
        <v>45357</v>
      </c>
      <c r="D6854" t="inlineStr">
        <is>
          <t>VÄSTERBOTTENS LÄN</t>
        </is>
      </c>
      <c r="E6854" t="inlineStr">
        <is>
          <t>UMEÅ</t>
        </is>
      </c>
      <c r="F6854" t="inlineStr">
        <is>
          <t>Kommuner</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33093-2022</t>
        </is>
      </c>
      <c r="B6855" s="1" t="n">
        <v>44785</v>
      </c>
      <c r="C6855" s="1" t="n">
        <v>45357</v>
      </c>
      <c r="D6855" t="inlineStr">
        <is>
          <t>VÄSTERBOTTENS LÄN</t>
        </is>
      </c>
      <c r="E6855" t="inlineStr">
        <is>
          <t>BJURHOLM</t>
        </is>
      </c>
      <c r="F6855" t="inlineStr">
        <is>
          <t>Holmen skog AB</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33235-2022</t>
        </is>
      </c>
      <c r="B6856" s="1" t="n">
        <v>44786</v>
      </c>
      <c r="C6856" s="1" t="n">
        <v>45357</v>
      </c>
      <c r="D6856" t="inlineStr">
        <is>
          <t>VÄSTERBOTTENS LÄN</t>
        </is>
      </c>
      <c r="E6856" t="inlineStr">
        <is>
          <t>LYCKSELE</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33268-2022</t>
        </is>
      </c>
      <c r="B6857" s="1" t="n">
        <v>44788</v>
      </c>
      <c r="C6857" s="1" t="n">
        <v>45357</v>
      </c>
      <c r="D6857" t="inlineStr">
        <is>
          <t>VÄSTERBOTTENS LÄN</t>
        </is>
      </c>
      <c r="E6857" t="inlineStr">
        <is>
          <t>SKELLEFTEÅ</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33343-2022</t>
        </is>
      </c>
      <c r="B6858" s="1" t="n">
        <v>44788</v>
      </c>
      <c r="C6858" s="1" t="n">
        <v>45357</v>
      </c>
      <c r="D6858" t="inlineStr">
        <is>
          <t>VÄSTERBOTTENS LÄN</t>
        </is>
      </c>
      <c r="E6858" t="inlineStr">
        <is>
          <t>NORDMALING</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33354-2022</t>
        </is>
      </c>
      <c r="B6859" s="1" t="n">
        <v>44788</v>
      </c>
      <c r="C6859" s="1" t="n">
        <v>45357</v>
      </c>
      <c r="D6859" t="inlineStr">
        <is>
          <t>VÄSTERBOTTENS LÄN</t>
        </is>
      </c>
      <c r="E6859" t="inlineStr">
        <is>
          <t>VINDELN</t>
        </is>
      </c>
      <c r="F6859" t="inlineStr">
        <is>
          <t>Naturvårdsverket</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33324-2022</t>
        </is>
      </c>
      <c r="B6860" s="1" t="n">
        <v>44788</v>
      </c>
      <c r="C6860" s="1" t="n">
        <v>45357</v>
      </c>
      <c r="D6860" t="inlineStr">
        <is>
          <t>VÄSTERBOTTENS LÄN</t>
        </is>
      </c>
      <c r="E6860" t="inlineStr">
        <is>
          <t>SKELLEFTEÅ</t>
        </is>
      </c>
      <c r="F6860" t="inlineStr">
        <is>
          <t>Holmen skog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33342-2022</t>
        </is>
      </c>
      <c r="B6861" s="1" t="n">
        <v>44788</v>
      </c>
      <c r="C6861" s="1" t="n">
        <v>45357</v>
      </c>
      <c r="D6861" t="inlineStr">
        <is>
          <t>VÄSTERBOTTENS LÄN</t>
        </is>
      </c>
      <c r="E6861" t="inlineStr">
        <is>
          <t>STORUMAN</t>
        </is>
      </c>
      <c r="G6861" t="n">
        <v>14.5</v>
      </c>
      <c r="H6861" t="n">
        <v>0</v>
      </c>
      <c r="I6861" t="n">
        <v>0</v>
      </c>
      <c r="J6861" t="n">
        <v>0</v>
      </c>
      <c r="K6861" t="n">
        <v>0</v>
      </c>
      <c r="L6861" t="n">
        <v>0</v>
      </c>
      <c r="M6861" t="n">
        <v>0</v>
      </c>
      <c r="N6861" t="n">
        <v>0</v>
      </c>
      <c r="O6861" t="n">
        <v>0</v>
      </c>
      <c r="P6861" t="n">
        <v>0</v>
      </c>
      <c r="Q6861" t="n">
        <v>0</v>
      </c>
      <c r="R6861" s="2" t="inlineStr"/>
    </row>
    <row r="6862" ht="15" customHeight="1">
      <c r="A6862" t="inlineStr">
        <is>
          <t>A 33409-2022</t>
        </is>
      </c>
      <c r="B6862" s="1" t="n">
        <v>44788</v>
      </c>
      <c r="C6862" s="1" t="n">
        <v>45357</v>
      </c>
      <c r="D6862" t="inlineStr">
        <is>
          <t>VÄSTERBOTTENS LÄN</t>
        </is>
      </c>
      <c r="E6862" t="inlineStr">
        <is>
          <t>UMEÅ</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33460-2022</t>
        </is>
      </c>
      <c r="B6863" s="1" t="n">
        <v>44788</v>
      </c>
      <c r="C6863" s="1" t="n">
        <v>45357</v>
      </c>
      <c r="D6863" t="inlineStr">
        <is>
          <t>VÄSTERBOTTENS LÄN</t>
        </is>
      </c>
      <c r="E6863" t="inlineStr">
        <is>
          <t>BJURHOLM</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33468-2022</t>
        </is>
      </c>
      <c r="B6864" s="1" t="n">
        <v>44788</v>
      </c>
      <c r="C6864" s="1" t="n">
        <v>45357</v>
      </c>
      <c r="D6864" t="inlineStr">
        <is>
          <t>VÄSTERBOTTENS LÄN</t>
        </is>
      </c>
      <c r="E6864" t="inlineStr">
        <is>
          <t>NORSJÖ</t>
        </is>
      </c>
      <c r="F6864" t="inlineStr">
        <is>
          <t>Holmen skog AB</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33512-2022</t>
        </is>
      </c>
      <c r="B6865" s="1" t="n">
        <v>44788</v>
      </c>
      <c r="C6865" s="1" t="n">
        <v>45357</v>
      </c>
      <c r="D6865" t="inlineStr">
        <is>
          <t>VÄSTERBOTTENS LÄN</t>
        </is>
      </c>
      <c r="E6865" t="inlineStr">
        <is>
          <t>VILHELMINA</t>
        </is>
      </c>
      <c r="F6865" t="inlineStr">
        <is>
          <t>SCA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33478-2022</t>
        </is>
      </c>
      <c r="B6866" s="1" t="n">
        <v>44788</v>
      </c>
      <c r="C6866" s="1" t="n">
        <v>45357</v>
      </c>
      <c r="D6866" t="inlineStr">
        <is>
          <t>VÄSTERBOTTENS LÄN</t>
        </is>
      </c>
      <c r="E6866" t="inlineStr">
        <is>
          <t>LYCKSELE</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33495-2022</t>
        </is>
      </c>
      <c r="B6867" s="1" t="n">
        <v>44788</v>
      </c>
      <c r="C6867" s="1" t="n">
        <v>45357</v>
      </c>
      <c r="D6867" t="inlineStr">
        <is>
          <t>VÄSTERBOTTENS LÄN</t>
        </is>
      </c>
      <c r="E6867" t="inlineStr">
        <is>
          <t>VILHELMINA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33513-2022</t>
        </is>
      </c>
      <c r="B6868" s="1" t="n">
        <v>44788</v>
      </c>
      <c r="C6868" s="1" t="n">
        <v>45357</v>
      </c>
      <c r="D6868" t="inlineStr">
        <is>
          <t>VÄSTERBOTTENS LÄN</t>
        </is>
      </c>
      <c r="E6868" t="inlineStr">
        <is>
          <t>LYCKSELE</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33496-2022</t>
        </is>
      </c>
      <c r="B6869" s="1" t="n">
        <v>44789</v>
      </c>
      <c r="C6869" s="1" t="n">
        <v>45357</v>
      </c>
      <c r="D6869" t="inlineStr">
        <is>
          <t>VÄSTERBOTTENS LÄN</t>
        </is>
      </c>
      <c r="E6869" t="inlineStr">
        <is>
          <t>NORDMALING</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33521-2022</t>
        </is>
      </c>
      <c r="B6870" s="1" t="n">
        <v>44789</v>
      </c>
      <c r="C6870" s="1" t="n">
        <v>45357</v>
      </c>
      <c r="D6870" t="inlineStr">
        <is>
          <t>VÄSTERBOTTENS LÄN</t>
        </is>
      </c>
      <c r="E6870" t="inlineStr">
        <is>
          <t>DOROTEA</t>
        </is>
      </c>
      <c r="F6870" t="inlineStr">
        <is>
          <t>SCA</t>
        </is>
      </c>
      <c r="G6870" t="n">
        <v>7.4</v>
      </c>
      <c r="H6870" t="n">
        <v>0</v>
      </c>
      <c r="I6870" t="n">
        <v>0</v>
      </c>
      <c r="J6870" t="n">
        <v>0</v>
      </c>
      <c r="K6870" t="n">
        <v>0</v>
      </c>
      <c r="L6870" t="n">
        <v>0</v>
      </c>
      <c r="M6870" t="n">
        <v>0</v>
      </c>
      <c r="N6870" t="n">
        <v>0</v>
      </c>
      <c r="O6870" t="n">
        <v>0</v>
      </c>
      <c r="P6870" t="n">
        <v>0</v>
      </c>
      <c r="Q6870" t="n">
        <v>0</v>
      </c>
      <c r="R6870" s="2" t="inlineStr"/>
    </row>
    <row r="6871" ht="15" customHeight="1">
      <c r="A6871" t="inlineStr">
        <is>
          <t>A 33510-2022</t>
        </is>
      </c>
      <c r="B6871" s="1" t="n">
        <v>44788</v>
      </c>
      <c r="C6871" s="1" t="n">
        <v>45357</v>
      </c>
      <c r="D6871" t="inlineStr">
        <is>
          <t>VÄSTERBOTTENS LÄN</t>
        </is>
      </c>
      <c r="E6871" t="inlineStr">
        <is>
          <t>VILHELMINA</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33603-2022</t>
        </is>
      </c>
      <c r="B6872" s="1" t="n">
        <v>44789</v>
      </c>
      <c r="C6872" s="1" t="n">
        <v>45357</v>
      </c>
      <c r="D6872" t="inlineStr">
        <is>
          <t>VÄSTERBOTTENS LÄN</t>
        </is>
      </c>
      <c r="E6872" t="inlineStr">
        <is>
          <t>VILHELMINA</t>
        </is>
      </c>
      <c r="F6872" t="inlineStr">
        <is>
          <t>Sveaskog</t>
        </is>
      </c>
      <c r="G6872" t="n">
        <v>15.1</v>
      </c>
      <c r="H6872" t="n">
        <v>0</v>
      </c>
      <c r="I6872" t="n">
        <v>0</v>
      </c>
      <c r="J6872" t="n">
        <v>0</v>
      </c>
      <c r="K6872" t="n">
        <v>0</v>
      </c>
      <c r="L6872" t="n">
        <v>0</v>
      </c>
      <c r="M6872" t="n">
        <v>0</v>
      </c>
      <c r="N6872" t="n">
        <v>0</v>
      </c>
      <c r="O6872" t="n">
        <v>0</v>
      </c>
      <c r="P6872" t="n">
        <v>0</v>
      </c>
      <c r="Q6872" t="n">
        <v>0</v>
      </c>
      <c r="R6872" s="2" t="inlineStr"/>
    </row>
    <row r="6873" ht="15" customHeight="1">
      <c r="A6873" t="inlineStr">
        <is>
          <t>A 33629-2022</t>
        </is>
      </c>
      <c r="B6873" s="1" t="n">
        <v>44789</v>
      </c>
      <c r="C6873" s="1" t="n">
        <v>45357</v>
      </c>
      <c r="D6873" t="inlineStr">
        <is>
          <t>VÄSTERBOTTENS LÄN</t>
        </is>
      </c>
      <c r="E6873" t="inlineStr">
        <is>
          <t>SKELLEFTEÅ</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33584-2022</t>
        </is>
      </c>
      <c r="B6874" s="1" t="n">
        <v>44789</v>
      </c>
      <c r="C6874" s="1" t="n">
        <v>45357</v>
      </c>
      <c r="D6874" t="inlineStr">
        <is>
          <t>VÄSTERBOTTENS LÄN</t>
        </is>
      </c>
      <c r="E6874" t="inlineStr">
        <is>
          <t>ROBERTSFORS</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33612-2022</t>
        </is>
      </c>
      <c r="B6875" s="1" t="n">
        <v>44789</v>
      </c>
      <c r="C6875" s="1" t="n">
        <v>45357</v>
      </c>
      <c r="D6875" t="inlineStr">
        <is>
          <t>VÄSTERBOTTENS LÄN</t>
        </is>
      </c>
      <c r="E6875" t="inlineStr">
        <is>
          <t>NORDMALING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33726-2022</t>
        </is>
      </c>
      <c r="B6876" s="1" t="n">
        <v>44789</v>
      </c>
      <c r="C6876" s="1" t="n">
        <v>45357</v>
      </c>
      <c r="D6876" t="inlineStr">
        <is>
          <t>VÄSTERBOTTENS LÄN</t>
        </is>
      </c>
      <c r="E6876" t="inlineStr">
        <is>
          <t>LYCKSELE</t>
        </is>
      </c>
      <c r="F6876" t="inlineStr">
        <is>
          <t>SCA</t>
        </is>
      </c>
      <c r="G6876" t="n">
        <v>12.7</v>
      </c>
      <c r="H6876" t="n">
        <v>0</v>
      </c>
      <c r="I6876" t="n">
        <v>0</v>
      </c>
      <c r="J6876" t="n">
        <v>0</v>
      </c>
      <c r="K6876" t="n">
        <v>0</v>
      </c>
      <c r="L6876" t="n">
        <v>0</v>
      </c>
      <c r="M6876" t="n">
        <v>0</v>
      </c>
      <c r="N6876" t="n">
        <v>0</v>
      </c>
      <c r="O6876" t="n">
        <v>0</v>
      </c>
      <c r="P6876" t="n">
        <v>0</v>
      </c>
      <c r="Q6876" t="n">
        <v>0</v>
      </c>
      <c r="R6876" s="2" t="inlineStr"/>
    </row>
    <row r="6877" ht="15" customHeight="1">
      <c r="A6877" t="inlineStr">
        <is>
          <t>A 33916-2022</t>
        </is>
      </c>
      <c r="B6877" s="1" t="n">
        <v>44790</v>
      </c>
      <c r="C6877" s="1" t="n">
        <v>45357</v>
      </c>
      <c r="D6877" t="inlineStr">
        <is>
          <t>VÄSTERBOTTENS LÄN</t>
        </is>
      </c>
      <c r="E6877" t="inlineStr">
        <is>
          <t>ROBERTSFORS</t>
        </is>
      </c>
      <c r="F6877" t="inlineStr">
        <is>
          <t>Holmen skog AB</t>
        </is>
      </c>
      <c r="G6877" t="n">
        <v>14.5</v>
      </c>
      <c r="H6877" t="n">
        <v>0</v>
      </c>
      <c r="I6877" t="n">
        <v>0</v>
      </c>
      <c r="J6877" t="n">
        <v>0</v>
      </c>
      <c r="K6877" t="n">
        <v>0</v>
      </c>
      <c r="L6877" t="n">
        <v>0</v>
      </c>
      <c r="M6877" t="n">
        <v>0</v>
      </c>
      <c r="N6877" t="n">
        <v>0</v>
      </c>
      <c r="O6877" t="n">
        <v>0</v>
      </c>
      <c r="P6877" t="n">
        <v>0</v>
      </c>
      <c r="Q6877" t="n">
        <v>0</v>
      </c>
      <c r="R6877" s="2" t="inlineStr"/>
    </row>
    <row r="6878" ht="15" customHeight="1">
      <c r="A6878" t="inlineStr">
        <is>
          <t>A 33952-2022</t>
        </is>
      </c>
      <c r="B6878" s="1" t="n">
        <v>44790</v>
      </c>
      <c r="C6878" s="1" t="n">
        <v>45357</v>
      </c>
      <c r="D6878" t="inlineStr">
        <is>
          <t>VÄSTERBOTTENS LÄN</t>
        </is>
      </c>
      <c r="E6878" t="inlineStr">
        <is>
          <t>UMEÅ</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33984-2022</t>
        </is>
      </c>
      <c r="B6879" s="1" t="n">
        <v>44791</v>
      </c>
      <c r="C6879" s="1" t="n">
        <v>45357</v>
      </c>
      <c r="D6879" t="inlineStr">
        <is>
          <t>VÄSTERBOTTENS LÄN</t>
        </is>
      </c>
      <c r="E6879" t="inlineStr">
        <is>
          <t>SKELLEFTEÅ</t>
        </is>
      </c>
      <c r="F6879" t="inlineStr">
        <is>
          <t>Sveaskog</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33981-2022</t>
        </is>
      </c>
      <c r="B6880" s="1" t="n">
        <v>44791</v>
      </c>
      <c r="C6880" s="1" t="n">
        <v>45357</v>
      </c>
      <c r="D6880" t="inlineStr">
        <is>
          <t>VÄSTERBOTTENS LÄN</t>
        </is>
      </c>
      <c r="E6880" t="inlineStr">
        <is>
          <t>VÄNNÄS</t>
        </is>
      </c>
      <c r="G6880" t="n">
        <v>5</v>
      </c>
      <c r="H6880" t="n">
        <v>0</v>
      </c>
      <c r="I6880" t="n">
        <v>0</v>
      </c>
      <c r="J6880" t="n">
        <v>0</v>
      </c>
      <c r="K6880" t="n">
        <v>0</v>
      </c>
      <c r="L6880" t="n">
        <v>0</v>
      </c>
      <c r="M6880" t="n">
        <v>0</v>
      </c>
      <c r="N6880" t="n">
        <v>0</v>
      </c>
      <c r="O6880" t="n">
        <v>0</v>
      </c>
      <c r="P6880" t="n">
        <v>0</v>
      </c>
      <c r="Q6880" t="n">
        <v>0</v>
      </c>
      <c r="R6880" s="2" t="inlineStr"/>
    </row>
    <row r="6881" ht="15" customHeight="1">
      <c r="A6881" t="inlineStr">
        <is>
          <t>A 34006-2022</t>
        </is>
      </c>
      <c r="B6881" s="1" t="n">
        <v>44791</v>
      </c>
      <c r="C6881" s="1" t="n">
        <v>45357</v>
      </c>
      <c r="D6881" t="inlineStr">
        <is>
          <t>VÄSTERBOTTENS LÄN</t>
        </is>
      </c>
      <c r="E6881" t="inlineStr">
        <is>
          <t>DOROTEA</t>
        </is>
      </c>
      <c r="F6881" t="inlineStr">
        <is>
          <t>SCA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33989-2022</t>
        </is>
      </c>
      <c r="B6882" s="1" t="n">
        <v>44790</v>
      </c>
      <c r="C6882" s="1" t="n">
        <v>45357</v>
      </c>
      <c r="D6882" t="inlineStr">
        <is>
          <t>VÄSTERBOTTENS LÄN</t>
        </is>
      </c>
      <c r="E6882" t="inlineStr">
        <is>
          <t>VILHELMINA</t>
        </is>
      </c>
      <c r="F6882" t="inlineStr">
        <is>
          <t>SCA</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34094-2022</t>
        </is>
      </c>
      <c r="B6883" s="1" t="n">
        <v>44791</v>
      </c>
      <c r="C6883" s="1" t="n">
        <v>45357</v>
      </c>
      <c r="D6883" t="inlineStr">
        <is>
          <t>VÄSTERBOTTENS LÄN</t>
        </is>
      </c>
      <c r="E6883" t="inlineStr">
        <is>
          <t>SKELLEFTEÅ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34104-2022</t>
        </is>
      </c>
      <c r="B6884" s="1" t="n">
        <v>44791</v>
      </c>
      <c r="C6884" s="1" t="n">
        <v>45357</v>
      </c>
      <c r="D6884" t="inlineStr">
        <is>
          <t>VÄSTERBOTTENS LÄN</t>
        </is>
      </c>
      <c r="E6884" t="inlineStr">
        <is>
          <t>SKELLEFTEÅ</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34082-2022</t>
        </is>
      </c>
      <c r="B6885" s="1" t="n">
        <v>44791</v>
      </c>
      <c r="C6885" s="1" t="n">
        <v>45357</v>
      </c>
      <c r="D6885" t="inlineStr">
        <is>
          <t>VÄSTERBOTTENS LÄN</t>
        </is>
      </c>
      <c r="E6885" t="inlineStr">
        <is>
          <t>SKELLEFTEÅ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34266-2022</t>
        </is>
      </c>
      <c r="B6886" s="1" t="n">
        <v>44791</v>
      </c>
      <c r="C6886" s="1" t="n">
        <v>45357</v>
      </c>
      <c r="D6886" t="inlineStr">
        <is>
          <t>VÄSTERBOTTENS LÄN</t>
        </is>
      </c>
      <c r="E6886" t="inlineStr">
        <is>
          <t>VINDELN</t>
        </is>
      </c>
      <c r="F6886" t="inlineStr">
        <is>
          <t>SCA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34353-2022</t>
        </is>
      </c>
      <c r="B6887" s="1" t="n">
        <v>44792</v>
      </c>
      <c r="C6887" s="1" t="n">
        <v>45357</v>
      </c>
      <c r="D6887" t="inlineStr">
        <is>
          <t>VÄSTERBOTTENS LÄN</t>
        </is>
      </c>
      <c r="E6887" t="inlineStr">
        <is>
          <t>MALÅ</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34296-2022</t>
        </is>
      </c>
      <c r="B6888" s="1" t="n">
        <v>44792</v>
      </c>
      <c r="C6888" s="1" t="n">
        <v>45357</v>
      </c>
      <c r="D6888" t="inlineStr">
        <is>
          <t>VÄSTERBOTTENS LÄN</t>
        </is>
      </c>
      <c r="E6888" t="inlineStr">
        <is>
          <t>BJURHOLM</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34332-2022</t>
        </is>
      </c>
      <c r="B6889" s="1" t="n">
        <v>44792</v>
      </c>
      <c r="C6889" s="1" t="n">
        <v>45357</v>
      </c>
      <c r="D6889" t="inlineStr">
        <is>
          <t>VÄSTERBOTTENS LÄN</t>
        </is>
      </c>
      <c r="E6889" t="inlineStr">
        <is>
          <t>BJURHOLM</t>
        </is>
      </c>
      <c r="F6889" t="inlineStr">
        <is>
          <t>Holmen skog AB</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34401-2022</t>
        </is>
      </c>
      <c r="B6890" s="1" t="n">
        <v>44792</v>
      </c>
      <c r="C6890" s="1" t="n">
        <v>45357</v>
      </c>
      <c r="D6890" t="inlineStr">
        <is>
          <t>VÄSTERBOTTENS LÄN</t>
        </is>
      </c>
      <c r="E6890" t="inlineStr">
        <is>
          <t>BJURHOLM</t>
        </is>
      </c>
      <c r="F6890" t="inlineStr">
        <is>
          <t>Holmen skog AB</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34412-2022</t>
        </is>
      </c>
      <c r="B6891" s="1" t="n">
        <v>44792</v>
      </c>
      <c r="C6891" s="1" t="n">
        <v>45357</v>
      </c>
      <c r="D6891" t="inlineStr">
        <is>
          <t>VÄSTERBOTTENS LÄN</t>
        </is>
      </c>
      <c r="E6891" t="inlineStr">
        <is>
          <t>UMEÅ</t>
        </is>
      </c>
      <c r="F6891" t="inlineStr">
        <is>
          <t>Holmen skog AB</t>
        </is>
      </c>
      <c r="G6891" t="n">
        <v>12.8</v>
      </c>
      <c r="H6891" t="n">
        <v>0</v>
      </c>
      <c r="I6891" t="n">
        <v>0</v>
      </c>
      <c r="J6891" t="n">
        <v>0</v>
      </c>
      <c r="K6891" t="n">
        <v>0</v>
      </c>
      <c r="L6891" t="n">
        <v>0</v>
      </c>
      <c r="M6891" t="n">
        <v>0</v>
      </c>
      <c r="N6891" t="n">
        <v>0</v>
      </c>
      <c r="O6891" t="n">
        <v>0</v>
      </c>
      <c r="P6891" t="n">
        <v>0</v>
      </c>
      <c r="Q6891" t="n">
        <v>0</v>
      </c>
      <c r="R6891" s="2" t="inlineStr"/>
    </row>
    <row r="6892" ht="15" customHeight="1">
      <c r="A6892" t="inlineStr">
        <is>
          <t>A 34547-2022</t>
        </is>
      </c>
      <c r="B6892" s="1" t="n">
        <v>44794</v>
      </c>
      <c r="C6892" s="1" t="n">
        <v>45357</v>
      </c>
      <c r="D6892" t="inlineStr">
        <is>
          <t>VÄSTERBOTTENS LÄN</t>
        </is>
      </c>
      <c r="E6892" t="inlineStr">
        <is>
          <t>SKELLEFTEÅ</t>
        </is>
      </c>
      <c r="F6892" t="inlineStr">
        <is>
          <t>SCA</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34560-2022</t>
        </is>
      </c>
      <c r="B6893" s="1" t="n">
        <v>44794</v>
      </c>
      <c r="C6893" s="1" t="n">
        <v>45357</v>
      </c>
      <c r="D6893" t="inlineStr">
        <is>
          <t>VÄSTERBOTTENS LÄN</t>
        </is>
      </c>
      <c r="E6893" t="inlineStr">
        <is>
          <t>BJURHOLM</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34563-2022</t>
        </is>
      </c>
      <c r="B6894" s="1" t="n">
        <v>44794</v>
      </c>
      <c r="C6894" s="1" t="n">
        <v>45357</v>
      </c>
      <c r="D6894" t="inlineStr">
        <is>
          <t>VÄSTERBOTTENS LÄN</t>
        </is>
      </c>
      <c r="E6894" t="inlineStr">
        <is>
          <t>VINDELN</t>
        </is>
      </c>
      <c r="G6894" t="n">
        <v>8.1</v>
      </c>
      <c r="H6894" t="n">
        <v>0</v>
      </c>
      <c r="I6894" t="n">
        <v>0</v>
      </c>
      <c r="J6894" t="n">
        <v>0</v>
      </c>
      <c r="K6894" t="n">
        <v>0</v>
      </c>
      <c r="L6894" t="n">
        <v>0</v>
      </c>
      <c r="M6894" t="n">
        <v>0</v>
      </c>
      <c r="N6894" t="n">
        <v>0</v>
      </c>
      <c r="O6894" t="n">
        <v>0</v>
      </c>
      <c r="P6894" t="n">
        <v>0</v>
      </c>
      <c r="Q6894" t="n">
        <v>0</v>
      </c>
      <c r="R6894" s="2" t="inlineStr"/>
    </row>
    <row r="6895" ht="15" customHeight="1">
      <c r="A6895" t="inlineStr">
        <is>
          <t>A 34587-2022</t>
        </is>
      </c>
      <c r="B6895" s="1" t="n">
        <v>44795</v>
      </c>
      <c r="C6895" s="1" t="n">
        <v>45357</v>
      </c>
      <c r="D6895" t="inlineStr">
        <is>
          <t>VÄSTERBOTTENS LÄN</t>
        </is>
      </c>
      <c r="E6895" t="inlineStr">
        <is>
          <t>ROBERTSFORS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34639-2022</t>
        </is>
      </c>
      <c r="B6896" s="1" t="n">
        <v>44795</v>
      </c>
      <c r="C6896" s="1" t="n">
        <v>45357</v>
      </c>
      <c r="D6896" t="inlineStr">
        <is>
          <t>VÄSTERBOTTENS LÄN</t>
        </is>
      </c>
      <c r="E6896" t="inlineStr">
        <is>
          <t>SKELLEFTEÅ</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34786-2022</t>
        </is>
      </c>
      <c r="B6897" s="1" t="n">
        <v>44796</v>
      </c>
      <c r="C6897" s="1" t="n">
        <v>45357</v>
      </c>
      <c r="D6897" t="inlineStr">
        <is>
          <t>VÄSTERBOTTENS LÄN</t>
        </is>
      </c>
      <c r="E6897" t="inlineStr">
        <is>
          <t>ÅSELE</t>
        </is>
      </c>
      <c r="F6897" t="inlineStr">
        <is>
          <t>SCA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34751-2022</t>
        </is>
      </c>
      <c r="B6898" s="1" t="n">
        <v>44795</v>
      </c>
      <c r="C6898" s="1" t="n">
        <v>45357</v>
      </c>
      <c r="D6898" t="inlineStr">
        <is>
          <t>VÄSTERBOTTENS LÄN</t>
        </is>
      </c>
      <c r="E6898" t="inlineStr">
        <is>
          <t>BJURHOLM</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34788-2022</t>
        </is>
      </c>
      <c r="B6899" s="1" t="n">
        <v>44795</v>
      </c>
      <c r="C6899" s="1" t="n">
        <v>45357</v>
      </c>
      <c r="D6899" t="inlineStr">
        <is>
          <t>VÄSTERBOTTENS LÄN</t>
        </is>
      </c>
      <c r="E6899" t="inlineStr">
        <is>
          <t>ÅSELE</t>
        </is>
      </c>
      <c r="F6899" t="inlineStr">
        <is>
          <t>SCA</t>
        </is>
      </c>
      <c r="G6899" t="n">
        <v>18.4</v>
      </c>
      <c r="H6899" t="n">
        <v>0</v>
      </c>
      <c r="I6899" t="n">
        <v>0</v>
      </c>
      <c r="J6899" t="n">
        <v>0</v>
      </c>
      <c r="K6899" t="n">
        <v>0</v>
      </c>
      <c r="L6899" t="n">
        <v>0</v>
      </c>
      <c r="M6899" t="n">
        <v>0</v>
      </c>
      <c r="N6899" t="n">
        <v>0</v>
      </c>
      <c r="O6899" t="n">
        <v>0</v>
      </c>
      <c r="P6899" t="n">
        <v>0</v>
      </c>
      <c r="Q6899" t="n">
        <v>0</v>
      </c>
      <c r="R6899" s="2" t="inlineStr"/>
    </row>
    <row r="6900" ht="15" customHeight="1">
      <c r="A6900" t="inlineStr">
        <is>
          <t>A 34787-2022</t>
        </is>
      </c>
      <c r="B6900" s="1" t="n">
        <v>44795</v>
      </c>
      <c r="C6900" s="1" t="n">
        <v>45357</v>
      </c>
      <c r="D6900" t="inlineStr">
        <is>
          <t>VÄSTERBOTTENS LÄN</t>
        </is>
      </c>
      <c r="E6900" t="inlineStr">
        <is>
          <t>ÅSELE</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34807-2022</t>
        </is>
      </c>
      <c r="B6901" s="1" t="n">
        <v>44796</v>
      </c>
      <c r="C6901" s="1" t="n">
        <v>45357</v>
      </c>
      <c r="D6901" t="inlineStr">
        <is>
          <t>VÄSTERBOTTENS LÄN</t>
        </is>
      </c>
      <c r="E6901" t="inlineStr">
        <is>
          <t>ÅSELE</t>
        </is>
      </c>
      <c r="F6901" t="inlineStr">
        <is>
          <t>SCA</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34808-2022</t>
        </is>
      </c>
      <c r="B6902" s="1" t="n">
        <v>44796</v>
      </c>
      <c r="C6902" s="1" t="n">
        <v>45357</v>
      </c>
      <c r="D6902" t="inlineStr">
        <is>
          <t>VÄSTERBOTTENS LÄN</t>
        </is>
      </c>
      <c r="E6902" t="inlineStr">
        <is>
          <t>LYCKSELE</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34895-2022</t>
        </is>
      </c>
      <c r="B6903" s="1" t="n">
        <v>44796</v>
      </c>
      <c r="C6903" s="1" t="n">
        <v>45357</v>
      </c>
      <c r="D6903" t="inlineStr">
        <is>
          <t>VÄSTERBOTTENS LÄN</t>
        </is>
      </c>
      <c r="E6903" t="inlineStr">
        <is>
          <t>SKELLEFTEÅ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34954-2022</t>
        </is>
      </c>
      <c r="B6904" s="1" t="n">
        <v>44796</v>
      </c>
      <c r="C6904" s="1" t="n">
        <v>45357</v>
      </c>
      <c r="D6904" t="inlineStr">
        <is>
          <t>VÄSTERBOTTENS LÄN</t>
        </is>
      </c>
      <c r="E6904" t="inlineStr">
        <is>
          <t>STORUMAN</t>
        </is>
      </c>
      <c r="F6904" t="inlineStr">
        <is>
          <t>Sveaskog</t>
        </is>
      </c>
      <c r="G6904" t="n">
        <v>16.1</v>
      </c>
      <c r="H6904" t="n">
        <v>0</v>
      </c>
      <c r="I6904" t="n">
        <v>0</v>
      </c>
      <c r="J6904" t="n">
        <v>0</v>
      </c>
      <c r="K6904" t="n">
        <v>0</v>
      </c>
      <c r="L6904" t="n">
        <v>0</v>
      </c>
      <c r="M6904" t="n">
        <v>0</v>
      </c>
      <c r="N6904" t="n">
        <v>0</v>
      </c>
      <c r="O6904" t="n">
        <v>0</v>
      </c>
      <c r="P6904" t="n">
        <v>0</v>
      </c>
      <c r="Q6904" t="n">
        <v>0</v>
      </c>
      <c r="R6904" s="2" t="inlineStr"/>
    </row>
    <row r="6905" ht="15" customHeight="1">
      <c r="A6905" t="inlineStr">
        <is>
          <t>A 35001-2022</t>
        </is>
      </c>
      <c r="B6905" s="1" t="n">
        <v>44797</v>
      </c>
      <c r="C6905" s="1" t="n">
        <v>45357</v>
      </c>
      <c r="D6905" t="inlineStr">
        <is>
          <t>VÄSTERBOTTENS LÄN</t>
        </is>
      </c>
      <c r="E6905" t="inlineStr">
        <is>
          <t>SKELLEFTEÅ</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34964-2022</t>
        </is>
      </c>
      <c r="B6906" s="1" t="n">
        <v>44796</v>
      </c>
      <c r="C6906" s="1" t="n">
        <v>45357</v>
      </c>
      <c r="D6906" t="inlineStr">
        <is>
          <t>VÄSTERBOTTENS LÄN</t>
        </is>
      </c>
      <c r="E6906" t="inlineStr">
        <is>
          <t>SORSELE</t>
        </is>
      </c>
      <c r="F6906" t="inlineStr">
        <is>
          <t>Sveaskog</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35003-2022</t>
        </is>
      </c>
      <c r="B6907" s="1" t="n">
        <v>44797</v>
      </c>
      <c r="C6907" s="1" t="n">
        <v>45357</v>
      </c>
      <c r="D6907" t="inlineStr">
        <is>
          <t>VÄSTERBOTTENS LÄN</t>
        </is>
      </c>
      <c r="E6907" t="inlineStr">
        <is>
          <t>VILHELMINA</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35119-2022</t>
        </is>
      </c>
      <c r="B6908" s="1" t="n">
        <v>44797</v>
      </c>
      <c r="C6908" s="1" t="n">
        <v>45357</v>
      </c>
      <c r="D6908" t="inlineStr">
        <is>
          <t>VÄSTERBOTTENS LÄN</t>
        </is>
      </c>
      <c r="E6908" t="inlineStr">
        <is>
          <t>SKELLEFTEÅ</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35125-2022</t>
        </is>
      </c>
      <c r="B6909" s="1" t="n">
        <v>44797</v>
      </c>
      <c r="C6909" s="1" t="n">
        <v>45357</v>
      </c>
      <c r="D6909" t="inlineStr">
        <is>
          <t>VÄSTERBOTTENS LÄN</t>
        </is>
      </c>
      <c r="E6909" t="inlineStr">
        <is>
          <t>ROBERTSFORS</t>
        </is>
      </c>
      <c r="F6909" t="inlineStr">
        <is>
          <t>Holmen skog AB</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35147-2022</t>
        </is>
      </c>
      <c r="B6910" s="1" t="n">
        <v>44797</v>
      </c>
      <c r="C6910" s="1" t="n">
        <v>45357</v>
      </c>
      <c r="D6910" t="inlineStr">
        <is>
          <t>VÄSTERBOTTENS LÄN</t>
        </is>
      </c>
      <c r="E6910" t="inlineStr">
        <is>
          <t>ROBERTSFORS</t>
        </is>
      </c>
      <c r="F6910" t="inlineStr">
        <is>
          <t>Holmen skog AB</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35172-2022</t>
        </is>
      </c>
      <c r="B6911" s="1" t="n">
        <v>44797</v>
      </c>
      <c r="C6911" s="1" t="n">
        <v>45357</v>
      </c>
      <c r="D6911" t="inlineStr">
        <is>
          <t>VÄSTERBOTTENS LÄN</t>
        </is>
      </c>
      <c r="E6911" t="inlineStr">
        <is>
          <t>SORSELE</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35201-2022</t>
        </is>
      </c>
      <c r="B6912" s="1" t="n">
        <v>44797</v>
      </c>
      <c r="C6912" s="1" t="n">
        <v>45357</v>
      </c>
      <c r="D6912" t="inlineStr">
        <is>
          <t>VÄSTERBOTTENS LÄN</t>
        </is>
      </c>
      <c r="E6912" t="inlineStr">
        <is>
          <t>VINDELN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35195-2022</t>
        </is>
      </c>
      <c r="B6913" s="1" t="n">
        <v>44797</v>
      </c>
      <c r="C6913" s="1" t="n">
        <v>45357</v>
      </c>
      <c r="D6913" t="inlineStr">
        <is>
          <t>VÄSTERBOTTENS LÄN</t>
        </is>
      </c>
      <c r="E6913" t="inlineStr">
        <is>
          <t>VINDELN</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35178-2022</t>
        </is>
      </c>
      <c r="B6914" s="1" t="n">
        <v>44797</v>
      </c>
      <c r="C6914" s="1" t="n">
        <v>45357</v>
      </c>
      <c r="D6914" t="inlineStr">
        <is>
          <t>VÄSTERBOTTENS LÄN</t>
        </is>
      </c>
      <c r="E6914" t="inlineStr">
        <is>
          <t>VILHELMINA</t>
        </is>
      </c>
      <c r="F6914" t="inlineStr">
        <is>
          <t>Övriga statliga verk och myndigheter</t>
        </is>
      </c>
      <c r="G6914" t="n">
        <v>32.5</v>
      </c>
      <c r="H6914" t="n">
        <v>0</v>
      </c>
      <c r="I6914" t="n">
        <v>0</v>
      </c>
      <c r="J6914" t="n">
        <v>0</v>
      </c>
      <c r="K6914" t="n">
        <v>0</v>
      </c>
      <c r="L6914" t="n">
        <v>0</v>
      </c>
      <c r="M6914" t="n">
        <v>0</v>
      </c>
      <c r="N6914" t="n">
        <v>0</v>
      </c>
      <c r="O6914" t="n">
        <v>0</v>
      </c>
      <c r="P6914" t="n">
        <v>0</v>
      </c>
      <c r="Q6914" t="n">
        <v>0</v>
      </c>
      <c r="R6914" s="2" t="inlineStr"/>
    </row>
    <row r="6915" ht="15" customHeight="1">
      <c r="A6915" t="inlineStr">
        <is>
          <t>A 35189-2022</t>
        </is>
      </c>
      <c r="B6915" s="1" t="n">
        <v>44797</v>
      </c>
      <c r="C6915" s="1" t="n">
        <v>45357</v>
      </c>
      <c r="D6915" t="inlineStr">
        <is>
          <t>VÄSTERBOTTENS LÄN</t>
        </is>
      </c>
      <c r="E6915" t="inlineStr">
        <is>
          <t>SKELLEFTEÅ</t>
        </is>
      </c>
      <c r="F6915" t="inlineStr">
        <is>
          <t>Holmen skog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35207-2022</t>
        </is>
      </c>
      <c r="B6916" s="1" t="n">
        <v>44797</v>
      </c>
      <c r="C6916" s="1" t="n">
        <v>45357</v>
      </c>
      <c r="D6916" t="inlineStr">
        <is>
          <t>VÄSTERBOTTENS LÄN</t>
        </is>
      </c>
      <c r="E6916" t="inlineStr">
        <is>
          <t>UMEÅ</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35227-2022</t>
        </is>
      </c>
      <c r="B6917" s="1" t="n">
        <v>44798</v>
      </c>
      <c r="C6917" s="1" t="n">
        <v>45357</v>
      </c>
      <c r="D6917" t="inlineStr">
        <is>
          <t>VÄSTERBOTTENS LÄN</t>
        </is>
      </c>
      <c r="E6917" t="inlineStr">
        <is>
          <t>ÅSELE</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35290-2022</t>
        </is>
      </c>
      <c r="B6918" s="1" t="n">
        <v>44798</v>
      </c>
      <c r="C6918" s="1" t="n">
        <v>45357</v>
      </c>
      <c r="D6918" t="inlineStr">
        <is>
          <t>VÄSTERBOTTENS LÄN</t>
        </is>
      </c>
      <c r="E6918" t="inlineStr">
        <is>
          <t>VINDELN</t>
        </is>
      </c>
      <c r="F6918" t="inlineStr">
        <is>
          <t>Holmen skog AB</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35289-2022</t>
        </is>
      </c>
      <c r="B6919" s="1" t="n">
        <v>44798</v>
      </c>
      <c r="C6919" s="1" t="n">
        <v>45357</v>
      </c>
      <c r="D6919" t="inlineStr">
        <is>
          <t>VÄSTERBOTTENS LÄN</t>
        </is>
      </c>
      <c r="E6919" t="inlineStr">
        <is>
          <t>VINDELN</t>
        </is>
      </c>
      <c r="F6919" t="inlineStr">
        <is>
          <t>Holmen skog AB</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35355-2022</t>
        </is>
      </c>
      <c r="B6920" s="1" t="n">
        <v>44798</v>
      </c>
      <c r="C6920" s="1" t="n">
        <v>45357</v>
      </c>
      <c r="D6920" t="inlineStr">
        <is>
          <t>VÄSTERBOTTENS LÄN</t>
        </is>
      </c>
      <c r="E6920" t="inlineStr">
        <is>
          <t>VINDELN</t>
        </is>
      </c>
      <c r="F6920" t="inlineStr">
        <is>
          <t>Holmen skog AB</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35405-2022</t>
        </is>
      </c>
      <c r="B6921" s="1" t="n">
        <v>44798</v>
      </c>
      <c r="C6921" s="1" t="n">
        <v>45357</v>
      </c>
      <c r="D6921" t="inlineStr">
        <is>
          <t>VÄSTERBOTTENS LÄN</t>
        </is>
      </c>
      <c r="E6921" t="inlineStr">
        <is>
          <t>UMEÅ</t>
        </is>
      </c>
      <c r="F6921" t="inlineStr">
        <is>
          <t>Holmen skog AB</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35432-2022</t>
        </is>
      </c>
      <c r="B6922" s="1" t="n">
        <v>44798</v>
      </c>
      <c r="C6922" s="1" t="n">
        <v>45357</v>
      </c>
      <c r="D6922" t="inlineStr">
        <is>
          <t>VÄSTERBOTTENS LÄN</t>
        </is>
      </c>
      <c r="E6922" t="inlineStr">
        <is>
          <t>ROBERTSFORS</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35473-2022</t>
        </is>
      </c>
      <c r="B6923" s="1" t="n">
        <v>44798</v>
      </c>
      <c r="C6923" s="1" t="n">
        <v>45357</v>
      </c>
      <c r="D6923" t="inlineStr">
        <is>
          <t>VÄSTERBOTTENS LÄN</t>
        </is>
      </c>
      <c r="E6923" t="inlineStr">
        <is>
          <t>VINDELN</t>
        </is>
      </c>
      <c r="F6923" t="inlineStr">
        <is>
          <t>Holmen skog AB</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35491-2022</t>
        </is>
      </c>
      <c r="B6924" s="1" t="n">
        <v>44798</v>
      </c>
      <c r="C6924" s="1" t="n">
        <v>45357</v>
      </c>
      <c r="D6924" t="inlineStr">
        <is>
          <t>VÄSTERBOTTENS LÄN</t>
        </is>
      </c>
      <c r="E6924" t="inlineStr">
        <is>
          <t>SKELLEFTEÅ</t>
        </is>
      </c>
      <c r="F6924" t="inlineStr">
        <is>
          <t>Sveaskog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35474-2022</t>
        </is>
      </c>
      <c r="B6925" s="1" t="n">
        <v>44798</v>
      </c>
      <c r="C6925" s="1" t="n">
        <v>45357</v>
      </c>
      <c r="D6925" t="inlineStr">
        <is>
          <t>VÄSTERBOTTENS LÄN</t>
        </is>
      </c>
      <c r="E6925" t="inlineStr">
        <is>
          <t>VINDELN</t>
        </is>
      </c>
      <c r="F6925" t="inlineStr">
        <is>
          <t>Holmen skog AB</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35482-2022</t>
        </is>
      </c>
      <c r="B6926" s="1" t="n">
        <v>44799</v>
      </c>
      <c r="C6926" s="1" t="n">
        <v>45357</v>
      </c>
      <c r="D6926" t="inlineStr">
        <is>
          <t>VÄSTERBOTTENS LÄN</t>
        </is>
      </c>
      <c r="E6926" t="inlineStr">
        <is>
          <t>BJURHOLM</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35485-2022</t>
        </is>
      </c>
      <c r="B6927" s="1" t="n">
        <v>44799</v>
      </c>
      <c r="C6927" s="1" t="n">
        <v>45357</v>
      </c>
      <c r="D6927" t="inlineStr">
        <is>
          <t>VÄSTERBOTTENS LÄN</t>
        </is>
      </c>
      <c r="E6927" t="inlineStr">
        <is>
          <t>LYCKSELE</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35514-2022</t>
        </is>
      </c>
      <c r="B6928" s="1" t="n">
        <v>44799</v>
      </c>
      <c r="C6928" s="1" t="n">
        <v>45357</v>
      </c>
      <c r="D6928" t="inlineStr">
        <is>
          <t>VÄSTERBOTTENS LÄN</t>
        </is>
      </c>
      <c r="E6928" t="inlineStr">
        <is>
          <t>VILHELMINA</t>
        </is>
      </c>
      <c r="F6928" t="inlineStr">
        <is>
          <t>SCA</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35506-2022</t>
        </is>
      </c>
      <c r="B6929" s="1" t="n">
        <v>44798</v>
      </c>
      <c r="C6929" s="1" t="n">
        <v>45357</v>
      </c>
      <c r="D6929" t="inlineStr">
        <is>
          <t>VÄSTERBOTTENS LÄN</t>
        </is>
      </c>
      <c r="E6929" t="inlineStr">
        <is>
          <t>VILHELMINA</t>
        </is>
      </c>
      <c r="F6929" t="inlineStr">
        <is>
          <t>SCA</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35515-2022</t>
        </is>
      </c>
      <c r="B6930" s="1" t="n">
        <v>44799</v>
      </c>
      <c r="C6930" s="1" t="n">
        <v>45357</v>
      </c>
      <c r="D6930" t="inlineStr">
        <is>
          <t>VÄSTERBOTTENS LÄN</t>
        </is>
      </c>
      <c r="E6930" t="inlineStr">
        <is>
          <t>VILHELMINA</t>
        </is>
      </c>
      <c r="F6930" t="inlineStr">
        <is>
          <t>SCA</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35490-2022</t>
        </is>
      </c>
      <c r="B6931" s="1" t="n">
        <v>44799</v>
      </c>
      <c r="C6931" s="1" t="n">
        <v>45357</v>
      </c>
      <c r="D6931" t="inlineStr">
        <is>
          <t>VÄSTERBOTTENS LÄN</t>
        </is>
      </c>
      <c r="E6931" t="inlineStr">
        <is>
          <t>LYCKSELE</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35478-2022</t>
        </is>
      </c>
      <c r="B6932" s="1" t="n">
        <v>44798</v>
      </c>
      <c r="C6932" s="1" t="n">
        <v>45357</v>
      </c>
      <c r="D6932" t="inlineStr">
        <is>
          <t>VÄSTERBOTTENS LÄN</t>
        </is>
      </c>
      <c r="E6932" t="inlineStr">
        <is>
          <t>NORSJÖ</t>
        </is>
      </c>
      <c r="G6932" t="n">
        <v>11.4</v>
      </c>
      <c r="H6932" t="n">
        <v>0</v>
      </c>
      <c r="I6932" t="n">
        <v>0</v>
      </c>
      <c r="J6932" t="n">
        <v>0</v>
      </c>
      <c r="K6932" t="n">
        <v>0</v>
      </c>
      <c r="L6932" t="n">
        <v>0</v>
      </c>
      <c r="M6932" t="n">
        <v>0</v>
      </c>
      <c r="N6932" t="n">
        <v>0</v>
      </c>
      <c r="O6932" t="n">
        <v>0</v>
      </c>
      <c r="P6932" t="n">
        <v>0</v>
      </c>
      <c r="Q6932" t="n">
        <v>0</v>
      </c>
      <c r="R6932" s="2" t="inlineStr"/>
    </row>
    <row r="6933" ht="15" customHeight="1">
      <c r="A6933" t="inlineStr">
        <is>
          <t>A 35476-2022</t>
        </is>
      </c>
      <c r="B6933" s="1" t="n">
        <v>44799</v>
      </c>
      <c r="C6933" s="1" t="n">
        <v>45357</v>
      </c>
      <c r="D6933" t="inlineStr">
        <is>
          <t>VÄSTERBOTTENS LÄN</t>
        </is>
      </c>
      <c r="E6933" t="inlineStr">
        <is>
          <t>DOROTEA</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35513-2022</t>
        </is>
      </c>
      <c r="B6934" s="1" t="n">
        <v>44799</v>
      </c>
      <c r="C6934" s="1" t="n">
        <v>45357</v>
      </c>
      <c r="D6934" t="inlineStr">
        <is>
          <t>VÄSTERBOTTENS LÄN</t>
        </is>
      </c>
      <c r="E6934" t="inlineStr">
        <is>
          <t>VILHELMINA</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35558-2022</t>
        </is>
      </c>
      <c r="B6935" s="1" t="n">
        <v>44799</v>
      </c>
      <c r="C6935" s="1" t="n">
        <v>45357</v>
      </c>
      <c r="D6935" t="inlineStr">
        <is>
          <t>VÄSTERBOTTENS LÄN</t>
        </is>
      </c>
      <c r="E6935" t="inlineStr">
        <is>
          <t>SKELLEFTEÅ</t>
        </is>
      </c>
      <c r="F6935" t="inlineStr">
        <is>
          <t>Sveaskog</t>
        </is>
      </c>
      <c r="G6935" t="n">
        <v>21.8</v>
      </c>
      <c r="H6935" t="n">
        <v>0</v>
      </c>
      <c r="I6935" t="n">
        <v>0</v>
      </c>
      <c r="J6935" t="n">
        <v>0</v>
      </c>
      <c r="K6935" t="n">
        <v>0</v>
      </c>
      <c r="L6935" t="n">
        <v>0</v>
      </c>
      <c r="M6935" t="n">
        <v>0</v>
      </c>
      <c r="N6935" t="n">
        <v>0</v>
      </c>
      <c r="O6935" t="n">
        <v>0</v>
      </c>
      <c r="P6935" t="n">
        <v>0</v>
      </c>
      <c r="Q6935" t="n">
        <v>0</v>
      </c>
      <c r="R6935" s="2" t="inlineStr"/>
    </row>
    <row r="6936" ht="15" customHeight="1">
      <c r="A6936" t="inlineStr">
        <is>
          <t>A 35585-2022</t>
        </is>
      </c>
      <c r="B6936" s="1" t="n">
        <v>44799</v>
      </c>
      <c r="C6936" s="1" t="n">
        <v>45357</v>
      </c>
      <c r="D6936" t="inlineStr">
        <is>
          <t>VÄSTERBOTTENS LÄN</t>
        </is>
      </c>
      <c r="E6936" t="inlineStr">
        <is>
          <t>ÅSELE</t>
        </is>
      </c>
      <c r="F6936" t="inlineStr">
        <is>
          <t>Holmen skog AB</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35598-2022</t>
        </is>
      </c>
      <c r="B6937" s="1" t="n">
        <v>44799</v>
      </c>
      <c r="C6937" s="1" t="n">
        <v>45357</v>
      </c>
      <c r="D6937" t="inlineStr">
        <is>
          <t>VÄSTERBOTTENS LÄN</t>
        </is>
      </c>
      <c r="E6937" t="inlineStr">
        <is>
          <t>ÅSELE</t>
        </is>
      </c>
      <c r="F6937" t="inlineStr">
        <is>
          <t>Naturvårdsverket</t>
        </is>
      </c>
      <c r="G6937" t="n">
        <v>16.2</v>
      </c>
      <c r="H6937" t="n">
        <v>0</v>
      </c>
      <c r="I6937" t="n">
        <v>0</v>
      </c>
      <c r="J6937" t="n">
        <v>0</v>
      </c>
      <c r="K6937" t="n">
        <v>0</v>
      </c>
      <c r="L6937" t="n">
        <v>0</v>
      </c>
      <c r="M6937" t="n">
        <v>0</v>
      </c>
      <c r="N6937" t="n">
        <v>0</v>
      </c>
      <c r="O6937" t="n">
        <v>0</v>
      </c>
      <c r="P6937" t="n">
        <v>0</v>
      </c>
      <c r="Q6937" t="n">
        <v>0</v>
      </c>
      <c r="R6937" s="2" t="inlineStr"/>
    </row>
    <row r="6938" ht="15" customHeight="1">
      <c r="A6938" t="inlineStr">
        <is>
          <t>A 35609-2022</t>
        </is>
      </c>
      <c r="B6938" s="1" t="n">
        <v>44799</v>
      </c>
      <c r="C6938" s="1" t="n">
        <v>45357</v>
      </c>
      <c r="D6938" t="inlineStr">
        <is>
          <t>VÄSTERBOTTENS LÄN</t>
        </is>
      </c>
      <c r="E6938" t="inlineStr">
        <is>
          <t>SKELLEFTEÅ</t>
        </is>
      </c>
      <c r="F6938" t="inlineStr">
        <is>
          <t>Holmen skog AB</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35652-2022</t>
        </is>
      </c>
      <c r="B6939" s="1" t="n">
        <v>44799</v>
      </c>
      <c r="C6939" s="1" t="n">
        <v>45357</v>
      </c>
      <c r="D6939" t="inlineStr">
        <is>
          <t>VÄSTERBOTTENS LÄN</t>
        </is>
      </c>
      <c r="E6939" t="inlineStr">
        <is>
          <t>SKELLEFTEÅ</t>
        </is>
      </c>
      <c r="F6939" t="inlineStr">
        <is>
          <t>Sveaskog</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35635-2022</t>
        </is>
      </c>
      <c r="B6940" s="1" t="n">
        <v>44799</v>
      </c>
      <c r="C6940" s="1" t="n">
        <v>45357</v>
      </c>
      <c r="D6940" t="inlineStr">
        <is>
          <t>VÄSTERBOTTENS LÄN</t>
        </is>
      </c>
      <c r="E6940" t="inlineStr">
        <is>
          <t>SKELLEFTEÅ</t>
        </is>
      </c>
      <c r="F6940" t="inlineStr">
        <is>
          <t>Holmen skog AB</t>
        </is>
      </c>
      <c r="G6940" t="n">
        <v>15.6</v>
      </c>
      <c r="H6940" t="n">
        <v>0</v>
      </c>
      <c r="I6940" t="n">
        <v>0</v>
      </c>
      <c r="J6940" t="n">
        <v>0</v>
      </c>
      <c r="K6940" t="n">
        <v>0</v>
      </c>
      <c r="L6940" t="n">
        <v>0</v>
      </c>
      <c r="M6940" t="n">
        <v>0</v>
      </c>
      <c r="N6940" t="n">
        <v>0</v>
      </c>
      <c r="O6940" t="n">
        <v>0</v>
      </c>
      <c r="P6940" t="n">
        <v>0</v>
      </c>
      <c r="Q6940" t="n">
        <v>0</v>
      </c>
      <c r="R6940" s="2" t="inlineStr"/>
    </row>
    <row r="6941" ht="15" customHeight="1">
      <c r="A6941" t="inlineStr">
        <is>
          <t>A 35608-2022</t>
        </is>
      </c>
      <c r="B6941" s="1" t="n">
        <v>44799</v>
      </c>
      <c r="C6941" s="1" t="n">
        <v>45357</v>
      </c>
      <c r="D6941" t="inlineStr">
        <is>
          <t>VÄSTERBOTTENS LÄN</t>
        </is>
      </c>
      <c r="E6941" t="inlineStr">
        <is>
          <t>SKELLEFTEÅ</t>
        </is>
      </c>
      <c r="F6941" t="inlineStr">
        <is>
          <t>Sveaskog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35686-2022</t>
        </is>
      </c>
      <c r="B6942" s="1" t="n">
        <v>44799</v>
      </c>
      <c r="C6942" s="1" t="n">
        <v>45357</v>
      </c>
      <c r="D6942" t="inlineStr">
        <is>
          <t>VÄSTERBOTTENS LÄN</t>
        </is>
      </c>
      <c r="E6942" t="inlineStr">
        <is>
          <t>VILHELMINA</t>
        </is>
      </c>
      <c r="F6942" t="inlineStr">
        <is>
          <t>Övriga statliga verk och myndigheter</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35683-2022</t>
        </is>
      </c>
      <c r="B6943" s="1" t="n">
        <v>44799</v>
      </c>
      <c r="C6943" s="1" t="n">
        <v>45357</v>
      </c>
      <c r="D6943" t="inlineStr">
        <is>
          <t>VÄSTERBOTTENS LÄN</t>
        </is>
      </c>
      <c r="E6943" t="inlineStr">
        <is>
          <t>VINDELN</t>
        </is>
      </c>
      <c r="F6943" t="inlineStr">
        <is>
          <t>Holmen skog AB</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35748-2022</t>
        </is>
      </c>
      <c r="B6944" s="1" t="n">
        <v>44799</v>
      </c>
      <c r="C6944" s="1" t="n">
        <v>45357</v>
      </c>
      <c r="D6944" t="inlineStr">
        <is>
          <t>VÄSTERBOTTENS LÄN</t>
        </is>
      </c>
      <c r="E6944" t="inlineStr">
        <is>
          <t>DOROTEA</t>
        </is>
      </c>
      <c r="F6944" t="inlineStr">
        <is>
          <t>SCA</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35794-2022</t>
        </is>
      </c>
      <c r="B6945" s="1" t="n">
        <v>44801</v>
      </c>
      <c r="C6945" s="1" t="n">
        <v>45357</v>
      </c>
      <c r="D6945" t="inlineStr">
        <is>
          <t>VÄSTERBOTTENS LÄN</t>
        </is>
      </c>
      <c r="E6945" t="inlineStr">
        <is>
          <t>SKELLEFTEÅ</t>
        </is>
      </c>
      <c r="F6945" t="inlineStr">
        <is>
          <t>Sveaskog</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35771-2022</t>
        </is>
      </c>
      <c r="B6946" s="1" t="n">
        <v>44801</v>
      </c>
      <c r="C6946" s="1" t="n">
        <v>45357</v>
      </c>
      <c r="D6946" t="inlineStr">
        <is>
          <t>VÄSTERBOTTENS LÄN</t>
        </is>
      </c>
      <c r="E6946" t="inlineStr">
        <is>
          <t>SKELLEFTEÅ</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35894-2022</t>
        </is>
      </c>
      <c r="B6947" s="1" t="n">
        <v>44802</v>
      </c>
      <c r="C6947" s="1" t="n">
        <v>45357</v>
      </c>
      <c r="D6947" t="inlineStr">
        <is>
          <t>VÄSTERBOTTENS LÄN</t>
        </is>
      </c>
      <c r="E6947" t="inlineStr">
        <is>
          <t>MALÅ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35809-2022</t>
        </is>
      </c>
      <c r="B6948" s="1" t="n">
        <v>44802</v>
      </c>
      <c r="C6948" s="1" t="n">
        <v>45357</v>
      </c>
      <c r="D6948" t="inlineStr">
        <is>
          <t>VÄSTERBOTTENS LÄN</t>
        </is>
      </c>
      <c r="E6948" t="inlineStr">
        <is>
          <t>SKELLEFTEÅ</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36021-2022</t>
        </is>
      </c>
      <c r="B6949" s="1" t="n">
        <v>44802</v>
      </c>
      <c r="C6949" s="1" t="n">
        <v>45357</v>
      </c>
      <c r="D6949" t="inlineStr">
        <is>
          <t>VÄSTERBOTTENS LÄN</t>
        </is>
      </c>
      <c r="E6949" t="inlineStr">
        <is>
          <t>BJURHOLM</t>
        </is>
      </c>
      <c r="F6949" t="inlineStr">
        <is>
          <t>Holmen skog AB</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35917-2022</t>
        </is>
      </c>
      <c r="B6950" s="1" t="n">
        <v>44802</v>
      </c>
      <c r="C6950" s="1" t="n">
        <v>45357</v>
      </c>
      <c r="D6950" t="inlineStr">
        <is>
          <t>VÄSTERBOTTENS LÄN</t>
        </is>
      </c>
      <c r="E6950" t="inlineStr">
        <is>
          <t>MALÅ</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35808-2022</t>
        </is>
      </c>
      <c r="B6951" s="1" t="n">
        <v>44802</v>
      </c>
      <c r="C6951" s="1" t="n">
        <v>45357</v>
      </c>
      <c r="D6951" t="inlineStr">
        <is>
          <t>VÄSTERBOTTENS LÄN</t>
        </is>
      </c>
      <c r="E6951" t="inlineStr">
        <is>
          <t>UMEÅ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36058-2022</t>
        </is>
      </c>
      <c r="B6952" s="1" t="n">
        <v>44802</v>
      </c>
      <c r="C6952" s="1" t="n">
        <v>45357</v>
      </c>
      <c r="D6952" t="inlineStr">
        <is>
          <t>VÄSTERBOTTENS LÄN</t>
        </is>
      </c>
      <c r="E6952" t="inlineStr">
        <is>
          <t>VINDELN</t>
        </is>
      </c>
      <c r="F6952" t="inlineStr">
        <is>
          <t>Holmen skog AB</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36083-2022</t>
        </is>
      </c>
      <c r="B6953" s="1" t="n">
        <v>44803</v>
      </c>
      <c r="C6953" s="1" t="n">
        <v>45357</v>
      </c>
      <c r="D6953" t="inlineStr">
        <is>
          <t>VÄSTERBOTTENS LÄN</t>
        </is>
      </c>
      <c r="E6953" t="inlineStr">
        <is>
          <t>VILHELMINA</t>
        </is>
      </c>
      <c r="F6953" t="inlineStr">
        <is>
          <t>SCA</t>
        </is>
      </c>
      <c r="G6953" t="n">
        <v>24.1</v>
      </c>
      <c r="H6953" t="n">
        <v>0</v>
      </c>
      <c r="I6953" t="n">
        <v>0</v>
      </c>
      <c r="J6953" t="n">
        <v>0</v>
      </c>
      <c r="K6953" t="n">
        <v>0</v>
      </c>
      <c r="L6953" t="n">
        <v>0</v>
      </c>
      <c r="M6953" t="n">
        <v>0</v>
      </c>
      <c r="N6953" t="n">
        <v>0</v>
      </c>
      <c r="O6953" t="n">
        <v>0</v>
      </c>
      <c r="P6953" t="n">
        <v>0</v>
      </c>
      <c r="Q6953" t="n">
        <v>0</v>
      </c>
      <c r="R6953" s="2" t="inlineStr"/>
    </row>
    <row r="6954" ht="15" customHeight="1">
      <c r="A6954" t="inlineStr">
        <is>
          <t>A 35878-2022</t>
        </is>
      </c>
      <c r="B6954" s="1" t="n">
        <v>44802</v>
      </c>
      <c r="C6954" s="1" t="n">
        <v>45357</v>
      </c>
      <c r="D6954" t="inlineStr">
        <is>
          <t>VÄSTERBOTTENS LÄN</t>
        </is>
      </c>
      <c r="E6954" t="inlineStr">
        <is>
          <t>UMEÅ</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36081-2022</t>
        </is>
      </c>
      <c r="B6955" s="1" t="n">
        <v>44802</v>
      </c>
      <c r="C6955" s="1" t="n">
        <v>45357</v>
      </c>
      <c r="D6955" t="inlineStr">
        <is>
          <t>VÄSTERBOTTENS LÄN</t>
        </is>
      </c>
      <c r="E6955" t="inlineStr">
        <is>
          <t>VILHELMINA</t>
        </is>
      </c>
      <c r="F6955" t="inlineStr">
        <is>
          <t>SCA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36094-2022</t>
        </is>
      </c>
      <c r="B6956" s="1" t="n">
        <v>44803</v>
      </c>
      <c r="C6956" s="1" t="n">
        <v>45357</v>
      </c>
      <c r="D6956" t="inlineStr">
        <is>
          <t>VÄSTERBOTTENS LÄN</t>
        </is>
      </c>
      <c r="E6956" t="inlineStr">
        <is>
          <t>ÅSELE</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36102-2022</t>
        </is>
      </c>
      <c r="B6957" s="1" t="n">
        <v>44803</v>
      </c>
      <c r="C6957" s="1" t="n">
        <v>45357</v>
      </c>
      <c r="D6957" t="inlineStr">
        <is>
          <t>VÄSTERBOTTENS LÄN</t>
        </is>
      </c>
      <c r="E6957" t="inlineStr">
        <is>
          <t>DOROTEA</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35954-2022</t>
        </is>
      </c>
      <c r="B6958" s="1" t="n">
        <v>44802</v>
      </c>
      <c r="C6958" s="1" t="n">
        <v>45357</v>
      </c>
      <c r="D6958" t="inlineStr">
        <is>
          <t>VÄSTERBOTTENS LÄN</t>
        </is>
      </c>
      <c r="E6958" t="inlineStr">
        <is>
          <t>NORDMALING</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36054-2022</t>
        </is>
      </c>
      <c r="B6959" s="1" t="n">
        <v>44802</v>
      </c>
      <c r="C6959" s="1" t="n">
        <v>45357</v>
      </c>
      <c r="D6959" t="inlineStr">
        <is>
          <t>VÄSTERBOTTENS LÄN</t>
        </is>
      </c>
      <c r="E6959" t="inlineStr">
        <is>
          <t>LYCKSELE</t>
        </is>
      </c>
      <c r="F6959" t="inlineStr">
        <is>
          <t>Holmen skog AB</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36082-2022</t>
        </is>
      </c>
      <c r="B6960" s="1" t="n">
        <v>44802</v>
      </c>
      <c r="C6960" s="1" t="n">
        <v>45357</v>
      </c>
      <c r="D6960" t="inlineStr">
        <is>
          <t>VÄSTERBOTTENS LÄN</t>
        </is>
      </c>
      <c r="E6960" t="inlineStr">
        <is>
          <t>VILHELMINA</t>
        </is>
      </c>
      <c r="F6960" t="inlineStr">
        <is>
          <t>SCA</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36103-2022</t>
        </is>
      </c>
      <c r="B6961" s="1" t="n">
        <v>44802</v>
      </c>
      <c r="C6961" s="1" t="n">
        <v>45357</v>
      </c>
      <c r="D6961" t="inlineStr">
        <is>
          <t>VÄSTERBOTTENS LÄN</t>
        </is>
      </c>
      <c r="E6961" t="inlineStr">
        <is>
          <t>DOROTEA</t>
        </is>
      </c>
      <c r="F6961" t="inlineStr">
        <is>
          <t>SCA</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36111-2022</t>
        </is>
      </c>
      <c r="B6962" s="1" t="n">
        <v>44802</v>
      </c>
      <c r="C6962" s="1" t="n">
        <v>45357</v>
      </c>
      <c r="D6962" t="inlineStr">
        <is>
          <t>VÄSTERBOTTENS LÄN</t>
        </is>
      </c>
      <c r="E6962" t="inlineStr">
        <is>
          <t>VINDELN</t>
        </is>
      </c>
      <c r="F6962" t="inlineStr">
        <is>
          <t>SCA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36167-2022</t>
        </is>
      </c>
      <c r="B6963" s="1" t="n">
        <v>44803</v>
      </c>
      <c r="C6963" s="1" t="n">
        <v>45357</v>
      </c>
      <c r="D6963" t="inlineStr">
        <is>
          <t>VÄSTERBOTTENS LÄN</t>
        </is>
      </c>
      <c r="E6963" t="inlineStr">
        <is>
          <t>ROBERTSFORS</t>
        </is>
      </c>
      <c r="F6963" t="inlineStr">
        <is>
          <t>Holmen skog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36186-2022</t>
        </is>
      </c>
      <c r="B6964" s="1" t="n">
        <v>44803</v>
      </c>
      <c r="C6964" s="1" t="n">
        <v>45357</v>
      </c>
      <c r="D6964" t="inlineStr">
        <is>
          <t>VÄSTERBOTTENS LÄN</t>
        </is>
      </c>
      <c r="E6964" t="inlineStr">
        <is>
          <t>ÅSELE</t>
        </is>
      </c>
      <c r="F6964" t="inlineStr">
        <is>
          <t>Sveaskog</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36208-2022</t>
        </is>
      </c>
      <c r="B6965" s="1" t="n">
        <v>44803</v>
      </c>
      <c r="C6965" s="1" t="n">
        <v>45357</v>
      </c>
      <c r="D6965" t="inlineStr">
        <is>
          <t>VÄSTERBOTTENS LÄN</t>
        </is>
      </c>
      <c r="E6965" t="inlineStr">
        <is>
          <t>SKELLEFTEÅ</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35888-2022</t>
        </is>
      </c>
      <c r="B6966" s="1" t="n">
        <v>44803</v>
      </c>
      <c r="C6966" s="1" t="n">
        <v>45357</v>
      </c>
      <c r="D6966" t="inlineStr">
        <is>
          <t>VÄSTERBOTTENS LÄN</t>
        </is>
      </c>
      <c r="E6966" t="inlineStr">
        <is>
          <t>SKELLEFTEÅ</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36185-2022</t>
        </is>
      </c>
      <c r="B6967" s="1" t="n">
        <v>44803</v>
      </c>
      <c r="C6967" s="1" t="n">
        <v>45357</v>
      </c>
      <c r="D6967" t="inlineStr">
        <is>
          <t>VÄSTERBOTTENS LÄN</t>
        </is>
      </c>
      <c r="E6967" t="inlineStr">
        <is>
          <t>ÅSELE</t>
        </is>
      </c>
      <c r="F6967" t="inlineStr">
        <is>
          <t>Sveaskog</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36184-2022</t>
        </is>
      </c>
      <c r="B6968" s="1" t="n">
        <v>44803</v>
      </c>
      <c r="C6968" s="1" t="n">
        <v>45357</v>
      </c>
      <c r="D6968" t="inlineStr">
        <is>
          <t>VÄSTERBOTTENS LÄN</t>
        </is>
      </c>
      <c r="E6968" t="inlineStr">
        <is>
          <t>ÅSELE</t>
        </is>
      </c>
      <c r="F6968" t="inlineStr">
        <is>
          <t>Sveaskog</t>
        </is>
      </c>
      <c r="G6968" t="n">
        <v>7.9</v>
      </c>
      <c r="H6968" t="n">
        <v>0</v>
      </c>
      <c r="I6968" t="n">
        <v>0</v>
      </c>
      <c r="J6968" t="n">
        <v>0</v>
      </c>
      <c r="K6968" t="n">
        <v>0</v>
      </c>
      <c r="L6968" t="n">
        <v>0</v>
      </c>
      <c r="M6968" t="n">
        <v>0</v>
      </c>
      <c r="N6968" t="n">
        <v>0</v>
      </c>
      <c r="O6968" t="n">
        <v>0</v>
      </c>
      <c r="P6968" t="n">
        <v>0</v>
      </c>
      <c r="Q6968" t="n">
        <v>0</v>
      </c>
      <c r="R6968" s="2" t="inlineStr"/>
    </row>
    <row r="6969" ht="15" customHeight="1">
      <c r="A6969" t="inlineStr">
        <is>
          <t>A 36188-2022</t>
        </is>
      </c>
      <c r="B6969" s="1" t="n">
        <v>44803</v>
      </c>
      <c r="C6969" s="1" t="n">
        <v>45357</v>
      </c>
      <c r="D6969" t="inlineStr">
        <is>
          <t>VÄSTERBOTTENS LÄN</t>
        </is>
      </c>
      <c r="E6969" t="inlineStr">
        <is>
          <t>ÅSELE</t>
        </is>
      </c>
      <c r="F6969" t="inlineStr">
        <is>
          <t>Sveaskog</t>
        </is>
      </c>
      <c r="G6969" t="n">
        <v>14.2</v>
      </c>
      <c r="H6969" t="n">
        <v>0</v>
      </c>
      <c r="I6969" t="n">
        <v>0</v>
      </c>
      <c r="J6969" t="n">
        <v>0</v>
      </c>
      <c r="K6969" t="n">
        <v>0</v>
      </c>
      <c r="L6969" t="n">
        <v>0</v>
      </c>
      <c r="M6969" t="n">
        <v>0</v>
      </c>
      <c r="N6969" t="n">
        <v>0</v>
      </c>
      <c r="O6969" t="n">
        <v>0</v>
      </c>
      <c r="P6969" t="n">
        <v>0</v>
      </c>
      <c r="Q6969" t="n">
        <v>0</v>
      </c>
      <c r="R6969" s="2" t="inlineStr"/>
    </row>
    <row r="6970" ht="15" customHeight="1">
      <c r="A6970" t="inlineStr">
        <is>
          <t>A 36194-2022</t>
        </is>
      </c>
      <c r="B6970" s="1" t="n">
        <v>44803</v>
      </c>
      <c r="C6970" s="1" t="n">
        <v>45357</v>
      </c>
      <c r="D6970" t="inlineStr">
        <is>
          <t>VÄSTERBOTTENS LÄN</t>
        </is>
      </c>
      <c r="E6970" t="inlineStr">
        <is>
          <t>ÅSELE</t>
        </is>
      </c>
      <c r="F6970" t="inlineStr">
        <is>
          <t>Sveaskog</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36132-2022</t>
        </is>
      </c>
      <c r="B6971" s="1" t="n">
        <v>44803</v>
      </c>
      <c r="C6971" s="1" t="n">
        <v>45357</v>
      </c>
      <c r="D6971" t="inlineStr">
        <is>
          <t>VÄSTERBOTTENS LÄN</t>
        </is>
      </c>
      <c r="E6971" t="inlineStr">
        <is>
          <t>ROBERTSFORS</t>
        </is>
      </c>
      <c r="F6971" t="inlineStr">
        <is>
          <t>Holmen skog AB</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36192-2022</t>
        </is>
      </c>
      <c r="B6972" s="1" t="n">
        <v>44803</v>
      </c>
      <c r="C6972" s="1" t="n">
        <v>45357</v>
      </c>
      <c r="D6972" t="inlineStr">
        <is>
          <t>VÄSTERBOTTENS LÄN</t>
        </is>
      </c>
      <c r="E6972" t="inlineStr">
        <is>
          <t>VINDELN</t>
        </is>
      </c>
      <c r="F6972" t="inlineStr">
        <is>
          <t>Holmen skog AB</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36297-2022</t>
        </is>
      </c>
      <c r="B6973" s="1" t="n">
        <v>44803</v>
      </c>
      <c r="C6973" s="1" t="n">
        <v>45357</v>
      </c>
      <c r="D6973" t="inlineStr">
        <is>
          <t>VÄSTERBOTTENS LÄN</t>
        </is>
      </c>
      <c r="E6973" t="inlineStr">
        <is>
          <t>NORDMALING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36329-2022</t>
        </is>
      </c>
      <c r="B6974" s="1" t="n">
        <v>44803</v>
      </c>
      <c r="C6974" s="1" t="n">
        <v>45357</v>
      </c>
      <c r="D6974" t="inlineStr">
        <is>
          <t>VÄSTERBOTTENS LÄN</t>
        </is>
      </c>
      <c r="E6974" t="inlineStr">
        <is>
          <t>VILHELMINA</t>
        </is>
      </c>
      <c r="F6974" t="inlineStr">
        <is>
          <t>Övriga statliga verk och myndigheter</t>
        </is>
      </c>
      <c r="G6974" t="n">
        <v>30</v>
      </c>
      <c r="H6974" t="n">
        <v>0</v>
      </c>
      <c r="I6974" t="n">
        <v>0</v>
      </c>
      <c r="J6974" t="n">
        <v>0</v>
      </c>
      <c r="K6974" t="n">
        <v>0</v>
      </c>
      <c r="L6974" t="n">
        <v>0</v>
      </c>
      <c r="M6974" t="n">
        <v>0</v>
      </c>
      <c r="N6974" t="n">
        <v>0</v>
      </c>
      <c r="O6974" t="n">
        <v>0</v>
      </c>
      <c r="P6974" t="n">
        <v>0</v>
      </c>
      <c r="Q6974" t="n">
        <v>0</v>
      </c>
      <c r="R6974" s="2" t="inlineStr"/>
    </row>
    <row r="6975" ht="15" customHeight="1">
      <c r="A6975" t="inlineStr">
        <is>
          <t>A 36385-2022</t>
        </is>
      </c>
      <c r="B6975" s="1" t="n">
        <v>44803</v>
      </c>
      <c r="C6975" s="1" t="n">
        <v>45357</v>
      </c>
      <c r="D6975" t="inlineStr">
        <is>
          <t>VÄSTERBOTTENS LÄN</t>
        </is>
      </c>
      <c r="E6975" t="inlineStr">
        <is>
          <t>VINDELN</t>
        </is>
      </c>
      <c r="F6975" t="inlineStr">
        <is>
          <t>SCA</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36507-2022</t>
        </is>
      </c>
      <c r="B6976" s="1" t="n">
        <v>44804</v>
      </c>
      <c r="C6976" s="1" t="n">
        <v>45357</v>
      </c>
      <c r="D6976" t="inlineStr">
        <is>
          <t>VÄSTERBOTTENS LÄN</t>
        </is>
      </c>
      <c r="E6976" t="inlineStr">
        <is>
          <t>BJURHOLM</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36598-2022</t>
        </is>
      </c>
      <c r="B6977" s="1" t="n">
        <v>44804</v>
      </c>
      <c r="C6977" s="1" t="n">
        <v>45357</v>
      </c>
      <c r="D6977" t="inlineStr">
        <is>
          <t>VÄSTERBOTTENS LÄN</t>
        </is>
      </c>
      <c r="E6977" t="inlineStr">
        <is>
          <t>UMEÅ</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36467-2022</t>
        </is>
      </c>
      <c r="B6978" s="1" t="n">
        <v>44804</v>
      </c>
      <c r="C6978" s="1" t="n">
        <v>45357</v>
      </c>
      <c r="D6978" t="inlineStr">
        <is>
          <t>VÄSTERBOTTENS LÄN</t>
        </is>
      </c>
      <c r="E6978" t="inlineStr">
        <is>
          <t>ROBERTSFORS</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36472-2022</t>
        </is>
      </c>
      <c r="B6979" s="1" t="n">
        <v>44804</v>
      </c>
      <c r="C6979" s="1" t="n">
        <v>45357</v>
      </c>
      <c r="D6979" t="inlineStr">
        <is>
          <t>VÄSTERBOTTENS LÄN</t>
        </is>
      </c>
      <c r="E6979" t="inlineStr">
        <is>
          <t>NORSJÖ</t>
        </is>
      </c>
      <c r="F6979" t="inlineStr">
        <is>
          <t>Holmen skog AB</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36662-2022</t>
        </is>
      </c>
      <c r="B6980" s="1" t="n">
        <v>44804</v>
      </c>
      <c r="C6980" s="1" t="n">
        <v>45357</v>
      </c>
      <c r="D6980" t="inlineStr">
        <is>
          <t>VÄSTERBOTTENS LÄN</t>
        </is>
      </c>
      <c r="E6980" t="inlineStr">
        <is>
          <t>VINDELN</t>
        </is>
      </c>
      <c r="F6980" t="inlineStr">
        <is>
          <t>Holmen skog AB</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36600-2022</t>
        </is>
      </c>
      <c r="B6981" s="1" t="n">
        <v>44804</v>
      </c>
      <c r="C6981" s="1" t="n">
        <v>45357</v>
      </c>
      <c r="D6981" t="inlineStr">
        <is>
          <t>VÄSTERBOTTENS LÄN</t>
        </is>
      </c>
      <c r="E6981" t="inlineStr">
        <is>
          <t>NORSJÖ</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36639-2022</t>
        </is>
      </c>
      <c r="B6982" s="1" t="n">
        <v>44804</v>
      </c>
      <c r="C6982" s="1" t="n">
        <v>45357</v>
      </c>
      <c r="D6982" t="inlineStr">
        <is>
          <t>VÄSTERBOTTENS LÄN</t>
        </is>
      </c>
      <c r="E6982" t="inlineStr">
        <is>
          <t>VINDELN</t>
        </is>
      </c>
      <c r="F6982" t="inlineStr">
        <is>
          <t>Holmen skog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36723-2022</t>
        </is>
      </c>
      <c r="B6983" s="1" t="n">
        <v>44804</v>
      </c>
      <c r="C6983" s="1" t="n">
        <v>45357</v>
      </c>
      <c r="D6983" t="inlineStr">
        <is>
          <t>VÄSTERBOTTENS LÄN</t>
        </is>
      </c>
      <c r="E6983" t="inlineStr">
        <is>
          <t>SKELLEFTEÅ</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36539-2022</t>
        </is>
      </c>
      <c r="B6984" s="1" t="n">
        <v>44804</v>
      </c>
      <c r="C6984" s="1" t="n">
        <v>45357</v>
      </c>
      <c r="D6984" t="inlineStr">
        <is>
          <t>VÄSTERBOTTENS LÄN</t>
        </is>
      </c>
      <c r="E6984" t="inlineStr">
        <is>
          <t>SKELLEFTEÅ</t>
        </is>
      </c>
      <c r="F6984" t="inlineStr">
        <is>
          <t>Kommuner</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36664-2022</t>
        </is>
      </c>
      <c r="B6985" s="1" t="n">
        <v>44804</v>
      </c>
      <c r="C6985" s="1" t="n">
        <v>45357</v>
      </c>
      <c r="D6985" t="inlineStr">
        <is>
          <t>VÄSTERBOTTENS LÄN</t>
        </is>
      </c>
      <c r="E6985" t="inlineStr">
        <is>
          <t>VINDELN</t>
        </is>
      </c>
      <c r="F6985" t="inlineStr">
        <is>
          <t>Holmen skog AB</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36691-2022</t>
        </is>
      </c>
      <c r="B6986" s="1" t="n">
        <v>44805</v>
      </c>
      <c r="C6986" s="1" t="n">
        <v>45357</v>
      </c>
      <c r="D6986" t="inlineStr">
        <is>
          <t>VÄSTERBOTTENS LÄN</t>
        </is>
      </c>
      <c r="E6986" t="inlineStr">
        <is>
          <t>STORUMAN</t>
        </is>
      </c>
      <c r="F6986" t="inlineStr">
        <is>
          <t>SCA</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36720-2022</t>
        </is>
      </c>
      <c r="B6987" s="1" t="n">
        <v>44804</v>
      </c>
      <c r="C6987" s="1" t="n">
        <v>45357</v>
      </c>
      <c r="D6987" t="inlineStr">
        <is>
          <t>VÄSTERBOTTENS LÄN</t>
        </is>
      </c>
      <c r="E6987" t="inlineStr">
        <is>
          <t>MALÅ</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36728-2022</t>
        </is>
      </c>
      <c r="B6988" s="1" t="n">
        <v>44804</v>
      </c>
      <c r="C6988" s="1" t="n">
        <v>45357</v>
      </c>
      <c r="D6988" t="inlineStr">
        <is>
          <t>VÄSTERBOTTENS LÄN</t>
        </is>
      </c>
      <c r="E6988" t="inlineStr">
        <is>
          <t>SKELLEFTEÅ</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36819-2022</t>
        </is>
      </c>
      <c r="B6989" s="1" t="n">
        <v>44805</v>
      </c>
      <c r="C6989" s="1" t="n">
        <v>45357</v>
      </c>
      <c r="D6989" t="inlineStr">
        <is>
          <t>VÄSTERBOTTENS LÄN</t>
        </is>
      </c>
      <c r="E6989" t="inlineStr">
        <is>
          <t>LYCKSELE</t>
        </is>
      </c>
      <c r="F6989" t="inlineStr">
        <is>
          <t>Holmen skog AB</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36771-2022</t>
        </is>
      </c>
      <c r="B6990" s="1" t="n">
        <v>44805</v>
      </c>
      <c r="C6990" s="1" t="n">
        <v>45357</v>
      </c>
      <c r="D6990" t="inlineStr">
        <is>
          <t>VÄSTERBOTTENS LÄN</t>
        </is>
      </c>
      <c r="E6990" t="inlineStr">
        <is>
          <t>ROBERTSFORS</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36846-2022</t>
        </is>
      </c>
      <c r="B6991" s="1" t="n">
        <v>44805</v>
      </c>
      <c r="C6991" s="1" t="n">
        <v>45357</v>
      </c>
      <c r="D6991" t="inlineStr">
        <is>
          <t>VÄSTERBOTTENS LÄN</t>
        </is>
      </c>
      <c r="E6991" t="inlineStr">
        <is>
          <t>LYCKSELE</t>
        </is>
      </c>
      <c r="F6991" t="inlineStr">
        <is>
          <t>Holmen skog AB</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36816-2022</t>
        </is>
      </c>
      <c r="B6992" s="1" t="n">
        <v>44805</v>
      </c>
      <c r="C6992" s="1" t="n">
        <v>45357</v>
      </c>
      <c r="D6992" t="inlineStr">
        <is>
          <t>VÄSTERBOTTENS LÄN</t>
        </is>
      </c>
      <c r="E6992" t="inlineStr">
        <is>
          <t>UMEÅ</t>
        </is>
      </c>
      <c r="F6992" t="inlineStr">
        <is>
          <t>Holmen skog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36859-2022</t>
        </is>
      </c>
      <c r="B6993" s="1" t="n">
        <v>44805</v>
      </c>
      <c r="C6993" s="1" t="n">
        <v>45357</v>
      </c>
      <c r="D6993" t="inlineStr">
        <is>
          <t>VÄSTERBOTTENS LÄN</t>
        </is>
      </c>
      <c r="E6993" t="inlineStr">
        <is>
          <t>LYCKSELE</t>
        </is>
      </c>
      <c r="F6993" t="inlineStr">
        <is>
          <t>Holmen skog AB</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36910-2022</t>
        </is>
      </c>
      <c r="B6994" s="1" t="n">
        <v>44805</v>
      </c>
      <c r="C6994" s="1" t="n">
        <v>45357</v>
      </c>
      <c r="D6994" t="inlineStr">
        <is>
          <t>VÄSTERBOTTENS LÄN</t>
        </is>
      </c>
      <c r="E6994" t="inlineStr">
        <is>
          <t>VINDELN</t>
        </is>
      </c>
      <c r="F6994" t="inlineStr">
        <is>
          <t>Holmen skog AB</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36869-2022</t>
        </is>
      </c>
      <c r="B6995" s="1" t="n">
        <v>44805</v>
      </c>
      <c r="C6995" s="1" t="n">
        <v>45357</v>
      </c>
      <c r="D6995" t="inlineStr">
        <is>
          <t>VÄSTERBOTTENS LÄN</t>
        </is>
      </c>
      <c r="E6995" t="inlineStr">
        <is>
          <t>LYCKSELE</t>
        </is>
      </c>
      <c r="F6995" t="inlineStr">
        <is>
          <t>Holmen skog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36929-2022</t>
        </is>
      </c>
      <c r="B6996" s="1" t="n">
        <v>44806</v>
      </c>
      <c r="C6996" s="1" t="n">
        <v>45357</v>
      </c>
      <c r="D6996" t="inlineStr">
        <is>
          <t>VÄSTERBOTTENS LÄN</t>
        </is>
      </c>
      <c r="E6996" t="inlineStr">
        <is>
          <t>VILHELMINA</t>
        </is>
      </c>
      <c r="F6996" t="inlineStr">
        <is>
          <t>SCA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36931-2022</t>
        </is>
      </c>
      <c r="B6997" s="1" t="n">
        <v>44805</v>
      </c>
      <c r="C6997" s="1" t="n">
        <v>45357</v>
      </c>
      <c r="D6997" t="inlineStr">
        <is>
          <t>VÄSTERBOTTENS LÄN</t>
        </is>
      </c>
      <c r="E6997" t="inlineStr">
        <is>
          <t>VILHELMINA</t>
        </is>
      </c>
      <c r="F6997" t="inlineStr">
        <is>
          <t>SCA</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36854-2022</t>
        </is>
      </c>
      <c r="B6998" s="1" t="n">
        <v>44805</v>
      </c>
      <c r="C6998" s="1" t="n">
        <v>45357</v>
      </c>
      <c r="D6998" t="inlineStr">
        <is>
          <t>VÄSTERBOTTENS LÄN</t>
        </is>
      </c>
      <c r="E6998" t="inlineStr">
        <is>
          <t>UMEÅ</t>
        </is>
      </c>
      <c r="F6998" t="inlineStr">
        <is>
          <t>Holmen skog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36930-2022</t>
        </is>
      </c>
      <c r="B6999" s="1" t="n">
        <v>44805</v>
      </c>
      <c r="C6999" s="1" t="n">
        <v>45357</v>
      </c>
      <c r="D6999" t="inlineStr">
        <is>
          <t>VÄSTERBOTTENS LÄN</t>
        </is>
      </c>
      <c r="E6999" t="inlineStr">
        <is>
          <t>VILHELMINA</t>
        </is>
      </c>
      <c r="F6999" t="inlineStr">
        <is>
          <t>SCA</t>
        </is>
      </c>
      <c r="G6999" t="n">
        <v>7.6</v>
      </c>
      <c r="H6999" t="n">
        <v>0</v>
      </c>
      <c r="I6999" t="n">
        <v>0</v>
      </c>
      <c r="J6999" t="n">
        <v>0</v>
      </c>
      <c r="K6999" t="n">
        <v>0</v>
      </c>
      <c r="L6999" t="n">
        <v>0</v>
      </c>
      <c r="M6999" t="n">
        <v>0</v>
      </c>
      <c r="N6999" t="n">
        <v>0</v>
      </c>
      <c r="O6999" t="n">
        <v>0</v>
      </c>
      <c r="P6999" t="n">
        <v>0</v>
      </c>
      <c r="Q6999" t="n">
        <v>0</v>
      </c>
      <c r="R6999" s="2" t="inlineStr"/>
    </row>
    <row r="7000" ht="15" customHeight="1">
      <c r="A7000" t="inlineStr">
        <is>
          <t>A 36991-2022</t>
        </is>
      </c>
      <c r="B7000" s="1" t="n">
        <v>44806</v>
      </c>
      <c r="C7000" s="1" t="n">
        <v>45357</v>
      </c>
      <c r="D7000" t="inlineStr">
        <is>
          <t>VÄSTERBOTTENS LÄN</t>
        </is>
      </c>
      <c r="E7000" t="inlineStr">
        <is>
          <t>BJURHOLM</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37025-2022</t>
        </is>
      </c>
      <c r="B7001" s="1" t="n">
        <v>44806</v>
      </c>
      <c r="C7001" s="1" t="n">
        <v>45357</v>
      </c>
      <c r="D7001" t="inlineStr">
        <is>
          <t>VÄSTERBOTTENS LÄN</t>
        </is>
      </c>
      <c r="E7001" t="inlineStr">
        <is>
          <t>ÅSELE</t>
        </is>
      </c>
      <c r="F7001" t="inlineStr">
        <is>
          <t>Naturvårdsverket</t>
        </is>
      </c>
      <c r="G7001" t="n">
        <v>29.5</v>
      </c>
      <c r="H7001" t="n">
        <v>0</v>
      </c>
      <c r="I7001" t="n">
        <v>0</v>
      </c>
      <c r="J7001" t="n">
        <v>0</v>
      </c>
      <c r="K7001" t="n">
        <v>0</v>
      </c>
      <c r="L7001" t="n">
        <v>0</v>
      </c>
      <c r="M7001" t="n">
        <v>0</v>
      </c>
      <c r="N7001" t="n">
        <v>0</v>
      </c>
      <c r="O7001" t="n">
        <v>0</v>
      </c>
      <c r="P7001" t="n">
        <v>0</v>
      </c>
      <c r="Q7001" t="n">
        <v>0</v>
      </c>
      <c r="R7001" s="2" t="inlineStr"/>
    </row>
    <row r="7002" ht="15" customHeight="1">
      <c r="A7002" t="inlineStr">
        <is>
          <t>A 37013-2022</t>
        </is>
      </c>
      <c r="B7002" s="1" t="n">
        <v>44806</v>
      </c>
      <c r="C7002" s="1" t="n">
        <v>45357</v>
      </c>
      <c r="D7002" t="inlineStr">
        <is>
          <t>VÄSTERBOTTENS LÄN</t>
        </is>
      </c>
      <c r="E7002" t="inlineStr">
        <is>
          <t>NORDMALING</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37133-2022</t>
        </is>
      </c>
      <c r="B7003" s="1" t="n">
        <v>44806</v>
      </c>
      <c r="C7003" s="1" t="n">
        <v>45357</v>
      </c>
      <c r="D7003" t="inlineStr">
        <is>
          <t>VÄSTERBOTTENS LÄN</t>
        </is>
      </c>
      <c r="E7003" t="inlineStr">
        <is>
          <t>NORDMALING</t>
        </is>
      </c>
      <c r="G7003" t="n">
        <v>17.3</v>
      </c>
      <c r="H7003" t="n">
        <v>0</v>
      </c>
      <c r="I7003" t="n">
        <v>0</v>
      </c>
      <c r="J7003" t="n">
        <v>0</v>
      </c>
      <c r="K7003" t="n">
        <v>0</v>
      </c>
      <c r="L7003" t="n">
        <v>0</v>
      </c>
      <c r="M7003" t="n">
        <v>0</v>
      </c>
      <c r="N7003" t="n">
        <v>0</v>
      </c>
      <c r="O7003" t="n">
        <v>0</v>
      </c>
      <c r="P7003" t="n">
        <v>0</v>
      </c>
      <c r="Q7003" t="n">
        <v>0</v>
      </c>
      <c r="R7003" s="2" t="inlineStr"/>
    </row>
    <row r="7004" ht="15" customHeight="1">
      <c r="A7004" t="inlineStr">
        <is>
          <t>A 37022-2022</t>
        </is>
      </c>
      <c r="B7004" s="1" t="n">
        <v>44806</v>
      </c>
      <c r="C7004" s="1" t="n">
        <v>45357</v>
      </c>
      <c r="D7004" t="inlineStr">
        <is>
          <t>VÄSTERBOTTENS LÄN</t>
        </is>
      </c>
      <c r="E7004" t="inlineStr">
        <is>
          <t>NORDMALING</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37079-2022</t>
        </is>
      </c>
      <c r="B7005" s="1" t="n">
        <v>44806</v>
      </c>
      <c r="C7005" s="1" t="n">
        <v>45357</v>
      </c>
      <c r="D7005" t="inlineStr">
        <is>
          <t>VÄSTERBOTTENS LÄN</t>
        </is>
      </c>
      <c r="E7005" t="inlineStr">
        <is>
          <t>VINDELN</t>
        </is>
      </c>
      <c r="F7005" t="inlineStr">
        <is>
          <t>Holmen skog AB</t>
        </is>
      </c>
      <c r="G7005" t="n">
        <v>7.8</v>
      </c>
      <c r="H7005" t="n">
        <v>0</v>
      </c>
      <c r="I7005" t="n">
        <v>0</v>
      </c>
      <c r="J7005" t="n">
        <v>0</v>
      </c>
      <c r="K7005" t="n">
        <v>0</v>
      </c>
      <c r="L7005" t="n">
        <v>0</v>
      </c>
      <c r="M7005" t="n">
        <v>0</v>
      </c>
      <c r="N7005" t="n">
        <v>0</v>
      </c>
      <c r="O7005" t="n">
        <v>0</v>
      </c>
      <c r="P7005" t="n">
        <v>0</v>
      </c>
      <c r="Q7005" t="n">
        <v>0</v>
      </c>
      <c r="R7005" s="2" t="inlineStr"/>
    </row>
    <row r="7006" ht="15" customHeight="1">
      <c r="A7006" t="inlineStr">
        <is>
          <t>A 37135-2022</t>
        </is>
      </c>
      <c r="B7006" s="1" t="n">
        <v>44806</v>
      </c>
      <c r="C7006" s="1" t="n">
        <v>45357</v>
      </c>
      <c r="D7006" t="inlineStr">
        <is>
          <t>VÄSTERBOTTENS LÄN</t>
        </is>
      </c>
      <c r="E7006" t="inlineStr">
        <is>
          <t>NORSJÖ</t>
        </is>
      </c>
      <c r="F7006" t="inlineStr">
        <is>
          <t>Holmen skog AB</t>
        </is>
      </c>
      <c r="G7006" t="n">
        <v>15.1</v>
      </c>
      <c r="H7006" t="n">
        <v>0</v>
      </c>
      <c r="I7006" t="n">
        <v>0</v>
      </c>
      <c r="J7006" t="n">
        <v>0</v>
      </c>
      <c r="K7006" t="n">
        <v>0</v>
      </c>
      <c r="L7006" t="n">
        <v>0</v>
      </c>
      <c r="M7006" t="n">
        <v>0</v>
      </c>
      <c r="N7006" t="n">
        <v>0</v>
      </c>
      <c r="O7006" t="n">
        <v>0</v>
      </c>
      <c r="P7006" t="n">
        <v>0</v>
      </c>
      <c r="Q7006" t="n">
        <v>0</v>
      </c>
      <c r="R7006" s="2" t="inlineStr"/>
    </row>
    <row r="7007" ht="15" customHeight="1">
      <c r="A7007" t="inlineStr">
        <is>
          <t>A 37182-2022</t>
        </is>
      </c>
      <c r="B7007" s="1" t="n">
        <v>44806</v>
      </c>
      <c r="C7007" s="1" t="n">
        <v>45357</v>
      </c>
      <c r="D7007" t="inlineStr">
        <is>
          <t>VÄSTERBOTTENS LÄN</t>
        </is>
      </c>
      <c r="E7007" t="inlineStr">
        <is>
          <t>VINDELN</t>
        </is>
      </c>
      <c r="F7007" t="inlineStr">
        <is>
          <t>Holmen skog AB</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37322-2022</t>
        </is>
      </c>
      <c r="B7008" s="1" t="n">
        <v>44806</v>
      </c>
      <c r="C7008" s="1" t="n">
        <v>45357</v>
      </c>
      <c r="D7008" t="inlineStr">
        <is>
          <t>VÄSTERBOTTENS LÄN</t>
        </is>
      </c>
      <c r="E7008" t="inlineStr">
        <is>
          <t>VILHELMINA</t>
        </is>
      </c>
      <c r="F7008" t="inlineStr">
        <is>
          <t>Övriga statliga verk och myndigheter</t>
        </is>
      </c>
      <c r="G7008" t="n">
        <v>15.4</v>
      </c>
      <c r="H7008" t="n">
        <v>0</v>
      </c>
      <c r="I7008" t="n">
        <v>0</v>
      </c>
      <c r="J7008" t="n">
        <v>0</v>
      </c>
      <c r="K7008" t="n">
        <v>0</v>
      </c>
      <c r="L7008" t="n">
        <v>0</v>
      </c>
      <c r="M7008" t="n">
        <v>0</v>
      </c>
      <c r="N7008" t="n">
        <v>0</v>
      </c>
      <c r="O7008" t="n">
        <v>0</v>
      </c>
      <c r="P7008" t="n">
        <v>0</v>
      </c>
      <c r="Q7008" t="n">
        <v>0</v>
      </c>
      <c r="R7008" s="2" t="inlineStr"/>
    </row>
    <row r="7009" ht="15" customHeight="1">
      <c r="A7009" t="inlineStr">
        <is>
          <t>A 37325-2022</t>
        </is>
      </c>
      <c r="B7009" s="1" t="n">
        <v>44806</v>
      </c>
      <c r="C7009" s="1" t="n">
        <v>45357</v>
      </c>
      <c r="D7009" t="inlineStr">
        <is>
          <t>VÄSTERBOTTENS LÄN</t>
        </is>
      </c>
      <c r="E7009" t="inlineStr">
        <is>
          <t>VILHELMINA</t>
        </is>
      </c>
      <c r="F7009" t="inlineStr">
        <is>
          <t>Övriga statliga verk och myndigheter</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37284-2022</t>
        </is>
      </c>
      <c r="B7010" s="1" t="n">
        <v>44807</v>
      </c>
      <c r="C7010" s="1" t="n">
        <v>45357</v>
      </c>
      <c r="D7010" t="inlineStr">
        <is>
          <t>VÄSTERBOTTENS LÄN</t>
        </is>
      </c>
      <c r="E7010" t="inlineStr">
        <is>
          <t>ÅSELE</t>
        </is>
      </c>
      <c r="G7010" t="n">
        <v>10.1</v>
      </c>
      <c r="H7010" t="n">
        <v>0</v>
      </c>
      <c r="I7010" t="n">
        <v>0</v>
      </c>
      <c r="J7010" t="n">
        <v>0</v>
      </c>
      <c r="K7010" t="n">
        <v>0</v>
      </c>
      <c r="L7010" t="n">
        <v>0</v>
      </c>
      <c r="M7010" t="n">
        <v>0</v>
      </c>
      <c r="N7010" t="n">
        <v>0</v>
      </c>
      <c r="O7010" t="n">
        <v>0</v>
      </c>
      <c r="P7010" t="n">
        <v>0</v>
      </c>
      <c r="Q7010" t="n">
        <v>0</v>
      </c>
      <c r="R7010" s="2" t="inlineStr"/>
    </row>
    <row r="7011" ht="15" customHeight="1">
      <c r="A7011" t="inlineStr">
        <is>
          <t>A 37311-2022</t>
        </is>
      </c>
      <c r="B7011" s="1" t="n">
        <v>44809</v>
      </c>
      <c r="C7011" s="1" t="n">
        <v>45357</v>
      </c>
      <c r="D7011" t="inlineStr">
        <is>
          <t>VÄSTERBOTTENS LÄN</t>
        </is>
      </c>
      <c r="E7011" t="inlineStr">
        <is>
          <t>ÅSELE</t>
        </is>
      </c>
      <c r="G7011" t="n">
        <v>8.9</v>
      </c>
      <c r="H7011" t="n">
        <v>0</v>
      </c>
      <c r="I7011" t="n">
        <v>0</v>
      </c>
      <c r="J7011" t="n">
        <v>0</v>
      </c>
      <c r="K7011" t="n">
        <v>0</v>
      </c>
      <c r="L7011" t="n">
        <v>0</v>
      </c>
      <c r="M7011" t="n">
        <v>0</v>
      </c>
      <c r="N7011" t="n">
        <v>0</v>
      </c>
      <c r="O7011" t="n">
        <v>0</v>
      </c>
      <c r="P7011" t="n">
        <v>0</v>
      </c>
      <c r="Q7011" t="n">
        <v>0</v>
      </c>
      <c r="R7011" s="2" t="inlineStr"/>
    </row>
    <row r="7012" ht="15" customHeight="1">
      <c r="A7012" t="inlineStr">
        <is>
          <t>A 37313-2022</t>
        </is>
      </c>
      <c r="B7012" s="1" t="n">
        <v>44809</v>
      </c>
      <c r="C7012" s="1" t="n">
        <v>45357</v>
      </c>
      <c r="D7012" t="inlineStr">
        <is>
          <t>VÄSTERBOTTENS LÄN</t>
        </is>
      </c>
      <c r="E7012" t="inlineStr">
        <is>
          <t>ÅSELE</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37429-2022</t>
        </is>
      </c>
      <c r="B7013" s="1" t="n">
        <v>44809</v>
      </c>
      <c r="C7013" s="1" t="n">
        <v>45357</v>
      </c>
      <c r="D7013" t="inlineStr">
        <is>
          <t>VÄSTERBOTTENS LÄN</t>
        </is>
      </c>
      <c r="E7013" t="inlineStr">
        <is>
          <t>STORUMAN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37423-2022</t>
        </is>
      </c>
      <c r="B7014" s="1" t="n">
        <v>44809</v>
      </c>
      <c r="C7014" s="1" t="n">
        <v>45357</v>
      </c>
      <c r="D7014" t="inlineStr">
        <is>
          <t>VÄSTERBOTTENS LÄN</t>
        </is>
      </c>
      <c r="E7014" t="inlineStr">
        <is>
          <t>LYCKSELE</t>
        </is>
      </c>
      <c r="F7014" t="inlineStr">
        <is>
          <t>SCA</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37564-2022</t>
        </is>
      </c>
      <c r="B7015" s="1" t="n">
        <v>44809</v>
      </c>
      <c r="C7015" s="1" t="n">
        <v>45357</v>
      </c>
      <c r="D7015" t="inlineStr">
        <is>
          <t>VÄSTERBOTTENS LÄN</t>
        </is>
      </c>
      <c r="E7015" t="inlineStr">
        <is>
          <t>VINDELN</t>
        </is>
      </c>
      <c r="F7015" t="inlineStr">
        <is>
          <t>Holmen skog AB</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37575-2022</t>
        </is>
      </c>
      <c r="B7016" s="1" t="n">
        <v>44809</v>
      </c>
      <c r="C7016" s="1" t="n">
        <v>45357</v>
      </c>
      <c r="D7016" t="inlineStr">
        <is>
          <t>VÄSTERBOTTENS LÄN</t>
        </is>
      </c>
      <c r="E7016" t="inlineStr">
        <is>
          <t>VINDELN</t>
        </is>
      </c>
      <c r="F7016" t="inlineStr">
        <is>
          <t>Holmen skog AB</t>
        </is>
      </c>
      <c r="G7016" t="n">
        <v>10</v>
      </c>
      <c r="H7016" t="n">
        <v>0</v>
      </c>
      <c r="I7016" t="n">
        <v>0</v>
      </c>
      <c r="J7016" t="n">
        <v>0</v>
      </c>
      <c r="K7016" t="n">
        <v>0</v>
      </c>
      <c r="L7016" t="n">
        <v>0</v>
      </c>
      <c r="M7016" t="n">
        <v>0</v>
      </c>
      <c r="N7016" t="n">
        <v>0</v>
      </c>
      <c r="O7016" t="n">
        <v>0</v>
      </c>
      <c r="P7016" t="n">
        <v>0</v>
      </c>
      <c r="Q7016" t="n">
        <v>0</v>
      </c>
      <c r="R7016" s="2" t="inlineStr"/>
    </row>
    <row r="7017" ht="15" customHeight="1">
      <c r="A7017" t="inlineStr">
        <is>
          <t>A 37592-2022</t>
        </is>
      </c>
      <c r="B7017" s="1" t="n">
        <v>44810</v>
      </c>
      <c r="C7017" s="1" t="n">
        <v>45357</v>
      </c>
      <c r="D7017" t="inlineStr">
        <is>
          <t>VÄSTERBOTTENS LÄN</t>
        </is>
      </c>
      <c r="E7017" t="inlineStr">
        <is>
          <t>VINDELN</t>
        </is>
      </c>
      <c r="F7017" t="inlineStr">
        <is>
          <t>SCA</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37655-2022</t>
        </is>
      </c>
      <c r="B7018" s="1" t="n">
        <v>44810</v>
      </c>
      <c r="C7018" s="1" t="n">
        <v>45357</v>
      </c>
      <c r="D7018" t="inlineStr">
        <is>
          <t>VÄSTERBOTTENS LÄN</t>
        </is>
      </c>
      <c r="E7018" t="inlineStr">
        <is>
          <t>VILHELMINA</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37669-2022</t>
        </is>
      </c>
      <c r="B7019" s="1" t="n">
        <v>44810</v>
      </c>
      <c r="C7019" s="1" t="n">
        <v>45357</v>
      </c>
      <c r="D7019" t="inlineStr">
        <is>
          <t>VÄSTERBOTTENS LÄN</t>
        </is>
      </c>
      <c r="E7019" t="inlineStr">
        <is>
          <t>SKELLEFTEÅ</t>
        </is>
      </c>
      <c r="G7019" t="n">
        <v>10.9</v>
      </c>
      <c r="H7019" t="n">
        <v>0</v>
      </c>
      <c r="I7019" t="n">
        <v>0</v>
      </c>
      <c r="J7019" t="n">
        <v>0</v>
      </c>
      <c r="K7019" t="n">
        <v>0</v>
      </c>
      <c r="L7019" t="n">
        <v>0</v>
      </c>
      <c r="M7019" t="n">
        <v>0</v>
      </c>
      <c r="N7019" t="n">
        <v>0</v>
      </c>
      <c r="O7019" t="n">
        <v>0</v>
      </c>
      <c r="P7019" t="n">
        <v>0</v>
      </c>
      <c r="Q7019" t="n">
        <v>0</v>
      </c>
      <c r="R7019" s="2" t="inlineStr"/>
    </row>
    <row r="7020" ht="15" customHeight="1">
      <c r="A7020" t="inlineStr">
        <is>
          <t>A 37644-2022</t>
        </is>
      </c>
      <c r="B7020" s="1" t="n">
        <v>44810</v>
      </c>
      <c r="C7020" s="1" t="n">
        <v>45357</v>
      </c>
      <c r="D7020" t="inlineStr">
        <is>
          <t>VÄSTERBOTTENS LÄN</t>
        </is>
      </c>
      <c r="E7020" t="inlineStr">
        <is>
          <t>UMEÅ</t>
        </is>
      </c>
      <c r="G7020" t="n">
        <v>16.9</v>
      </c>
      <c r="H7020" t="n">
        <v>0</v>
      </c>
      <c r="I7020" t="n">
        <v>0</v>
      </c>
      <c r="J7020" t="n">
        <v>0</v>
      </c>
      <c r="K7020" t="n">
        <v>0</v>
      </c>
      <c r="L7020" t="n">
        <v>0</v>
      </c>
      <c r="M7020" t="n">
        <v>0</v>
      </c>
      <c r="N7020" t="n">
        <v>0</v>
      </c>
      <c r="O7020" t="n">
        <v>0</v>
      </c>
      <c r="P7020" t="n">
        <v>0</v>
      </c>
      <c r="Q7020" t="n">
        <v>0</v>
      </c>
      <c r="R7020" s="2" t="inlineStr"/>
    </row>
    <row r="7021" ht="15" customHeight="1">
      <c r="A7021" t="inlineStr">
        <is>
          <t>A 37661-2022</t>
        </is>
      </c>
      <c r="B7021" s="1" t="n">
        <v>44810</v>
      </c>
      <c r="C7021" s="1" t="n">
        <v>45357</v>
      </c>
      <c r="D7021" t="inlineStr">
        <is>
          <t>VÄSTERBOTTENS LÄN</t>
        </is>
      </c>
      <c r="E7021" t="inlineStr">
        <is>
          <t>VILHELMINA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37823-2022</t>
        </is>
      </c>
      <c r="B7022" s="1" t="n">
        <v>44811</v>
      </c>
      <c r="C7022" s="1" t="n">
        <v>45357</v>
      </c>
      <c r="D7022" t="inlineStr">
        <is>
          <t>VÄSTERBOTTENS LÄN</t>
        </is>
      </c>
      <c r="E7022" t="inlineStr">
        <is>
          <t>SKELLEFTEÅ</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37819-2022</t>
        </is>
      </c>
      <c r="B7023" s="1" t="n">
        <v>44810</v>
      </c>
      <c r="C7023" s="1" t="n">
        <v>45357</v>
      </c>
      <c r="D7023" t="inlineStr">
        <is>
          <t>VÄSTERBOTTENS LÄN</t>
        </is>
      </c>
      <c r="E7023" t="inlineStr">
        <is>
          <t>SKELLEFTEÅ</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37805-2022</t>
        </is>
      </c>
      <c r="B7024" s="1" t="n">
        <v>44810</v>
      </c>
      <c r="C7024" s="1" t="n">
        <v>45357</v>
      </c>
      <c r="D7024" t="inlineStr">
        <is>
          <t>VÄSTERBOTTENS LÄN</t>
        </is>
      </c>
      <c r="E7024" t="inlineStr">
        <is>
          <t>ROBERTSFORS</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37825-2022</t>
        </is>
      </c>
      <c r="B7025" s="1" t="n">
        <v>44811</v>
      </c>
      <c r="C7025" s="1" t="n">
        <v>45357</v>
      </c>
      <c r="D7025" t="inlineStr">
        <is>
          <t>VÄSTERBOTTENS LÄN</t>
        </is>
      </c>
      <c r="E7025" t="inlineStr">
        <is>
          <t>SKELLEFTEÅ</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37833-2022</t>
        </is>
      </c>
      <c r="B7026" s="1" t="n">
        <v>44811</v>
      </c>
      <c r="C7026" s="1" t="n">
        <v>45357</v>
      </c>
      <c r="D7026" t="inlineStr">
        <is>
          <t>VÄSTERBOTTENS LÄN</t>
        </is>
      </c>
      <c r="E7026" t="inlineStr">
        <is>
          <t>DOROTEA</t>
        </is>
      </c>
      <c r="F7026" t="inlineStr">
        <is>
          <t>SCA</t>
        </is>
      </c>
      <c r="G7026" t="n">
        <v>9</v>
      </c>
      <c r="H7026" t="n">
        <v>0</v>
      </c>
      <c r="I7026" t="n">
        <v>0</v>
      </c>
      <c r="J7026" t="n">
        <v>0</v>
      </c>
      <c r="K7026" t="n">
        <v>0</v>
      </c>
      <c r="L7026" t="n">
        <v>0</v>
      </c>
      <c r="M7026" t="n">
        <v>0</v>
      </c>
      <c r="N7026" t="n">
        <v>0</v>
      </c>
      <c r="O7026" t="n">
        <v>0</v>
      </c>
      <c r="P7026" t="n">
        <v>0</v>
      </c>
      <c r="Q7026" t="n">
        <v>0</v>
      </c>
      <c r="R7026" s="2" t="inlineStr"/>
    </row>
    <row r="7027" ht="15" customHeight="1">
      <c r="A7027" t="inlineStr">
        <is>
          <t>A 37944-2022</t>
        </is>
      </c>
      <c r="B7027" s="1" t="n">
        <v>44811</v>
      </c>
      <c r="C7027" s="1" t="n">
        <v>45357</v>
      </c>
      <c r="D7027" t="inlineStr">
        <is>
          <t>VÄSTERBOTTENS LÄN</t>
        </is>
      </c>
      <c r="E7027" t="inlineStr">
        <is>
          <t>SKELLEFTEÅ</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37951-2022</t>
        </is>
      </c>
      <c r="B7028" s="1" t="n">
        <v>44811</v>
      </c>
      <c r="C7028" s="1" t="n">
        <v>45357</v>
      </c>
      <c r="D7028" t="inlineStr">
        <is>
          <t>VÄSTERBOTTENS LÄN</t>
        </is>
      </c>
      <c r="E7028" t="inlineStr">
        <is>
          <t>UMEÅ</t>
        </is>
      </c>
      <c r="F7028" t="inlineStr">
        <is>
          <t>Holmen skog AB</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37940-2022</t>
        </is>
      </c>
      <c r="B7029" s="1" t="n">
        <v>44811</v>
      </c>
      <c r="C7029" s="1" t="n">
        <v>45357</v>
      </c>
      <c r="D7029" t="inlineStr">
        <is>
          <t>VÄSTERBOTTENS LÄN</t>
        </is>
      </c>
      <c r="E7029" t="inlineStr">
        <is>
          <t>SKELLEFTEÅ</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37950-2022</t>
        </is>
      </c>
      <c r="B7030" s="1" t="n">
        <v>44811</v>
      </c>
      <c r="C7030" s="1" t="n">
        <v>45357</v>
      </c>
      <c r="D7030" t="inlineStr">
        <is>
          <t>VÄSTERBOTTENS LÄN</t>
        </is>
      </c>
      <c r="E7030" t="inlineStr">
        <is>
          <t>SKELLEFTEÅ</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37976-2022</t>
        </is>
      </c>
      <c r="B7031" s="1" t="n">
        <v>44811</v>
      </c>
      <c r="C7031" s="1" t="n">
        <v>45357</v>
      </c>
      <c r="D7031" t="inlineStr">
        <is>
          <t>VÄSTERBOTTENS LÄN</t>
        </is>
      </c>
      <c r="E7031" t="inlineStr">
        <is>
          <t>LYCKSELE</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38045-2022</t>
        </is>
      </c>
      <c r="B7032" s="1" t="n">
        <v>44811</v>
      </c>
      <c r="C7032" s="1" t="n">
        <v>45357</v>
      </c>
      <c r="D7032" t="inlineStr">
        <is>
          <t>VÄSTERBOTTENS LÄN</t>
        </is>
      </c>
      <c r="E7032" t="inlineStr">
        <is>
          <t>ROBERTSFORS</t>
        </is>
      </c>
      <c r="F7032" t="inlineStr">
        <is>
          <t>Holmen skog AB</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38092-2022</t>
        </is>
      </c>
      <c r="B7033" s="1" t="n">
        <v>44812</v>
      </c>
      <c r="C7033" s="1" t="n">
        <v>45357</v>
      </c>
      <c r="D7033" t="inlineStr">
        <is>
          <t>VÄSTERBOTTENS LÄN</t>
        </is>
      </c>
      <c r="E7033" t="inlineStr">
        <is>
          <t>ROBERTSFORS</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38090-2022</t>
        </is>
      </c>
      <c r="B7034" s="1" t="n">
        <v>44811</v>
      </c>
      <c r="C7034" s="1" t="n">
        <v>45357</v>
      </c>
      <c r="D7034" t="inlineStr">
        <is>
          <t>VÄSTERBOTTENS LÄN</t>
        </is>
      </c>
      <c r="E7034" t="inlineStr">
        <is>
          <t>MALÅ</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38089-2022</t>
        </is>
      </c>
      <c r="B7035" s="1" t="n">
        <v>44812</v>
      </c>
      <c r="C7035" s="1" t="n">
        <v>45357</v>
      </c>
      <c r="D7035" t="inlineStr">
        <is>
          <t>VÄSTERBOTTENS LÄN</t>
        </is>
      </c>
      <c r="E7035" t="inlineStr">
        <is>
          <t>NORSJÖ</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38023-2022</t>
        </is>
      </c>
      <c r="B7036" s="1" t="n">
        <v>44811</v>
      </c>
      <c r="C7036" s="1" t="n">
        <v>45357</v>
      </c>
      <c r="D7036" t="inlineStr">
        <is>
          <t>VÄSTERBOTTENS LÄN</t>
        </is>
      </c>
      <c r="E7036" t="inlineStr">
        <is>
          <t>UMEÅ</t>
        </is>
      </c>
      <c r="F7036" t="inlineStr">
        <is>
          <t>Holmen skog AB</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38178-2022</t>
        </is>
      </c>
      <c r="B7037" s="1" t="n">
        <v>44812</v>
      </c>
      <c r="C7037" s="1" t="n">
        <v>45357</v>
      </c>
      <c r="D7037" t="inlineStr">
        <is>
          <t>VÄSTERBOTTENS LÄN</t>
        </is>
      </c>
      <c r="E7037" t="inlineStr">
        <is>
          <t>LYCKSELE</t>
        </is>
      </c>
      <c r="F7037" t="inlineStr">
        <is>
          <t>Holmen skog AB</t>
        </is>
      </c>
      <c r="G7037" t="n">
        <v>6.5</v>
      </c>
      <c r="H7037" t="n">
        <v>0</v>
      </c>
      <c r="I7037" t="n">
        <v>0</v>
      </c>
      <c r="J7037" t="n">
        <v>0</v>
      </c>
      <c r="K7037" t="n">
        <v>0</v>
      </c>
      <c r="L7037" t="n">
        <v>0</v>
      </c>
      <c r="M7037" t="n">
        <v>0</v>
      </c>
      <c r="N7037" t="n">
        <v>0</v>
      </c>
      <c r="O7037" t="n">
        <v>0</v>
      </c>
      <c r="P7037" t="n">
        <v>0</v>
      </c>
      <c r="Q7037" t="n">
        <v>0</v>
      </c>
      <c r="R7037" s="2" t="inlineStr"/>
    </row>
    <row r="7038" ht="15" customHeight="1">
      <c r="A7038" t="inlineStr">
        <is>
          <t>A 38187-2022</t>
        </is>
      </c>
      <c r="B7038" s="1" t="n">
        <v>44812</v>
      </c>
      <c r="C7038" s="1" t="n">
        <v>45357</v>
      </c>
      <c r="D7038" t="inlineStr">
        <is>
          <t>VÄSTERBOTTENS LÄN</t>
        </is>
      </c>
      <c r="E7038" t="inlineStr">
        <is>
          <t>ROBERTSFORS</t>
        </is>
      </c>
      <c r="F7038" t="inlineStr">
        <is>
          <t>Holmen skog AB</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38218-2022</t>
        </is>
      </c>
      <c r="B7039" s="1" t="n">
        <v>44812</v>
      </c>
      <c r="C7039" s="1" t="n">
        <v>45357</v>
      </c>
      <c r="D7039" t="inlineStr">
        <is>
          <t>VÄSTERBOTTENS LÄN</t>
        </is>
      </c>
      <c r="E7039" t="inlineStr">
        <is>
          <t>ROBERTSFORS</t>
        </is>
      </c>
      <c r="F7039" t="inlineStr">
        <is>
          <t>Holmen skog AB</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38271-2022</t>
        </is>
      </c>
      <c r="B7040" s="1" t="n">
        <v>44812</v>
      </c>
      <c r="C7040" s="1" t="n">
        <v>45357</v>
      </c>
      <c r="D7040" t="inlineStr">
        <is>
          <t>VÄSTERBOTTENS LÄN</t>
        </is>
      </c>
      <c r="E7040" t="inlineStr">
        <is>
          <t>NORDMALING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38417-2022</t>
        </is>
      </c>
      <c r="B7041" s="1" t="n">
        <v>44813</v>
      </c>
      <c r="C7041" s="1" t="n">
        <v>45357</v>
      </c>
      <c r="D7041" t="inlineStr">
        <is>
          <t>VÄSTERBOTTENS LÄN</t>
        </is>
      </c>
      <c r="E7041" t="inlineStr">
        <is>
          <t>VILHELMINA</t>
        </is>
      </c>
      <c r="F7041" t="inlineStr">
        <is>
          <t>SCA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38285-2022</t>
        </is>
      </c>
      <c r="B7042" s="1" t="n">
        <v>44812</v>
      </c>
      <c r="C7042" s="1" t="n">
        <v>45357</v>
      </c>
      <c r="D7042" t="inlineStr">
        <is>
          <t>VÄSTERBOTTENS LÄN</t>
        </is>
      </c>
      <c r="E7042" t="inlineStr">
        <is>
          <t>NORDMALING</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38275-2022</t>
        </is>
      </c>
      <c r="B7043" s="1" t="n">
        <v>44812</v>
      </c>
      <c r="C7043" s="1" t="n">
        <v>45357</v>
      </c>
      <c r="D7043" t="inlineStr">
        <is>
          <t>VÄSTERBOTTENS LÄN</t>
        </is>
      </c>
      <c r="E7043" t="inlineStr">
        <is>
          <t>SKELLEFTEÅ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38274-2022</t>
        </is>
      </c>
      <c r="B7044" s="1" t="n">
        <v>44812</v>
      </c>
      <c r="C7044" s="1" t="n">
        <v>45357</v>
      </c>
      <c r="D7044" t="inlineStr">
        <is>
          <t>VÄSTERBOTTENS LÄN</t>
        </is>
      </c>
      <c r="E7044" t="inlineStr">
        <is>
          <t>NORDMALING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38398-2022</t>
        </is>
      </c>
      <c r="B7045" s="1" t="n">
        <v>44812</v>
      </c>
      <c r="C7045" s="1" t="n">
        <v>45357</v>
      </c>
      <c r="D7045" t="inlineStr">
        <is>
          <t>VÄSTERBOTTENS LÄN</t>
        </is>
      </c>
      <c r="E7045" t="inlineStr">
        <is>
          <t>VINDELN</t>
        </is>
      </c>
      <c r="G7045" t="n">
        <v>13.7</v>
      </c>
      <c r="H7045" t="n">
        <v>0</v>
      </c>
      <c r="I7045" t="n">
        <v>0</v>
      </c>
      <c r="J7045" t="n">
        <v>0</v>
      </c>
      <c r="K7045" t="n">
        <v>0</v>
      </c>
      <c r="L7045" t="n">
        <v>0</v>
      </c>
      <c r="M7045" t="n">
        <v>0</v>
      </c>
      <c r="N7045" t="n">
        <v>0</v>
      </c>
      <c r="O7045" t="n">
        <v>0</v>
      </c>
      <c r="P7045" t="n">
        <v>0</v>
      </c>
      <c r="Q7045" t="n">
        <v>0</v>
      </c>
      <c r="R7045" s="2" t="inlineStr"/>
    </row>
    <row r="7046" ht="15" customHeight="1">
      <c r="A7046" t="inlineStr">
        <is>
          <t>A 38422-2022</t>
        </is>
      </c>
      <c r="B7046" s="1" t="n">
        <v>44812</v>
      </c>
      <c r="C7046" s="1" t="n">
        <v>45357</v>
      </c>
      <c r="D7046" t="inlineStr">
        <is>
          <t>VÄSTERBOTTENS LÄN</t>
        </is>
      </c>
      <c r="E7046" t="inlineStr">
        <is>
          <t>VILHELMINA</t>
        </is>
      </c>
      <c r="F7046" t="inlineStr">
        <is>
          <t>SCA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38416-2022</t>
        </is>
      </c>
      <c r="B7047" s="1" t="n">
        <v>44812</v>
      </c>
      <c r="C7047" s="1" t="n">
        <v>45357</v>
      </c>
      <c r="D7047" t="inlineStr">
        <is>
          <t>VÄSTERBOTTENS LÄN</t>
        </is>
      </c>
      <c r="E7047" t="inlineStr">
        <is>
          <t>VILHELMINA</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38419-2022</t>
        </is>
      </c>
      <c r="B7048" s="1" t="n">
        <v>44813</v>
      </c>
      <c r="C7048" s="1" t="n">
        <v>45357</v>
      </c>
      <c r="D7048" t="inlineStr">
        <is>
          <t>VÄSTERBOTTENS LÄN</t>
        </is>
      </c>
      <c r="E7048" t="inlineStr">
        <is>
          <t>VILHELMINA</t>
        </is>
      </c>
      <c r="F7048" t="inlineStr">
        <is>
          <t>SCA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38457-2022</t>
        </is>
      </c>
      <c r="B7049" s="1" t="n">
        <v>44813</v>
      </c>
      <c r="C7049" s="1" t="n">
        <v>45357</v>
      </c>
      <c r="D7049" t="inlineStr">
        <is>
          <t>VÄSTERBOTTENS LÄN</t>
        </is>
      </c>
      <c r="E7049" t="inlineStr">
        <is>
          <t>SKELLEFTEÅ</t>
        </is>
      </c>
      <c r="F7049" t="inlineStr">
        <is>
          <t>Holmen skog AB</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38469-2022</t>
        </is>
      </c>
      <c r="B7050" s="1" t="n">
        <v>44813</v>
      </c>
      <c r="C7050" s="1" t="n">
        <v>45357</v>
      </c>
      <c r="D7050" t="inlineStr">
        <is>
          <t>VÄSTERBOTTENS LÄN</t>
        </is>
      </c>
      <c r="E7050" t="inlineStr">
        <is>
          <t>DOROTEA</t>
        </is>
      </c>
      <c r="G7050" t="n">
        <v>18.9</v>
      </c>
      <c r="H7050" t="n">
        <v>0</v>
      </c>
      <c r="I7050" t="n">
        <v>0</v>
      </c>
      <c r="J7050" t="n">
        <v>0</v>
      </c>
      <c r="K7050" t="n">
        <v>0</v>
      </c>
      <c r="L7050" t="n">
        <v>0</v>
      </c>
      <c r="M7050" t="n">
        <v>0</v>
      </c>
      <c r="N7050" t="n">
        <v>0</v>
      </c>
      <c r="O7050" t="n">
        <v>0</v>
      </c>
      <c r="P7050" t="n">
        <v>0</v>
      </c>
      <c r="Q7050" t="n">
        <v>0</v>
      </c>
      <c r="R7050" s="2" t="inlineStr"/>
    </row>
    <row r="7051" ht="15" customHeight="1">
      <c r="A7051" t="inlineStr">
        <is>
          <t>A 38513-2022</t>
        </is>
      </c>
      <c r="B7051" s="1" t="n">
        <v>44813</v>
      </c>
      <c r="C7051" s="1" t="n">
        <v>45357</v>
      </c>
      <c r="D7051" t="inlineStr">
        <is>
          <t>VÄSTERBOTTENS LÄN</t>
        </is>
      </c>
      <c r="E7051" t="inlineStr">
        <is>
          <t>ÅSELE</t>
        </is>
      </c>
      <c r="F7051" t="inlineStr">
        <is>
          <t>Sveaskog</t>
        </is>
      </c>
      <c r="G7051" t="n">
        <v>16.3</v>
      </c>
      <c r="H7051" t="n">
        <v>0</v>
      </c>
      <c r="I7051" t="n">
        <v>0</v>
      </c>
      <c r="J7051" t="n">
        <v>0</v>
      </c>
      <c r="K7051" t="n">
        <v>0</v>
      </c>
      <c r="L7051" t="n">
        <v>0</v>
      </c>
      <c r="M7051" t="n">
        <v>0</v>
      </c>
      <c r="N7051" t="n">
        <v>0</v>
      </c>
      <c r="O7051" t="n">
        <v>0</v>
      </c>
      <c r="P7051" t="n">
        <v>0</v>
      </c>
      <c r="Q7051" t="n">
        <v>0</v>
      </c>
      <c r="R7051" s="2" t="inlineStr"/>
    </row>
    <row r="7052" ht="15" customHeight="1">
      <c r="A7052" t="inlineStr">
        <is>
          <t>A 38578-2022</t>
        </is>
      </c>
      <c r="B7052" s="1" t="n">
        <v>44813</v>
      </c>
      <c r="C7052" s="1" t="n">
        <v>45357</v>
      </c>
      <c r="D7052" t="inlineStr">
        <is>
          <t>VÄSTERBOTTENS LÄN</t>
        </is>
      </c>
      <c r="E7052" t="inlineStr">
        <is>
          <t>SKELLEFTEÅ</t>
        </is>
      </c>
      <c r="F7052" t="inlineStr">
        <is>
          <t>Holmen skog AB</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38514-2022</t>
        </is>
      </c>
      <c r="B7053" s="1" t="n">
        <v>44813</v>
      </c>
      <c r="C7053" s="1" t="n">
        <v>45357</v>
      </c>
      <c r="D7053" t="inlineStr">
        <is>
          <t>VÄSTERBOTTENS LÄN</t>
        </is>
      </c>
      <c r="E7053" t="inlineStr">
        <is>
          <t>SKELLEFTEÅ</t>
        </is>
      </c>
      <c r="F7053" t="inlineStr">
        <is>
          <t>Holmen skog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38519-2022</t>
        </is>
      </c>
      <c r="B7054" s="1" t="n">
        <v>44813</v>
      </c>
      <c r="C7054" s="1" t="n">
        <v>45357</v>
      </c>
      <c r="D7054" t="inlineStr">
        <is>
          <t>VÄSTERBOTTENS LÄN</t>
        </is>
      </c>
      <c r="E7054" t="inlineStr">
        <is>
          <t>ÅSELE</t>
        </is>
      </c>
      <c r="F7054" t="inlineStr">
        <is>
          <t>Sveaskog</t>
        </is>
      </c>
      <c r="G7054" t="n">
        <v>14.2</v>
      </c>
      <c r="H7054" t="n">
        <v>0</v>
      </c>
      <c r="I7054" t="n">
        <v>0</v>
      </c>
      <c r="J7054" t="n">
        <v>0</v>
      </c>
      <c r="K7054" t="n">
        <v>0</v>
      </c>
      <c r="L7054" t="n">
        <v>0</v>
      </c>
      <c r="M7054" t="n">
        <v>0</v>
      </c>
      <c r="N7054" t="n">
        <v>0</v>
      </c>
      <c r="O7054" t="n">
        <v>0</v>
      </c>
      <c r="P7054" t="n">
        <v>0</v>
      </c>
      <c r="Q7054" t="n">
        <v>0</v>
      </c>
      <c r="R7054" s="2" t="inlineStr"/>
    </row>
    <row r="7055" ht="15" customHeight="1">
      <c r="A7055" t="inlineStr">
        <is>
          <t>A 38456-2022</t>
        </is>
      </c>
      <c r="B7055" s="1" t="n">
        <v>44813</v>
      </c>
      <c r="C7055" s="1" t="n">
        <v>45357</v>
      </c>
      <c r="D7055" t="inlineStr">
        <is>
          <t>VÄSTERBOTTENS LÄN</t>
        </is>
      </c>
      <c r="E7055" t="inlineStr">
        <is>
          <t>LYCKSELE</t>
        </is>
      </c>
      <c r="F7055" t="inlineStr">
        <is>
          <t>Sveaskog</t>
        </is>
      </c>
      <c r="G7055" t="n">
        <v>12.7</v>
      </c>
      <c r="H7055" t="n">
        <v>0</v>
      </c>
      <c r="I7055" t="n">
        <v>0</v>
      </c>
      <c r="J7055" t="n">
        <v>0</v>
      </c>
      <c r="K7055" t="n">
        <v>0</v>
      </c>
      <c r="L7055" t="n">
        <v>0</v>
      </c>
      <c r="M7055" t="n">
        <v>0</v>
      </c>
      <c r="N7055" t="n">
        <v>0</v>
      </c>
      <c r="O7055" t="n">
        <v>0</v>
      </c>
      <c r="P7055" t="n">
        <v>0</v>
      </c>
      <c r="Q7055" t="n">
        <v>0</v>
      </c>
      <c r="R7055" s="2" t="inlineStr"/>
    </row>
    <row r="7056" ht="15" customHeight="1">
      <c r="A7056" t="inlineStr">
        <is>
          <t>A 38521-2022</t>
        </is>
      </c>
      <c r="B7056" s="1" t="n">
        <v>44813</v>
      </c>
      <c r="C7056" s="1" t="n">
        <v>45357</v>
      </c>
      <c r="D7056" t="inlineStr">
        <is>
          <t>VÄSTERBOTTENS LÄN</t>
        </is>
      </c>
      <c r="E7056" t="inlineStr">
        <is>
          <t>ÅSELE</t>
        </is>
      </c>
      <c r="F7056" t="inlineStr">
        <is>
          <t>Sveaskog</t>
        </is>
      </c>
      <c r="G7056" t="n">
        <v>9.300000000000001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38558-2022</t>
        </is>
      </c>
      <c r="B7057" s="1" t="n">
        <v>44813</v>
      </c>
      <c r="C7057" s="1" t="n">
        <v>45357</v>
      </c>
      <c r="D7057" t="inlineStr">
        <is>
          <t>VÄSTERBOTTENS LÄN</t>
        </is>
      </c>
      <c r="E7057" t="inlineStr">
        <is>
          <t>VILHELMINA</t>
        </is>
      </c>
      <c r="F7057" t="inlineStr">
        <is>
          <t>Sveaskog</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38571-2022</t>
        </is>
      </c>
      <c r="B7058" s="1" t="n">
        <v>44813</v>
      </c>
      <c r="C7058" s="1" t="n">
        <v>45357</v>
      </c>
      <c r="D7058" t="inlineStr">
        <is>
          <t>VÄSTERBOTTENS LÄN</t>
        </is>
      </c>
      <c r="E7058" t="inlineStr">
        <is>
          <t>UMEÅ</t>
        </is>
      </c>
      <c r="F7058" t="inlineStr">
        <is>
          <t>Holmen skog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38621-2022</t>
        </is>
      </c>
      <c r="B7059" s="1" t="n">
        <v>44813</v>
      </c>
      <c r="C7059" s="1" t="n">
        <v>45357</v>
      </c>
      <c r="D7059" t="inlineStr">
        <is>
          <t>VÄSTERBOTTENS LÄN</t>
        </is>
      </c>
      <c r="E7059" t="inlineStr">
        <is>
          <t>ÅSELE</t>
        </is>
      </c>
      <c r="F7059" t="inlineStr">
        <is>
          <t>Holmen skog AB</t>
        </is>
      </c>
      <c r="G7059" t="n">
        <v>42.7</v>
      </c>
      <c r="H7059" t="n">
        <v>0</v>
      </c>
      <c r="I7059" t="n">
        <v>0</v>
      </c>
      <c r="J7059" t="n">
        <v>0</v>
      </c>
      <c r="K7059" t="n">
        <v>0</v>
      </c>
      <c r="L7059" t="n">
        <v>0</v>
      </c>
      <c r="M7059" t="n">
        <v>0</v>
      </c>
      <c r="N7059" t="n">
        <v>0</v>
      </c>
      <c r="O7059" t="n">
        <v>0</v>
      </c>
      <c r="P7059" t="n">
        <v>0</v>
      </c>
      <c r="Q7059" t="n">
        <v>0</v>
      </c>
      <c r="R7059" s="2" t="inlineStr"/>
    </row>
    <row r="7060" ht="15" customHeight="1">
      <c r="A7060" t="inlineStr">
        <is>
          <t>A 38646-2022</t>
        </is>
      </c>
      <c r="B7060" s="1" t="n">
        <v>44813</v>
      </c>
      <c r="C7060" s="1" t="n">
        <v>45357</v>
      </c>
      <c r="D7060" t="inlineStr">
        <is>
          <t>VÄSTERBOTTENS LÄN</t>
        </is>
      </c>
      <c r="E7060" t="inlineStr">
        <is>
          <t>UMEÅ</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38584-2022</t>
        </is>
      </c>
      <c r="B7061" s="1" t="n">
        <v>44813</v>
      </c>
      <c r="C7061" s="1" t="n">
        <v>45357</v>
      </c>
      <c r="D7061" t="inlineStr">
        <is>
          <t>VÄSTERBOTTENS LÄN</t>
        </is>
      </c>
      <c r="E7061" t="inlineStr">
        <is>
          <t>UMEÅ</t>
        </is>
      </c>
      <c r="F7061" t="inlineStr">
        <is>
          <t>Holmen skog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38583-2022</t>
        </is>
      </c>
      <c r="B7062" s="1" t="n">
        <v>44813</v>
      </c>
      <c r="C7062" s="1" t="n">
        <v>45357</v>
      </c>
      <c r="D7062" t="inlineStr">
        <is>
          <t>VÄSTERBOTTENS LÄN</t>
        </is>
      </c>
      <c r="E7062" t="inlineStr">
        <is>
          <t>VINDELN</t>
        </is>
      </c>
      <c r="F7062" t="inlineStr">
        <is>
          <t>Holmen skog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38671-2022</t>
        </is>
      </c>
      <c r="B7063" s="1" t="n">
        <v>44814</v>
      </c>
      <c r="C7063" s="1" t="n">
        <v>45357</v>
      </c>
      <c r="D7063" t="inlineStr">
        <is>
          <t>VÄSTERBOTTENS LÄN</t>
        </is>
      </c>
      <c r="E7063" t="inlineStr">
        <is>
          <t>ÅSELE</t>
        </is>
      </c>
      <c r="F7063" t="inlineStr">
        <is>
          <t>SCA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38728-2022</t>
        </is>
      </c>
      <c r="B7064" s="1" t="n">
        <v>44816</v>
      </c>
      <c r="C7064" s="1" t="n">
        <v>45357</v>
      </c>
      <c r="D7064" t="inlineStr">
        <is>
          <t>VÄSTERBOTTENS LÄN</t>
        </is>
      </c>
      <c r="E7064" t="inlineStr">
        <is>
          <t>SKELLEFTEÅ</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38727-2022</t>
        </is>
      </c>
      <c r="B7065" s="1" t="n">
        <v>44816</v>
      </c>
      <c r="C7065" s="1" t="n">
        <v>45357</v>
      </c>
      <c r="D7065" t="inlineStr">
        <is>
          <t>VÄSTERBOTTENS LÄN</t>
        </is>
      </c>
      <c r="E7065" t="inlineStr">
        <is>
          <t>SKELLEFTEÅ</t>
        </is>
      </c>
      <c r="G7065" t="n">
        <v>8.9</v>
      </c>
      <c r="H7065" t="n">
        <v>0</v>
      </c>
      <c r="I7065" t="n">
        <v>0</v>
      </c>
      <c r="J7065" t="n">
        <v>0</v>
      </c>
      <c r="K7065" t="n">
        <v>0</v>
      </c>
      <c r="L7065" t="n">
        <v>0</v>
      </c>
      <c r="M7065" t="n">
        <v>0</v>
      </c>
      <c r="N7065" t="n">
        <v>0</v>
      </c>
      <c r="O7065" t="n">
        <v>0</v>
      </c>
      <c r="P7065" t="n">
        <v>0</v>
      </c>
      <c r="Q7065" t="n">
        <v>0</v>
      </c>
      <c r="R7065" s="2" t="inlineStr"/>
    </row>
    <row r="7066" ht="15" customHeight="1">
      <c r="A7066" t="inlineStr">
        <is>
          <t>A 38838-2022</t>
        </is>
      </c>
      <c r="B7066" s="1" t="n">
        <v>44816</v>
      </c>
      <c r="C7066" s="1" t="n">
        <v>45357</v>
      </c>
      <c r="D7066" t="inlineStr">
        <is>
          <t>VÄSTERBOTTENS LÄN</t>
        </is>
      </c>
      <c r="E7066" t="inlineStr">
        <is>
          <t>BJURHOLM</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38915-2022</t>
        </is>
      </c>
      <c r="B7067" s="1" t="n">
        <v>44816</v>
      </c>
      <c r="C7067" s="1" t="n">
        <v>45357</v>
      </c>
      <c r="D7067" t="inlineStr">
        <is>
          <t>VÄSTERBOTTENS LÄN</t>
        </is>
      </c>
      <c r="E7067" t="inlineStr">
        <is>
          <t>UMEÅ</t>
        </is>
      </c>
      <c r="F7067" t="inlineStr">
        <is>
          <t>Holmen skog AB</t>
        </is>
      </c>
      <c r="G7067" t="n">
        <v>8.4</v>
      </c>
      <c r="H7067" t="n">
        <v>0</v>
      </c>
      <c r="I7067" t="n">
        <v>0</v>
      </c>
      <c r="J7067" t="n">
        <v>0</v>
      </c>
      <c r="K7067" t="n">
        <v>0</v>
      </c>
      <c r="L7067" t="n">
        <v>0</v>
      </c>
      <c r="M7067" t="n">
        <v>0</v>
      </c>
      <c r="N7067" t="n">
        <v>0</v>
      </c>
      <c r="O7067" t="n">
        <v>0</v>
      </c>
      <c r="P7067" t="n">
        <v>0</v>
      </c>
      <c r="Q7067" t="n">
        <v>0</v>
      </c>
      <c r="R7067" s="2" t="inlineStr"/>
    </row>
    <row r="7068" ht="15" customHeight="1">
      <c r="A7068" t="inlineStr">
        <is>
          <t>A 38812-2022</t>
        </is>
      </c>
      <c r="B7068" s="1" t="n">
        <v>44816</v>
      </c>
      <c r="C7068" s="1" t="n">
        <v>45357</v>
      </c>
      <c r="D7068" t="inlineStr">
        <is>
          <t>VÄSTERBOTTENS LÄN</t>
        </is>
      </c>
      <c r="E7068" t="inlineStr">
        <is>
          <t>UMEÅ</t>
        </is>
      </c>
      <c r="F7068" t="inlineStr">
        <is>
          <t>Holmen skog AB</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38767-2022</t>
        </is>
      </c>
      <c r="B7069" s="1" t="n">
        <v>44816</v>
      </c>
      <c r="C7069" s="1" t="n">
        <v>45357</v>
      </c>
      <c r="D7069" t="inlineStr">
        <is>
          <t>VÄSTERBOTTENS LÄN</t>
        </is>
      </c>
      <c r="E7069" t="inlineStr">
        <is>
          <t>SKELLEFTEÅ</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38873-2022</t>
        </is>
      </c>
      <c r="B7070" s="1" t="n">
        <v>44816</v>
      </c>
      <c r="C7070" s="1" t="n">
        <v>45357</v>
      </c>
      <c r="D7070" t="inlineStr">
        <is>
          <t>VÄSTERBOTTENS LÄN</t>
        </is>
      </c>
      <c r="E7070" t="inlineStr">
        <is>
          <t>SKELLEFTEÅ</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38876-2022</t>
        </is>
      </c>
      <c r="B7071" s="1" t="n">
        <v>44816</v>
      </c>
      <c r="C7071" s="1" t="n">
        <v>45357</v>
      </c>
      <c r="D7071" t="inlineStr">
        <is>
          <t>VÄSTERBOTTENS LÄN</t>
        </is>
      </c>
      <c r="E7071" t="inlineStr">
        <is>
          <t>SKELLEFTEÅ</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38869-2022</t>
        </is>
      </c>
      <c r="B7072" s="1" t="n">
        <v>44816</v>
      </c>
      <c r="C7072" s="1" t="n">
        <v>45357</v>
      </c>
      <c r="D7072" t="inlineStr">
        <is>
          <t>VÄSTERBOTTENS LÄN</t>
        </is>
      </c>
      <c r="E7072" t="inlineStr">
        <is>
          <t>LYCKSELE</t>
        </is>
      </c>
      <c r="F7072" t="inlineStr">
        <is>
          <t>Sveaskog</t>
        </is>
      </c>
      <c r="G7072" t="n">
        <v>18.1</v>
      </c>
      <c r="H7072" t="n">
        <v>0</v>
      </c>
      <c r="I7072" t="n">
        <v>0</v>
      </c>
      <c r="J7072" t="n">
        <v>0</v>
      </c>
      <c r="K7072" t="n">
        <v>0</v>
      </c>
      <c r="L7072" t="n">
        <v>0</v>
      </c>
      <c r="M7072" t="n">
        <v>0</v>
      </c>
      <c r="N7072" t="n">
        <v>0</v>
      </c>
      <c r="O7072" t="n">
        <v>0</v>
      </c>
      <c r="P7072" t="n">
        <v>0</v>
      </c>
      <c r="Q7072" t="n">
        <v>0</v>
      </c>
      <c r="R7072" s="2" t="inlineStr"/>
    </row>
    <row r="7073" ht="15" customHeight="1">
      <c r="A7073" t="inlineStr">
        <is>
          <t>A 38932-2022</t>
        </is>
      </c>
      <c r="B7073" s="1" t="n">
        <v>44816</v>
      </c>
      <c r="C7073" s="1" t="n">
        <v>45357</v>
      </c>
      <c r="D7073" t="inlineStr">
        <is>
          <t>VÄSTERBOTTENS LÄN</t>
        </is>
      </c>
      <c r="E7073" t="inlineStr">
        <is>
          <t>SKELLEFTEÅ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38968-2022</t>
        </is>
      </c>
      <c r="B7074" s="1" t="n">
        <v>44816</v>
      </c>
      <c r="C7074" s="1" t="n">
        <v>45357</v>
      </c>
      <c r="D7074" t="inlineStr">
        <is>
          <t>VÄSTERBOTTENS LÄN</t>
        </is>
      </c>
      <c r="E7074" t="inlineStr">
        <is>
          <t>DOROTEA</t>
        </is>
      </c>
      <c r="F7074" t="inlineStr">
        <is>
          <t>Sveaskog</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38940-2022</t>
        </is>
      </c>
      <c r="B7075" s="1" t="n">
        <v>44816</v>
      </c>
      <c r="C7075" s="1" t="n">
        <v>45357</v>
      </c>
      <c r="D7075" t="inlineStr">
        <is>
          <t>VÄSTERBOTTENS LÄN</t>
        </is>
      </c>
      <c r="E7075" t="inlineStr">
        <is>
          <t>SKELLEFTEÅ</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38953-2022</t>
        </is>
      </c>
      <c r="B7076" s="1" t="n">
        <v>44816</v>
      </c>
      <c r="C7076" s="1" t="n">
        <v>45357</v>
      </c>
      <c r="D7076" t="inlineStr">
        <is>
          <t>VÄSTERBOTTENS LÄN</t>
        </is>
      </c>
      <c r="E7076" t="inlineStr">
        <is>
          <t>VÄNNÄS</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38979-2022</t>
        </is>
      </c>
      <c r="B7077" s="1" t="n">
        <v>44816</v>
      </c>
      <c r="C7077" s="1" t="n">
        <v>45357</v>
      </c>
      <c r="D7077" t="inlineStr">
        <is>
          <t>VÄSTERBOTTENS LÄN</t>
        </is>
      </c>
      <c r="E7077" t="inlineStr">
        <is>
          <t>ÅSELE</t>
        </is>
      </c>
      <c r="F7077" t="inlineStr">
        <is>
          <t>Sveaskog</t>
        </is>
      </c>
      <c r="G7077" t="n">
        <v>11.1</v>
      </c>
      <c r="H7077" t="n">
        <v>0</v>
      </c>
      <c r="I7077" t="n">
        <v>0</v>
      </c>
      <c r="J7077" t="n">
        <v>0</v>
      </c>
      <c r="K7077" t="n">
        <v>0</v>
      </c>
      <c r="L7077" t="n">
        <v>0</v>
      </c>
      <c r="M7077" t="n">
        <v>0</v>
      </c>
      <c r="N7077" t="n">
        <v>0</v>
      </c>
      <c r="O7077" t="n">
        <v>0</v>
      </c>
      <c r="P7077" t="n">
        <v>0</v>
      </c>
      <c r="Q7077" t="n">
        <v>0</v>
      </c>
      <c r="R7077" s="2" t="inlineStr"/>
    </row>
    <row r="7078" ht="15" customHeight="1">
      <c r="A7078" t="inlineStr">
        <is>
          <t>A 38959-2022</t>
        </is>
      </c>
      <c r="B7078" s="1" t="n">
        <v>44816</v>
      </c>
      <c r="C7078" s="1" t="n">
        <v>45357</v>
      </c>
      <c r="D7078" t="inlineStr">
        <is>
          <t>VÄSTERBOTTENS LÄN</t>
        </is>
      </c>
      <c r="E7078" t="inlineStr">
        <is>
          <t>UMEÅ</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38973-2022</t>
        </is>
      </c>
      <c r="B7079" s="1" t="n">
        <v>44816</v>
      </c>
      <c r="C7079" s="1" t="n">
        <v>45357</v>
      </c>
      <c r="D7079" t="inlineStr">
        <is>
          <t>VÄSTERBOTTENS LÄN</t>
        </is>
      </c>
      <c r="E7079" t="inlineStr">
        <is>
          <t>ÅSELE</t>
        </is>
      </c>
      <c r="F7079" t="inlineStr">
        <is>
          <t>Sveaskog</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38995-2022</t>
        </is>
      </c>
      <c r="B7080" s="1" t="n">
        <v>44816</v>
      </c>
      <c r="C7080" s="1" t="n">
        <v>45357</v>
      </c>
      <c r="D7080" t="inlineStr">
        <is>
          <t>VÄSTERBOTTENS LÄN</t>
        </is>
      </c>
      <c r="E7080" t="inlineStr">
        <is>
          <t>SKELLEFTEÅ</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38956-2022</t>
        </is>
      </c>
      <c r="B7081" s="1" t="n">
        <v>44816</v>
      </c>
      <c r="C7081" s="1" t="n">
        <v>45357</v>
      </c>
      <c r="D7081" t="inlineStr">
        <is>
          <t>VÄSTERBOTTENS LÄN</t>
        </is>
      </c>
      <c r="E7081" t="inlineStr">
        <is>
          <t>VÄNNÄS</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38962-2022</t>
        </is>
      </c>
      <c r="B7082" s="1" t="n">
        <v>44816</v>
      </c>
      <c r="C7082" s="1" t="n">
        <v>45357</v>
      </c>
      <c r="D7082" t="inlineStr">
        <is>
          <t>VÄSTERBOTTENS LÄN</t>
        </is>
      </c>
      <c r="E7082" t="inlineStr">
        <is>
          <t>VÄNNÄS</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38977-2022</t>
        </is>
      </c>
      <c r="B7083" s="1" t="n">
        <v>44816</v>
      </c>
      <c r="C7083" s="1" t="n">
        <v>45357</v>
      </c>
      <c r="D7083" t="inlineStr">
        <is>
          <t>VÄSTERBOTTENS LÄN</t>
        </is>
      </c>
      <c r="E7083" t="inlineStr">
        <is>
          <t>ÅSELE</t>
        </is>
      </c>
      <c r="F7083" t="inlineStr">
        <is>
          <t>Sveaskog</t>
        </is>
      </c>
      <c r="G7083" t="n">
        <v>11.2</v>
      </c>
      <c r="H7083" t="n">
        <v>0</v>
      </c>
      <c r="I7083" t="n">
        <v>0</v>
      </c>
      <c r="J7083" t="n">
        <v>0</v>
      </c>
      <c r="K7083" t="n">
        <v>0</v>
      </c>
      <c r="L7083" t="n">
        <v>0</v>
      </c>
      <c r="M7083" t="n">
        <v>0</v>
      </c>
      <c r="N7083" t="n">
        <v>0</v>
      </c>
      <c r="O7083" t="n">
        <v>0</v>
      </c>
      <c r="P7083" t="n">
        <v>0</v>
      </c>
      <c r="Q7083" t="n">
        <v>0</v>
      </c>
      <c r="R7083" s="2" t="inlineStr"/>
    </row>
    <row r="7084" ht="15" customHeight="1">
      <c r="A7084" t="inlineStr">
        <is>
          <t>A 38997-2022</t>
        </is>
      </c>
      <c r="B7084" s="1" t="n">
        <v>44817</v>
      </c>
      <c r="C7084" s="1" t="n">
        <v>45357</v>
      </c>
      <c r="D7084" t="inlineStr">
        <is>
          <t>VÄSTERBOTTENS LÄN</t>
        </is>
      </c>
      <c r="E7084" t="inlineStr">
        <is>
          <t>SKELLEFTEÅ</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38998-2022</t>
        </is>
      </c>
      <c r="B7085" s="1" t="n">
        <v>44817</v>
      </c>
      <c r="C7085" s="1" t="n">
        <v>45357</v>
      </c>
      <c r="D7085" t="inlineStr">
        <is>
          <t>VÄSTERBOTTENS LÄN</t>
        </is>
      </c>
      <c r="E7085" t="inlineStr">
        <is>
          <t>SKELLEFTEÅ</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38976-2022</t>
        </is>
      </c>
      <c r="B7086" s="1" t="n">
        <v>44816</v>
      </c>
      <c r="C7086" s="1" t="n">
        <v>45357</v>
      </c>
      <c r="D7086" t="inlineStr">
        <is>
          <t>VÄSTERBOTTENS LÄN</t>
        </is>
      </c>
      <c r="E7086" t="inlineStr">
        <is>
          <t>ÅSELE</t>
        </is>
      </c>
      <c r="F7086" t="inlineStr">
        <is>
          <t>Sveaskog</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38993-2022</t>
        </is>
      </c>
      <c r="B7087" s="1" t="n">
        <v>44816</v>
      </c>
      <c r="C7087" s="1" t="n">
        <v>45357</v>
      </c>
      <c r="D7087" t="inlineStr">
        <is>
          <t>VÄSTERBOTTENS LÄN</t>
        </is>
      </c>
      <c r="E7087" t="inlineStr">
        <is>
          <t>SKELLEFTEÅ</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38999-2022</t>
        </is>
      </c>
      <c r="B7088" s="1" t="n">
        <v>44817</v>
      </c>
      <c r="C7088" s="1" t="n">
        <v>45357</v>
      </c>
      <c r="D7088" t="inlineStr">
        <is>
          <t>VÄSTERBOTTENS LÄN</t>
        </is>
      </c>
      <c r="E7088" t="inlineStr">
        <is>
          <t>NORSJÖ</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39111-2022</t>
        </is>
      </c>
      <c r="B7089" s="1" t="n">
        <v>44816</v>
      </c>
      <c r="C7089" s="1" t="n">
        <v>45357</v>
      </c>
      <c r="D7089" t="inlineStr">
        <is>
          <t>VÄSTERBOTTENS LÄN</t>
        </is>
      </c>
      <c r="E7089" t="inlineStr">
        <is>
          <t>VINDELN</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39581-2022</t>
        </is>
      </c>
      <c r="B7090" s="1" t="n">
        <v>44816</v>
      </c>
      <c r="C7090" s="1" t="n">
        <v>45357</v>
      </c>
      <c r="D7090" t="inlineStr">
        <is>
          <t>VÄSTERBOTTENS LÄN</t>
        </is>
      </c>
      <c r="E7090" t="inlineStr">
        <is>
          <t>VÄNNÄS</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39104-2022</t>
        </is>
      </c>
      <c r="B7091" s="1" t="n">
        <v>44816</v>
      </c>
      <c r="C7091" s="1" t="n">
        <v>45357</v>
      </c>
      <c r="D7091" t="inlineStr">
        <is>
          <t>VÄSTERBOTTENS LÄN</t>
        </is>
      </c>
      <c r="E7091" t="inlineStr">
        <is>
          <t>NORDMALING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39198-2022</t>
        </is>
      </c>
      <c r="B7092" s="1" t="n">
        <v>44816</v>
      </c>
      <c r="C7092" s="1" t="n">
        <v>45357</v>
      </c>
      <c r="D7092" t="inlineStr">
        <is>
          <t>VÄSTERBOTTENS LÄN</t>
        </is>
      </c>
      <c r="E7092" t="inlineStr">
        <is>
          <t>NORDMALING</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39255-2022</t>
        </is>
      </c>
      <c r="B7093" s="1" t="n">
        <v>44817</v>
      </c>
      <c r="C7093" s="1" t="n">
        <v>45357</v>
      </c>
      <c r="D7093" t="inlineStr">
        <is>
          <t>VÄSTERBOTTENS LÄN</t>
        </is>
      </c>
      <c r="E7093" t="inlineStr">
        <is>
          <t>VINDELN</t>
        </is>
      </c>
      <c r="F7093" t="inlineStr">
        <is>
          <t>Sveaskog</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39285-2022</t>
        </is>
      </c>
      <c r="B7094" s="1" t="n">
        <v>44817</v>
      </c>
      <c r="C7094" s="1" t="n">
        <v>45357</v>
      </c>
      <c r="D7094" t="inlineStr">
        <is>
          <t>VÄSTERBOTTENS LÄN</t>
        </is>
      </c>
      <c r="E7094" t="inlineStr">
        <is>
          <t>STORUMAN</t>
        </is>
      </c>
      <c r="F7094" t="inlineStr">
        <is>
          <t>Sveaskog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39019-2022</t>
        </is>
      </c>
      <c r="B7095" s="1" t="n">
        <v>44817</v>
      </c>
      <c r="C7095" s="1" t="n">
        <v>45357</v>
      </c>
      <c r="D7095" t="inlineStr">
        <is>
          <t>VÄSTERBOTTENS LÄN</t>
        </is>
      </c>
      <c r="E7095" t="inlineStr">
        <is>
          <t>SKELLEFTEÅ</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39191-2022</t>
        </is>
      </c>
      <c r="B7096" s="1" t="n">
        <v>44817</v>
      </c>
      <c r="C7096" s="1" t="n">
        <v>45357</v>
      </c>
      <c r="D7096" t="inlineStr">
        <is>
          <t>VÄSTERBOTTENS LÄN</t>
        </is>
      </c>
      <c r="E7096" t="inlineStr">
        <is>
          <t>VINDELN</t>
        </is>
      </c>
      <c r="F7096" t="inlineStr">
        <is>
          <t>Holmen skog AB</t>
        </is>
      </c>
      <c r="G7096" t="n">
        <v>12.6</v>
      </c>
      <c r="H7096" t="n">
        <v>0</v>
      </c>
      <c r="I7096" t="n">
        <v>0</v>
      </c>
      <c r="J7096" t="n">
        <v>0</v>
      </c>
      <c r="K7096" t="n">
        <v>0</v>
      </c>
      <c r="L7096" t="n">
        <v>0</v>
      </c>
      <c r="M7096" t="n">
        <v>0</v>
      </c>
      <c r="N7096" t="n">
        <v>0</v>
      </c>
      <c r="O7096" t="n">
        <v>0</v>
      </c>
      <c r="P7096" t="n">
        <v>0</v>
      </c>
      <c r="Q7096" t="n">
        <v>0</v>
      </c>
      <c r="R7096" s="2" t="inlineStr"/>
    </row>
    <row r="7097" ht="15" customHeight="1">
      <c r="A7097" t="inlineStr">
        <is>
          <t>A 39250-2022</t>
        </is>
      </c>
      <c r="B7097" s="1" t="n">
        <v>44817</v>
      </c>
      <c r="C7097" s="1" t="n">
        <v>45357</v>
      </c>
      <c r="D7097" t="inlineStr">
        <is>
          <t>VÄSTERBOTTENS LÄN</t>
        </is>
      </c>
      <c r="E7097" t="inlineStr">
        <is>
          <t>VINDELN</t>
        </is>
      </c>
      <c r="F7097" t="inlineStr">
        <is>
          <t>Holmen skog AB</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39260-2022</t>
        </is>
      </c>
      <c r="B7098" s="1" t="n">
        <v>44817</v>
      </c>
      <c r="C7098" s="1" t="n">
        <v>45357</v>
      </c>
      <c r="D7098" t="inlineStr">
        <is>
          <t>VÄSTERBOTTENS LÄN</t>
        </is>
      </c>
      <c r="E7098" t="inlineStr">
        <is>
          <t>STORUMAN</t>
        </is>
      </c>
      <c r="F7098" t="inlineStr">
        <is>
          <t>Sveaskog</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39271-2022</t>
        </is>
      </c>
      <c r="B7099" s="1" t="n">
        <v>44817</v>
      </c>
      <c r="C7099" s="1" t="n">
        <v>45357</v>
      </c>
      <c r="D7099" t="inlineStr">
        <is>
          <t>VÄSTERBOTTENS LÄN</t>
        </is>
      </c>
      <c r="E7099" t="inlineStr">
        <is>
          <t>VINDELN</t>
        </is>
      </c>
      <c r="F7099" t="inlineStr">
        <is>
          <t>Holmen skog AB</t>
        </is>
      </c>
      <c r="G7099" t="n">
        <v>9.800000000000001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39284-2022</t>
        </is>
      </c>
      <c r="B7100" s="1" t="n">
        <v>44817</v>
      </c>
      <c r="C7100" s="1" t="n">
        <v>45357</v>
      </c>
      <c r="D7100" t="inlineStr">
        <is>
          <t>VÄSTERBOTTENS LÄN</t>
        </is>
      </c>
      <c r="E7100" t="inlineStr">
        <is>
          <t>STORUMAN</t>
        </is>
      </c>
      <c r="F7100" t="inlineStr">
        <is>
          <t>Sveaskog</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39233-2022</t>
        </is>
      </c>
      <c r="B7101" s="1" t="n">
        <v>44817</v>
      </c>
      <c r="C7101" s="1" t="n">
        <v>45357</v>
      </c>
      <c r="D7101" t="inlineStr">
        <is>
          <t>VÄSTERBOTTENS LÄN</t>
        </is>
      </c>
      <c r="E7101" t="inlineStr">
        <is>
          <t>UMEÅ</t>
        </is>
      </c>
      <c r="F7101" t="inlineStr">
        <is>
          <t>Holmen skog AB</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39247-2022</t>
        </is>
      </c>
      <c r="B7102" s="1" t="n">
        <v>44817</v>
      </c>
      <c r="C7102" s="1" t="n">
        <v>45357</v>
      </c>
      <c r="D7102" t="inlineStr">
        <is>
          <t>VÄSTERBOTTENS LÄN</t>
        </is>
      </c>
      <c r="E7102" t="inlineStr">
        <is>
          <t>UMEÅ</t>
        </is>
      </c>
      <c r="F7102" t="inlineStr">
        <is>
          <t>Holmen skog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39275-2022</t>
        </is>
      </c>
      <c r="B7103" s="1" t="n">
        <v>44817</v>
      </c>
      <c r="C7103" s="1" t="n">
        <v>45357</v>
      </c>
      <c r="D7103" t="inlineStr">
        <is>
          <t>VÄSTERBOTTENS LÄN</t>
        </is>
      </c>
      <c r="E7103" t="inlineStr">
        <is>
          <t>STORUMAN</t>
        </is>
      </c>
      <c r="F7103" t="inlineStr">
        <is>
          <t>Sveaskog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39283-2022</t>
        </is>
      </c>
      <c r="B7104" s="1" t="n">
        <v>44817</v>
      </c>
      <c r="C7104" s="1" t="n">
        <v>45357</v>
      </c>
      <c r="D7104" t="inlineStr">
        <is>
          <t>VÄSTERBOTTENS LÄN</t>
        </is>
      </c>
      <c r="E7104" t="inlineStr">
        <is>
          <t>ROBERTSFORS</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39375-2022</t>
        </is>
      </c>
      <c r="B7105" s="1" t="n">
        <v>44817</v>
      </c>
      <c r="C7105" s="1" t="n">
        <v>45357</v>
      </c>
      <c r="D7105" t="inlineStr">
        <is>
          <t>VÄSTERBOTTENS LÄN</t>
        </is>
      </c>
      <c r="E7105" t="inlineStr">
        <is>
          <t>DOROTEA</t>
        </is>
      </c>
      <c r="F7105" t="inlineStr">
        <is>
          <t>SCA</t>
        </is>
      </c>
      <c r="G7105" t="n">
        <v>11.3</v>
      </c>
      <c r="H7105" t="n">
        <v>0</v>
      </c>
      <c r="I7105" t="n">
        <v>0</v>
      </c>
      <c r="J7105" t="n">
        <v>0</v>
      </c>
      <c r="K7105" t="n">
        <v>0</v>
      </c>
      <c r="L7105" t="n">
        <v>0</v>
      </c>
      <c r="M7105" t="n">
        <v>0</v>
      </c>
      <c r="N7105" t="n">
        <v>0</v>
      </c>
      <c r="O7105" t="n">
        <v>0</v>
      </c>
      <c r="P7105" t="n">
        <v>0</v>
      </c>
      <c r="Q7105" t="n">
        <v>0</v>
      </c>
      <c r="R7105" s="2" t="inlineStr"/>
    </row>
    <row r="7106" ht="15" customHeight="1">
      <c r="A7106" t="inlineStr">
        <is>
          <t>A 39386-2022</t>
        </is>
      </c>
      <c r="B7106" s="1" t="n">
        <v>44818</v>
      </c>
      <c r="C7106" s="1" t="n">
        <v>45357</v>
      </c>
      <c r="D7106" t="inlineStr">
        <is>
          <t>VÄSTERBOTTENS LÄN</t>
        </is>
      </c>
      <c r="E7106" t="inlineStr">
        <is>
          <t>ÅSELE</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39312-2022</t>
        </is>
      </c>
      <c r="B7107" s="1" t="n">
        <v>44817</v>
      </c>
      <c r="C7107" s="1" t="n">
        <v>45357</v>
      </c>
      <c r="D7107" t="inlineStr">
        <is>
          <t>VÄSTERBOTTENS LÄN</t>
        </is>
      </c>
      <c r="E7107" t="inlineStr">
        <is>
          <t>NORDMALING</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39401-2022</t>
        </is>
      </c>
      <c r="B7108" s="1" t="n">
        <v>44818</v>
      </c>
      <c r="C7108" s="1" t="n">
        <v>45357</v>
      </c>
      <c r="D7108" t="inlineStr">
        <is>
          <t>VÄSTERBOTTENS LÄN</t>
        </is>
      </c>
      <c r="E7108" t="inlineStr">
        <is>
          <t>ÅSELE</t>
        </is>
      </c>
      <c r="F7108" t="inlineStr">
        <is>
          <t>SCA</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39350-2022</t>
        </is>
      </c>
      <c r="B7109" s="1" t="n">
        <v>44817</v>
      </c>
      <c r="C7109" s="1" t="n">
        <v>45357</v>
      </c>
      <c r="D7109" t="inlineStr">
        <is>
          <t>VÄSTERBOTTENS LÄN</t>
        </is>
      </c>
      <c r="E7109" t="inlineStr">
        <is>
          <t>VINDELN</t>
        </is>
      </c>
      <c r="F7109" t="inlineStr">
        <is>
          <t>Holmen skog AB</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39382-2022</t>
        </is>
      </c>
      <c r="B7110" s="1" t="n">
        <v>44818</v>
      </c>
      <c r="C7110" s="1" t="n">
        <v>45357</v>
      </c>
      <c r="D7110" t="inlineStr">
        <is>
          <t>VÄSTERBOTTENS LÄN</t>
        </is>
      </c>
      <c r="E7110" t="inlineStr">
        <is>
          <t>ÅSELE</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39389-2022</t>
        </is>
      </c>
      <c r="B7111" s="1" t="n">
        <v>44817</v>
      </c>
      <c r="C7111" s="1" t="n">
        <v>45357</v>
      </c>
      <c r="D7111" t="inlineStr">
        <is>
          <t>VÄSTERBOTTENS LÄN</t>
        </is>
      </c>
      <c r="E7111" t="inlineStr">
        <is>
          <t>VILHELMINA</t>
        </is>
      </c>
      <c r="F7111" t="inlineStr">
        <is>
          <t>SCA</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39400-2022</t>
        </is>
      </c>
      <c r="B7112" s="1" t="n">
        <v>44818</v>
      </c>
      <c r="C7112" s="1" t="n">
        <v>45357</v>
      </c>
      <c r="D7112" t="inlineStr">
        <is>
          <t>VÄSTERBOTTENS LÄN</t>
        </is>
      </c>
      <c r="E7112" t="inlineStr">
        <is>
          <t>ÅSELE</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39381-2022</t>
        </is>
      </c>
      <c r="B7113" s="1" t="n">
        <v>44818</v>
      </c>
      <c r="C7113" s="1" t="n">
        <v>45357</v>
      </c>
      <c r="D7113" t="inlineStr">
        <is>
          <t>VÄSTERBOTTENS LÄN</t>
        </is>
      </c>
      <c r="E7113" t="inlineStr">
        <is>
          <t>ÅSELE</t>
        </is>
      </c>
      <c r="F7113" t="inlineStr">
        <is>
          <t>SCA</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39404-2022</t>
        </is>
      </c>
      <c r="B7114" s="1" t="n">
        <v>44818</v>
      </c>
      <c r="C7114" s="1" t="n">
        <v>45357</v>
      </c>
      <c r="D7114" t="inlineStr">
        <is>
          <t>VÄSTERBOTTENS LÄN</t>
        </is>
      </c>
      <c r="E7114" t="inlineStr">
        <is>
          <t>LYCKSELE</t>
        </is>
      </c>
      <c r="F7114" t="inlineStr">
        <is>
          <t>SCA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39429-2022</t>
        </is>
      </c>
      <c r="B7115" s="1" t="n">
        <v>44817</v>
      </c>
      <c r="C7115" s="1" t="n">
        <v>45357</v>
      </c>
      <c r="D7115" t="inlineStr">
        <is>
          <t>VÄSTERBOTTENS LÄN</t>
        </is>
      </c>
      <c r="E7115" t="inlineStr">
        <is>
          <t>NORDMALING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39425-2022</t>
        </is>
      </c>
      <c r="B7116" s="1" t="n">
        <v>44818</v>
      </c>
      <c r="C7116" s="1" t="n">
        <v>45357</v>
      </c>
      <c r="D7116" t="inlineStr">
        <is>
          <t>VÄSTERBOTTENS LÄN</t>
        </is>
      </c>
      <c r="E7116" t="inlineStr">
        <is>
          <t>VINDELN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39561-2022</t>
        </is>
      </c>
      <c r="B7117" s="1" t="n">
        <v>44818</v>
      </c>
      <c r="C7117" s="1" t="n">
        <v>45357</v>
      </c>
      <c r="D7117" t="inlineStr">
        <is>
          <t>VÄSTERBOTTENS LÄN</t>
        </is>
      </c>
      <c r="E7117" t="inlineStr">
        <is>
          <t>UMEÅ</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39592-2022</t>
        </is>
      </c>
      <c r="B7118" s="1" t="n">
        <v>44818</v>
      </c>
      <c r="C7118" s="1" t="n">
        <v>45357</v>
      </c>
      <c r="D7118" t="inlineStr">
        <is>
          <t>VÄSTERBOTTENS LÄN</t>
        </is>
      </c>
      <c r="E7118" t="inlineStr">
        <is>
          <t>UMEÅ</t>
        </is>
      </c>
      <c r="F7118" t="inlineStr">
        <is>
          <t>Holmen skog AB</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39512-2022</t>
        </is>
      </c>
      <c r="B7119" s="1" t="n">
        <v>44818</v>
      </c>
      <c r="C7119" s="1" t="n">
        <v>45357</v>
      </c>
      <c r="D7119" t="inlineStr">
        <is>
          <t>VÄSTERBOTTENS LÄN</t>
        </is>
      </c>
      <c r="E7119" t="inlineStr">
        <is>
          <t>VINDELN</t>
        </is>
      </c>
      <c r="F7119" t="inlineStr">
        <is>
          <t>Holmen skog AB</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39482-2022</t>
        </is>
      </c>
      <c r="B7120" s="1" t="n">
        <v>44818</v>
      </c>
      <c r="C7120" s="1" t="n">
        <v>45357</v>
      </c>
      <c r="D7120" t="inlineStr">
        <is>
          <t>VÄSTERBOTTENS LÄN</t>
        </is>
      </c>
      <c r="E7120" t="inlineStr">
        <is>
          <t>UMEÅ</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39516-2022</t>
        </is>
      </c>
      <c r="B7121" s="1" t="n">
        <v>44818</v>
      </c>
      <c r="C7121" s="1" t="n">
        <v>45357</v>
      </c>
      <c r="D7121" t="inlineStr">
        <is>
          <t>VÄSTERBOTTENS LÄN</t>
        </is>
      </c>
      <c r="E7121" t="inlineStr">
        <is>
          <t>VINDELN</t>
        </is>
      </c>
      <c r="F7121" t="inlineStr">
        <is>
          <t>Holmen skog AB</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39558-2022</t>
        </is>
      </c>
      <c r="B7122" s="1" t="n">
        <v>44818</v>
      </c>
      <c r="C7122" s="1" t="n">
        <v>45357</v>
      </c>
      <c r="D7122" t="inlineStr">
        <is>
          <t>VÄSTERBOTTENS LÄN</t>
        </is>
      </c>
      <c r="E7122" t="inlineStr">
        <is>
          <t>NORSJÖ</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39668-2022</t>
        </is>
      </c>
      <c r="B7123" s="1" t="n">
        <v>44818</v>
      </c>
      <c r="C7123" s="1" t="n">
        <v>45357</v>
      </c>
      <c r="D7123" t="inlineStr">
        <is>
          <t>VÄSTERBOTTENS LÄN</t>
        </is>
      </c>
      <c r="E7123" t="inlineStr">
        <is>
          <t>SKELLEFTEÅ</t>
        </is>
      </c>
      <c r="G7123" t="n">
        <v>13.2</v>
      </c>
      <c r="H7123" t="n">
        <v>0</v>
      </c>
      <c r="I7123" t="n">
        <v>0</v>
      </c>
      <c r="J7123" t="n">
        <v>0</v>
      </c>
      <c r="K7123" t="n">
        <v>0</v>
      </c>
      <c r="L7123" t="n">
        <v>0</v>
      </c>
      <c r="M7123" t="n">
        <v>0</v>
      </c>
      <c r="N7123" t="n">
        <v>0</v>
      </c>
      <c r="O7123" t="n">
        <v>0</v>
      </c>
      <c r="P7123" t="n">
        <v>0</v>
      </c>
      <c r="Q7123" t="n">
        <v>0</v>
      </c>
      <c r="R7123" s="2" t="inlineStr"/>
    </row>
    <row r="7124" ht="15" customHeight="1">
      <c r="A7124" t="inlineStr">
        <is>
          <t>A 40000-2022</t>
        </is>
      </c>
      <c r="B7124" s="1" t="n">
        <v>44818</v>
      </c>
      <c r="C7124" s="1" t="n">
        <v>45357</v>
      </c>
      <c r="D7124" t="inlineStr">
        <is>
          <t>VÄSTERBOTTENS LÄN</t>
        </is>
      </c>
      <c r="E7124" t="inlineStr">
        <is>
          <t>BJURHOLM</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39676-2022</t>
        </is>
      </c>
      <c r="B7125" s="1" t="n">
        <v>44818</v>
      </c>
      <c r="C7125" s="1" t="n">
        <v>45357</v>
      </c>
      <c r="D7125" t="inlineStr">
        <is>
          <t>VÄSTERBOTTENS LÄN</t>
        </is>
      </c>
      <c r="E7125" t="inlineStr">
        <is>
          <t>NORDMALING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39722-2022</t>
        </is>
      </c>
      <c r="B7126" s="1" t="n">
        <v>44819</v>
      </c>
      <c r="C7126" s="1" t="n">
        <v>45357</v>
      </c>
      <c r="D7126" t="inlineStr">
        <is>
          <t>VÄSTERBOTTENS LÄN</t>
        </is>
      </c>
      <c r="E7126" t="inlineStr">
        <is>
          <t>ÅSELE</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39794-2022</t>
        </is>
      </c>
      <c r="B7127" s="1" t="n">
        <v>44819</v>
      </c>
      <c r="C7127" s="1" t="n">
        <v>45357</v>
      </c>
      <c r="D7127" t="inlineStr">
        <is>
          <t>VÄSTERBOTTENS LÄN</t>
        </is>
      </c>
      <c r="E7127" t="inlineStr">
        <is>
          <t>SKELLEFTEÅ</t>
        </is>
      </c>
      <c r="F7127" t="inlineStr">
        <is>
          <t>Holmen skog AB</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39836-2022</t>
        </is>
      </c>
      <c r="B7128" s="1" t="n">
        <v>44819</v>
      </c>
      <c r="C7128" s="1" t="n">
        <v>45357</v>
      </c>
      <c r="D7128" t="inlineStr">
        <is>
          <t>VÄSTERBOTTENS LÄN</t>
        </is>
      </c>
      <c r="E7128" t="inlineStr">
        <is>
          <t>ROBERTSFORS</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39859-2022</t>
        </is>
      </c>
      <c r="B7129" s="1" t="n">
        <v>44819</v>
      </c>
      <c r="C7129" s="1" t="n">
        <v>45357</v>
      </c>
      <c r="D7129" t="inlineStr">
        <is>
          <t>VÄSTERBOTTENS LÄN</t>
        </is>
      </c>
      <c r="E7129" t="inlineStr">
        <is>
          <t>VINDELN</t>
        </is>
      </c>
      <c r="F7129" t="inlineStr">
        <is>
          <t>Holmen skog AB</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39732-2022</t>
        </is>
      </c>
      <c r="B7130" s="1" t="n">
        <v>44819</v>
      </c>
      <c r="C7130" s="1" t="n">
        <v>45357</v>
      </c>
      <c r="D7130" t="inlineStr">
        <is>
          <t>VÄSTERBOTTENS LÄN</t>
        </is>
      </c>
      <c r="E7130" t="inlineStr">
        <is>
          <t>SKELLEFTEÅ</t>
        </is>
      </c>
      <c r="F7130" t="inlineStr">
        <is>
          <t>Holmen skog AB</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39788-2022</t>
        </is>
      </c>
      <c r="B7131" s="1" t="n">
        <v>44819</v>
      </c>
      <c r="C7131" s="1" t="n">
        <v>45357</v>
      </c>
      <c r="D7131" t="inlineStr">
        <is>
          <t>VÄSTERBOTTENS LÄN</t>
        </is>
      </c>
      <c r="E7131" t="inlineStr">
        <is>
          <t>NORDMALING</t>
        </is>
      </c>
      <c r="F7131" t="inlineStr">
        <is>
          <t>Holmen skog AB</t>
        </is>
      </c>
      <c r="G7131" t="n">
        <v>11.6</v>
      </c>
      <c r="H7131" t="n">
        <v>0</v>
      </c>
      <c r="I7131" t="n">
        <v>0</v>
      </c>
      <c r="J7131" t="n">
        <v>0</v>
      </c>
      <c r="K7131" t="n">
        <v>0</v>
      </c>
      <c r="L7131" t="n">
        <v>0</v>
      </c>
      <c r="M7131" t="n">
        <v>0</v>
      </c>
      <c r="N7131" t="n">
        <v>0</v>
      </c>
      <c r="O7131" t="n">
        <v>0</v>
      </c>
      <c r="P7131" t="n">
        <v>0</v>
      </c>
      <c r="Q7131" t="n">
        <v>0</v>
      </c>
      <c r="R7131" s="2" t="inlineStr"/>
    </row>
    <row r="7132" ht="15" customHeight="1">
      <c r="A7132" t="inlineStr">
        <is>
          <t>A 39918-2022</t>
        </is>
      </c>
      <c r="B7132" s="1" t="n">
        <v>44819</v>
      </c>
      <c r="C7132" s="1" t="n">
        <v>45357</v>
      </c>
      <c r="D7132" t="inlineStr">
        <is>
          <t>VÄSTERBOTTENS LÄN</t>
        </is>
      </c>
      <c r="E7132" t="inlineStr">
        <is>
          <t>SKELLEFTEÅ</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39935-2022</t>
        </is>
      </c>
      <c r="B7133" s="1" t="n">
        <v>44820</v>
      </c>
      <c r="C7133" s="1" t="n">
        <v>45357</v>
      </c>
      <c r="D7133" t="inlineStr">
        <is>
          <t>VÄSTERBOTTENS LÄN</t>
        </is>
      </c>
      <c r="E7133" t="inlineStr">
        <is>
          <t>VINDELN</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39932-2022</t>
        </is>
      </c>
      <c r="B7134" s="1" t="n">
        <v>44819</v>
      </c>
      <c r="C7134" s="1" t="n">
        <v>45357</v>
      </c>
      <c r="D7134" t="inlineStr">
        <is>
          <t>VÄSTERBOTTENS LÄN</t>
        </is>
      </c>
      <c r="E7134" t="inlineStr">
        <is>
          <t>NORDMALING</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39955-2022</t>
        </is>
      </c>
      <c r="B7135" s="1" t="n">
        <v>44820</v>
      </c>
      <c r="C7135" s="1" t="n">
        <v>45357</v>
      </c>
      <c r="D7135" t="inlineStr">
        <is>
          <t>VÄSTERBOTTENS LÄN</t>
        </is>
      </c>
      <c r="E7135" t="inlineStr">
        <is>
          <t>ROBERTSFORS</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40526-2022</t>
        </is>
      </c>
      <c r="B7136" s="1" t="n">
        <v>44819</v>
      </c>
      <c r="C7136" s="1" t="n">
        <v>45357</v>
      </c>
      <c r="D7136" t="inlineStr">
        <is>
          <t>VÄSTERBOTTENS LÄN</t>
        </is>
      </c>
      <c r="E7136" t="inlineStr">
        <is>
          <t>VÄNNÄS</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39986-2022</t>
        </is>
      </c>
      <c r="B7137" s="1" t="n">
        <v>44820</v>
      </c>
      <c r="C7137" s="1" t="n">
        <v>45357</v>
      </c>
      <c r="D7137" t="inlineStr">
        <is>
          <t>VÄSTERBOTTENS LÄN</t>
        </is>
      </c>
      <c r="E7137" t="inlineStr">
        <is>
          <t>SKELLEFTEÅ</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40024-2022</t>
        </is>
      </c>
      <c r="B7138" s="1" t="n">
        <v>44820</v>
      </c>
      <c r="C7138" s="1" t="n">
        <v>45357</v>
      </c>
      <c r="D7138" t="inlineStr">
        <is>
          <t>VÄSTERBOTTENS LÄN</t>
        </is>
      </c>
      <c r="E7138" t="inlineStr">
        <is>
          <t>UMEÅ</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39998-2022</t>
        </is>
      </c>
      <c r="B7139" s="1" t="n">
        <v>44820</v>
      </c>
      <c r="C7139" s="1" t="n">
        <v>45357</v>
      </c>
      <c r="D7139" t="inlineStr">
        <is>
          <t>VÄSTERBOTTENS LÄN</t>
        </is>
      </c>
      <c r="E7139" t="inlineStr">
        <is>
          <t>SKELLEFTEÅ</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40012-2022</t>
        </is>
      </c>
      <c r="B7140" s="1" t="n">
        <v>44820</v>
      </c>
      <c r="C7140" s="1" t="n">
        <v>45357</v>
      </c>
      <c r="D7140" t="inlineStr">
        <is>
          <t>VÄSTERBOTTENS LÄN</t>
        </is>
      </c>
      <c r="E7140" t="inlineStr">
        <is>
          <t>VINDELN</t>
        </is>
      </c>
      <c r="F7140" t="inlineStr">
        <is>
          <t>Holmen skog AB</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39988-2022</t>
        </is>
      </c>
      <c r="B7141" s="1" t="n">
        <v>44820</v>
      </c>
      <c r="C7141" s="1" t="n">
        <v>45357</v>
      </c>
      <c r="D7141" t="inlineStr">
        <is>
          <t>VÄSTERBOTTENS LÄN</t>
        </is>
      </c>
      <c r="E7141" t="inlineStr">
        <is>
          <t>NORSJÖ</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40013-2022</t>
        </is>
      </c>
      <c r="B7142" s="1" t="n">
        <v>44820</v>
      </c>
      <c r="C7142" s="1" t="n">
        <v>45357</v>
      </c>
      <c r="D7142" t="inlineStr">
        <is>
          <t>VÄSTERBOTTENS LÄN</t>
        </is>
      </c>
      <c r="E7142" t="inlineStr">
        <is>
          <t>SKELLEFTEÅ</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40034-2022</t>
        </is>
      </c>
      <c r="B7143" s="1" t="n">
        <v>44820</v>
      </c>
      <c r="C7143" s="1" t="n">
        <v>45357</v>
      </c>
      <c r="D7143" t="inlineStr">
        <is>
          <t>VÄSTERBOTTENS LÄN</t>
        </is>
      </c>
      <c r="E7143" t="inlineStr">
        <is>
          <t>SKELLEFTEÅ</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40250-2022</t>
        </is>
      </c>
      <c r="B7144" s="1" t="n">
        <v>44820</v>
      </c>
      <c r="C7144" s="1" t="n">
        <v>45357</v>
      </c>
      <c r="D7144" t="inlineStr">
        <is>
          <t>VÄSTERBOTTENS LÄN</t>
        </is>
      </c>
      <c r="E7144" t="inlineStr">
        <is>
          <t>ÅSELE</t>
        </is>
      </c>
      <c r="F7144" t="inlineStr">
        <is>
          <t>Sveaskog</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40188-2022</t>
        </is>
      </c>
      <c r="B7145" s="1" t="n">
        <v>44820</v>
      </c>
      <c r="C7145" s="1" t="n">
        <v>45357</v>
      </c>
      <c r="D7145" t="inlineStr">
        <is>
          <t>VÄSTERBOTTENS LÄN</t>
        </is>
      </c>
      <c r="E7145" t="inlineStr">
        <is>
          <t>VÄNNÄS</t>
        </is>
      </c>
      <c r="F7145" t="inlineStr">
        <is>
          <t>Holmen skog AB</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40263-2022</t>
        </is>
      </c>
      <c r="B7146" s="1" t="n">
        <v>44821</v>
      </c>
      <c r="C7146" s="1" t="n">
        <v>45357</v>
      </c>
      <c r="D7146" t="inlineStr">
        <is>
          <t>VÄSTERBOTTENS LÄN</t>
        </is>
      </c>
      <c r="E7146" t="inlineStr">
        <is>
          <t>NORDMALING</t>
        </is>
      </c>
      <c r="G7146" t="n">
        <v>5.4</v>
      </c>
      <c r="H7146" t="n">
        <v>0</v>
      </c>
      <c r="I7146" t="n">
        <v>0</v>
      </c>
      <c r="J7146" t="n">
        <v>0</v>
      </c>
      <c r="K7146" t="n">
        <v>0</v>
      </c>
      <c r="L7146" t="n">
        <v>0</v>
      </c>
      <c r="M7146" t="n">
        <v>0</v>
      </c>
      <c r="N7146" t="n">
        <v>0</v>
      </c>
      <c r="O7146" t="n">
        <v>0</v>
      </c>
      <c r="P7146" t="n">
        <v>0</v>
      </c>
      <c r="Q7146" t="n">
        <v>0</v>
      </c>
      <c r="R7146" s="2" t="inlineStr"/>
    </row>
    <row r="7147" ht="15" customHeight="1">
      <c r="A7147" t="inlineStr">
        <is>
          <t>A 39985-2022</t>
        </is>
      </c>
      <c r="B7147" s="1" t="n">
        <v>44820</v>
      </c>
      <c r="C7147" s="1" t="n">
        <v>45357</v>
      </c>
      <c r="D7147" t="inlineStr">
        <is>
          <t>VÄSTERBOTTENS LÄN</t>
        </is>
      </c>
      <c r="E7147" t="inlineStr">
        <is>
          <t>SKELLEFTEÅ</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40123-2022</t>
        </is>
      </c>
      <c r="B7148" s="1" t="n">
        <v>44820</v>
      </c>
      <c r="C7148" s="1" t="n">
        <v>45357</v>
      </c>
      <c r="D7148" t="inlineStr">
        <is>
          <t>VÄSTERBOTTENS LÄN</t>
        </is>
      </c>
      <c r="E7148" t="inlineStr">
        <is>
          <t>VINDELN</t>
        </is>
      </c>
      <c r="F7148" t="inlineStr">
        <is>
          <t>Sveaskog</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40210-2022</t>
        </is>
      </c>
      <c r="B7149" s="1" t="n">
        <v>44820</v>
      </c>
      <c r="C7149" s="1" t="n">
        <v>45357</v>
      </c>
      <c r="D7149" t="inlineStr">
        <is>
          <t>VÄSTERBOTTENS LÄN</t>
        </is>
      </c>
      <c r="E7149" t="inlineStr">
        <is>
          <t>NORDMALING</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40264-2022</t>
        </is>
      </c>
      <c r="B7150" s="1" t="n">
        <v>44821</v>
      </c>
      <c r="C7150" s="1" t="n">
        <v>45357</v>
      </c>
      <c r="D7150" t="inlineStr">
        <is>
          <t>VÄSTERBOTTENS LÄN</t>
        </is>
      </c>
      <c r="E7150" t="inlineStr">
        <is>
          <t>NORDMALING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40219-2022</t>
        </is>
      </c>
      <c r="B7151" s="1" t="n">
        <v>44820</v>
      </c>
      <c r="C7151" s="1" t="n">
        <v>45357</v>
      </c>
      <c r="D7151" t="inlineStr">
        <is>
          <t>VÄSTERBOTTENS LÄN</t>
        </is>
      </c>
      <c r="E7151" t="inlineStr">
        <is>
          <t>SKELLEFTEÅ</t>
        </is>
      </c>
      <c r="F7151" t="inlineStr">
        <is>
          <t>Sveaskog</t>
        </is>
      </c>
      <c r="G7151" t="n">
        <v>12.7</v>
      </c>
      <c r="H7151" t="n">
        <v>0</v>
      </c>
      <c r="I7151" t="n">
        <v>0</v>
      </c>
      <c r="J7151" t="n">
        <v>0</v>
      </c>
      <c r="K7151" t="n">
        <v>0</v>
      </c>
      <c r="L7151" t="n">
        <v>0</v>
      </c>
      <c r="M7151" t="n">
        <v>0</v>
      </c>
      <c r="N7151" t="n">
        <v>0</v>
      </c>
      <c r="O7151" t="n">
        <v>0</v>
      </c>
      <c r="P7151" t="n">
        <v>0</v>
      </c>
      <c r="Q7151" t="n">
        <v>0</v>
      </c>
      <c r="R7151" s="2" t="inlineStr"/>
    </row>
    <row r="7152" ht="15" customHeight="1">
      <c r="A7152" t="inlineStr">
        <is>
          <t>A 40262-2022</t>
        </is>
      </c>
      <c r="B7152" s="1" t="n">
        <v>44820</v>
      </c>
      <c r="C7152" s="1" t="n">
        <v>45357</v>
      </c>
      <c r="D7152" t="inlineStr">
        <is>
          <t>VÄSTERBOTTENS LÄN</t>
        </is>
      </c>
      <c r="E7152" t="inlineStr">
        <is>
          <t>LYCKSELE</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40905-2022</t>
        </is>
      </c>
      <c r="B7153" s="1" t="n">
        <v>44820</v>
      </c>
      <c r="C7153" s="1" t="n">
        <v>45357</v>
      </c>
      <c r="D7153" t="inlineStr">
        <is>
          <t>VÄSTERBOTTENS LÄN</t>
        </is>
      </c>
      <c r="E7153" t="inlineStr">
        <is>
          <t>SKELLEFTEÅ</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41101-2022</t>
        </is>
      </c>
      <c r="B7154" s="1" t="n">
        <v>44820</v>
      </c>
      <c r="C7154" s="1" t="n">
        <v>45357</v>
      </c>
      <c r="D7154" t="inlineStr">
        <is>
          <t>VÄSTERBOTTENS LÄN</t>
        </is>
      </c>
      <c r="E7154" t="inlineStr">
        <is>
          <t>LYCKSELE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40345-2022</t>
        </is>
      </c>
      <c r="B7155" s="1" t="n">
        <v>44823</v>
      </c>
      <c r="C7155" s="1" t="n">
        <v>45357</v>
      </c>
      <c r="D7155" t="inlineStr">
        <is>
          <t>VÄSTERBOTTENS LÄN</t>
        </is>
      </c>
      <c r="E7155" t="inlineStr">
        <is>
          <t>SKELLEFTEÅ</t>
        </is>
      </c>
      <c r="F7155" t="inlineStr">
        <is>
          <t>Holmen skog AB</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40322-2022</t>
        </is>
      </c>
      <c r="B7156" s="1" t="n">
        <v>44823</v>
      </c>
      <c r="C7156" s="1" t="n">
        <v>45357</v>
      </c>
      <c r="D7156" t="inlineStr">
        <is>
          <t>VÄSTERBOTTENS LÄN</t>
        </is>
      </c>
      <c r="E7156" t="inlineStr">
        <is>
          <t>VINDELN</t>
        </is>
      </c>
      <c r="F7156" t="inlineStr">
        <is>
          <t>Sveaskog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40497-2022</t>
        </is>
      </c>
      <c r="B7157" s="1" t="n">
        <v>44823</v>
      </c>
      <c r="C7157" s="1" t="n">
        <v>45357</v>
      </c>
      <c r="D7157" t="inlineStr">
        <is>
          <t>VÄSTERBOTTENS LÄN</t>
        </is>
      </c>
      <c r="E7157" t="inlineStr">
        <is>
          <t>LYCKSELE</t>
        </is>
      </c>
      <c r="F7157" t="inlineStr">
        <is>
          <t>Naturvårdsverket</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40565-2022</t>
        </is>
      </c>
      <c r="B7158" s="1" t="n">
        <v>44823</v>
      </c>
      <c r="C7158" s="1" t="n">
        <v>45357</v>
      </c>
      <c r="D7158" t="inlineStr">
        <is>
          <t>VÄSTERBOTTENS LÄN</t>
        </is>
      </c>
      <c r="E7158" t="inlineStr">
        <is>
          <t>VÄNNÄS</t>
        </is>
      </c>
      <c r="F7158" t="inlineStr">
        <is>
          <t>Holmen skog AB</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40600-2022</t>
        </is>
      </c>
      <c r="B7159" s="1" t="n">
        <v>44823</v>
      </c>
      <c r="C7159" s="1" t="n">
        <v>45357</v>
      </c>
      <c r="D7159" t="inlineStr">
        <is>
          <t>VÄSTERBOTTENS LÄN</t>
        </is>
      </c>
      <c r="E7159" t="inlineStr">
        <is>
          <t>ROBERTSFORS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40314-2022</t>
        </is>
      </c>
      <c r="B7160" s="1" t="n">
        <v>44823</v>
      </c>
      <c r="C7160" s="1" t="n">
        <v>45357</v>
      </c>
      <c r="D7160" t="inlineStr">
        <is>
          <t>VÄSTERBOTTENS LÄN</t>
        </is>
      </c>
      <c r="E7160" t="inlineStr">
        <is>
          <t>SKELLEFTEÅ</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40329-2022</t>
        </is>
      </c>
      <c r="B7161" s="1" t="n">
        <v>44823</v>
      </c>
      <c r="C7161" s="1" t="n">
        <v>45357</v>
      </c>
      <c r="D7161" t="inlineStr">
        <is>
          <t>VÄSTERBOTTENS LÄN</t>
        </is>
      </c>
      <c r="E7161" t="inlineStr">
        <is>
          <t>SKELLEFTEÅ</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40964-2022</t>
        </is>
      </c>
      <c r="B7162" s="1" t="n">
        <v>44823</v>
      </c>
      <c r="C7162" s="1" t="n">
        <v>45357</v>
      </c>
      <c r="D7162" t="inlineStr">
        <is>
          <t>VÄSTERBOTTENS LÄN</t>
        </is>
      </c>
      <c r="E7162" t="inlineStr">
        <is>
          <t>SKELLEFTEÅ</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40708-2022</t>
        </is>
      </c>
      <c r="B7163" s="1" t="n">
        <v>44824</v>
      </c>
      <c r="C7163" s="1" t="n">
        <v>45357</v>
      </c>
      <c r="D7163" t="inlineStr">
        <is>
          <t>VÄSTERBOTTENS LÄN</t>
        </is>
      </c>
      <c r="E7163" t="inlineStr">
        <is>
          <t>VINDELN</t>
        </is>
      </c>
      <c r="F7163" t="inlineStr">
        <is>
          <t>Holmen skog AB</t>
        </is>
      </c>
      <c r="G7163" t="n">
        <v>8.4</v>
      </c>
      <c r="H7163" t="n">
        <v>0</v>
      </c>
      <c r="I7163" t="n">
        <v>0</v>
      </c>
      <c r="J7163" t="n">
        <v>0</v>
      </c>
      <c r="K7163" t="n">
        <v>0</v>
      </c>
      <c r="L7163" t="n">
        <v>0</v>
      </c>
      <c r="M7163" t="n">
        <v>0</v>
      </c>
      <c r="N7163" t="n">
        <v>0</v>
      </c>
      <c r="O7163" t="n">
        <v>0</v>
      </c>
      <c r="P7163" t="n">
        <v>0</v>
      </c>
      <c r="Q7163" t="n">
        <v>0</v>
      </c>
      <c r="R7163" s="2" t="inlineStr"/>
    </row>
    <row r="7164" ht="15" customHeight="1">
      <c r="A7164" t="inlineStr">
        <is>
          <t>A 40825-2022</t>
        </is>
      </c>
      <c r="B7164" s="1" t="n">
        <v>44824</v>
      </c>
      <c r="C7164" s="1" t="n">
        <v>45357</v>
      </c>
      <c r="D7164" t="inlineStr">
        <is>
          <t>VÄSTERBOTTENS LÄN</t>
        </is>
      </c>
      <c r="E7164" t="inlineStr">
        <is>
          <t>UMEÅ</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41343-2022</t>
        </is>
      </c>
      <c r="B7165" s="1" t="n">
        <v>44824</v>
      </c>
      <c r="C7165" s="1" t="n">
        <v>45357</v>
      </c>
      <c r="D7165" t="inlineStr">
        <is>
          <t>VÄSTERBOTTENS LÄN</t>
        </is>
      </c>
      <c r="E7165" t="inlineStr">
        <is>
          <t>VILHELMINA</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40969-2022</t>
        </is>
      </c>
      <c r="B7166" s="1" t="n">
        <v>44824</v>
      </c>
      <c r="C7166" s="1" t="n">
        <v>45357</v>
      </c>
      <c r="D7166" t="inlineStr">
        <is>
          <t>VÄSTERBOTTENS LÄN</t>
        </is>
      </c>
      <c r="E7166" t="inlineStr">
        <is>
          <t>SKELLEFTEÅ</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41047-2022</t>
        </is>
      </c>
      <c r="B7167" s="1" t="n">
        <v>44824</v>
      </c>
      <c r="C7167" s="1" t="n">
        <v>45357</v>
      </c>
      <c r="D7167" t="inlineStr">
        <is>
          <t>VÄSTERBOTTENS LÄN</t>
        </is>
      </c>
      <c r="E7167" t="inlineStr">
        <is>
          <t>ROBERTSFORS</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41350-2022</t>
        </is>
      </c>
      <c r="B7168" s="1" t="n">
        <v>44824</v>
      </c>
      <c r="C7168" s="1" t="n">
        <v>45357</v>
      </c>
      <c r="D7168" t="inlineStr">
        <is>
          <t>VÄSTERBOTTENS LÄN</t>
        </is>
      </c>
      <c r="E7168" t="inlineStr">
        <is>
          <t>VILHELMINA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41353-2022</t>
        </is>
      </c>
      <c r="B7169" s="1" t="n">
        <v>44824</v>
      </c>
      <c r="C7169" s="1" t="n">
        <v>45357</v>
      </c>
      <c r="D7169" t="inlineStr">
        <is>
          <t>VÄSTERBOTTENS LÄN</t>
        </is>
      </c>
      <c r="E7169" t="inlineStr">
        <is>
          <t>DOROTEA</t>
        </is>
      </c>
      <c r="F7169" t="inlineStr">
        <is>
          <t>SCA</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41010-2022</t>
        </is>
      </c>
      <c r="B7170" s="1" t="n">
        <v>44825</v>
      </c>
      <c r="C7170" s="1" t="n">
        <v>45357</v>
      </c>
      <c r="D7170" t="inlineStr">
        <is>
          <t>VÄSTERBOTTENS LÄN</t>
        </is>
      </c>
      <c r="E7170" t="inlineStr">
        <is>
          <t>SKELLEFTEÅ</t>
        </is>
      </c>
      <c r="F7170" t="inlineStr">
        <is>
          <t>Kyrkan</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40851-2022</t>
        </is>
      </c>
      <c r="B7171" s="1" t="n">
        <v>44825</v>
      </c>
      <c r="C7171" s="1" t="n">
        <v>45357</v>
      </c>
      <c r="D7171" t="inlineStr">
        <is>
          <t>VÄSTERBOTTENS LÄN</t>
        </is>
      </c>
      <c r="E7171" t="inlineStr">
        <is>
          <t>SKELLEFTEÅ</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41076-2022</t>
        </is>
      </c>
      <c r="B7172" s="1" t="n">
        <v>44825</v>
      </c>
      <c r="C7172" s="1" t="n">
        <v>45357</v>
      </c>
      <c r="D7172" t="inlineStr">
        <is>
          <t>VÄSTERBOTTENS LÄN</t>
        </is>
      </c>
      <c r="E7172" t="inlineStr">
        <is>
          <t>VINDELN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41213-2022</t>
        </is>
      </c>
      <c r="B7173" s="1" t="n">
        <v>44825</v>
      </c>
      <c r="C7173" s="1" t="n">
        <v>45357</v>
      </c>
      <c r="D7173" t="inlineStr">
        <is>
          <t>VÄSTERBOTTENS LÄN</t>
        </is>
      </c>
      <c r="E7173" t="inlineStr">
        <is>
          <t>UMEÅ</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41360-2022</t>
        </is>
      </c>
      <c r="B7174" s="1" t="n">
        <v>44825</v>
      </c>
      <c r="C7174" s="1" t="n">
        <v>45357</v>
      </c>
      <c r="D7174" t="inlineStr">
        <is>
          <t>VÄSTERBOTTENS LÄN</t>
        </is>
      </c>
      <c r="E7174" t="inlineStr">
        <is>
          <t>SKELLEFTEÅ</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41267-2022</t>
        </is>
      </c>
      <c r="B7175" s="1" t="n">
        <v>44825</v>
      </c>
      <c r="C7175" s="1" t="n">
        <v>45357</v>
      </c>
      <c r="D7175" t="inlineStr">
        <is>
          <t>VÄSTERBOTTENS LÄN</t>
        </is>
      </c>
      <c r="E7175" t="inlineStr">
        <is>
          <t>UMEÅ</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41256-2022</t>
        </is>
      </c>
      <c r="B7176" s="1" t="n">
        <v>44826</v>
      </c>
      <c r="C7176" s="1" t="n">
        <v>45357</v>
      </c>
      <c r="D7176" t="inlineStr">
        <is>
          <t>VÄSTERBOTTENS LÄN</t>
        </is>
      </c>
      <c r="E7176" t="inlineStr">
        <is>
          <t>LYCKSELE</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41388-2022</t>
        </is>
      </c>
      <c r="B7177" s="1" t="n">
        <v>44826</v>
      </c>
      <c r="C7177" s="1" t="n">
        <v>45357</v>
      </c>
      <c r="D7177" t="inlineStr">
        <is>
          <t>VÄSTERBOTTENS LÄN</t>
        </is>
      </c>
      <c r="E7177" t="inlineStr">
        <is>
          <t>BJURHOLM</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41280-2022</t>
        </is>
      </c>
      <c r="B7178" s="1" t="n">
        <v>44826</v>
      </c>
      <c r="C7178" s="1" t="n">
        <v>45357</v>
      </c>
      <c r="D7178" t="inlineStr">
        <is>
          <t>VÄSTERBOTTENS LÄN</t>
        </is>
      </c>
      <c r="E7178" t="inlineStr">
        <is>
          <t>LYCKSELE</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41252-2022</t>
        </is>
      </c>
      <c r="B7179" s="1" t="n">
        <v>44826</v>
      </c>
      <c r="C7179" s="1" t="n">
        <v>45357</v>
      </c>
      <c r="D7179" t="inlineStr">
        <is>
          <t>VÄSTERBOTTENS LÄN</t>
        </is>
      </c>
      <c r="E7179" t="inlineStr">
        <is>
          <t>ROBERTSFORS</t>
        </is>
      </c>
      <c r="F7179" t="inlineStr">
        <is>
          <t>Holmen skog AB</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41330-2022</t>
        </is>
      </c>
      <c r="B7180" s="1" t="n">
        <v>44826</v>
      </c>
      <c r="C7180" s="1" t="n">
        <v>45357</v>
      </c>
      <c r="D7180" t="inlineStr">
        <is>
          <t>VÄSTERBOTTENS LÄN</t>
        </is>
      </c>
      <c r="E7180" t="inlineStr">
        <is>
          <t>VILHELMINA</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41358-2022</t>
        </is>
      </c>
      <c r="B7181" s="1" t="n">
        <v>44826</v>
      </c>
      <c r="C7181" s="1" t="n">
        <v>45357</v>
      </c>
      <c r="D7181" t="inlineStr">
        <is>
          <t>VÄSTERBOTTENS LÄN</t>
        </is>
      </c>
      <c r="E7181" t="inlineStr">
        <is>
          <t>LYCKSELE</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41409-2022</t>
        </is>
      </c>
      <c r="B7182" s="1" t="n">
        <v>44826</v>
      </c>
      <c r="C7182" s="1" t="n">
        <v>45357</v>
      </c>
      <c r="D7182" t="inlineStr">
        <is>
          <t>VÄSTERBOTTENS LÄN</t>
        </is>
      </c>
      <c r="E7182" t="inlineStr">
        <is>
          <t>SKELLEFTEÅ</t>
        </is>
      </c>
      <c r="G7182" t="n">
        <v>10.3</v>
      </c>
      <c r="H7182" t="n">
        <v>0</v>
      </c>
      <c r="I7182" t="n">
        <v>0</v>
      </c>
      <c r="J7182" t="n">
        <v>0</v>
      </c>
      <c r="K7182" t="n">
        <v>0</v>
      </c>
      <c r="L7182" t="n">
        <v>0</v>
      </c>
      <c r="M7182" t="n">
        <v>0</v>
      </c>
      <c r="N7182" t="n">
        <v>0</v>
      </c>
      <c r="O7182" t="n">
        <v>0</v>
      </c>
      <c r="P7182" t="n">
        <v>0</v>
      </c>
      <c r="Q7182" t="n">
        <v>0</v>
      </c>
      <c r="R7182" s="2" t="inlineStr"/>
    </row>
    <row r="7183" ht="15" customHeight="1">
      <c r="A7183" t="inlineStr">
        <is>
          <t>A 41419-2022</t>
        </is>
      </c>
      <c r="B7183" s="1" t="n">
        <v>44826</v>
      </c>
      <c r="C7183" s="1" t="n">
        <v>45357</v>
      </c>
      <c r="D7183" t="inlineStr">
        <is>
          <t>VÄSTERBOTTENS LÄN</t>
        </is>
      </c>
      <c r="E7183" t="inlineStr">
        <is>
          <t>LYCKSELE</t>
        </is>
      </c>
      <c r="F7183" t="inlineStr">
        <is>
          <t>Naturvårdsverket</t>
        </is>
      </c>
      <c r="G7183" t="n">
        <v>32.1</v>
      </c>
      <c r="H7183" t="n">
        <v>0</v>
      </c>
      <c r="I7183" t="n">
        <v>0</v>
      </c>
      <c r="J7183" t="n">
        <v>0</v>
      </c>
      <c r="K7183" t="n">
        <v>0</v>
      </c>
      <c r="L7183" t="n">
        <v>0</v>
      </c>
      <c r="M7183" t="n">
        <v>0</v>
      </c>
      <c r="N7183" t="n">
        <v>0</v>
      </c>
      <c r="O7183" t="n">
        <v>0</v>
      </c>
      <c r="P7183" t="n">
        <v>0</v>
      </c>
      <c r="Q7183" t="n">
        <v>0</v>
      </c>
      <c r="R7183" s="2" t="inlineStr"/>
    </row>
    <row r="7184" ht="15" customHeight="1">
      <c r="A7184" t="inlineStr">
        <is>
          <t>A 41468-2022</t>
        </is>
      </c>
      <c r="B7184" s="1" t="n">
        <v>44826</v>
      </c>
      <c r="C7184" s="1" t="n">
        <v>45357</v>
      </c>
      <c r="D7184" t="inlineStr">
        <is>
          <t>VÄSTERBOTTENS LÄN</t>
        </is>
      </c>
      <c r="E7184" t="inlineStr">
        <is>
          <t>ÅSELE</t>
        </is>
      </c>
      <c r="F7184" t="inlineStr">
        <is>
          <t>SCA</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41482-2022</t>
        </is>
      </c>
      <c r="B7185" s="1" t="n">
        <v>44827</v>
      </c>
      <c r="C7185" s="1" t="n">
        <v>45357</v>
      </c>
      <c r="D7185" t="inlineStr">
        <is>
          <t>VÄSTERBOTTENS LÄN</t>
        </is>
      </c>
      <c r="E7185" t="inlineStr">
        <is>
          <t>VILHELMINA</t>
        </is>
      </c>
      <c r="F7185" t="inlineStr">
        <is>
          <t>SCA</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41466-2022</t>
        </is>
      </c>
      <c r="B7186" s="1" t="n">
        <v>44826</v>
      </c>
      <c r="C7186" s="1" t="n">
        <v>45357</v>
      </c>
      <c r="D7186" t="inlineStr">
        <is>
          <t>VÄSTERBOTTENS LÄN</t>
        </is>
      </c>
      <c r="E7186" t="inlineStr">
        <is>
          <t>ÅSELE</t>
        </is>
      </c>
      <c r="F7186" t="inlineStr">
        <is>
          <t>SCA</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41485-2022</t>
        </is>
      </c>
      <c r="B7187" s="1" t="n">
        <v>44827</v>
      </c>
      <c r="C7187" s="1" t="n">
        <v>45357</v>
      </c>
      <c r="D7187" t="inlineStr">
        <is>
          <t>VÄSTERBOTTENS LÄN</t>
        </is>
      </c>
      <c r="E7187" t="inlineStr">
        <is>
          <t>VILHELMINA</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41484-2022</t>
        </is>
      </c>
      <c r="B7188" s="1" t="n">
        <v>44826</v>
      </c>
      <c r="C7188" s="1" t="n">
        <v>45357</v>
      </c>
      <c r="D7188" t="inlineStr">
        <is>
          <t>VÄSTERBOTTENS LÄN</t>
        </is>
      </c>
      <c r="E7188" t="inlineStr">
        <is>
          <t>VILHELMINA</t>
        </is>
      </c>
      <c r="F7188" t="inlineStr">
        <is>
          <t>SCA</t>
        </is>
      </c>
      <c r="G7188" t="n">
        <v>18.1</v>
      </c>
      <c r="H7188" t="n">
        <v>0</v>
      </c>
      <c r="I7188" t="n">
        <v>0</v>
      </c>
      <c r="J7188" t="n">
        <v>0</v>
      </c>
      <c r="K7188" t="n">
        <v>0</v>
      </c>
      <c r="L7188" t="n">
        <v>0</v>
      </c>
      <c r="M7188" t="n">
        <v>0</v>
      </c>
      <c r="N7188" t="n">
        <v>0</v>
      </c>
      <c r="O7188" t="n">
        <v>0</v>
      </c>
      <c r="P7188" t="n">
        <v>0</v>
      </c>
      <c r="Q7188" t="n">
        <v>0</v>
      </c>
      <c r="R7188" s="2" t="inlineStr"/>
    </row>
    <row r="7189" ht="15" customHeight="1">
      <c r="A7189" t="inlineStr">
        <is>
          <t>A 41507-2022</t>
        </is>
      </c>
      <c r="B7189" s="1" t="n">
        <v>44827</v>
      </c>
      <c r="C7189" s="1" t="n">
        <v>45357</v>
      </c>
      <c r="D7189" t="inlineStr">
        <is>
          <t>VÄSTERBOTTENS LÄN</t>
        </is>
      </c>
      <c r="E7189" t="inlineStr">
        <is>
          <t>VÄNNÄS</t>
        </is>
      </c>
      <c r="F7189" t="inlineStr">
        <is>
          <t>Holmen skog AB</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41513-2022</t>
        </is>
      </c>
      <c r="B7190" s="1" t="n">
        <v>44827</v>
      </c>
      <c r="C7190" s="1" t="n">
        <v>45357</v>
      </c>
      <c r="D7190" t="inlineStr">
        <is>
          <t>VÄSTERBOTTENS LÄN</t>
        </is>
      </c>
      <c r="E7190" t="inlineStr">
        <is>
          <t>SKELLEFTEÅ</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41650-2022</t>
        </is>
      </c>
      <c r="B7191" s="1" t="n">
        <v>44827</v>
      </c>
      <c r="C7191" s="1" t="n">
        <v>45357</v>
      </c>
      <c r="D7191" t="inlineStr">
        <is>
          <t>VÄSTERBOTTENS LÄN</t>
        </is>
      </c>
      <c r="E7191" t="inlineStr">
        <is>
          <t>VINDELN</t>
        </is>
      </c>
      <c r="F7191" t="inlineStr">
        <is>
          <t>Holmen skog AB</t>
        </is>
      </c>
      <c r="G7191" t="n">
        <v>9.199999999999999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41645-2022</t>
        </is>
      </c>
      <c r="B7192" s="1" t="n">
        <v>44827</v>
      </c>
      <c r="C7192" s="1" t="n">
        <v>45357</v>
      </c>
      <c r="D7192" t="inlineStr">
        <is>
          <t>VÄSTERBOTTENS LÄN</t>
        </is>
      </c>
      <c r="E7192" t="inlineStr">
        <is>
          <t>ROBERTSFORS</t>
        </is>
      </c>
      <c r="F7192" t="inlineStr">
        <is>
          <t>Holmen skog AB</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41666-2022</t>
        </is>
      </c>
      <c r="B7193" s="1" t="n">
        <v>44827</v>
      </c>
      <c r="C7193" s="1" t="n">
        <v>45357</v>
      </c>
      <c r="D7193" t="inlineStr">
        <is>
          <t>VÄSTERBOTTENS LÄN</t>
        </is>
      </c>
      <c r="E7193" t="inlineStr">
        <is>
          <t>VINDELN</t>
        </is>
      </c>
      <c r="F7193" t="inlineStr">
        <is>
          <t>Holmen skog AB</t>
        </is>
      </c>
      <c r="G7193" t="n">
        <v>6.7</v>
      </c>
      <c r="H7193" t="n">
        <v>0</v>
      </c>
      <c r="I7193" t="n">
        <v>0</v>
      </c>
      <c r="J7193" t="n">
        <v>0</v>
      </c>
      <c r="K7193" t="n">
        <v>0</v>
      </c>
      <c r="L7193" t="n">
        <v>0</v>
      </c>
      <c r="M7193" t="n">
        <v>0</v>
      </c>
      <c r="N7193" t="n">
        <v>0</v>
      </c>
      <c r="O7193" t="n">
        <v>0</v>
      </c>
      <c r="P7193" t="n">
        <v>0</v>
      </c>
      <c r="Q7193" t="n">
        <v>0</v>
      </c>
      <c r="R7193" s="2" t="inlineStr"/>
    </row>
    <row r="7194" ht="15" customHeight="1">
      <c r="A7194" t="inlineStr">
        <is>
          <t>A 41802-2022</t>
        </is>
      </c>
      <c r="B7194" s="1" t="n">
        <v>44827</v>
      </c>
      <c r="C7194" s="1" t="n">
        <v>45357</v>
      </c>
      <c r="D7194" t="inlineStr">
        <is>
          <t>VÄSTERBOTTENS LÄN</t>
        </is>
      </c>
      <c r="E7194" t="inlineStr">
        <is>
          <t>SKELLEFTEÅ</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41803-2022</t>
        </is>
      </c>
      <c r="B7195" s="1" t="n">
        <v>44828</v>
      </c>
      <c r="C7195" s="1" t="n">
        <v>45357</v>
      </c>
      <c r="D7195" t="inlineStr">
        <is>
          <t>VÄSTERBOTTENS LÄN</t>
        </is>
      </c>
      <c r="E7195" t="inlineStr">
        <is>
          <t>SKELLEFTEÅ</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41801-2022</t>
        </is>
      </c>
      <c r="B7196" s="1" t="n">
        <v>44828</v>
      </c>
      <c r="C7196" s="1" t="n">
        <v>45357</v>
      </c>
      <c r="D7196" t="inlineStr">
        <is>
          <t>VÄSTERBOTTENS LÄN</t>
        </is>
      </c>
      <c r="E7196" t="inlineStr">
        <is>
          <t>SKELLEFTEÅ</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42357-2022</t>
        </is>
      </c>
      <c r="B7197" s="1" t="n">
        <v>44827</v>
      </c>
      <c r="C7197" s="1" t="n">
        <v>45357</v>
      </c>
      <c r="D7197" t="inlineStr">
        <is>
          <t>VÄSTERBOTTENS LÄN</t>
        </is>
      </c>
      <c r="E7197" t="inlineStr">
        <is>
          <t>SKELLEFTEÅ</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42348-2022</t>
        </is>
      </c>
      <c r="B7198" s="1" t="n">
        <v>44827</v>
      </c>
      <c r="C7198" s="1" t="n">
        <v>45357</v>
      </c>
      <c r="D7198" t="inlineStr">
        <is>
          <t>VÄSTERBOTTENS LÄN</t>
        </is>
      </c>
      <c r="E7198" t="inlineStr">
        <is>
          <t>SKELLEFTEÅ</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42109-2022</t>
        </is>
      </c>
      <c r="B7199" s="1" t="n">
        <v>44827</v>
      </c>
      <c r="C7199" s="1" t="n">
        <v>45357</v>
      </c>
      <c r="D7199" t="inlineStr">
        <is>
          <t>VÄSTERBOTTENS LÄN</t>
        </is>
      </c>
      <c r="E7199" t="inlineStr">
        <is>
          <t>SKELLEFTEÅ</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42004-2022</t>
        </is>
      </c>
      <c r="B7200" s="1" t="n">
        <v>44827</v>
      </c>
      <c r="C7200" s="1" t="n">
        <v>45357</v>
      </c>
      <c r="D7200" t="inlineStr">
        <is>
          <t>VÄSTERBOTTENS LÄN</t>
        </is>
      </c>
      <c r="E7200" t="inlineStr">
        <is>
          <t>BJURHOLM</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42099-2022</t>
        </is>
      </c>
      <c r="B7201" s="1" t="n">
        <v>44827</v>
      </c>
      <c r="C7201" s="1" t="n">
        <v>45357</v>
      </c>
      <c r="D7201" t="inlineStr">
        <is>
          <t>VÄSTERBOTTENS LÄN</t>
        </is>
      </c>
      <c r="E7201" t="inlineStr">
        <is>
          <t>SKELLEFTEÅ</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41889-2022</t>
        </is>
      </c>
      <c r="B7202" s="1" t="n">
        <v>44830</v>
      </c>
      <c r="C7202" s="1" t="n">
        <v>45357</v>
      </c>
      <c r="D7202" t="inlineStr">
        <is>
          <t>VÄSTERBOTTENS LÄN</t>
        </is>
      </c>
      <c r="E7202" t="inlineStr">
        <is>
          <t>SKELLEFTEÅ</t>
        </is>
      </c>
      <c r="G7202" t="n">
        <v>15.3</v>
      </c>
      <c r="H7202" t="n">
        <v>0</v>
      </c>
      <c r="I7202" t="n">
        <v>0</v>
      </c>
      <c r="J7202" t="n">
        <v>0</v>
      </c>
      <c r="K7202" t="n">
        <v>0</v>
      </c>
      <c r="L7202" t="n">
        <v>0</v>
      </c>
      <c r="M7202" t="n">
        <v>0</v>
      </c>
      <c r="N7202" t="n">
        <v>0</v>
      </c>
      <c r="O7202" t="n">
        <v>0</v>
      </c>
      <c r="P7202" t="n">
        <v>0</v>
      </c>
      <c r="Q7202" t="n">
        <v>0</v>
      </c>
      <c r="R7202" s="2" t="inlineStr"/>
    </row>
    <row r="7203" ht="15" customHeight="1">
      <c r="A7203" t="inlineStr">
        <is>
          <t>A 41956-2022</t>
        </is>
      </c>
      <c r="B7203" s="1" t="n">
        <v>44830</v>
      </c>
      <c r="C7203" s="1" t="n">
        <v>45357</v>
      </c>
      <c r="D7203" t="inlineStr">
        <is>
          <t>VÄSTERBOTTENS LÄN</t>
        </is>
      </c>
      <c r="E7203" t="inlineStr">
        <is>
          <t>SKELLEFTEÅ</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41890-2022</t>
        </is>
      </c>
      <c r="B7204" s="1" t="n">
        <v>44830</v>
      </c>
      <c r="C7204" s="1" t="n">
        <v>45357</v>
      </c>
      <c r="D7204" t="inlineStr">
        <is>
          <t>VÄSTERBOTTENS LÄN</t>
        </is>
      </c>
      <c r="E7204" t="inlineStr">
        <is>
          <t>NORSJÖ</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41883-2022</t>
        </is>
      </c>
      <c r="B7205" s="1" t="n">
        <v>44830</v>
      </c>
      <c r="C7205" s="1" t="n">
        <v>45357</v>
      </c>
      <c r="D7205" t="inlineStr">
        <is>
          <t>VÄSTERBOTTENS LÄN</t>
        </is>
      </c>
      <c r="E7205" t="inlineStr">
        <is>
          <t>SKELLEFTEÅ</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41947-2022</t>
        </is>
      </c>
      <c r="B7206" s="1" t="n">
        <v>44830</v>
      </c>
      <c r="C7206" s="1" t="n">
        <v>45357</v>
      </c>
      <c r="D7206" t="inlineStr">
        <is>
          <t>VÄSTERBOTTENS LÄN</t>
        </is>
      </c>
      <c r="E7206" t="inlineStr">
        <is>
          <t>UMEÅ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41992-2022</t>
        </is>
      </c>
      <c r="B7207" s="1" t="n">
        <v>44830</v>
      </c>
      <c r="C7207" s="1" t="n">
        <v>45357</v>
      </c>
      <c r="D7207" t="inlineStr">
        <is>
          <t>VÄSTERBOTTENS LÄN</t>
        </is>
      </c>
      <c r="E7207" t="inlineStr">
        <is>
          <t>LYCKSELE</t>
        </is>
      </c>
      <c r="F7207" t="inlineStr">
        <is>
          <t>Holmen skog AB</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42043-2022</t>
        </is>
      </c>
      <c r="B7208" s="1" t="n">
        <v>44830</v>
      </c>
      <c r="C7208" s="1" t="n">
        <v>45357</v>
      </c>
      <c r="D7208" t="inlineStr">
        <is>
          <t>VÄSTERBOTTENS LÄN</t>
        </is>
      </c>
      <c r="E7208" t="inlineStr">
        <is>
          <t>UMEÅ</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42114-2022</t>
        </is>
      </c>
      <c r="B7209" s="1" t="n">
        <v>44830</v>
      </c>
      <c r="C7209" s="1" t="n">
        <v>45357</v>
      </c>
      <c r="D7209" t="inlineStr">
        <is>
          <t>VÄSTERBOTTENS LÄN</t>
        </is>
      </c>
      <c r="E7209" t="inlineStr">
        <is>
          <t>NORSJÖ</t>
        </is>
      </c>
      <c r="F7209" t="inlineStr">
        <is>
          <t>Holmen skog AB</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42190-2022</t>
        </is>
      </c>
      <c r="B7210" s="1" t="n">
        <v>44830</v>
      </c>
      <c r="C7210" s="1" t="n">
        <v>45357</v>
      </c>
      <c r="D7210" t="inlineStr">
        <is>
          <t>VÄSTERBOTTENS LÄN</t>
        </is>
      </c>
      <c r="E7210" t="inlineStr">
        <is>
          <t>LYCKSELE</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42221-2022</t>
        </is>
      </c>
      <c r="B7211" s="1" t="n">
        <v>44830</v>
      </c>
      <c r="C7211" s="1" t="n">
        <v>45357</v>
      </c>
      <c r="D7211" t="inlineStr">
        <is>
          <t>VÄSTERBOTTENS LÄN</t>
        </is>
      </c>
      <c r="E7211" t="inlineStr">
        <is>
          <t>UMEÅ</t>
        </is>
      </c>
      <c r="F7211" t="inlineStr">
        <is>
          <t>Holmen skog AB</t>
        </is>
      </c>
      <c r="G7211" t="n">
        <v>13.3</v>
      </c>
      <c r="H7211" t="n">
        <v>0</v>
      </c>
      <c r="I7211" t="n">
        <v>0</v>
      </c>
      <c r="J7211" t="n">
        <v>0</v>
      </c>
      <c r="K7211" t="n">
        <v>0</v>
      </c>
      <c r="L7211" t="n">
        <v>0</v>
      </c>
      <c r="M7211" t="n">
        <v>0</v>
      </c>
      <c r="N7211" t="n">
        <v>0</v>
      </c>
      <c r="O7211" t="n">
        <v>0</v>
      </c>
      <c r="P7211" t="n">
        <v>0</v>
      </c>
      <c r="Q7211" t="n">
        <v>0</v>
      </c>
      <c r="R7211" s="2" t="inlineStr"/>
    </row>
    <row r="7212" ht="15" customHeight="1">
      <c r="A7212" t="inlineStr">
        <is>
          <t>A 42208-2022</t>
        </is>
      </c>
      <c r="B7212" s="1" t="n">
        <v>44830</v>
      </c>
      <c r="C7212" s="1" t="n">
        <v>45357</v>
      </c>
      <c r="D7212" t="inlineStr">
        <is>
          <t>VÄSTERBOTTENS LÄN</t>
        </is>
      </c>
      <c r="E7212" t="inlineStr">
        <is>
          <t>LYCKSELE</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42195-2022</t>
        </is>
      </c>
      <c r="B7213" s="1" t="n">
        <v>44830</v>
      </c>
      <c r="C7213" s="1" t="n">
        <v>45357</v>
      </c>
      <c r="D7213" t="inlineStr">
        <is>
          <t>VÄSTERBOTTENS LÄN</t>
        </is>
      </c>
      <c r="E7213" t="inlineStr">
        <is>
          <t>LYCKSELE</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42255-2022</t>
        </is>
      </c>
      <c r="B7214" s="1" t="n">
        <v>44830</v>
      </c>
      <c r="C7214" s="1" t="n">
        <v>45357</v>
      </c>
      <c r="D7214" t="inlineStr">
        <is>
          <t>VÄSTERBOTTENS LÄN</t>
        </is>
      </c>
      <c r="E7214" t="inlineStr">
        <is>
          <t>SKELLEFTEÅ</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42260-2022</t>
        </is>
      </c>
      <c r="B7215" s="1" t="n">
        <v>44830</v>
      </c>
      <c r="C7215" s="1" t="n">
        <v>45357</v>
      </c>
      <c r="D7215" t="inlineStr">
        <is>
          <t>VÄSTERBOTTENS LÄN</t>
        </is>
      </c>
      <c r="E7215" t="inlineStr">
        <is>
          <t>SKELLEFTEÅ</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42293-2022</t>
        </is>
      </c>
      <c r="B7216" s="1" t="n">
        <v>44830</v>
      </c>
      <c r="C7216" s="1" t="n">
        <v>45357</v>
      </c>
      <c r="D7216" t="inlineStr">
        <is>
          <t>VÄSTERBOTTENS LÄN</t>
        </is>
      </c>
      <c r="E7216" t="inlineStr">
        <is>
          <t>ÅSELE</t>
        </is>
      </c>
      <c r="F7216" t="inlineStr">
        <is>
          <t>SCA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42262-2022</t>
        </is>
      </c>
      <c r="B7217" s="1" t="n">
        <v>44831</v>
      </c>
      <c r="C7217" s="1" t="n">
        <v>45357</v>
      </c>
      <c r="D7217" t="inlineStr">
        <is>
          <t>VÄSTERBOTTENS LÄN</t>
        </is>
      </c>
      <c r="E7217" t="inlineStr">
        <is>
          <t>NORSJÖ</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42296-2022</t>
        </is>
      </c>
      <c r="B7218" s="1" t="n">
        <v>44831</v>
      </c>
      <c r="C7218" s="1" t="n">
        <v>45357</v>
      </c>
      <c r="D7218" t="inlineStr">
        <is>
          <t>VÄSTERBOTTENS LÄN</t>
        </is>
      </c>
      <c r="E7218" t="inlineStr">
        <is>
          <t>NORDMALING</t>
        </is>
      </c>
      <c r="F7218" t="inlineStr">
        <is>
          <t>SCA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42216-2022</t>
        </is>
      </c>
      <c r="B7219" s="1" t="n">
        <v>44830</v>
      </c>
      <c r="C7219" s="1" t="n">
        <v>45357</v>
      </c>
      <c r="D7219" t="inlineStr">
        <is>
          <t>VÄSTERBOTTENS LÄN</t>
        </is>
      </c>
      <c r="E7219" t="inlineStr">
        <is>
          <t>LYCKSELE</t>
        </is>
      </c>
      <c r="G7219" t="n">
        <v>15.9</v>
      </c>
      <c r="H7219" t="n">
        <v>0</v>
      </c>
      <c r="I7219" t="n">
        <v>0</v>
      </c>
      <c r="J7219" t="n">
        <v>0</v>
      </c>
      <c r="K7219" t="n">
        <v>0</v>
      </c>
      <c r="L7219" t="n">
        <v>0</v>
      </c>
      <c r="M7219" t="n">
        <v>0</v>
      </c>
      <c r="N7219" t="n">
        <v>0</v>
      </c>
      <c r="O7219" t="n">
        <v>0</v>
      </c>
      <c r="P7219" t="n">
        <v>0</v>
      </c>
      <c r="Q7219" t="n">
        <v>0</v>
      </c>
      <c r="R7219" s="2" t="inlineStr"/>
    </row>
    <row r="7220" ht="15" customHeight="1">
      <c r="A7220" t="inlineStr">
        <is>
          <t>A 42253-2022</t>
        </is>
      </c>
      <c r="B7220" s="1" t="n">
        <v>44831</v>
      </c>
      <c r="C7220" s="1" t="n">
        <v>45357</v>
      </c>
      <c r="D7220" t="inlineStr">
        <is>
          <t>VÄSTERBOTTENS LÄN</t>
        </is>
      </c>
      <c r="E7220" t="inlineStr">
        <is>
          <t>NORSJÖ</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42292-2022</t>
        </is>
      </c>
      <c r="B7221" s="1" t="n">
        <v>44831</v>
      </c>
      <c r="C7221" s="1" t="n">
        <v>45357</v>
      </c>
      <c r="D7221" t="inlineStr">
        <is>
          <t>VÄSTERBOTTENS LÄN</t>
        </is>
      </c>
      <c r="E7221" t="inlineStr">
        <is>
          <t>NORDMALING</t>
        </is>
      </c>
      <c r="F7221" t="inlineStr">
        <is>
          <t>SCA</t>
        </is>
      </c>
      <c r="G7221" t="n">
        <v>6.7</v>
      </c>
      <c r="H7221" t="n">
        <v>0</v>
      </c>
      <c r="I7221" t="n">
        <v>0</v>
      </c>
      <c r="J7221" t="n">
        <v>0</v>
      </c>
      <c r="K7221" t="n">
        <v>0</v>
      </c>
      <c r="L7221" t="n">
        <v>0</v>
      </c>
      <c r="M7221" t="n">
        <v>0</v>
      </c>
      <c r="N7221" t="n">
        <v>0</v>
      </c>
      <c r="O7221" t="n">
        <v>0</v>
      </c>
      <c r="P7221" t="n">
        <v>0</v>
      </c>
      <c r="Q7221" t="n">
        <v>0</v>
      </c>
      <c r="R7221" s="2" t="inlineStr"/>
    </row>
    <row r="7222" ht="15" customHeight="1">
      <c r="A7222" t="inlineStr">
        <is>
          <t>A 42297-2022</t>
        </is>
      </c>
      <c r="B7222" s="1" t="n">
        <v>44830</v>
      </c>
      <c r="C7222" s="1" t="n">
        <v>45357</v>
      </c>
      <c r="D7222" t="inlineStr">
        <is>
          <t>VÄSTERBOTTENS LÄN</t>
        </is>
      </c>
      <c r="E7222" t="inlineStr">
        <is>
          <t>NORDMALING</t>
        </is>
      </c>
      <c r="F7222" t="inlineStr">
        <is>
          <t>SCA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42403-2022</t>
        </is>
      </c>
      <c r="B7223" s="1" t="n">
        <v>44831</v>
      </c>
      <c r="C7223" s="1" t="n">
        <v>45357</v>
      </c>
      <c r="D7223" t="inlineStr">
        <is>
          <t>VÄSTERBOTTENS LÄN</t>
        </is>
      </c>
      <c r="E7223" t="inlineStr">
        <is>
          <t>BJURHOLM</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42367-2022</t>
        </is>
      </c>
      <c r="B7224" s="1" t="n">
        <v>44831</v>
      </c>
      <c r="C7224" s="1" t="n">
        <v>45357</v>
      </c>
      <c r="D7224" t="inlineStr">
        <is>
          <t>VÄSTERBOTTENS LÄN</t>
        </is>
      </c>
      <c r="E7224" t="inlineStr">
        <is>
          <t>NORSJÖ</t>
        </is>
      </c>
      <c r="F7224" t="inlineStr">
        <is>
          <t>Holmen skog AB</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42391-2022</t>
        </is>
      </c>
      <c r="B7225" s="1" t="n">
        <v>44831</v>
      </c>
      <c r="C7225" s="1" t="n">
        <v>45357</v>
      </c>
      <c r="D7225" t="inlineStr">
        <is>
          <t>VÄSTERBOTTENS LÄN</t>
        </is>
      </c>
      <c r="E7225" t="inlineStr">
        <is>
          <t>BJURHOLM</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42648-2022</t>
        </is>
      </c>
      <c r="B7226" s="1" t="n">
        <v>44832</v>
      </c>
      <c r="C7226" s="1" t="n">
        <v>45357</v>
      </c>
      <c r="D7226" t="inlineStr">
        <is>
          <t>VÄSTERBOTTENS LÄN</t>
        </is>
      </c>
      <c r="E7226" t="inlineStr">
        <is>
          <t>VILHELMINA</t>
        </is>
      </c>
      <c r="F7226" t="inlineStr">
        <is>
          <t>SCA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42650-2022</t>
        </is>
      </c>
      <c r="B7227" s="1" t="n">
        <v>44831</v>
      </c>
      <c r="C7227" s="1" t="n">
        <v>45357</v>
      </c>
      <c r="D7227" t="inlineStr">
        <is>
          <t>VÄSTERBOTTENS LÄN</t>
        </is>
      </c>
      <c r="E7227" t="inlineStr">
        <is>
          <t>VILHELMINA</t>
        </is>
      </c>
      <c r="F7227" t="inlineStr">
        <is>
          <t>SCA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42658-2022</t>
        </is>
      </c>
      <c r="B7228" s="1" t="n">
        <v>44832</v>
      </c>
      <c r="C7228" s="1" t="n">
        <v>45357</v>
      </c>
      <c r="D7228" t="inlineStr">
        <is>
          <t>VÄSTERBOTTENS LÄN</t>
        </is>
      </c>
      <c r="E7228" t="inlineStr">
        <is>
          <t>ÅSELE</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42682-2022</t>
        </is>
      </c>
      <c r="B7229" s="1" t="n">
        <v>44831</v>
      </c>
      <c r="C7229" s="1" t="n">
        <v>45357</v>
      </c>
      <c r="D7229" t="inlineStr">
        <is>
          <t>VÄSTERBOTTENS LÄN</t>
        </is>
      </c>
      <c r="E7229" t="inlineStr">
        <is>
          <t>SKELLEFTEÅ</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42802-2022</t>
        </is>
      </c>
      <c r="B7230" s="1" t="n">
        <v>44832</v>
      </c>
      <c r="C7230" s="1" t="n">
        <v>45357</v>
      </c>
      <c r="D7230" t="inlineStr">
        <is>
          <t>VÄSTERBOTTENS LÄN</t>
        </is>
      </c>
      <c r="E7230" t="inlineStr">
        <is>
          <t>ROBERTSFORS</t>
        </is>
      </c>
      <c r="F7230" t="inlineStr">
        <is>
          <t>Holmen skog AB</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42752-2022</t>
        </is>
      </c>
      <c r="B7231" s="1" t="n">
        <v>44832</v>
      </c>
      <c r="C7231" s="1" t="n">
        <v>45357</v>
      </c>
      <c r="D7231" t="inlineStr">
        <is>
          <t>VÄSTERBOTTENS LÄN</t>
        </is>
      </c>
      <c r="E7231" t="inlineStr">
        <is>
          <t>BJURHOLM</t>
        </is>
      </c>
      <c r="F7231" t="inlineStr">
        <is>
          <t>Holmen skog AB</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42798-2022</t>
        </is>
      </c>
      <c r="B7232" s="1" t="n">
        <v>44832</v>
      </c>
      <c r="C7232" s="1" t="n">
        <v>45357</v>
      </c>
      <c r="D7232" t="inlineStr">
        <is>
          <t>VÄSTERBOTTENS LÄN</t>
        </is>
      </c>
      <c r="E7232" t="inlineStr">
        <is>
          <t>SKELLEFTEÅ</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42808-2022</t>
        </is>
      </c>
      <c r="B7233" s="1" t="n">
        <v>44832</v>
      </c>
      <c r="C7233" s="1" t="n">
        <v>45357</v>
      </c>
      <c r="D7233" t="inlineStr">
        <is>
          <t>VÄSTERBOTTENS LÄN</t>
        </is>
      </c>
      <c r="E7233" t="inlineStr">
        <is>
          <t>SKELLEFTEÅ</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42791-2022</t>
        </is>
      </c>
      <c r="B7234" s="1" t="n">
        <v>44832</v>
      </c>
      <c r="C7234" s="1" t="n">
        <v>45357</v>
      </c>
      <c r="D7234" t="inlineStr">
        <is>
          <t>VÄSTERBOTTENS LÄN</t>
        </is>
      </c>
      <c r="E7234" t="inlineStr">
        <is>
          <t>VINDELN</t>
        </is>
      </c>
      <c r="F7234" t="inlineStr">
        <is>
          <t>Holmen skog AB</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42905-2022</t>
        </is>
      </c>
      <c r="B7235" s="1" t="n">
        <v>44833</v>
      </c>
      <c r="C7235" s="1" t="n">
        <v>45357</v>
      </c>
      <c r="D7235" t="inlineStr">
        <is>
          <t>VÄSTERBOTTENS LÄN</t>
        </is>
      </c>
      <c r="E7235" t="inlineStr">
        <is>
          <t>NORDMALING</t>
        </is>
      </c>
      <c r="F7235" t="inlineStr">
        <is>
          <t>SCA</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42880-2022</t>
        </is>
      </c>
      <c r="B7236" s="1" t="n">
        <v>44832</v>
      </c>
      <c r="C7236" s="1" t="n">
        <v>45357</v>
      </c>
      <c r="D7236" t="inlineStr">
        <is>
          <t>VÄSTERBOTTENS LÄN</t>
        </is>
      </c>
      <c r="E7236" t="inlineStr">
        <is>
          <t>MALÅ</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42950-2022</t>
        </is>
      </c>
      <c r="B7237" s="1" t="n">
        <v>44832</v>
      </c>
      <c r="C7237" s="1" t="n">
        <v>45357</v>
      </c>
      <c r="D7237" t="inlineStr">
        <is>
          <t>VÄSTERBOTTENS LÄN</t>
        </is>
      </c>
      <c r="E7237" t="inlineStr">
        <is>
          <t>NORSJÖ</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42946-2022</t>
        </is>
      </c>
      <c r="B7238" s="1" t="n">
        <v>44833</v>
      </c>
      <c r="C7238" s="1" t="n">
        <v>45357</v>
      </c>
      <c r="D7238" t="inlineStr">
        <is>
          <t>VÄSTERBOTTENS LÄN</t>
        </is>
      </c>
      <c r="E7238" t="inlineStr">
        <is>
          <t>SKELLEFTEÅ</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43120-2022</t>
        </is>
      </c>
      <c r="B7239" s="1" t="n">
        <v>44834</v>
      </c>
      <c r="C7239" s="1" t="n">
        <v>45357</v>
      </c>
      <c r="D7239" t="inlineStr">
        <is>
          <t>VÄSTERBOTTENS LÄN</t>
        </is>
      </c>
      <c r="E7239" t="inlineStr">
        <is>
          <t>VILHELMINA</t>
        </is>
      </c>
      <c r="G7239" t="n">
        <v>13.7</v>
      </c>
      <c r="H7239" t="n">
        <v>0</v>
      </c>
      <c r="I7239" t="n">
        <v>0</v>
      </c>
      <c r="J7239" t="n">
        <v>0</v>
      </c>
      <c r="K7239" t="n">
        <v>0</v>
      </c>
      <c r="L7239" t="n">
        <v>0</v>
      </c>
      <c r="M7239" t="n">
        <v>0</v>
      </c>
      <c r="N7239" t="n">
        <v>0</v>
      </c>
      <c r="O7239" t="n">
        <v>0</v>
      </c>
      <c r="P7239" t="n">
        <v>0</v>
      </c>
      <c r="Q7239" t="n">
        <v>0</v>
      </c>
      <c r="R7239" s="2" t="inlineStr"/>
    </row>
    <row r="7240" ht="15" customHeight="1">
      <c r="A7240" t="inlineStr">
        <is>
          <t>A 43069-2022</t>
        </is>
      </c>
      <c r="B7240" s="1" t="n">
        <v>44833</v>
      </c>
      <c r="C7240" s="1" t="n">
        <v>45357</v>
      </c>
      <c r="D7240" t="inlineStr">
        <is>
          <t>VÄSTERBOTTENS LÄN</t>
        </is>
      </c>
      <c r="E7240" t="inlineStr">
        <is>
          <t>SKELLEFTEÅ</t>
        </is>
      </c>
      <c r="F7240" t="inlineStr">
        <is>
          <t>Sveaskog</t>
        </is>
      </c>
      <c r="G7240" t="n">
        <v>19.6</v>
      </c>
      <c r="H7240" t="n">
        <v>0</v>
      </c>
      <c r="I7240" t="n">
        <v>0</v>
      </c>
      <c r="J7240" t="n">
        <v>0</v>
      </c>
      <c r="K7240" t="n">
        <v>0</v>
      </c>
      <c r="L7240" t="n">
        <v>0</v>
      </c>
      <c r="M7240" t="n">
        <v>0</v>
      </c>
      <c r="N7240" t="n">
        <v>0</v>
      </c>
      <c r="O7240" t="n">
        <v>0</v>
      </c>
      <c r="P7240" t="n">
        <v>0</v>
      </c>
      <c r="Q7240" t="n">
        <v>0</v>
      </c>
      <c r="R7240" s="2" t="inlineStr"/>
    </row>
    <row r="7241" ht="15" customHeight="1">
      <c r="A7241" t="inlineStr">
        <is>
          <t>A 43078-2022</t>
        </is>
      </c>
      <c r="B7241" s="1" t="n">
        <v>44833</v>
      </c>
      <c r="C7241" s="1" t="n">
        <v>45357</v>
      </c>
      <c r="D7241" t="inlineStr">
        <is>
          <t>VÄSTERBOTTENS LÄN</t>
        </is>
      </c>
      <c r="E7241" t="inlineStr">
        <is>
          <t>SKELLEFTEÅ</t>
        </is>
      </c>
      <c r="F7241" t="inlineStr">
        <is>
          <t>Sveaskog</t>
        </is>
      </c>
      <c r="G7241" t="n">
        <v>19.6</v>
      </c>
      <c r="H7241" t="n">
        <v>0</v>
      </c>
      <c r="I7241" t="n">
        <v>0</v>
      </c>
      <c r="J7241" t="n">
        <v>0</v>
      </c>
      <c r="K7241" t="n">
        <v>0</v>
      </c>
      <c r="L7241" t="n">
        <v>0</v>
      </c>
      <c r="M7241" t="n">
        <v>0</v>
      </c>
      <c r="N7241" t="n">
        <v>0</v>
      </c>
      <c r="O7241" t="n">
        <v>0</v>
      </c>
      <c r="P7241" t="n">
        <v>0</v>
      </c>
      <c r="Q7241" t="n">
        <v>0</v>
      </c>
      <c r="R7241" s="2" t="inlineStr"/>
    </row>
    <row r="7242" ht="15" customHeight="1">
      <c r="A7242" t="inlineStr">
        <is>
          <t>A 43139-2022</t>
        </is>
      </c>
      <c r="B7242" s="1" t="n">
        <v>44834</v>
      </c>
      <c r="C7242" s="1" t="n">
        <v>45357</v>
      </c>
      <c r="D7242" t="inlineStr">
        <is>
          <t>VÄSTERBOTTENS LÄN</t>
        </is>
      </c>
      <c r="E7242" t="inlineStr">
        <is>
          <t>NORDMALING</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43144-2022</t>
        </is>
      </c>
      <c r="B7243" s="1" t="n">
        <v>44834</v>
      </c>
      <c r="C7243" s="1" t="n">
        <v>45357</v>
      </c>
      <c r="D7243" t="inlineStr">
        <is>
          <t>VÄSTERBOTTENS LÄN</t>
        </is>
      </c>
      <c r="E7243" t="inlineStr">
        <is>
          <t>VILHELMINA</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43138-2022</t>
        </is>
      </c>
      <c r="B7244" s="1" t="n">
        <v>44834</v>
      </c>
      <c r="C7244" s="1" t="n">
        <v>45357</v>
      </c>
      <c r="D7244" t="inlineStr">
        <is>
          <t>VÄSTERBOTTENS LÄN</t>
        </is>
      </c>
      <c r="E7244" t="inlineStr">
        <is>
          <t>DOROTEA</t>
        </is>
      </c>
      <c r="F7244" t="inlineStr">
        <is>
          <t>SCA</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43317-2022</t>
        </is>
      </c>
      <c r="B7245" s="1" t="n">
        <v>44834</v>
      </c>
      <c r="C7245" s="1" t="n">
        <v>45357</v>
      </c>
      <c r="D7245" t="inlineStr">
        <is>
          <t>VÄSTERBOTTENS LÄN</t>
        </is>
      </c>
      <c r="E7245" t="inlineStr">
        <is>
          <t>SORSELE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43326-2022</t>
        </is>
      </c>
      <c r="B7246" s="1" t="n">
        <v>44834</v>
      </c>
      <c r="C7246" s="1" t="n">
        <v>45357</v>
      </c>
      <c r="D7246" t="inlineStr">
        <is>
          <t>VÄSTERBOTTENS LÄN</t>
        </is>
      </c>
      <c r="E7246" t="inlineStr">
        <is>
          <t>BJURHOLM</t>
        </is>
      </c>
      <c r="F7246" t="inlineStr">
        <is>
          <t>Holmen skog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43218-2022</t>
        </is>
      </c>
      <c r="B7247" s="1" t="n">
        <v>44834</v>
      </c>
      <c r="C7247" s="1" t="n">
        <v>45357</v>
      </c>
      <c r="D7247" t="inlineStr">
        <is>
          <t>VÄSTERBOTTENS LÄN</t>
        </is>
      </c>
      <c r="E7247" t="inlineStr">
        <is>
          <t>ROBERTSFORS</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43328-2022</t>
        </is>
      </c>
      <c r="B7248" s="1" t="n">
        <v>44834</v>
      </c>
      <c r="C7248" s="1" t="n">
        <v>45357</v>
      </c>
      <c r="D7248" t="inlineStr">
        <is>
          <t>VÄSTERBOTTENS LÄN</t>
        </is>
      </c>
      <c r="E7248" t="inlineStr">
        <is>
          <t>LYCKSELE</t>
        </is>
      </c>
      <c r="F7248" t="inlineStr">
        <is>
          <t>Sveaskog</t>
        </is>
      </c>
      <c r="G7248" t="n">
        <v>22.2</v>
      </c>
      <c r="H7248" t="n">
        <v>0</v>
      </c>
      <c r="I7248" t="n">
        <v>0</v>
      </c>
      <c r="J7248" t="n">
        <v>0</v>
      </c>
      <c r="K7248" t="n">
        <v>0</v>
      </c>
      <c r="L7248" t="n">
        <v>0</v>
      </c>
      <c r="M7248" t="n">
        <v>0</v>
      </c>
      <c r="N7248" t="n">
        <v>0</v>
      </c>
      <c r="O7248" t="n">
        <v>0</v>
      </c>
      <c r="P7248" t="n">
        <v>0</v>
      </c>
      <c r="Q7248" t="n">
        <v>0</v>
      </c>
      <c r="R7248" s="2" t="inlineStr"/>
    </row>
    <row r="7249" ht="15" customHeight="1">
      <c r="A7249" t="inlineStr">
        <is>
          <t>A 43367-2022</t>
        </is>
      </c>
      <c r="B7249" s="1" t="n">
        <v>44834</v>
      </c>
      <c r="C7249" s="1" t="n">
        <v>45357</v>
      </c>
      <c r="D7249" t="inlineStr">
        <is>
          <t>VÄSTERBOTTENS LÄN</t>
        </is>
      </c>
      <c r="E7249" t="inlineStr">
        <is>
          <t>NORDMALING</t>
        </is>
      </c>
      <c r="F7249" t="inlineStr">
        <is>
          <t>Holmen skog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43354-2022</t>
        </is>
      </c>
      <c r="B7250" s="1" t="n">
        <v>44834</v>
      </c>
      <c r="C7250" s="1" t="n">
        <v>45357</v>
      </c>
      <c r="D7250" t="inlineStr">
        <is>
          <t>VÄSTERBOTTENS LÄN</t>
        </is>
      </c>
      <c r="E7250" t="inlineStr">
        <is>
          <t>ROBERTSFORS</t>
        </is>
      </c>
      <c r="F7250" t="inlineStr">
        <is>
          <t>Holmen skog AB</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43403-2022</t>
        </is>
      </c>
      <c r="B7251" s="1" t="n">
        <v>44834</v>
      </c>
      <c r="C7251" s="1" t="n">
        <v>45357</v>
      </c>
      <c r="D7251" t="inlineStr">
        <is>
          <t>VÄSTERBOTTENS LÄN</t>
        </is>
      </c>
      <c r="E7251" t="inlineStr">
        <is>
          <t>DOROTEA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43434-2022</t>
        </is>
      </c>
      <c r="B7252" s="1" t="n">
        <v>44834</v>
      </c>
      <c r="C7252" s="1" t="n">
        <v>45357</v>
      </c>
      <c r="D7252" t="inlineStr">
        <is>
          <t>VÄSTERBOTTENS LÄN</t>
        </is>
      </c>
      <c r="E7252" t="inlineStr">
        <is>
          <t>ÅSELE</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43479-2022</t>
        </is>
      </c>
      <c r="B7253" s="1" t="n">
        <v>44837</v>
      </c>
      <c r="C7253" s="1" t="n">
        <v>45357</v>
      </c>
      <c r="D7253" t="inlineStr">
        <is>
          <t>VÄSTERBOTTENS LÄN</t>
        </is>
      </c>
      <c r="E7253" t="inlineStr">
        <is>
          <t>NORDMALING</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43515-2022</t>
        </is>
      </c>
      <c r="B7254" s="1" t="n">
        <v>44837</v>
      </c>
      <c r="C7254" s="1" t="n">
        <v>45357</v>
      </c>
      <c r="D7254" t="inlineStr">
        <is>
          <t>VÄSTERBOTTENS LÄN</t>
        </is>
      </c>
      <c r="E7254" t="inlineStr">
        <is>
          <t>SKELLEFTEÅ</t>
        </is>
      </c>
      <c r="F7254" t="inlineStr">
        <is>
          <t>Holmen skog AB</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43508-2022</t>
        </is>
      </c>
      <c r="B7255" s="1" t="n">
        <v>44837</v>
      </c>
      <c r="C7255" s="1" t="n">
        <v>45357</v>
      </c>
      <c r="D7255" t="inlineStr">
        <is>
          <t>VÄSTERBOTTENS LÄN</t>
        </is>
      </c>
      <c r="E7255" t="inlineStr">
        <is>
          <t>DOROTEA</t>
        </is>
      </c>
      <c r="F7255" t="inlineStr">
        <is>
          <t>Kyrkan</t>
        </is>
      </c>
      <c r="G7255" t="n">
        <v>17.6</v>
      </c>
      <c r="H7255" t="n">
        <v>0</v>
      </c>
      <c r="I7255" t="n">
        <v>0</v>
      </c>
      <c r="J7255" t="n">
        <v>0</v>
      </c>
      <c r="K7255" t="n">
        <v>0</v>
      </c>
      <c r="L7255" t="n">
        <v>0</v>
      </c>
      <c r="M7255" t="n">
        <v>0</v>
      </c>
      <c r="N7255" t="n">
        <v>0</v>
      </c>
      <c r="O7255" t="n">
        <v>0</v>
      </c>
      <c r="P7255" t="n">
        <v>0</v>
      </c>
      <c r="Q7255" t="n">
        <v>0</v>
      </c>
      <c r="R7255" s="2" t="inlineStr"/>
    </row>
    <row r="7256" ht="15" customHeight="1">
      <c r="A7256" t="inlineStr">
        <is>
          <t>A 43503-2022</t>
        </is>
      </c>
      <c r="B7256" s="1" t="n">
        <v>44837</v>
      </c>
      <c r="C7256" s="1" t="n">
        <v>45357</v>
      </c>
      <c r="D7256" t="inlineStr">
        <is>
          <t>VÄSTERBOTTENS LÄN</t>
        </is>
      </c>
      <c r="E7256" t="inlineStr">
        <is>
          <t>DOROTEA</t>
        </is>
      </c>
      <c r="F7256" t="inlineStr">
        <is>
          <t>Kyrkan</t>
        </is>
      </c>
      <c r="G7256" t="n">
        <v>13.9</v>
      </c>
      <c r="H7256" t="n">
        <v>0</v>
      </c>
      <c r="I7256" t="n">
        <v>0</v>
      </c>
      <c r="J7256" t="n">
        <v>0</v>
      </c>
      <c r="K7256" t="n">
        <v>0</v>
      </c>
      <c r="L7256" t="n">
        <v>0</v>
      </c>
      <c r="M7256" t="n">
        <v>0</v>
      </c>
      <c r="N7256" t="n">
        <v>0</v>
      </c>
      <c r="O7256" t="n">
        <v>0</v>
      </c>
      <c r="P7256" t="n">
        <v>0</v>
      </c>
      <c r="Q7256" t="n">
        <v>0</v>
      </c>
      <c r="R7256" s="2" t="inlineStr"/>
    </row>
    <row r="7257" ht="15" customHeight="1">
      <c r="A7257" t="inlineStr">
        <is>
          <t>A 43544-2022</t>
        </is>
      </c>
      <c r="B7257" s="1" t="n">
        <v>44837</v>
      </c>
      <c r="C7257" s="1" t="n">
        <v>45357</v>
      </c>
      <c r="D7257" t="inlineStr">
        <is>
          <t>VÄSTERBOTTENS LÄN</t>
        </is>
      </c>
      <c r="E7257" t="inlineStr">
        <is>
          <t>SKELLEFTEÅ</t>
        </is>
      </c>
      <c r="F7257" t="inlineStr">
        <is>
          <t>Holmen skog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43556-2022</t>
        </is>
      </c>
      <c r="B7258" s="1" t="n">
        <v>44837</v>
      </c>
      <c r="C7258" s="1" t="n">
        <v>45357</v>
      </c>
      <c r="D7258" t="inlineStr">
        <is>
          <t>VÄSTERBOTTENS LÄN</t>
        </is>
      </c>
      <c r="E7258" t="inlineStr">
        <is>
          <t>LYCKSELE</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43655-2022</t>
        </is>
      </c>
      <c r="B7259" s="1" t="n">
        <v>44837</v>
      </c>
      <c r="C7259" s="1" t="n">
        <v>45357</v>
      </c>
      <c r="D7259" t="inlineStr">
        <is>
          <t>VÄSTERBOTTENS LÄN</t>
        </is>
      </c>
      <c r="E7259" t="inlineStr">
        <is>
          <t>STORUMAN</t>
        </is>
      </c>
      <c r="F7259" t="inlineStr">
        <is>
          <t>Sveaskog</t>
        </is>
      </c>
      <c r="G7259" t="n">
        <v>28.6</v>
      </c>
      <c r="H7259" t="n">
        <v>0</v>
      </c>
      <c r="I7259" t="n">
        <v>0</v>
      </c>
      <c r="J7259" t="n">
        <v>0</v>
      </c>
      <c r="K7259" t="n">
        <v>0</v>
      </c>
      <c r="L7259" t="n">
        <v>0</v>
      </c>
      <c r="M7259" t="n">
        <v>0</v>
      </c>
      <c r="N7259" t="n">
        <v>0</v>
      </c>
      <c r="O7259" t="n">
        <v>0</v>
      </c>
      <c r="P7259" t="n">
        <v>0</v>
      </c>
      <c r="Q7259" t="n">
        <v>0</v>
      </c>
      <c r="R7259" s="2" t="inlineStr"/>
    </row>
    <row r="7260" ht="15" customHeight="1">
      <c r="A7260" t="inlineStr">
        <is>
          <t>A 43763-2022</t>
        </is>
      </c>
      <c r="B7260" s="1" t="n">
        <v>44838</v>
      </c>
      <c r="C7260" s="1" t="n">
        <v>45357</v>
      </c>
      <c r="D7260" t="inlineStr">
        <is>
          <t>VÄSTERBOTTENS LÄN</t>
        </is>
      </c>
      <c r="E7260" t="inlineStr">
        <is>
          <t>SKELLEFTEÅ</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43658-2022</t>
        </is>
      </c>
      <c r="B7261" s="1" t="n">
        <v>44837</v>
      </c>
      <c r="C7261" s="1" t="n">
        <v>45357</v>
      </c>
      <c r="D7261" t="inlineStr">
        <is>
          <t>VÄSTERBOTTENS LÄN</t>
        </is>
      </c>
      <c r="E7261" t="inlineStr">
        <is>
          <t>STORUMAN</t>
        </is>
      </c>
      <c r="F7261" t="inlineStr">
        <is>
          <t>Sveaskog</t>
        </is>
      </c>
      <c r="G7261" t="n">
        <v>41.6</v>
      </c>
      <c r="H7261" t="n">
        <v>0</v>
      </c>
      <c r="I7261" t="n">
        <v>0</v>
      </c>
      <c r="J7261" t="n">
        <v>0</v>
      </c>
      <c r="K7261" t="n">
        <v>0</v>
      </c>
      <c r="L7261" t="n">
        <v>0</v>
      </c>
      <c r="M7261" t="n">
        <v>0</v>
      </c>
      <c r="N7261" t="n">
        <v>0</v>
      </c>
      <c r="O7261" t="n">
        <v>0</v>
      </c>
      <c r="P7261" t="n">
        <v>0</v>
      </c>
      <c r="Q7261" t="n">
        <v>0</v>
      </c>
      <c r="R7261" s="2" t="inlineStr"/>
    </row>
    <row r="7262" ht="15" customHeight="1">
      <c r="A7262" t="inlineStr">
        <is>
          <t>A 43767-2022</t>
        </is>
      </c>
      <c r="B7262" s="1" t="n">
        <v>44838</v>
      </c>
      <c r="C7262" s="1" t="n">
        <v>45357</v>
      </c>
      <c r="D7262" t="inlineStr">
        <is>
          <t>VÄSTERBOTTENS LÄN</t>
        </is>
      </c>
      <c r="E7262" t="inlineStr">
        <is>
          <t>UMEÅ</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43776-2022</t>
        </is>
      </c>
      <c r="B7263" s="1" t="n">
        <v>44837</v>
      </c>
      <c r="C7263" s="1" t="n">
        <v>45357</v>
      </c>
      <c r="D7263" t="inlineStr">
        <is>
          <t>VÄSTERBOTTENS LÄN</t>
        </is>
      </c>
      <c r="E7263" t="inlineStr">
        <is>
          <t>DOROTEA</t>
        </is>
      </c>
      <c r="F7263" t="inlineStr">
        <is>
          <t>SCA</t>
        </is>
      </c>
      <c r="G7263" t="n">
        <v>21.3</v>
      </c>
      <c r="H7263" t="n">
        <v>0</v>
      </c>
      <c r="I7263" t="n">
        <v>0</v>
      </c>
      <c r="J7263" t="n">
        <v>0</v>
      </c>
      <c r="K7263" t="n">
        <v>0</v>
      </c>
      <c r="L7263" t="n">
        <v>0</v>
      </c>
      <c r="M7263" t="n">
        <v>0</v>
      </c>
      <c r="N7263" t="n">
        <v>0</v>
      </c>
      <c r="O7263" t="n">
        <v>0</v>
      </c>
      <c r="P7263" t="n">
        <v>0</v>
      </c>
      <c r="Q7263" t="n">
        <v>0</v>
      </c>
      <c r="R7263" s="2" t="inlineStr"/>
    </row>
    <row r="7264" ht="15" customHeight="1">
      <c r="A7264" t="inlineStr">
        <is>
          <t>A 43768-2022</t>
        </is>
      </c>
      <c r="B7264" s="1" t="n">
        <v>44838</v>
      </c>
      <c r="C7264" s="1" t="n">
        <v>45357</v>
      </c>
      <c r="D7264" t="inlineStr">
        <is>
          <t>VÄSTERBOTTENS LÄN</t>
        </is>
      </c>
      <c r="E7264" t="inlineStr">
        <is>
          <t>UMEÅ</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43714-2022</t>
        </is>
      </c>
      <c r="B7265" s="1" t="n">
        <v>44837</v>
      </c>
      <c r="C7265" s="1" t="n">
        <v>45357</v>
      </c>
      <c r="D7265" t="inlineStr">
        <is>
          <t>VÄSTERBOTTENS LÄN</t>
        </is>
      </c>
      <c r="E7265" t="inlineStr">
        <is>
          <t>VILHELMINA</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43741-2022</t>
        </is>
      </c>
      <c r="B7266" s="1" t="n">
        <v>44837</v>
      </c>
      <c r="C7266" s="1" t="n">
        <v>45357</v>
      </c>
      <c r="D7266" t="inlineStr">
        <is>
          <t>VÄSTERBOTTENS LÄN</t>
        </is>
      </c>
      <c r="E7266" t="inlineStr">
        <is>
          <t>VILHELMINA</t>
        </is>
      </c>
      <c r="G7266" t="n">
        <v>54.2</v>
      </c>
      <c r="H7266" t="n">
        <v>0</v>
      </c>
      <c r="I7266" t="n">
        <v>0</v>
      </c>
      <c r="J7266" t="n">
        <v>0</v>
      </c>
      <c r="K7266" t="n">
        <v>0</v>
      </c>
      <c r="L7266" t="n">
        <v>0</v>
      </c>
      <c r="M7266" t="n">
        <v>0</v>
      </c>
      <c r="N7266" t="n">
        <v>0</v>
      </c>
      <c r="O7266" t="n">
        <v>0</v>
      </c>
      <c r="P7266" t="n">
        <v>0</v>
      </c>
      <c r="Q7266" t="n">
        <v>0</v>
      </c>
      <c r="R7266" s="2" t="inlineStr"/>
    </row>
    <row r="7267" ht="15" customHeight="1">
      <c r="A7267" t="inlineStr">
        <is>
          <t>A 43771-2022</t>
        </is>
      </c>
      <c r="B7267" s="1" t="n">
        <v>44838</v>
      </c>
      <c r="C7267" s="1" t="n">
        <v>45357</v>
      </c>
      <c r="D7267" t="inlineStr">
        <is>
          <t>VÄSTERBOTTENS LÄN</t>
        </is>
      </c>
      <c r="E7267" t="inlineStr">
        <is>
          <t>STORUMAN</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43907-2022</t>
        </is>
      </c>
      <c r="B7268" s="1" t="n">
        <v>44837</v>
      </c>
      <c r="C7268" s="1" t="n">
        <v>45357</v>
      </c>
      <c r="D7268" t="inlineStr">
        <is>
          <t>VÄSTERBOTTENS LÄN</t>
        </is>
      </c>
      <c r="E7268" t="inlineStr">
        <is>
          <t>MALÅ</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43899-2022</t>
        </is>
      </c>
      <c r="B7269" s="1" t="n">
        <v>44837</v>
      </c>
      <c r="C7269" s="1" t="n">
        <v>45357</v>
      </c>
      <c r="D7269" t="inlineStr">
        <is>
          <t>VÄSTERBOTTENS LÄN</t>
        </is>
      </c>
      <c r="E7269" t="inlineStr">
        <is>
          <t>BJURHOLM</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43917-2022</t>
        </is>
      </c>
      <c r="B7270" s="1" t="n">
        <v>44838</v>
      </c>
      <c r="C7270" s="1" t="n">
        <v>45357</v>
      </c>
      <c r="D7270" t="inlineStr">
        <is>
          <t>VÄSTERBOTTENS LÄN</t>
        </is>
      </c>
      <c r="E7270" t="inlineStr">
        <is>
          <t>SKELLEFTEÅ</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43939-2022</t>
        </is>
      </c>
      <c r="B7271" s="1" t="n">
        <v>44838</v>
      </c>
      <c r="C7271" s="1" t="n">
        <v>45357</v>
      </c>
      <c r="D7271" t="inlineStr">
        <is>
          <t>VÄSTERBOTTENS LÄN</t>
        </is>
      </c>
      <c r="E7271" t="inlineStr">
        <is>
          <t>ROBERTSFORS</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43998-2022</t>
        </is>
      </c>
      <c r="B7272" s="1" t="n">
        <v>44838</v>
      </c>
      <c r="C7272" s="1" t="n">
        <v>45357</v>
      </c>
      <c r="D7272" t="inlineStr">
        <is>
          <t>VÄSTERBOTTENS LÄN</t>
        </is>
      </c>
      <c r="E7272" t="inlineStr">
        <is>
          <t>UMEÅ</t>
        </is>
      </c>
      <c r="F7272" t="inlineStr">
        <is>
          <t>Holmen skog AB</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44025-2022</t>
        </is>
      </c>
      <c r="B7273" s="1" t="n">
        <v>44839</v>
      </c>
      <c r="C7273" s="1" t="n">
        <v>45357</v>
      </c>
      <c r="D7273" t="inlineStr">
        <is>
          <t>VÄSTERBOTTENS LÄN</t>
        </is>
      </c>
      <c r="E7273" t="inlineStr">
        <is>
          <t>ROBERTSFORS</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44030-2022</t>
        </is>
      </c>
      <c r="B7274" s="1" t="n">
        <v>44839</v>
      </c>
      <c r="C7274" s="1" t="n">
        <v>45357</v>
      </c>
      <c r="D7274" t="inlineStr">
        <is>
          <t>VÄSTERBOTTENS LÄN</t>
        </is>
      </c>
      <c r="E7274" t="inlineStr">
        <is>
          <t>NORSJÖ</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44037-2022</t>
        </is>
      </c>
      <c r="B7275" s="1" t="n">
        <v>44838</v>
      </c>
      <c r="C7275" s="1" t="n">
        <v>45357</v>
      </c>
      <c r="D7275" t="inlineStr">
        <is>
          <t>VÄSTERBOTTENS LÄN</t>
        </is>
      </c>
      <c r="E7275" t="inlineStr">
        <is>
          <t>DOROTEA</t>
        </is>
      </c>
      <c r="F7275" t="inlineStr">
        <is>
          <t>SCA</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44375-2022</t>
        </is>
      </c>
      <c r="B7276" s="1" t="n">
        <v>44838</v>
      </c>
      <c r="C7276" s="1" t="n">
        <v>45357</v>
      </c>
      <c r="D7276" t="inlineStr">
        <is>
          <t>VÄSTERBOTTENS LÄN</t>
        </is>
      </c>
      <c r="E7276" t="inlineStr">
        <is>
          <t>UMEÅ</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44386-2022</t>
        </is>
      </c>
      <c r="B7277" s="1" t="n">
        <v>44838</v>
      </c>
      <c r="C7277" s="1" t="n">
        <v>45357</v>
      </c>
      <c r="D7277" t="inlineStr">
        <is>
          <t>VÄSTERBOTTENS LÄN</t>
        </is>
      </c>
      <c r="E7277" t="inlineStr">
        <is>
          <t>DOROTEA</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44392-2022</t>
        </is>
      </c>
      <c r="B7278" s="1" t="n">
        <v>44838</v>
      </c>
      <c r="C7278" s="1" t="n">
        <v>45357</v>
      </c>
      <c r="D7278" t="inlineStr">
        <is>
          <t>VÄSTERBOTTENS LÄN</t>
        </is>
      </c>
      <c r="E7278" t="inlineStr">
        <is>
          <t>DOROTEA</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44380-2022</t>
        </is>
      </c>
      <c r="B7279" s="1" t="n">
        <v>44838</v>
      </c>
      <c r="C7279" s="1" t="n">
        <v>45357</v>
      </c>
      <c r="D7279" t="inlineStr">
        <is>
          <t>VÄSTERBOTTENS LÄN</t>
        </is>
      </c>
      <c r="E7279" t="inlineStr">
        <is>
          <t>DOROTEA</t>
        </is>
      </c>
      <c r="G7279" t="n">
        <v>12.5</v>
      </c>
      <c r="H7279" t="n">
        <v>0</v>
      </c>
      <c r="I7279" t="n">
        <v>0</v>
      </c>
      <c r="J7279" t="n">
        <v>0</v>
      </c>
      <c r="K7279" t="n">
        <v>0</v>
      </c>
      <c r="L7279" t="n">
        <v>0</v>
      </c>
      <c r="M7279" t="n">
        <v>0</v>
      </c>
      <c r="N7279" t="n">
        <v>0</v>
      </c>
      <c r="O7279" t="n">
        <v>0</v>
      </c>
      <c r="P7279" t="n">
        <v>0</v>
      </c>
      <c r="Q7279" t="n">
        <v>0</v>
      </c>
      <c r="R7279" s="2" t="inlineStr"/>
    </row>
    <row r="7280" ht="15" customHeight="1">
      <c r="A7280" t="inlineStr">
        <is>
          <t>A 44621-2022</t>
        </is>
      </c>
      <c r="B7280" s="1" t="n">
        <v>44838</v>
      </c>
      <c r="C7280" s="1" t="n">
        <v>45357</v>
      </c>
      <c r="D7280" t="inlineStr">
        <is>
          <t>VÄSTERBOTTENS LÄN</t>
        </is>
      </c>
      <c r="E7280" t="inlineStr">
        <is>
          <t>SKELLEFTEÅ</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44097-2022</t>
        </is>
      </c>
      <c r="B7281" s="1" t="n">
        <v>44839</v>
      </c>
      <c r="C7281" s="1" t="n">
        <v>45357</v>
      </c>
      <c r="D7281" t="inlineStr">
        <is>
          <t>VÄSTERBOTTENS LÄN</t>
        </is>
      </c>
      <c r="E7281" t="inlineStr">
        <is>
          <t>LYCKSELE</t>
        </is>
      </c>
      <c r="F7281" t="inlineStr">
        <is>
          <t>Holmen skog AB</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44121-2022</t>
        </is>
      </c>
      <c r="B7282" s="1" t="n">
        <v>44839</v>
      </c>
      <c r="C7282" s="1" t="n">
        <v>45357</v>
      </c>
      <c r="D7282" t="inlineStr">
        <is>
          <t>VÄSTERBOTTENS LÄN</t>
        </is>
      </c>
      <c r="E7282" t="inlineStr">
        <is>
          <t>UMEÅ</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44132-2022</t>
        </is>
      </c>
      <c r="B7283" s="1" t="n">
        <v>44839</v>
      </c>
      <c r="C7283" s="1" t="n">
        <v>45357</v>
      </c>
      <c r="D7283" t="inlineStr">
        <is>
          <t>VÄSTERBOTTENS LÄN</t>
        </is>
      </c>
      <c r="E7283" t="inlineStr">
        <is>
          <t>UMEÅ</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44139-2022</t>
        </is>
      </c>
      <c r="B7284" s="1" t="n">
        <v>44839</v>
      </c>
      <c r="C7284" s="1" t="n">
        <v>45357</v>
      </c>
      <c r="D7284" t="inlineStr">
        <is>
          <t>VÄSTERBOTTENS LÄN</t>
        </is>
      </c>
      <c r="E7284" t="inlineStr">
        <is>
          <t>LYCKSELE</t>
        </is>
      </c>
      <c r="F7284" t="inlineStr">
        <is>
          <t>Naturvårdsverket</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44185-2022</t>
        </is>
      </c>
      <c r="B7285" s="1" t="n">
        <v>44839</v>
      </c>
      <c r="C7285" s="1" t="n">
        <v>45357</v>
      </c>
      <c r="D7285" t="inlineStr">
        <is>
          <t>VÄSTERBOTTENS LÄN</t>
        </is>
      </c>
      <c r="E7285" t="inlineStr">
        <is>
          <t>UMEÅ</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44397-2022</t>
        </is>
      </c>
      <c r="B7286" s="1" t="n">
        <v>44839</v>
      </c>
      <c r="C7286" s="1" t="n">
        <v>45357</v>
      </c>
      <c r="D7286" t="inlineStr">
        <is>
          <t>VÄSTERBOTTENS LÄN</t>
        </is>
      </c>
      <c r="E7286" t="inlineStr">
        <is>
          <t>SKELLEFTEÅ</t>
        </is>
      </c>
      <c r="F7286" t="inlineStr">
        <is>
          <t>Sveaskog</t>
        </is>
      </c>
      <c r="G7286" t="n">
        <v>31.1</v>
      </c>
      <c r="H7286" t="n">
        <v>0</v>
      </c>
      <c r="I7286" t="n">
        <v>0</v>
      </c>
      <c r="J7286" t="n">
        <v>0</v>
      </c>
      <c r="K7286" t="n">
        <v>0</v>
      </c>
      <c r="L7286" t="n">
        <v>0</v>
      </c>
      <c r="M7286" t="n">
        <v>0</v>
      </c>
      <c r="N7286" t="n">
        <v>0</v>
      </c>
      <c r="O7286" t="n">
        <v>0</v>
      </c>
      <c r="P7286" t="n">
        <v>0</v>
      </c>
      <c r="Q7286" t="n">
        <v>0</v>
      </c>
      <c r="R7286" s="2" t="inlineStr"/>
    </row>
    <row r="7287" ht="15" customHeight="1">
      <c r="A7287" t="inlineStr">
        <is>
          <t>A 44407-2022</t>
        </is>
      </c>
      <c r="B7287" s="1" t="n">
        <v>44839</v>
      </c>
      <c r="C7287" s="1" t="n">
        <v>45357</v>
      </c>
      <c r="D7287" t="inlineStr">
        <is>
          <t>VÄSTERBOTTENS LÄN</t>
        </is>
      </c>
      <c r="E7287" t="inlineStr">
        <is>
          <t>MALÅ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44436-2022</t>
        </is>
      </c>
      <c r="B7288" s="1" t="n">
        <v>44840</v>
      </c>
      <c r="C7288" s="1" t="n">
        <v>45357</v>
      </c>
      <c r="D7288" t="inlineStr">
        <is>
          <t>VÄSTERBOTTENS LÄN</t>
        </is>
      </c>
      <c r="E7288" t="inlineStr">
        <is>
          <t>VINDELN</t>
        </is>
      </c>
      <c r="F7288" t="inlineStr">
        <is>
          <t>SCA</t>
        </is>
      </c>
      <c r="G7288" t="n">
        <v>7.4</v>
      </c>
      <c r="H7288" t="n">
        <v>0</v>
      </c>
      <c r="I7288" t="n">
        <v>0</v>
      </c>
      <c r="J7288" t="n">
        <v>0</v>
      </c>
      <c r="K7288" t="n">
        <v>0</v>
      </c>
      <c r="L7288" t="n">
        <v>0</v>
      </c>
      <c r="M7288" t="n">
        <v>0</v>
      </c>
      <c r="N7288" t="n">
        <v>0</v>
      </c>
      <c r="O7288" t="n">
        <v>0</v>
      </c>
      <c r="P7288" t="n">
        <v>0</v>
      </c>
      <c r="Q7288" t="n">
        <v>0</v>
      </c>
      <c r="R7288" s="2" t="inlineStr"/>
    </row>
    <row r="7289" ht="15" customHeight="1">
      <c r="A7289" t="inlineStr">
        <is>
          <t>A 44244-2022</t>
        </is>
      </c>
      <c r="B7289" s="1" t="n">
        <v>44839</v>
      </c>
      <c r="C7289" s="1" t="n">
        <v>45357</v>
      </c>
      <c r="D7289" t="inlineStr">
        <is>
          <t>VÄSTERBOTTENS LÄN</t>
        </is>
      </c>
      <c r="E7289" t="inlineStr">
        <is>
          <t>ROBERTSFORS</t>
        </is>
      </c>
      <c r="F7289" t="inlineStr">
        <is>
          <t>Holmen skog AB</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44313-2022</t>
        </is>
      </c>
      <c r="B7290" s="1" t="n">
        <v>44839</v>
      </c>
      <c r="C7290" s="1" t="n">
        <v>45357</v>
      </c>
      <c r="D7290" t="inlineStr">
        <is>
          <t>VÄSTERBOTTENS LÄN</t>
        </is>
      </c>
      <c r="E7290" t="inlineStr">
        <is>
          <t>VINDELN</t>
        </is>
      </c>
      <c r="F7290" t="inlineStr">
        <is>
          <t>Holmen skog AB</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44334-2022</t>
        </is>
      </c>
      <c r="B7291" s="1" t="n">
        <v>44839</v>
      </c>
      <c r="C7291" s="1" t="n">
        <v>45357</v>
      </c>
      <c r="D7291" t="inlineStr">
        <is>
          <t>VÄSTERBOTTENS LÄN</t>
        </is>
      </c>
      <c r="E7291" t="inlineStr">
        <is>
          <t>UMEÅ</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44186-2022</t>
        </is>
      </c>
      <c r="B7292" s="1" t="n">
        <v>44839</v>
      </c>
      <c r="C7292" s="1" t="n">
        <v>45357</v>
      </c>
      <c r="D7292" t="inlineStr">
        <is>
          <t>VÄSTERBOTTENS LÄN</t>
        </is>
      </c>
      <c r="E7292" t="inlineStr">
        <is>
          <t>ÅSELE</t>
        </is>
      </c>
      <c r="F7292" t="inlineStr">
        <is>
          <t>Holmen skog AB</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44384-2022</t>
        </is>
      </c>
      <c r="B7293" s="1" t="n">
        <v>44839</v>
      </c>
      <c r="C7293" s="1" t="n">
        <v>45357</v>
      </c>
      <c r="D7293" t="inlineStr">
        <is>
          <t>VÄSTERBOTTENS LÄN</t>
        </is>
      </c>
      <c r="E7293" t="inlineStr">
        <is>
          <t>VINDELN</t>
        </is>
      </c>
      <c r="F7293" t="inlineStr">
        <is>
          <t>Holmen skog AB</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44394-2022</t>
        </is>
      </c>
      <c r="B7294" s="1" t="n">
        <v>44839</v>
      </c>
      <c r="C7294" s="1" t="n">
        <v>45357</v>
      </c>
      <c r="D7294" t="inlineStr">
        <is>
          <t>VÄSTERBOTTENS LÄN</t>
        </is>
      </c>
      <c r="E7294" t="inlineStr">
        <is>
          <t>LYCKSELE</t>
        </is>
      </c>
      <c r="F7294" t="inlineStr">
        <is>
          <t>Holmen skog AB</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44398-2022</t>
        </is>
      </c>
      <c r="B7295" s="1" t="n">
        <v>44839</v>
      </c>
      <c r="C7295" s="1" t="n">
        <v>45357</v>
      </c>
      <c r="D7295" t="inlineStr">
        <is>
          <t>VÄSTERBOTTENS LÄN</t>
        </is>
      </c>
      <c r="E7295" t="inlineStr">
        <is>
          <t>SKELLEFTEÅ</t>
        </is>
      </c>
      <c r="F7295" t="inlineStr">
        <is>
          <t>Sveaskog</t>
        </is>
      </c>
      <c r="G7295" t="n">
        <v>22.3</v>
      </c>
      <c r="H7295" t="n">
        <v>0</v>
      </c>
      <c r="I7295" t="n">
        <v>0</v>
      </c>
      <c r="J7295" t="n">
        <v>0</v>
      </c>
      <c r="K7295" t="n">
        <v>0</v>
      </c>
      <c r="L7295" t="n">
        <v>0</v>
      </c>
      <c r="M7295" t="n">
        <v>0</v>
      </c>
      <c r="N7295" t="n">
        <v>0</v>
      </c>
      <c r="O7295" t="n">
        <v>0</v>
      </c>
      <c r="P7295" t="n">
        <v>0</v>
      </c>
      <c r="Q7295" t="n">
        <v>0</v>
      </c>
      <c r="R7295" s="2" t="inlineStr"/>
    </row>
    <row r="7296" ht="15" customHeight="1">
      <c r="A7296" t="inlineStr">
        <is>
          <t>A 44437-2022</t>
        </is>
      </c>
      <c r="B7296" s="1" t="n">
        <v>44840</v>
      </c>
      <c r="C7296" s="1" t="n">
        <v>45357</v>
      </c>
      <c r="D7296" t="inlineStr">
        <is>
          <t>VÄSTERBOTTENS LÄN</t>
        </is>
      </c>
      <c r="E7296" t="inlineStr">
        <is>
          <t>VINDELN</t>
        </is>
      </c>
      <c r="F7296" t="inlineStr">
        <is>
          <t>SCA</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44616-2022</t>
        </is>
      </c>
      <c r="B7297" s="1" t="n">
        <v>44839</v>
      </c>
      <c r="C7297" s="1" t="n">
        <v>45357</v>
      </c>
      <c r="D7297" t="inlineStr">
        <is>
          <t>VÄSTERBOTTENS LÄN</t>
        </is>
      </c>
      <c r="E7297" t="inlineStr">
        <is>
          <t>SKELLEFTEÅ</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44684-2022</t>
        </is>
      </c>
      <c r="B7298" s="1" t="n">
        <v>44839</v>
      </c>
      <c r="C7298" s="1" t="n">
        <v>45357</v>
      </c>
      <c r="D7298" t="inlineStr">
        <is>
          <t>VÄSTERBOTTENS LÄN</t>
        </is>
      </c>
      <c r="E7298" t="inlineStr">
        <is>
          <t>UMEÅ</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44314-2022</t>
        </is>
      </c>
      <c r="B7299" s="1" t="n">
        <v>44839</v>
      </c>
      <c r="C7299" s="1" t="n">
        <v>45357</v>
      </c>
      <c r="D7299" t="inlineStr">
        <is>
          <t>VÄSTERBOTTENS LÄN</t>
        </is>
      </c>
      <c r="E7299" t="inlineStr">
        <is>
          <t>ÅSELE</t>
        </is>
      </c>
      <c r="F7299" t="inlineStr">
        <is>
          <t>Holmen skog AB</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44959-2022</t>
        </is>
      </c>
      <c r="B7300" s="1" t="n">
        <v>44839</v>
      </c>
      <c r="C7300" s="1" t="n">
        <v>45357</v>
      </c>
      <c r="D7300" t="inlineStr">
        <is>
          <t>VÄSTERBOTTENS LÄN</t>
        </is>
      </c>
      <c r="E7300" t="inlineStr">
        <is>
          <t>SKELLEFTEÅ</t>
        </is>
      </c>
      <c r="G7300" t="n">
        <v>17.3</v>
      </c>
      <c r="H7300" t="n">
        <v>0</v>
      </c>
      <c r="I7300" t="n">
        <v>0</v>
      </c>
      <c r="J7300" t="n">
        <v>0</v>
      </c>
      <c r="K7300" t="n">
        <v>0</v>
      </c>
      <c r="L7300" t="n">
        <v>0</v>
      </c>
      <c r="M7300" t="n">
        <v>0</v>
      </c>
      <c r="N7300" t="n">
        <v>0</v>
      </c>
      <c r="O7300" t="n">
        <v>0</v>
      </c>
      <c r="P7300" t="n">
        <v>0</v>
      </c>
      <c r="Q7300" t="n">
        <v>0</v>
      </c>
      <c r="R7300" s="2" t="inlineStr"/>
    </row>
    <row r="7301" ht="15" customHeight="1">
      <c r="A7301" t="inlineStr">
        <is>
          <t>A 44440-2022</t>
        </is>
      </c>
      <c r="B7301" s="1" t="n">
        <v>44839</v>
      </c>
      <c r="C7301" s="1" t="n">
        <v>45357</v>
      </c>
      <c r="D7301" t="inlineStr">
        <is>
          <t>VÄSTERBOTTENS LÄN</t>
        </is>
      </c>
      <c r="E7301" t="inlineStr">
        <is>
          <t>DOROTEA</t>
        </is>
      </c>
      <c r="F7301" t="inlineStr">
        <is>
          <t>SCA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44581-2022</t>
        </is>
      </c>
      <c r="B7302" s="1" t="n">
        <v>44840</v>
      </c>
      <c r="C7302" s="1" t="n">
        <v>45357</v>
      </c>
      <c r="D7302" t="inlineStr">
        <is>
          <t>VÄSTERBOTTENS LÄN</t>
        </is>
      </c>
      <c r="E7302" t="inlineStr">
        <is>
          <t>LYCKSELE</t>
        </is>
      </c>
      <c r="G7302" t="n">
        <v>7.2</v>
      </c>
      <c r="H7302" t="n">
        <v>0</v>
      </c>
      <c r="I7302" t="n">
        <v>0</v>
      </c>
      <c r="J7302" t="n">
        <v>0</v>
      </c>
      <c r="K7302" t="n">
        <v>0</v>
      </c>
      <c r="L7302" t="n">
        <v>0</v>
      </c>
      <c r="M7302" t="n">
        <v>0</v>
      </c>
      <c r="N7302" t="n">
        <v>0</v>
      </c>
      <c r="O7302" t="n">
        <v>0</v>
      </c>
      <c r="P7302" t="n">
        <v>0</v>
      </c>
      <c r="Q7302" t="n">
        <v>0</v>
      </c>
      <c r="R7302" s="2" t="inlineStr"/>
    </row>
    <row r="7303" ht="15" customHeight="1">
      <c r="A7303" t="inlineStr">
        <is>
          <t>A 44620-2022</t>
        </is>
      </c>
      <c r="B7303" s="1" t="n">
        <v>44840</v>
      </c>
      <c r="C7303" s="1" t="n">
        <v>45357</v>
      </c>
      <c r="D7303" t="inlineStr">
        <is>
          <t>VÄSTERBOTTENS LÄN</t>
        </is>
      </c>
      <c r="E7303" t="inlineStr">
        <is>
          <t>VINDELN</t>
        </is>
      </c>
      <c r="F7303" t="inlineStr">
        <is>
          <t>Sveaskog</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44465-2022</t>
        </is>
      </c>
      <c r="B7304" s="1" t="n">
        <v>44840</v>
      </c>
      <c r="C7304" s="1" t="n">
        <v>45357</v>
      </c>
      <c r="D7304" t="inlineStr">
        <is>
          <t>VÄSTERBOTTENS LÄN</t>
        </is>
      </c>
      <c r="E7304" t="inlineStr">
        <is>
          <t>LYCKSELE</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44481-2022</t>
        </is>
      </c>
      <c r="B7305" s="1" t="n">
        <v>44840</v>
      </c>
      <c r="C7305" s="1" t="n">
        <v>45357</v>
      </c>
      <c r="D7305" t="inlineStr">
        <is>
          <t>VÄSTERBOTTENS LÄN</t>
        </is>
      </c>
      <c r="E7305" t="inlineStr">
        <is>
          <t>UMEÅ</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44729-2022</t>
        </is>
      </c>
      <c r="B7306" s="1" t="n">
        <v>44840</v>
      </c>
      <c r="C7306" s="1" t="n">
        <v>45357</v>
      </c>
      <c r="D7306" t="inlineStr">
        <is>
          <t>VÄSTERBOTTENS LÄN</t>
        </is>
      </c>
      <c r="E7306" t="inlineStr">
        <is>
          <t>UMEÅ</t>
        </is>
      </c>
      <c r="G7306" t="n">
        <v>10.5</v>
      </c>
      <c r="H7306" t="n">
        <v>0</v>
      </c>
      <c r="I7306" t="n">
        <v>0</v>
      </c>
      <c r="J7306" t="n">
        <v>0</v>
      </c>
      <c r="K7306" t="n">
        <v>0</v>
      </c>
      <c r="L7306" t="n">
        <v>0</v>
      </c>
      <c r="M7306" t="n">
        <v>0</v>
      </c>
      <c r="N7306" t="n">
        <v>0</v>
      </c>
      <c r="O7306" t="n">
        <v>0</v>
      </c>
      <c r="P7306" t="n">
        <v>0</v>
      </c>
      <c r="Q7306" t="n">
        <v>0</v>
      </c>
      <c r="R7306" s="2" t="inlineStr"/>
    </row>
    <row r="7307" ht="15" customHeight="1">
      <c r="A7307" t="inlineStr">
        <is>
          <t>A 44737-2022</t>
        </is>
      </c>
      <c r="B7307" s="1" t="n">
        <v>44841</v>
      </c>
      <c r="C7307" s="1" t="n">
        <v>45357</v>
      </c>
      <c r="D7307" t="inlineStr">
        <is>
          <t>VÄSTERBOTTENS LÄN</t>
        </is>
      </c>
      <c r="E7307" t="inlineStr">
        <is>
          <t>UMEÅ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44479-2022</t>
        </is>
      </c>
      <c r="B7308" s="1" t="n">
        <v>44840</v>
      </c>
      <c r="C7308" s="1" t="n">
        <v>45357</v>
      </c>
      <c r="D7308" t="inlineStr">
        <is>
          <t>VÄSTERBOTTENS LÄN</t>
        </is>
      </c>
      <c r="E7308" t="inlineStr">
        <is>
          <t>LYCKSELE</t>
        </is>
      </c>
      <c r="F7308" t="inlineStr">
        <is>
          <t>Holmen skog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44724-2022</t>
        </is>
      </c>
      <c r="B7309" s="1" t="n">
        <v>44840</v>
      </c>
      <c r="C7309" s="1" t="n">
        <v>45357</v>
      </c>
      <c r="D7309" t="inlineStr">
        <is>
          <t>VÄSTERBOTTENS LÄN</t>
        </is>
      </c>
      <c r="E7309" t="inlineStr">
        <is>
          <t>SKELLEFTEÅ</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44734-2022</t>
        </is>
      </c>
      <c r="B7310" s="1" t="n">
        <v>44840</v>
      </c>
      <c r="C7310" s="1" t="n">
        <v>45357</v>
      </c>
      <c r="D7310" t="inlineStr">
        <is>
          <t>VÄSTERBOTTENS LÄN</t>
        </is>
      </c>
      <c r="E7310" t="inlineStr">
        <is>
          <t>VINDELN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44619-2022</t>
        </is>
      </c>
      <c r="B7311" s="1" t="n">
        <v>44840</v>
      </c>
      <c r="C7311" s="1" t="n">
        <v>45357</v>
      </c>
      <c r="D7311" t="inlineStr">
        <is>
          <t>VÄSTERBOTTENS LÄN</t>
        </is>
      </c>
      <c r="E7311" t="inlineStr">
        <is>
          <t>LYCKSELE</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44722-2022</t>
        </is>
      </c>
      <c r="B7312" s="1" t="n">
        <v>44840</v>
      </c>
      <c r="C7312" s="1" t="n">
        <v>45357</v>
      </c>
      <c r="D7312" t="inlineStr">
        <is>
          <t>VÄSTERBOTTENS LÄN</t>
        </is>
      </c>
      <c r="E7312" t="inlineStr">
        <is>
          <t>SKELLEFTEÅ</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44730-2022</t>
        </is>
      </c>
      <c r="B7313" s="1" t="n">
        <v>44840</v>
      </c>
      <c r="C7313" s="1" t="n">
        <v>45357</v>
      </c>
      <c r="D7313" t="inlineStr">
        <is>
          <t>VÄSTERBOTTENS LÄN</t>
        </is>
      </c>
      <c r="E7313" t="inlineStr">
        <is>
          <t>UMEÅ</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44738-2022</t>
        </is>
      </c>
      <c r="B7314" s="1" t="n">
        <v>44841</v>
      </c>
      <c r="C7314" s="1" t="n">
        <v>45357</v>
      </c>
      <c r="D7314" t="inlineStr">
        <is>
          <t>VÄSTERBOTTENS LÄN</t>
        </is>
      </c>
      <c r="E7314" t="inlineStr">
        <is>
          <t>UMEÅ</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44736-2022</t>
        </is>
      </c>
      <c r="B7315" s="1" t="n">
        <v>44841</v>
      </c>
      <c r="C7315" s="1" t="n">
        <v>45357</v>
      </c>
      <c r="D7315" t="inlineStr">
        <is>
          <t>VÄSTERBOTTENS LÄN</t>
        </is>
      </c>
      <c r="E7315" t="inlineStr">
        <is>
          <t>UMEÅ</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44741-2022</t>
        </is>
      </c>
      <c r="B7316" s="1" t="n">
        <v>44840</v>
      </c>
      <c r="C7316" s="1" t="n">
        <v>45357</v>
      </c>
      <c r="D7316" t="inlineStr">
        <is>
          <t>VÄSTERBOTTENS LÄN</t>
        </is>
      </c>
      <c r="E7316" t="inlineStr">
        <is>
          <t>MALÅ</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44968-2022</t>
        </is>
      </c>
      <c r="B7317" s="1" t="n">
        <v>44840</v>
      </c>
      <c r="C7317" s="1" t="n">
        <v>45357</v>
      </c>
      <c r="D7317" t="inlineStr">
        <is>
          <t>VÄSTERBOTTENS LÄN</t>
        </is>
      </c>
      <c r="E7317" t="inlineStr">
        <is>
          <t>UMEÅ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44957-2022</t>
        </is>
      </c>
      <c r="B7318" s="1" t="n">
        <v>44840</v>
      </c>
      <c r="C7318" s="1" t="n">
        <v>45357</v>
      </c>
      <c r="D7318" t="inlineStr">
        <is>
          <t>VÄSTERBOTTENS LÄN</t>
        </is>
      </c>
      <c r="E7318" t="inlineStr">
        <is>
          <t>UMEÅ</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45011-2022</t>
        </is>
      </c>
      <c r="B7319" s="1" t="n">
        <v>44840</v>
      </c>
      <c r="C7319" s="1" t="n">
        <v>45357</v>
      </c>
      <c r="D7319" t="inlineStr">
        <is>
          <t>VÄSTERBOTTENS LÄN</t>
        </is>
      </c>
      <c r="E7319" t="inlineStr">
        <is>
          <t>SKELLEFTEÅ</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44830-2022</t>
        </is>
      </c>
      <c r="B7320" s="1" t="n">
        <v>44841</v>
      </c>
      <c r="C7320" s="1" t="n">
        <v>45357</v>
      </c>
      <c r="D7320" t="inlineStr">
        <is>
          <t>VÄSTERBOTTENS LÄN</t>
        </is>
      </c>
      <c r="E7320" t="inlineStr">
        <is>
          <t>UMEÅ</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45022-2022</t>
        </is>
      </c>
      <c r="B7321" s="1" t="n">
        <v>44841</v>
      </c>
      <c r="C7321" s="1" t="n">
        <v>45357</v>
      </c>
      <c r="D7321" t="inlineStr">
        <is>
          <t>VÄSTERBOTTENS LÄN</t>
        </is>
      </c>
      <c r="E7321" t="inlineStr">
        <is>
          <t>ROBERTSFORS</t>
        </is>
      </c>
      <c r="F7321" t="inlineStr">
        <is>
          <t>Holmen skog AB</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45031-2022</t>
        </is>
      </c>
      <c r="B7322" s="1" t="n">
        <v>44841</v>
      </c>
      <c r="C7322" s="1" t="n">
        <v>45357</v>
      </c>
      <c r="D7322" t="inlineStr">
        <is>
          <t>VÄSTERBOTTENS LÄN</t>
        </is>
      </c>
      <c r="E7322" t="inlineStr">
        <is>
          <t>UMEÅ</t>
        </is>
      </c>
      <c r="F7322" t="inlineStr">
        <is>
          <t>Holmen skog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45030-2022</t>
        </is>
      </c>
      <c r="B7323" s="1" t="n">
        <v>44841</v>
      </c>
      <c r="C7323" s="1" t="n">
        <v>45357</v>
      </c>
      <c r="D7323" t="inlineStr">
        <is>
          <t>VÄSTERBOTTENS LÄN</t>
        </is>
      </c>
      <c r="E7323" t="inlineStr">
        <is>
          <t>VINDELN</t>
        </is>
      </c>
      <c r="F7323" t="inlineStr">
        <is>
          <t>Holmen skog AB</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44822-2022</t>
        </is>
      </c>
      <c r="B7324" s="1" t="n">
        <v>44841</v>
      </c>
      <c r="C7324" s="1" t="n">
        <v>45357</v>
      </c>
      <c r="D7324" t="inlineStr">
        <is>
          <t>VÄSTERBOTTENS LÄN</t>
        </is>
      </c>
      <c r="E7324" t="inlineStr">
        <is>
          <t>ROBERTSFORS</t>
        </is>
      </c>
      <c r="F7324" t="inlineStr">
        <is>
          <t>Holmen skog AB</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44983-2022</t>
        </is>
      </c>
      <c r="B7325" s="1" t="n">
        <v>44841</v>
      </c>
      <c r="C7325" s="1" t="n">
        <v>45357</v>
      </c>
      <c r="D7325" t="inlineStr">
        <is>
          <t>VÄSTERBOTTENS LÄN</t>
        </is>
      </c>
      <c r="E7325" t="inlineStr">
        <is>
          <t>UMEÅ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45012-2022</t>
        </is>
      </c>
      <c r="B7326" s="1" t="n">
        <v>44841</v>
      </c>
      <c r="C7326" s="1" t="n">
        <v>45357</v>
      </c>
      <c r="D7326" t="inlineStr">
        <is>
          <t>VÄSTERBOTTENS LÄN</t>
        </is>
      </c>
      <c r="E7326" t="inlineStr">
        <is>
          <t>UMEÅ</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45080-2022</t>
        </is>
      </c>
      <c r="B7327" s="1" t="n">
        <v>44841</v>
      </c>
      <c r="C7327" s="1" t="n">
        <v>45357</v>
      </c>
      <c r="D7327" t="inlineStr">
        <is>
          <t>VÄSTERBOTTENS LÄN</t>
        </is>
      </c>
      <c r="E7327" t="inlineStr">
        <is>
          <t>DOROTEA</t>
        </is>
      </c>
      <c r="F7327" t="inlineStr">
        <is>
          <t>SCA</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45535-2022</t>
        </is>
      </c>
      <c r="B7328" s="1" t="n">
        <v>44841</v>
      </c>
      <c r="C7328" s="1" t="n">
        <v>45357</v>
      </c>
      <c r="D7328" t="inlineStr">
        <is>
          <t>VÄSTERBOTTENS LÄN</t>
        </is>
      </c>
      <c r="E7328" t="inlineStr">
        <is>
          <t>SORSELE</t>
        </is>
      </c>
      <c r="G7328" t="n">
        <v>82.3</v>
      </c>
      <c r="H7328" t="n">
        <v>0</v>
      </c>
      <c r="I7328" t="n">
        <v>0</v>
      </c>
      <c r="J7328" t="n">
        <v>0</v>
      </c>
      <c r="K7328" t="n">
        <v>0</v>
      </c>
      <c r="L7328" t="n">
        <v>0</v>
      </c>
      <c r="M7328" t="n">
        <v>0</v>
      </c>
      <c r="N7328" t="n">
        <v>0</v>
      </c>
      <c r="O7328" t="n">
        <v>0</v>
      </c>
      <c r="P7328" t="n">
        <v>0</v>
      </c>
      <c r="Q7328" t="n">
        <v>0</v>
      </c>
      <c r="R7328" s="2" t="inlineStr"/>
    </row>
    <row r="7329" ht="15" customHeight="1">
      <c r="A7329" t="inlineStr">
        <is>
          <t>A 45515-2022</t>
        </is>
      </c>
      <c r="B7329" s="1" t="n">
        <v>44841</v>
      </c>
      <c r="C7329" s="1" t="n">
        <v>45357</v>
      </c>
      <c r="D7329" t="inlineStr">
        <is>
          <t>VÄSTERBOTTENS LÄN</t>
        </is>
      </c>
      <c r="E7329" t="inlineStr">
        <is>
          <t>SORSELE</t>
        </is>
      </c>
      <c r="G7329" t="n">
        <v>33.5</v>
      </c>
      <c r="H7329" t="n">
        <v>0</v>
      </c>
      <c r="I7329" t="n">
        <v>0</v>
      </c>
      <c r="J7329" t="n">
        <v>0</v>
      </c>
      <c r="K7329" t="n">
        <v>0</v>
      </c>
      <c r="L7329" t="n">
        <v>0</v>
      </c>
      <c r="M7329" t="n">
        <v>0</v>
      </c>
      <c r="N7329" t="n">
        <v>0</v>
      </c>
      <c r="O7329" t="n">
        <v>0</v>
      </c>
      <c r="P7329" t="n">
        <v>0</v>
      </c>
      <c r="Q7329" t="n">
        <v>0</v>
      </c>
      <c r="R7329" s="2" t="inlineStr"/>
    </row>
    <row r="7330" ht="15" customHeight="1">
      <c r="A7330" t="inlineStr">
        <is>
          <t>A 45560-2022</t>
        </is>
      </c>
      <c r="B7330" s="1" t="n">
        <v>44841</v>
      </c>
      <c r="C7330" s="1" t="n">
        <v>45357</v>
      </c>
      <c r="D7330" t="inlineStr">
        <is>
          <t>VÄSTERBOTTENS LÄN</t>
        </is>
      </c>
      <c r="E7330" t="inlineStr">
        <is>
          <t>SORSELE</t>
        </is>
      </c>
      <c r="G7330" t="n">
        <v>26.2</v>
      </c>
      <c r="H7330" t="n">
        <v>0</v>
      </c>
      <c r="I7330" t="n">
        <v>0</v>
      </c>
      <c r="J7330" t="n">
        <v>0</v>
      </c>
      <c r="K7330" t="n">
        <v>0</v>
      </c>
      <c r="L7330" t="n">
        <v>0</v>
      </c>
      <c r="M7330" t="n">
        <v>0</v>
      </c>
      <c r="N7330" t="n">
        <v>0</v>
      </c>
      <c r="O7330" t="n">
        <v>0</v>
      </c>
      <c r="P7330" t="n">
        <v>0</v>
      </c>
      <c r="Q7330" t="n">
        <v>0</v>
      </c>
      <c r="R7330" s="2" t="inlineStr"/>
    </row>
    <row r="7331" ht="15" customHeight="1">
      <c r="A7331" t="inlineStr">
        <is>
          <t>A 45098-2022</t>
        </is>
      </c>
      <c r="B7331" s="1" t="n">
        <v>44842</v>
      </c>
      <c r="C7331" s="1" t="n">
        <v>45357</v>
      </c>
      <c r="D7331" t="inlineStr">
        <is>
          <t>VÄSTERBOTTENS LÄN</t>
        </is>
      </c>
      <c r="E7331" t="inlineStr">
        <is>
          <t>VINDELN</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45099-2022</t>
        </is>
      </c>
      <c r="B7332" s="1" t="n">
        <v>44842</v>
      </c>
      <c r="C7332" s="1" t="n">
        <v>45357</v>
      </c>
      <c r="D7332" t="inlineStr">
        <is>
          <t>VÄSTERBOTTENS LÄN</t>
        </is>
      </c>
      <c r="E7332" t="inlineStr">
        <is>
          <t>VINDELN</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45191-2022</t>
        </is>
      </c>
      <c r="B7333" s="1" t="n">
        <v>44844</v>
      </c>
      <c r="C7333" s="1" t="n">
        <v>45357</v>
      </c>
      <c r="D7333" t="inlineStr">
        <is>
          <t>VÄSTERBOTTENS LÄN</t>
        </is>
      </c>
      <c r="E7333" t="inlineStr">
        <is>
          <t>ROBERTSFORS</t>
        </is>
      </c>
      <c r="F7333" t="inlineStr">
        <is>
          <t>Holmen skog AB</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45200-2022</t>
        </is>
      </c>
      <c r="B7334" s="1" t="n">
        <v>44844</v>
      </c>
      <c r="C7334" s="1" t="n">
        <v>45357</v>
      </c>
      <c r="D7334" t="inlineStr">
        <is>
          <t>VÄSTERBOTTENS LÄN</t>
        </is>
      </c>
      <c r="E7334" t="inlineStr">
        <is>
          <t>VINDELN</t>
        </is>
      </c>
      <c r="F7334" t="inlineStr">
        <is>
          <t>Sveaskog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45266-2022</t>
        </is>
      </c>
      <c r="B7335" s="1" t="n">
        <v>44844</v>
      </c>
      <c r="C7335" s="1" t="n">
        <v>45357</v>
      </c>
      <c r="D7335" t="inlineStr">
        <is>
          <t>VÄSTERBOTTENS LÄN</t>
        </is>
      </c>
      <c r="E7335" t="inlineStr">
        <is>
          <t>SKELLEFTEÅ</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45175-2022</t>
        </is>
      </c>
      <c r="B7336" s="1" t="n">
        <v>44844</v>
      </c>
      <c r="C7336" s="1" t="n">
        <v>45357</v>
      </c>
      <c r="D7336" t="inlineStr">
        <is>
          <t>VÄSTERBOTTENS LÄN</t>
        </is>
      </c>
      <c r="E7336" t="inlineStr">
        <is>
          <t>ROBERTSFORS</t>
        </is>
      </c>
      <c r="F7336" t="inlineStr">
        <is>
          <t>Holmen skog AB</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45180-2022</t>
        </is>
      </c>
      <c r="B7337" s="1" t="n">
        <v>44844</v>
      </c>
      <c r="C7337" s="1" t="n">
        <v>45357</v>
      </c>
      <c r="D7337" t="inlineStr">
        <is>
          <t>VÄSTERBOTTENS LÄN</t>
        </is>
      </c>
      <c r="E7337" t="inlineStr">
        <is>
          <t>LYCKSELE</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45273-2022</t>
        </is>
      </c>
      <c r="B7338" s="1" t="n">
        <v>44844</v>
      </c>
      <c r="C7338" s="1" t="n">
        <v>45357</v>
      </c>
      <c r="D7338" t="inlineStr">
        <is>
          <t>VÄSTERBOTTENS LÄN</t>
        </is>
      </c>
      <c r="E7338" t="inlineStr">
        <is>
          <t>UMEÅ</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45350-2022</t>
        </is>
      </c>
      <c r="B7339" s="1" t="n">
        <v>44844</v>
      </c>
      <c r="C7339" s="1" t="n">
        <v>45357</v>
      </c>
      <c r="D7339" t="inlineStr">
        <is>
          <t>VÄSTERBOTTENS LÄN</t>
        </is>
      </c>
      <c r="E7339" t="inlineStr">
        <is>
          <t>NORDMALING</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45417-2022</t>
        </is>
      </c>
      <c r="B7340" s="1" t="n">
        <v>44844</v>
      </c>
      <c r="C7340" s="1" t="n">
        <v>45357</v>
      </c>
      <c r="D7340" t="inlineStr">
        <is>
          <t>VÄSTERBOTTENS LÄN</t>
        </is>
      </c>
      <c r="E7340" t="inlineStr">
        <is>
          <t>BJURHOLM</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45344-2022</t>
        </is>
      </c>
      <c r="B7341" s="1" t="n">
        <v>44844</v>
      </c>
      <c r="C7341" s="1" t="n">
        <v>45357</v>
      </c>
      <c r="D7341" t="inlineStr">
        <is>
          <t>VÄSTERBOTTENS LÄN</t>
        </is>
      </c>
      <c r="E7341" t="inlineStr">
        <is>
          <t>NORDMALING</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45425-2022</t>
        </is>
      </c>
      <c r="B7342" s="1" t="n">
        <v>44844</v>
      </c>
      <c r="C7342" s="1" t="n">
        <v>45357</v>
      </c>
      <c r="D7342" t="inlineStr">
        <is>
          <t>VÄSTERBOTTENS LÄN</t>
        </is>
      </c>
      <c r="E7342" t="inlineStr">
        <is>
          <t>VILHELMINA</t>
        </is>
      </c>
      <c r="F7342" t="inlineStr">
        <is>
          <t>SCA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45639-2022</t>
        </is>
      </c>
      <c r="B7343" s="1" t="n">
        <v>44844</v>
      </c>
      <c r="C7343" s="1" t="n">
        <v>45357</v>
      </c>
      <c r="D7343" t="inlineStr">
        <is>
          <t>VÄSTERBOTTENS LÄN</t>
        </is>
      </c>
      <c r="E7343" t="inlineStr">
        <is>
          <t>VINDELN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45250-2022</t>
        </is>
      </c>
      <c r="B7344" s="1" t="n">
        <v>44844</v>
      </c>
      <c r="C7344" s="1" t="n">
        <v>45357</v>
      </c>
      <c r="D7344" t="inlineStr">
        <is>
          <t>VÄSTERBOTTENS LÄN</t>
        </is>
      </c>
      <c r="E7344" t="inlineStr">
        <is>
          <t>SKELLEFTEÅ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45377-2022</t>
        </is>
      </c>
      <c r="B7345" s="1" t="n">
        <v>44844</v>
      </c>
      <c r="C7345" s="1" t="n">
        <v>45357</v>
      </c>
      <c r="D7345" t="inlineStr">
        <is>
          <t>VÄSTERBOTTENS LÄN</t>
        </is>
      </c>
      <c r="E7345" t="inlineStr">
        <is>
          <t>ROBERTSFORS</t>
        </is>
      </c>
      <c r="F7345" t="inlineStr">
        <is>
          <t>Holmen skog AB</t>
        </is>
      </c>
      <c r="G7345" t="n">
        <v>8.6</v>
      </c>
      <c r="H7345" t="n">
        <v>0</v>
      </c>
      <c r="I7345" t="n">
        <v>0</v>
      </c>
      <c r="J7345" t="n">
        <v>0</v>
      </c>
      <c r="K7345" t="n">
        <v>0</v>
      </c>
      <c r="L7345" t="n">
        <v>0</v>
      </c>
      <c r="M7345" t="n">
        <v>0</v>
      </c>
      <c r="N7345" t="n">
        <v>0</v>
      </c>
      <c r="O7345" t="n">
        <v>0</v>
      </c>
      <c r="P7345" t="n">
        <v>0</v>
      </c>
      <c r="Q7345" t="n">
        <v>0</v>
      </c>
      <c r="R7345" s="2" t="inlineStr"/>
    </row>
    <row r="7346" ht="15" customHeight="1">
      <c r="A7346" t="inlineStr">
        <is>
          <t>A 45418-2022</t>
        </is>
      </c>
      <c r="B7346" s="1" t="n">
        <v>44845</v>
      </c>
      <c r="C7346" s="1" t="n">
        <v>45357</v>
      </c>
      <c r="D7346" t="inlineStr">
        <is>
          <t>VÄSTERBOTTENS LÄN</t>
        </is>
      </c>
      <c r="E7346" t="inlineStr">
        <is>
          <t>BJURHOLM</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45985-2022</t>
        </is>
      </c>
      <c r="B7347" s="1" t="n">
        <v>44844</v>
      </c>
      <c r="C7347" s="1" t="n">
        <v>45357</v>
      </c>
      <c r="D7347" t="inlineStr">
        <is>
          <t>VÄSTERBOTTENS LÄN</t>
        </is>
      </c>
      <c r="E7347" t="inlineStr">
        <is>
          <t>SKELLEFTEÅ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45890-2022</t>
        </is>
      </c>
      <c r="B7348" s="1" t="n">
        <v>44844</v>
      </c>
      <c r="C7348" s="1" t="n">
        <v>45357</v>
      </c>
      <c r="D7348" t="inlineStr">
        <is>
          <t>VÄSTERBOTTENS LÄN</t>
        </is>
      </c>
      <c r="E7348" t="inlineStr">
        <is>
          <t>SKELLEFTEÅ</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46072-2022</t>
        </is>
      </c>
      <c r="B7349" s="1" t="n">
        <v>44844</v>
      </c>
      <c r="C7349" s="1" t="n">
        <v>45357</v>
      </c>
      <c r="D7349" t="inlineStr">
        <is>
          <t>VÄSTERBOTTENS LÄN</t>
        </is>
      </c>
      <c r="E7349" t="inlineStr">
        <is>
          <t>STORUMAN</t>
        </is>
      </c>
      <c r="G7349" t="n">
        <v>8.4</v>
      </c>
      <c r="H7349" t="n">
        <v>0</v>
      </c>
      <c r="I7349" t="n">
        <v>0</v>
      </c>
      <c r="J7349" t="n">
        <v>0</v>
      </c>
      <c r="K7349" t="n">
        <v>0</v>
      </c>
      <c r="L7349" t="n">
        <v>0</v>
      </c>
      <c r="M7349" t="n">
        <v>0</v>
      </c>
      <c r="N7349" t="n">
        <v>0</v>
      </c>
      <c r="O7349" t="n">
        <v>0</v>
      </c>
      <c r="P7349" t="n">
        <v>0</v>
      </c>
      <c r="Q7349" t="n">
        <v>0</v>
      </c>
      <c r="R7349" s="2" t="inlineStr"/>
    </row>
    <row r="7350" ht="15" customHeight="1">
      <c r="A7350" t="inlineStr">
        <is>
          <t>A 46090-2022</t>
        </is>
      </c>
      <c r="B7350" s="1" t="n">
        <v>44844</v>
      </c>
      <c r="C7350" s="1" t="n">
        <v>45357</v>
      </c>
      <c r="D7350" t="inlineStr">
        <is>
          <t>VÄSTERBOTTENS LÄN</t>
        </is>
      </c>
      <c r="E7350" t="inlineStr">
        <is>
          <t>NORSJÖ</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46065-2022</t>
        </is>
      </c>
      <c r="B7351" s="1" t="n">
        <v>44844</v>
      </c>
      <c r="C7351" s="1" t="n">
        <v>45357</v>
      </c>
      <c r="D7351" t="inlineStr">
        <is>
          <t>VÄSTERBOTTENS LÄN</t>
        </is>
      </c>
      <c r="E7351" t="inlineStr">
        <is>
          <t>STORUMAN</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45495-2022</t>
        </is>
      </c>
      <c r="B7352" s="1" t="n">
        <v>44845</v>
      </c>
      <c r="C7352" s="1" t="n">
        <v>45357</v>
      </c>
      <c r="D7352" t="inlineStr">
        <is>
          <t>VÄSTERBOTTENS LÄN</t>
        </is>
      </c>
      <c r="E7352" t="inlineStr">
        <is>
          <t>SKELLEFTEÅ</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45554-2022</t>
        </is>
      </c>
      <c r="B7353" s="1" t="n">
        <v>44845</v>
      </c>
      <c r="C7353" s="1" t="n">
        <v>45357</v>
      </c>
      <c r="D7353" t="inlineStr">
        <is>
          <t>VÄSTERBOTTENS LÄN</t>
        </is>
      </c>
      <c r="E7353" t="inlineStr">
        <is>
          <t>SKELLEFTEÅ</t>
        </is>
      </c>
      <c r="F7353" t="inlineStr">
        <is>
          <t>Holmen skog AB</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45619-2022</t>
        </is>
      </c>
      <c r="B7354" s="1" t="n">
        <v>44845</v>
      </c>
      <c r="C7354" s="1" t="n">
        <v>45357</v>
      </c>
      <c r="D7354" t="inlineStr">
        <is>
          <t>VÄSTERBOTTENS LÄN</t>
        </is>
      </c>
      <c r="E7354" t="inlineStr">
        <is>
          <t>SKELLEFTEÅ</t>
        </is>
      </c>
      <c r="F7354" t="inlineStr">
        <is>
          <t>Holmen skog AB</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45559-2022</t>
        </is>
      </c>
      <c r="B7355" s="1" t="n">
        <v>44845</v>
      </c>
      <c r="C7355" s="1" t="n">
        <v>45357</v>
      </c>
      <c r="D7355" t="inlineStr">
        <is>
          <t>VÄSTERBOTTENS LÄN</t>
        </is>
      </c>
      <c r="E7355" t="inlineStr">
        <is>
          <t>LYCKSELE</t>
        </is>
      </c>
      <c r="G7355" t="n">
        <v>17.8</v>
      </c>
      <c r="H7355" t="n">
        <v>0</v>
      </c>
      <c r="I7355" t="n">
        <v>0</v>
      </c>
      <c r="J7355" t="n">
        <v>0</v>
      </c>
      <c r="K7355" t="n">
        <v>0</v>
      </c>
      <c r="L7355" t="n">
        <v>0</v>
      </c>
      <c r="M7355" t="n">
        <v>0</v>
      </c>
      <c r="N7355" t="n">
        <v>0</v>
      </c>
      <c r="O7355" t="n">
        <v>0</v>
      </c>
      <c r="P7355" t="n">
        <v>0</v>
      </c>
      <c r="Q7355" t="n">
        <v>0</v>
      </c>
      <c r="R7355" s="2" t="inlineStr"/>
    </row>
    <row r="7356" ht="15" customHeight="1">
      <c r="A7356" t="inlineStr">
        <is>
          <t>A 45694-2022</t>
        </is>
      </c>
      <c r="B7356" s="1" t="n">
        <v>44846</v>
      </c>
      <c r="C7356" s="1" t="n">
        <v>45357</v>
      </c>
      <c r="D7356" t="inlineStr">
        <is>
          <t>VÄSTERBOTTENS LÄN</t>
        </is>
      </c>
      <c r="E7356" t="inlineStr">
        <is>
          <t>ÅSELE</t>
        </is>
      </c>
      <c r="F7356" t="inlineStr">
        <is>
          <t>SCA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46080-2022</t>
        </is>
      </c>
      <c r="B7357" s="1" t="n">
        <v>44845</v>
      </c>
      <c r="C7357" s="1" t="n">
        <v>45357</v>
      </c>
      <c r="D7357" t="inlineStr">
        <is>
          <t>VÄSTERBOTTENS LÄN</t>
        </is>
      </c>
      <c r="E7357" t="inlineStr">
        <is>
          <t>STORUMAN</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46092-2022</t>
        </is>
      </c>
      <c r="B7358" s="1" t="n">
        <v>44845</v>
      </c>
      <c r="C7358" s="1" t="n">
        <v>45357</v>
      </c>
      <c r="D7358" t="inlineStr">
        <is>
          <t>VÄSTERBOTTENS LÄN</t>
        </is>
      </c>
      <c r="E7358" t="inlineStr">
        <is>
          <t>VINDELN</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45625-2022</t>
        </is>
      </c>
      <c r="B7359" s="1" t="n">
        <v>44845</v>
      </c>
      <c r="C7359" s="1" t="n">
        <v>45357</v>
      </c>
      <c r="D7359" t="inlineStr">
        <is>
          <t>VÄSTERBOTTENS LÄN</t>
        </is>
      </c>
      <c r="E7359" t="inlineStr">
        <is>
          <t>VINDELN</t>
        </is>
      </c>
      <c r="F7359" t="inlineStr">
        <is>
          <t>Sveaskog</t>
        </is>
      </c>
      <c r="G7359" t="n">
        <v>27.1</v>
      </c>
      <c r="H7359" t="n">
        <v>0</v>
      </c>
      <c r="I7359" t="n">
        <v>0</v>
      </c>
      <c r="J7359" t="n">
        <v>0</v>
      </c>
      <c r="K7359" t="n">
        <v>0</v>
      </c>
      <c r="L7359" t="n">
        <v>0</v>
      </c>
      <c r="M7359" t="n">
        <v>0</v>
      </c>
      <c r="N7359" t="n">
        <v>0</v>
      </c>
      <c r="O7359" t="n">
        <v>0</v>
      </c>
      <c r="P7359" t="n">
        <v>0</v>
      </c>
      <c r="Q7359" t="n">
        <v>0</v>
      </c>
      <c r="R7359" s="2" t="inlineStr"/>
    </row>
    <row r="7360" ht="15" customHeight="1">
      <c r="A7360" t="inlineStr">
        <is>
          <t>A 45661-2022</t>
        </is>
      </c>
      <c r="B7360" s="1" t="n">
        <v>44845</v>
      </c>
      <c r="C7360" s="1" t="n">
        <v>45357</v>
      </c>
      <c r="D7360" t="inlineStr">
        <is>
          <t>VÄSTERBOTTENS LÄN</t>
        </is>
      </c>
      <c r="E7360" t="inlineStr">
        <is>
          <t>LYCKSELE</t>
        </is>
      </c>
      <c r="F7360" t="inlineStr">
        <is>
          <t>Sveaskog</t>
        </is>
      </c>
      <c r="G7360" t="n">
        <v>11.1</v>
      </c>
      <c r="H7360" t="n">
        <v>0</v>
      </c>
      <c r="I7360" t="n">
        <v>0</v>
      </c>
      <c r="J7360" t="n">
        <v>0</v>
      </c>
      <c r="K7360" t="n">
        <v>0</v>
      </c>
      <c r="L7360" t="n">
        <v>0</v>
      </c>
      <c r="M7360" t="n">
        <v>0</v>
      </c>
      <c r="N7360" t="n">
        <v>0</v>
      </c>
      <c r="O7360" t="n">
        <v>0</v>
      </c>
      <c r="P7360" t="n">
        <v>0</v>
      </c>
      <c r="Q7360" t="n">
        <v>0</v>
      </c>
      <c r="R7360" s="2" t="inlineStr"/>
    </row>
    <row r="7361" ht="15" customHeight="1">
      <c r="A7361" t="inlineStr">
        <is>
          <t>A 45693-2022</t>
        </is>
      </c>
      <c r="B7361" s="1" t="n">
        <v>44846</v>
      </c>
      <c r="C7361" s="1" t="n">
        <v>45357</v>
      </c>
      <c r="D7361" t="inlineStr">
        <is>
          <t>VÄSTERBOTTENS LÄN</t>
        </is>
      </c>
      <c r="E7361" t="inlineStr">
        <is>
          <t>ÅSELE</t>
        </is>
      </c>
      <c r="F7361" t="inlineStr">
        <is>
          <t>SCA</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46076-2022</t>
        </is>
      </c>
      <c r="B7362" s="1" t="n">
        <v>44845</v>
      </c>
      <c r="C7362" s="1" t="n">
        <v>45357</v>
      </c>
      <c r="D7362" t="inlineStr">
        <is>
          <t>VÄSTERBOTTENS LÄN</t>
        </is>
      </c>
      <c r="E7362" t="inlineStr">
        <is>
          <t>SORSELE</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46105-2022</t>
        </is>
      </c>
      <c r="B7363" s="1" t="n">
        <v>44845</v>
      </c>
      <c r="C7363" s="1" t="n">
        <v>45357</v>
      </c>
      <c r="D7363" t="inlineStr">
        <is>
          <t>VÄSTERBOTTENS LÄN</t>
        </is>
      </c>
      <c r="E7363" t="inlineStr">
        <is>
          <t>VINDELN</t>
        </is>
      </c>
      <c r="G7363" t="n">
        <v>8.6</v>
      </c>
      <c r="H7363" t="n">
        <v>0</v>
      </c>
      <c r="I7363" t="n">
        <v>0</v>
      </c>
      <c r="J7363" t="n">
        <v>0</v>
      </c>
      <c r="K7363" t="n">
        <v>0</v>
      </c>
      <c r="L7363" t="n">
        <v>0</v>
      </c>
      <c r="M7363" t="n">
        <v>0</v>
      </c>
      <c r="N7363" t="n">
        <v>0</v>
      </c>
      <c r="O7363" t="n">
        <v>0</v>
      </c>
      <c r="P7363" t="n">
        <v>0</v>
      </c>
      <c r="Q7363" t="n">
        <v>0</v>
      </c>
      <c r="R7363" s="2" t="inlineStr"/>
    </row>
    <row r="7364" ht="15" customHeight="1">
      <c r="A7364" t="inlineStr">
        <is>
          <t>A 46163-2022</t>
        </is>
      </c>
      <c r="B7364" s="1" t="n">
        <v>44845</v>
      </c>
      <c r="C7364" s="1" t="n">
        <v>45357</v>
      </c>
      <c r="D7364" t="inlineStr">
        <is>
          <t>VÄSTERBOTTENS LÄN</t>
        </is>
      </c>
      <c r="E7364" t="inlineStr">
        <is>
          <t>DOROTEA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45689-2022</t>
        </is>
      </c>
      <c r="B7365" s="1" t="n">
        <v>44846</v>
      </c>
      <c r="C7365" s="1" t="n">
        <v>45357</v>
      </c>
      <c r="D7365" t="inlineStr">
        <is>
          <t>VÄSTERBOTTENS LÄN</t>
        </is>
      </c>
      <c r="E7365" t="inlineStr">
        <is>
          <t>ÅSELE</t>
        </is>
      </c>
      <c r="F7365" t="inlineStr">
        <is>
          <t>SCA</t>
        </is>
      </c>
      <c r="G7365" t="n">
        <v>9.5</v>
      </c>
      <c r="H7365" t="n">
        <v>0</v>
      </c>
      <c r="I7365" t="n">
        <v>0</v>
      </c>
      <c r="J7365" t="n">
        <v>0</v>
      </c>
      <c r="K7365" t="n">
        <v>0</v>
      </c>
      <c r="L7365" t="n">
        <v>0</v>
      </c>
      <c r="M7365" t="n">
        <v>0</v>
      </c>
      <c r="N7365" t="n">
        <v>0</v>
      </c>
      <c r="O7365" t="n">
        <v>0</v>
      </c>
      <c r="P7365" t="n">
        <v>0</v>
      </c>
      <c r="Q7365" t="n">
        <v>0</v>
      </c>
      <c r="R7365" s="2" t="inlineStr"/>
    </row>
    <row r="7366" ht="15" customHeight="1">
      <c r="A7366" t="inlineStr">
        <is>
          <t>A 46081-2022</t>
        </is>
      </c>
      <c r="B7366" s="1" t="n">
        <v>44845</v>
      </c>
      <c r="C7366" s="1" t="n">
        <v>45357</v>
      </c>
      <c r="D7366" t="inlineStr">
        <is>
          <t>VÄSTERBOTTENS LÄN</t>
        </is>
      </c>
      <c r="E7366" t="inlineStr">
        <is>
          <t>SORSELE</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46082-2022</t>
        </is>
      </c>
      <c r="B7367" s="1" t="n">
        <v>44845</v>
      </c>
      <c r="C7367" s="1" t="n">
        <v>45357</v>
      </c>
      <c r="D7367" t="inlineStr">
        <is>
          <t>VÄSTERBOTTENS LÄN</t>
        </is>
      </c>
      <c r="E7367" t="inlineStr">
        <is>
          <t>SORSELE</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46181-2022</t>
        </is>
      </c>
      <c r="B7368" s="1" t="n">
        <v>44845</v>
      </c>
      <c r="C7368" s="1" t="n">
        <v>45357</v>
      </c>
      <c r="D7368" t="inlineStr">
        <is>
          <t>VÄSTERBOTTENS LÄN</t>
        </is>
      </c>
      <c r="E7368" t="inlineStr">
        <is>
          <t>SKELLEFTEÅ</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46218-2022</t>
        </is>
      </c>
      <c r="B7369" s="1" t="n">
        <v>44845</v>
      </c>
      <c r="C7369" s="1" t="n">
        <v>45357</v>
      </c>
      <c r="D7369" t="inlineStr">
        <is>
          <t>VÄSTERBOTTENS LÄN</t>
        </is>
      </c>
      <c r="E7369" t="inlineStr">
        <is>
          <t>SKELLEFTEÅ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45902-2022</t>
        </is>
      </c>
      <c r="B7370" s="1" t="n">
        <v>44846</v>
      </c>
      <c r="C7370" s="1" t="n">
        <v>45357</v>
      </c>
      <c r="D7370" t="inlineStr">
        <is>
          <t>VÄSTERBOTTENS LÄN</t>
        </is>
      </c>
      <c r="E7370" t="inlineStr">
        <is>
          <t>UMEÅ</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45748-2022</t>
        </is>
      </c>
      <c r="B7371" s="1" t="n">
        <v>44846</v>
      </c>
      <c r="C7371" s="1" t="n">
        <v>45357</v>
      </c>
      <c r="D7371" t="inlineStr">
        <is>
          <t>VÄSTERBOTTENS LÄN</t>
        </is>
      </c>
      <c r="E7371" t="inlineStr">
        <is>
          <t>SKELLEFTEÅ</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45754-2022</t>
        </is>
      </c>
      <c r="B7372" s="1" t="n">
        <v>44846</v>
      </c>
      <c r="C7372" s="1" t="n">
        <v>45357</v>
      </c>
      <c r="D7372" t="inlineStr">
        <is>
          <t>VÄSTERBOTTENS LÄN</t>
        </is>
      </c>
      <c r="E7372" t="inlineStr">
        <is>
          <t>STORUMAN</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45756-2022</t>
        </is>
      </c>
      <c r="B7373" s="1" t="n">
        <v>44846</v>
      </c>
      <c r="C7373" s="1" t="n">
        <v>45357</v>
      </c>
      <c r="D7373" t="inlineStr">
        <is>
          <t>VÄSTERBOTTENS LÄN</t>
        </is>
      </c>
      <c r="E7373" t="inlineStr">
        <is>
          <t>STORUMAN</t>
        </is>
      </c>
      <c r="F7373" t="inlineStr">
        <is>
          <t>Sveaskog</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45761-2022</t>
        </is>
      </c>
      <c r="B7374" s="1" t="n">
        <v>44846</v>
      </c>
      <c r="C7374" s="1" t="n">
        <v>45357</v>
      </c>
      <c r="D7374" t="inlineStr">
        <is>
          <t>VÄSTERBOTTENS LÄN</t>
        </is>
      </c>
      <c r="E7374" t="inlineStr">
        <is>
          <t>STORUMAN</t>
        </is>
      </c>
      <c r="F7374" t="inlineStr">
        <is>
          <t>Sveaskog</t>
        </is>
      </c>
      <c r="G7374" t="n">
        <v>12.5</v>
      </c>
      <c r="H7374" t="n">
        <v>0</v>
      </c>
      <c r="I7374" t="n">
        <v>0</v>
      </c>
      <c r="J7374" t="n">
        <v>0</v>
      </c>
      <c r="K7374" t="n">
        <v>0</v>
      </c>
      <c r="L7374" t="n">
        <v>0</v>
      </c>
      <c r="M7374" t="n">
        <v>0</v>
      </c>
      <c r="N7374" t="n">
        <v>0</v>
      </c>
      <c r="O7374" t="n">
        <v>0</v>
      </c>
      <c r="P7374" t="n">
        <v>0</v>
      </c>
      <c r="Q7374" t="n">
        <v>0</v>
      </c>
      <c r="R7374" s="2" t="inlineStr"/>
    </row>
    <row r="7375" ht="15" customHeight="1">
      <c r="A7375" t="inlineStr">
        <is>
          <t>A 45863-2022</t>
        </is>
      </c>
      <c r="B7375" s="1" t="n">
        <v>44846</v>
      </c>
      <c r="C7375" s="1" t="n">
        <v>45357</v>
      </c>
      <c r="D7375" t="inlineStr">
        <is>
          <t>VÄSTERBOTTENS LÄN</t>
        </is>
      </c>
      <c r="E7375" t="inlineStr">
        <is>
          <t>LYCKSELE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45834-2022</t>
        </is>
      </c>
      <c r="B7376" s="1" t="n">
        <v>44846</v>
      </c>
      <c r="C7376" s="1" t="n">
        <v>45357</v>
      </c>
      <c r="D7376" t="inlineStr">
        <is>
          <t>VÄSTERBOTTENS LÄN</t>
        </is>
      </c>
      <c r="E7376" t="inlineStr">
        <is>
          <t>DOROTEA</t>
        </is>
      </c>
      <c r="F7376" t="inlineStr">
        <is>
          <t>Sveaskog</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45881-2022</t>
        </is>
      </c>
      <c r="B7377" s="1" t="n">
        <v>44846</v>
      </c>
      <c r="C7377" s="1" t="n">
        <v>45357</v>
      </c>
      <c r="D7377" t="inlineStr">
        <is>
          <t>VÄSTERBOTTENS LÄN</t>
        </is>
      </c>
      <c r="E7377" t="inlineStr">
        <is>
          <t>UMEÅ</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45907-2022</t>
        </is>
      </c>
      <c r="B7378" s="1" t="n">
        <v>44846</v>
      </c>
      <c r="C7378" s="1" t="n">
        <v>45357</v>
      </c>
      <c r="D7378" t="inlineStr">
        <is>
          <t>VÄSTERBOTTENS LÄN</t>
        </is>
      </c>
      <c r="E7378" t="inlineStr">
        <is>
          <t>UMEÅ</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45964-2022</t>
        </is>
      </c>
      <c r="B7379" s="1" t="n">
        <v>44846</v>
      </c>
      <c r="C7379" s="1" t="n">
        <v>45357</v>
      </c>
      <c r="D7379" t="inlineStr">
        <is>
          <t>VÄSTERBOTTENS LÄN</t>
        </is>
      </c>
      <c r="E7379" t="inlineStr">
        <is>
          <t>LYCKSELE</t>
        </is>
      </c>
      <c r="F7379" t="inlineStr">
        <is>
          <t>Holmen skog AB</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45903-2022</t>
        </is>
      </c>
      <c r="B7380" s="1" t="n">
        <v>44846</v>
      </c>
      <c r="C7380" s="1" t="n">
        <v>45357</v>
      </c>
      <c r="D7380" t="inlineStr">
        <is>
          <t>VÄSTERBOTTENS LÄN</t>
        </is>
      </c>
      <c r="E7380" t="inlineStr">
        <is>
          <t>LYCKSELE</t>
        </is>
      </c>
      <c r="F7380" t="inlineStr">
        <is>
          <t>Sveaskog</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45906-2022</t>
        </is>
      </c>
      <c r="B7381" s="1" t="n">
        <v>44846</v>
      </c>
      <c r="C7381" s="1" t="n">
        <v>45357</v>
      </c>
      <c r="D7381" t="inlineStr">
        <is>
          <t>VÄSTERBOTTENS LÄN</t>
        </is>
      </c>
      <c r="E7381" t="inlineStr">
        <is>
          <t>LYCKSELE</t>
        </is>
      </c>
      <c r="F7381" t="inlineStr">
        <is>
          <t>Sveaskog</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46026-2022</t>
        </is>
      </c>
      <c r="B7382" s="1" t="n">
        <v>44846</v>
      </c>
      <c r="C7382" s="1" t="n">
        <v>45357</v>
      </c>
      <c r="D7382" t="inlineStr">
        <is>
          <t>VÄSTERBOTTENS LÄN</t>
        </is>
      </c>
      <c r="E7382" t="inlineStr">
        <is>
          <t>MALÅ</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46025-2022</t>
        </is>
      </c>
      <c r="B7383" s="1" t="n">
        <v>44846</v>
      </c>
      <c r="C7383" s="1" t="n">
        <v>45357</v>
      </c>
      <c r="D7383" t="inlineStr">
        <is>
          <t>VÄSTERBOTTENS LÄN</t>
        </is>
      </c>
      <c r="E7383" t="inlineStr">
        <is>
          <t>MALÅ</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46031-2022</t>
        </is>
      </c>
      <c r="B7384" s="1" t="n">
        <v>44846</v>
      </c>
      <c r="C7384" s="1" t="n">
        <v>45357</v>
      </c>
      <c r="D7384" t="inlineStr">
        <is>
          <t>VÄSTERBOTTENS LÄN</t>
        </is>
      </c>
      <c r="E7384" t="inlineStr">
        <is>
          <t>MALÅ</t>
        </is>
      </c>
      <c r="F7384" t="inlineStr">
        <is>
          <t>SCA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46246-2022</t>
        </is>
      </c>
      <c r="B7385" s="1" t="n">
        <v>44846</v>
      </c>
      <c r="C7385" s="1" t="n">
        <v>45357</v>
      </c>
      <c r="D7385" t="inlineStr">
        <is>
          <t>VÄSTERBOTTENS LÄN</t>
        </is>
      </c>
      <c r="E7385" t="inlineStr">
        <is>
          <t>BJURHOLM</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46399-2022</t>
        </is>
      </c>
      <c r="B7386" s="1" t="n">
        <v>44846</v>
      </c>
      <c r="C7386" s="1" t="n">
        <v>45357</v>
      </c>
      <c r="D7386" t="inlineStr">
        <is>
          <t>VÄSTERBOTTENS LÄN</t>
        </is>
      </c>
      <c r="E7386" t="inlineStr">
        <is>
          <t>VINDELN</t>
        </is>
      </c>
      <c r="G7386" t="n">
        <v>8.6</v>
      </c>
      <c r="H7386" t="n">
        <v>0</v>
      </c>
      <c r="I7386" t="n">
        <v>0</v>
      </c>
      <c r="J7386" t="n">
        <v>0</v>
      </c>
      <c r="K7386" t="n">
        <v>0</v>
      </c>
      <c r="L7386" t="n">
        <v>0</v>
      </c>
      <c r="M7386" t="n">
        <v>0</v>
      </c>
      <c r="N7386" t="n">
        <v>0</v>
      </c>
      <c r="O7386" t="n">
        <v>0</v>
      </c>
      <c r="P7386" t="n">
        <v>0</v>
      </c>
      <c r="Q7386" t="n">
        <v>0</v>
      </c>
      <c r="R7386" s="2" t="inlineStr"/>
    </row>
    <row r="7387" ht="15" customHeight="1">
      <c r="A7387" t="inlineStr">
        <is>
          <t>A 46375-2022</t>
        </is>
      </c>
      <c r="B7387" s="1" t="n">
        <v>44846</v>
      </c>
      <c r="C7387" s="1" t="n">
        <v>45357</v>
      </c>
      <c r="D7387" t="inlineStr">
        <is>
          <t>VÄSTERBOTTENS LÄN</t>
        </is>
      </c>
      <c r="E7387" t="inlineStr">
        <is>
          <t>SORSELE</t>
        </is>
      </c>
      <c r="F7387" t="inlineStr">
        <is>
          <t>Övriga statliga verk och myndigheter</t>
        </is>
      </c>
      <c r="G7387" t="n">
        <v>21.9</v>
      </c>
      <c r="H7387" t="n">
        <v>0</v>
      </c>
      <c r="I7387" t="n">
        <v>0</v>
      </c>
      <c r="J7387" t="n">
        <v>0</v>
      </c>
      <c r="K7387" t="n">
        <v>0</v>
      </c>
      <c r="L7387" t="n">
        <v>0</v>
      </c>
      <c r="M7387" t="n">
        <v>0</v>
      </c>
      <c r="N7387" t="n">
        <v>0</v>
      </c>
      <c r="O7387" t="n">
        <v>0</v>
      </c>
      <c r="P7387" t="n">
        <v>0</v>
      </c>
      <c r="Q7387" t="n">
        <v>0</v>
      </c>
      <c r="R7387" s="2" t="inlineStr"/>
    </row>
    <row r="7388" ht="15" customHeight="1">
      <c r="A7388" t="inlineStr">
        <is>
          <t>A 47043-2022</t>
        </is>
      </c>
      <c r="B7388" s="1" t="n">
        <v>44846</v>
      </c>
      <c r="C7388" s="1" t="n">
        <v>45357</v>
      </c>
      <c r="D7388" t="inlineStr">
        <is>
          <t>VÄSTERBOTTENS LÄN</t>
        </is>
      </c>
      <c r="E7388" t="inlineStr">
        <is>
          <t>ROBERTSFORS</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46408-2022</t>
        </is>
      </c>
      <c r="B7389" s="1" t="n">
        <v>44846</v>
      </c>
      <c r="C7389" s="1" t="n">
        <v>45357</v>
      </c>
      <c r="D7389" t="inlineStr">
        <is>
          <t>VÄSTERBOTTENS LÄN</t>
        </is>
      </c>
      <c r="E7389" t="inlineStr">
        <is>
          <t>UMEÅ</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46410-2022</t>
        </is>
      </c>
      <c r="B7390" s="1" t="n">
        <v>44846</v>
      </c>
      <c r="C7390" s="1" t="n">
        <v>45357</v>
      </c>
      <c r="D7390" t="inlineStr">
        <is>
          <t>VÄSTERBOTTENS LÄN</t>
        </is>
      </c>
      <c r="E7390" t="inlineStr">
        <is>
          <t>UMEÅ</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46434-2022</t>
        </is>
      </c>
      <c r="B7391" s="1" t="n">
        <v>44846</v>
      </c>
      <c r="C7391" s="1" t="n">
        <v>45357</v>
      </c>
      <c r="D7391" t="inlineStr">
        <is>
          <t>VÄSTERBOTTENS LÄN</t>
        </is>
      </c>
      <c r="E7391" t="inlineStr">
        <is>
          <t>VÄNNÄS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46413-2022</t>
        </is>
      </c>
      <c r="B7392" s="1" t="n">
        <v>44846</v>
      </c>
      <c r="C7392" s="1" t="n">
        <v>45357</v>
      </c>
      <c r="D7392" t="inlineStr">
        <is>
          <t>VÄSTERBOTTENS LÄN</t>
        </is>
      </c>
      <c r="E7392" t="inlineStr">
        <is>
          <t>UMEÅ</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46474-2022</t>
        </is>
      </c>
      <c r="B7393" s="1" t="n">
        <v>44846</v>
      </c>
      <c r="C7393" s="1" t="n">
        <v>45357</v>
      </c>
      <c r="D7393" t="inlineStr">
        <is>
          <t>VÄSTERBOTTENS LÄN</t>
        </is>
      </c>
      <c r="E7393" t="inlineStr">
        <is>
          <t>LYCKSELE</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46102-2022</t>
        </is>
      </c>
      <c r="B7394" s="1" t="n">
        <v>44847</v>
      </c>
      <c r="C7394" s="1" t="n">
        <v>45357</v>
      </c>
      <c r="D7394" t="inlineStr">
        <is>
          <t>VÄSTERBOTTENS LÄN</t>
        </is>
      </c>
      <c r="E7394" t="inlineStr">
        <is>
          <t>ÅSELE</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46121-2022</t>
        </is>
      </c>
      <c r="B7395" s="1" t="n">
        <v>44847</v>
      </c>
      <c r="C7395" s="1" t="n">
        <v>45357</v>
      </c>
      <c r="D7395" t="inlineStr">
        <is>
          <t>VÄSTERBOTTENS LÄN</t>
        </is>
      </c>
      <c r="E7395" t="inlineStr">
        <is>
          <t>VILHELMINA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46071-2022</t>
        </is>
      </c>
      <c r="B7396" s="1" t="n">
        <v>44847</v>
      </c>
      <c r="C7396" s="1" t="n">
        <v>45357</v>
      </c>
      <c r="D7396" t="inlineStr">
        <is>
          <t>VÄSTERBOTTENS LÄN</t>
        </is>
      </c>
      <c r="E7396" t="inlineStr">
        <is>
          <t>VILHELMINA</t>
        </is>
      </c>
      <c r="G7396" t="n">
        <v>10.6</v>
      </c>
      <c r="H7396" t="n">
        <v>0</v>
      </c>
      <c r="I7396" t="n">
        <v>0</v>
      </c>
      <c r="J7396" t="n">
        <v>0</v>
      </c>
      <c r="K7396" t="n">
        <v>0</v>
      </c>
      <c r="L7396" t="n">
        <v>0</v>
      </c>
      <c r="M7396" t="n">
        <v>0</v>
      </c>
      <c r="N7396" t="n">
        <v>0</v>
      </c>
      <c r="O7396" t="n">
        <v>0</v>
      </c>
      <c r="P7396" t="n">
        <v>0</v>
      </c>
      <c r="Q7396" t="n">
        <v>0</v>
      </c>
      <c r="R7396" s="2" t="inlineStr"/>
    </row>
    <row r="7397" ht="15" customHeight="1">
      <c r="A7397" t="inlineStr">
        <is>
          <t>A 46233-2022</t>
        </is>
      </c>
      <c r="B7397" s="1" t="n">
        <v>44847</v>
      </c>
      <c r="C7397" s="1" t="n">
        <v>45357</v>
      </c>
      <c r="D7397" t="inlineStr">
        <is>
          <t>VÄSTERBOTTENS LÄN</t>
        </is>
      </c>
      <c r="E7397" t="inlineStr">
        <is>
          <t>SKELLEFTEÅ</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46216-2022</t>
        </is>
      </c>
      <c r="B7398" s="1" t="n">
        <v>44847</v>
      </c>
      <c r="C7398" s="1" t="n">
        <v>45357</v>
      </c>
      <c r="D7398" t="inlineStr">
        <is>
          <t>VÄSTERBOTTENS LÄN</t>
        </is>
      </c>
      <c r="E7398" t="inlineStr">
        <is>
          <t>SKELLEFTEÅ</t>
        </is>
      </c>
      <c r="F7398" t="inlineStr">
        <is>
          <t>Holmen skog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46316-2022</t>
        </is>
      </c>
      <c r="B7399" s="1" t="n">
        <v>44847</v>
      </c>
      <c r="C7399" s="1" t="n">
        <v>45357</v>
      </c>
      <c r="D7399" t="inlineStr">
        <is>
          <t>VÄSTERBOTTENS LÄN</t>
        </is>
      </c>
      <c r="E7399" t="inlineStr">
        <is>
          <t>VILHELMINA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46313-2022</t>
        </is>
      </c>
      <c r="B7400" s="1" t="n">
        <v>44847</v>
      </c>
      <c r="C7400" s="1" t="n">
        <v>45357</v>
      </c>
      <c r="D7400" t="inlineStr">
        <is>
          <t>VÄSTERBOTTENS LÄN</t>
        </is>
      </c>
      <c r="E7400" t="inlineStr">
        <is>
          <t>NORDMALING</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46340-2022</t>
        </is>
      </c>
      <c r="B7401" s="1" t="n">
        <v>44848</v>
      </c>
      <c r="C7401" s="1" t="n">
        <v>45357</v>
      </c>
      <c r="D7401" t="inlineStr">
        <is>
          <t>VÄSTERBOTTENS LÄN</t>
        </is>
      </c>
      <c r="E7401" t="inlineStr">
        <is>
          <t>ÅSELE</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46059-2022</t>
        </is>
      </c>
      <c r="B7402" s="1" t="n">
        <v>44847</v>
      </c>
      <c r="C7402" s="1" t="n">
        <v>45357</v>
      </c>
      <c r="D7402" t="inlineStr">
        <is>
          <t>VÄSTERBOTTENS LÄN</t>
        </is>
      </c>
      <c r="E7402" t="inlineStr">
        <is>
          <t>ÅSELE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46119-2022</t>
        </is>
      </c>
      <c r="B7403" s="1" t="n">
        <v>44847</v>
      </c>
      <c r="C7403" s="1" t="n">
        <v>45357</v>
      </c>
      <c r="D7403" t="inlineStr">
        <is>
          <t>VÄSTERBOTTENS LÄN</t>
        </is>
      </c>
      <c r="E7403" t="inlineStr">
        <is>
          <t>VILHELMINA</t>
        </is>
      </c>
      <c r="G7403" t="n">
        <v>12.1</v>
      </c>
      <c r="H7403" t="n">
        <v>0</v>
      </c>
      <c r="I7403" t="n">
        <v>0</v>
      </c>
      <c r="J7403" t="n">
        <v>0</v>
      </c>
      <c r="K7403" t="n">
        <v>0</v>
      </c>
      <c r="L7403" t="n">
        <v>0</v>
      </c>
      <c r="M7403" t="n">
        <v>0</v>
      </c>
      <c r="N7403" t="n">
        <v>0</v>
      </c>
      <c r="O7403" t="n">
        <v>0</v>
      </c>
      <c r="P7403" t="n">
        <v>0</v>
      </c>
      <c r="Q7403" t="n">
        <v>0</v>
      </c>
      <c r="R7403" s="2" t="inlineStr"/>
    </row>
    <row r="7404" ht="15" customHeight="1">
      <c r="A7404" t="inlineStr">
        <is>
          <t>A 46287-2022</t>
        </is>
      </c>
      <c r="B7404" s="1" t="n">
        <v>44847</v>
      </c>
      <c r="C7404" s="1" t="n">
        <v>45357</v>
      </c>
      <c r="D7404" t="inlineStr">
        <is>
          <t>VÄSTERBOTTENS LÄN</t>
        </is>
      </c>
      <c r="E7404" t="inlineStr">
        <is>
          <t>UMEÅ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46318-2022</t>
        </is>
      </c>
      <c r="B7405" s="1" t="n">
        <v>44847</v>
      </c>
      <c r="C7405" s="1" t="n">
        <v>45357</v>
      </c>
      <c r="D7405" t="inlineStr">
        <is>
          <t>VÄSTERBOTTENS LÄN</t>
        </is>
      </c>
      <c r="E7405" t="inlineStr">
        <is>
          <t>VILHELMINA</t>
        </is>
      </c>
      <c r="G7405" t="n">
        <v>11.7</v>
      </c>
      <c r="H7405" t="n">
        <v>0</v>
      </c>
      <c r="I7405" t="n">
        <v>0</v>
      </c>
      <c r="J7405" t="n">
        <v>0</v>
      </c>
      <c r="K7405" t="n">
        <v>0</v>
      </c>
      <c r="L7405" t="n">
        <v>0</v>
      </c>
      <c r="M7405" t="n">
        <v>0</v>
      </c>
      <c r="N7405" t="n">
        <v>0</v>
      </c>
      <c r="O7405" t="n">
        <v>0</v>
      </c>
      <c r="P7405" t="n">
        <v>0</v>
      </c>
      <c r="Q7405" t="n">
        <v>0</v>
      </c>
      <c r="R7405" s="2" t="inlineStr"/>
    </row>
    <row r="7406" ht="15" customHeight="1">
      <c r="A7406" t="inlineStr">
        <is>
          <t>A 46590-2022</t>
        </is>
      </c>
      <c r="B7406" s="1" t="n">
        <v>44847</v>
      </c>
      <c r="C7406" s="1" t="n">
        <v>45357</v>
      </c>
      <c r="D7406" t="inlineStr">
        <is>
          <t>VÄSTERBOTTENS LÄN</t>
        </is>
      </c>
      <c r="E7406" t="inlineStr">
        <is>
          <t>STORUMAN</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46586-2022</t>
        </is>
      </c>
      <c r="B7407" s="1" t="n">
        <v>44847</v>
      </c>
      <c r="C7407" s="1" t="n">
        <v>45357</v>
      </c>
      <c r="D7407" t="inlineStr">
        <is>
          <t>VÄSTERBOTTENS LÄN</t>
        </is>
      </c>
      <c r="E7407" t="inlineStr">
        <is>
          <t>STORUMAN</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46573-2022</t>
        </is>
      </c>
      <c r="B7408" s="1" t="n">
        <v>44847</v>
      </c>
      <c r="C7408" s="1" t="n">
        <v>45357</v>
      </c>
      <c r="D7408" t="inlineStr">
        <is>
          <t>VÄSTERBOTTENS LÄN</t>
        </is>
      </c>
      <c r="E7408" t="inlineStr">
        <is>
          <t>UMEÅ</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46541-2022</t>
        </is>
      </c>
      <c r="B7409" s="1" t="n">
        <v>44847</v>
      </c>
      <c r="C7409" s="1" t="n">
        <v>45357</v>
      </c>
      <c r="D7409" t="inlineStr">
        <is>
          <t>VÄSTERBOTTENS LÄN</t>
        </is>
      </c>
      <c r="E7409" t="inlineStr">
        <is>
          <t>LYCKSELE</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46584-2022</t>
        </is>
      </c>
      <c r="B7410" s="1" t="n">
        <v>44847</v>
      </c>
      <c r="C7410" s="1" t="n">
        <v>45357</v>
      </c>
      <c r="D7410" t="inlineStr">
        <is>
          <t>VÄSTERBOTTENS LÄN</t>
        </is>
      </c>
      <c r="E7410" t="inlineStr">
        <is>
          <t>STORUMAN</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46444-2022</t>
        </is>
      </c>
      <c r="B7411" s="1" t="n">
        <v>44848</v>
      </c>
      <c r="C7411" s="1" t="n">
        <v>45357</v>
      </c>
      <c r="D7411" t="inlineStr">
        <is>
          <t>VÄSTERBOTTENS LÄN</t>
        </is>
      </c>
      <c r="E7411" t="inlineStr">
        <is>
          <t>NORSJÖ</t>
        </is>
      </c>
      <c r="F7411" t="inlineStr">
        <is>
          <t>Holmen skog AB</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46389-2022</t>
        </is>
      </c>
      <c r="B7412" s="1" t="n">
        <v>44848</v>
      </c>
      <c r="C7412" s="1" t="n">
        <v>45357</v>
      </c>
      <c r="D7412" t="inlineStr">
        <is>
          <t>VÄSTERBOTTENS LÄN</t>
        </is>
      </c>
      <c r="E7412" t="inlineStr">
        <is>
          <t>NORDMALING</t>
        </is>
      </c>
      <c r="F7412" t="inlineStr">
        <is>
          <t>Holmen skog AB</t>
        </is>
      </c>
      <c r="G7412" t="n">
        <v>7.7</v>
      </c>
      <c r="H7412" t="n">
        <v>0</v>
      </c>
      <c r="I7412" t="n">
        <v>0</v>
      </c>
      <c r="J7412" t="n">
        <v>0</v>
      </c>
      <c r="K7412" t="n">
        <v>0</v>
      </c>
      <c r="L7412" t="n">
        <v>0</v>
      </c>
      <c r="M7412" t="n">
        <v>0</v>
      </c>
      <c r="N7412" t="n">
        <v>0</v>
      </c>
      <c r="O7412" t="n">
        <v>0</v>
      </c>
      <c r="P7412" t="n">
        <v>0</v>
      </c>
      <c r="Q7412" t="n">
        <v>0</v>
      </c>
      <c r="R7412" s="2" t="inlineStr"/>
    </row>
    <row r="7413" ht="15" customHeight="1">
      <c r="A7413" t="inlineStr">
        <is>
          <t>A 46403-2022</t>
        </is>
      </c>
      <c r="B7413" s="1" t="n">
        <v>44848</v>
      </c>
      <c r="C7413" s="1" t="n">
        <v>45357</v>
      </c>
      <c r="D7413" t="inlineStr">
        <is>
          <t>VÄSTERBOTTENS LÄN</t>
        </is>
      </c>
      <c r="E7413" t="inlineStr">
        <is>
          <t>NORDMALING</t>
        </is>
      </c>
      <c r="F7413" t="inlineStr">
        <is>
          <t>Holmen skog AB</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46409-2022</t>
        </is>
      </c>
      <c r="B7414" s="1" t="n">
        <v>44848</v>
      </c>
      <c r="C7414" s="1" t="n">
        <v>45357</v>
      </c>
      <c r="D7414" t="inlineStr">
        <is>
          <t>VÄSTERBOTTENS LÄN</t>
        </is>
      </c>
      <c r="E7414" t="inlineStr">
        <is>
          <t>SKELLEFTEÅ</t>
        </is>
      </c>
      <c r="F7414" t="inlineStr">
        <is>
          <t>Holmen skog AB</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46439-2022</t>
        </is>
      </c>
      <c r="B7415" s="1" t="n">
        <v>44848</v>
      </c>
      <c r="C7415" s="1" t="n">
        <v>45357</v>
      </c>
      <c r="D7415" t="inlineStr">
        <is>
          <t>VÄSTERBOTTENS LÄN</t>
        </is>
      </c>
      <c r="E7415" t="inlineStr">
        <is>
          <t>UMEÅ</t>
        </is>
      </c>
      <c r="F7415" t="inlineStr">
        <is>
          <t>Holmen skog AB</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46445-2022</t>
        </is>
      </c>
      <c r="B7416" s="1" t="n">
        <v>44848</v>
      </c>
      <c r="C7416" s="1" t="n">
        <v>45357</v>
      </c>
      <c r="D7416" t="inlineStr">
        <is>
          <t>VÄSTERBOTTENS LÄN</t>
        </is>
      </c>
      <c r="E7416" t="inlineStr">
        <is>
          <t>SKELLEFTEÅ</t>
        </is>
      </c>
      <c r="F7416" t="inlineStr">
        <is>
          <t>Holmen skog AB</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46422-2022</t>
        </is>
      </c>
      <c r="B7417" s="1" t="n">
        <v>44848</v>
      </c>
      <c r="C7417" s="1" t="n">
        <v>45357</v>
      </c>
      <c r="D7417" t="inlineStr">
        <is>
          <t>VÄSTERBOTTENS LÄN</t>
        </is>
      </c>
      <c r="E7417" t="inlineStr">
        <is>
          <t>VINDELN</t>
        </is>
      </c>
      <c r="F7417" t="inlineStr">
        <is>
          <t>Holmen skog AB</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46450-2022</t>
        </is>
      </c>
      <c r="B7418" s="1" t="n">
        <v>44848</v>
      </c>
      <c r="C7418" s="1" t="n">
        <v>45357</v>
      </c>
      <c r="D7418" t="inlineStr">
        <is>
          <t>VÄSTERBOTTENS LÄN</t>
        </is>
      </c>
      <c r="E7418" t="inlineStr">
        <is>
          <t>UMEÅ</t>
        </is>
      </c>
      <c r="F7418" t="inlineStr">
        <is>
          <t>Holmen skog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46628-2022</t>
        </is>
      </c>
      <c r="B7419" s="1" t="n">
        <v>44848</v>
      </c>
      <c r="C7419" s="1" t="n">
        <v>45357</v>
      </c>
      <c r="D7419" t="inlineStr">
        <is>
          <t>VÄSTERBOTTENS LÄN</t>
        </is>
      </c>
      <c r="E7419" t="inlineStr">
        <is>
          <t>VINDELN</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46817-2022</t>
        </is>
      </c>
      <c r="B7420" s="1" t="n">
        <v>44848</v>
      </c>
      <c r="C7420" s="1" t="n">
        <v>45357</v>
      </c>
      <c r="D7420" t="inlineStr">
        <is>
          <t>VÄSTERBOTTENS LÄN</t>
        </is>
      </c>
      <c r="E7420" t="inlineStr">
        <is>
          <t>DOROTEA</t>
        </is>
      </c>
      <c r="G7420" t="n">
        <v>29.8</v>
      </c>
      <c r="H7420" t="n">
        <v>0</v>
      </c>
      <c r="I7420" t="n">
        <v>0</v>
      </c>
      <c r="J7420" t="n">
        <v>0</v>
      </c>
      <c r="K7420" t="n">
        <v>0</v>
      </c>
      <c r="L7420" t="n">
        <v>0</v>
      </c>
      <c r="M7420" t="n">
        <v>0</v>
      </c>
      <c r="N7420" t="n">
        <v>0</v>
      </c>
      <c r="O7420" t="n">
        <v>0</v>
      </c>
      <c r="P7420" t="n">
        <v>0</v>
      </c>
      <c r="Q7420" t="n">
        <v>0</v>
      </c>
      <c r="R7420" s="2" t="inlineStr"/>
    </row>
    <row r="7421" ht="15" customHeight="1">
      <c r="A7421" t="inlineStr">
        <is>
          <t>A 46860-2022</t>
        </is>
      </c>
      <c r="B7421" s="1" t="n">
        <v>44848</v>
      </c>
      <c r="C7421" s="1" t="n">
        <v>45357</v>
      </c>
      <c r="D7421" t="inlineStr">
        <is>
          <t>VÄSTERBOTTENS LÄN</t>
        </is>
      </c>
      <c r="E7421" t="inlineStr">
        <is>
          <t>NORSJÖ</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46848-2022</t>
        </is>
      </c>
      <c r="B7422" s="1" t="n">
        <v>44848</v>
      </c>
      <c r="C7422" s="1" t="n">
        <v>45357</v>
      </c>
      <c r="D7422" t="inlineStr">
        <is>
          <t>VÄSTERBOTTENS LÄN</t>
        </is>
      </c>
      <c r="E7422" t="inlineStr">
        <is>
          <t>NORSJÖ</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46868-2022</t>
        </is>
      </c>
      <c r="B7423" s="1" t="n">
        <v>44848</v>
      </c>
      <c r="C7423" s="1" t="n">
        <v>45357</v>
      </c>
      <c r="D7423" t="inlineStr">
        <is>
          <t>VÄSTERBOTTENS LÄN</t>
        </is>
      </c>
      <c r="E7423" t="inlineStr">
        <is>
          <t>SKELLEFTEÅ</t>
        </is>
      </c>
      <c r="G7423" t="n">
        <v>11.8</v>
      </c>
      <c r="H7423" t="n">
        <v>0</v>
      </c>
      <c r="I7423" t="n">
        <v>0</v>
      </c>
      <c r="J7423" t="n">
        <v>0</v>
      </c>
      <c r="K7423" t="n">
        <v>0</v>
      </c>
      <c r="L7423" t="n">
        <v>0</v>
      </c>
      <c r="M7423" t="n">
        <v>0</v>
      </c>
      <c r="N7423" t="n">
        <v>0</v>
      </c>
      <c r="O7423" t="n">
        <v>0</v>
      </c>
      <c r="P7423" t="n">
        <v>0</v>
      </c>
      <c r="Q7423" t="n">
        <v>0</v>
      </c>
      <c r="R7423" s="2" t="inlineStr"/>
    </row>
    <row r="7424" ht="15" customHeight="1">
      <c r="A7424" t="inlineStr">
        <is>
          <t>A 46731-2022</t>
        </is>
      </c>
      <c r="B7424" s="1" t="n">
        <v>44851</v>
      </c>
      <c r="C7424" s="1" t="n">
        <v>45357</v>
      </c>
      <c r="D7424" t="inlineStr">
        <is>
          <t>VÄSTERBOTTENS LÄN</t>
        </is>
      </c>
      <c r="E7424" t="inlineStr">
        <is>
          <t>ROBERTSFORS</t>
        </is>
      </c>
      <c r="F7424" t="inlineStr">
        <is>
          <t>Holmen skog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46766-2022</t>
        </is>
      </c>
      <c r="B7425" s="1" t="n">
        <v>44851</v>
      </c>
      <c r="C7425" s="1" t="n">
        <v>45357</v>
      </c>
      <c r="D7425" t="inlineStr">
        <is>
          <t>VÄSTERBOTTENS LÄN</t>
        </is>
      </c>
      <c r="E7425" t="inlineStr">
        <is>
          <t>NORDMALING</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46842-2022</t>
        </is>
      </c>
      <c r="B7426" s="1" t="n">
        <v>44851</v>
      </c>
      <c r="C7426" s="1" t="n">
        <v>45357</v>
      </c>
      <c r="D7426" t="inlineStr">
        <is>
          <t>VÄSTERBOTTENS LÄN</t>
        </is>
      </c>
      <c r="E7426" t="inlineStr">
        <is>
          <t>STORUMAN</t>
        </is>
      </c>
      <c r="F7426" t="inlineStr">
        <is>
          <t>Sveaskog</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46923-2022</t>
        </is>
      </c>
      <c r="B7427" s="1" t="n">
        <v>44851</v>
      </c>
      <c r="C7427" s="1" t="n">
        <v>45357</v>
      </c>
      <c r="D7427" t="inlineStr">
        <is>
          <t>VÄSTERBOTTENS LÄN</t>
        </is>
      </c>
      <c r="E7427" t="inlineStr">
        <is>
          <t>NORDMALING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46846-2022</t>
        </is>
      </c>
      <c r="B7428" s="1" t="n">
        <v>44851</v>
      </c>
      <c r="C7428" s="1" t="n">
        <v>45357</v>
      </c>
      <c r="D7428" t="inlineStr">
        <is>
          <t>VÄSTERBOTTENS LÄN</t>
        </is>
      </c>
      <c r="E7428" t="inlineStr">
        <is>
          <t>SORSELE</t>
        </is>
      </c>
      <c r="F7428" t="inlineStr">
        <is>
          <t>Sveaskog</t>
        </is>
      </c>
      <c r="G7428" t="n">
        <v>9.699999999999999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46857-2022</t>
        </is>
      </c>
      <c r="B7429" s="1" t="n">
        <v>44851</v>
      </c>
      <c r="C7429" s="1" t="n">
        <v>45357</v>
      </c>
      <c r="D7429" t="inlineStr">
        <is>
          <t>VÄSTERBOTTENS LÄN</t>
        </is>
      </c>
      <c r="E7429" t="inlineStr">
        <is>
          <t>SORSELE</t>
        </is>
      </c>
      <c r="F7429" t="inlineStr">
        <is>
          <t>Sveaskog</t>
        </is>
      </c>
      <c r="G7429" t="n">
        <v>20</v>
      </c>
      <c r="H7429" t="n">
        <v>0</v>
      </c>
      <c r="I7429" t="n">
        <v>0</v>
      </c>
      <c r="J7429" t="n">
        <v>0</v>
      </c>
      <c r="K7429" t="n">
        <v>0</v>
      </c>
      <c r="L7429" t="n">
        <v>0</v>
      </c>
      <c r="M7429" t="n">
        <v>0</v>
      </c>
      <c r="N7429" t="n">
        <v>0</v>
      </c>
      <c r="O7429" t="n">
        <v>0</v>
      </c>
      <c r="P7429" t="n">
        <v>0</v>
      </c>
      <c r="Q7429" t="n">
        <v>0</v>
      </c>
      <c r="R7429" s="2" t="inlineStr"/>
    </row>
    <row r="7430" ht="15" customHeight="1">
      <c r="A7430" t="inlineStr">
        <is>
          <t>A 46844-2022</t>
        </is>
      </c>
      <c r="B7430" s="1" t="n">
        <v>44851</v>
      </c>
      <c r="C7430" s="1" t="n">
        <v>45357</v>
      </c>
      <c r="D7430" t="inlineStr">
        <is>
          <t>VÄSTERBOTTENS LÄN</t>
        </is>
      </c>
      <c r="E7430" t="inlineStr">
        <is>
          <t>STORUMAN</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46978-2022</t>
        </is>
      </c>
      <c r="B7431" s="1" t="n">
        <v>44851</v>
      </c>
      <c r="C7431" s="1" t="n">
        <v>45357</v>
      </c>
      <c r="D7431" t="inlineStr">
        <is>
          <t>VÄSTERBOTTENS LÄN</t>
        </is>
      </c>
      <c r="E7431" t="inlineStr">
        <is>
          <t>DOROTEA</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46982-2022</t>
        </is>
      </c>
      <c r="B7432" s="1" t="n">
        <v>44851</v>
      </c>
      <c r="C7432" s="1" t="n">
        <v>45357</v>
      </c>
      <c r="D7432" t="inlineStr">
        <is>
          <t>VÄSTERBOTTENS LÄN</t>
        </is>
      </c>
      <c r="E7432" t="inlineStr">
        <is>
          <t>DOROTEA</t>
        </is>
      </c>
      <c r="F7432" t="inlineStr">
        <is>
          <t>SCA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47124-2022</t>
        </is>
      </c>
      <c r="B7433" s="1" t="n">
        <v>44851</v>
      </c>
      <c r="C7433" s="1" t="n">
        <v>45357</v>
      </c>
      <c r="D7433" t="inlineStr">
        <is>
          <t>VÄSTERBOTTENS LÄN</t>
        </is>
      </c>
      <c r="E7433" t="inlineStr">
        <is>
          <t>UMEÅ</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46981-2022</t>
        </is>
      </c>
      <c r="B7434" s="1" t="n">
        <v>44852</v>
      </c>
      <c r="C7434" s="1" t="n">
        <v>45357</v>
      </c>
      <c r="D7434" t="inlineStr">
        <is>
          <t>VÄSTERBOTTENS LÄN</t>
        </is>
      </c>
      <c r="E7434" t="inlineStr">
        <is>
          <t>ÅSELE</t>
        </is>
      </c>
      <c r="F7434" t="inlineStr">
        <is>
          <t>SCA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47016-2022</t>
        </is>
      </c>
      <c r="B7435" s="1" t="n">
        <v>44851</v>
      </c>
      <c r="C7435" s="1" t="n">
        <v>45357</v>
      </c>
      <c r="D7435" t="inlineStr">
        <is>
          <t>VÄSTERBOTTENS LÄN</t>
        </is>
      </c>
      <c r="E7435" t="inlineStr">
        <is>
          <t>LYCKSELE</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47444-2022</t>
        </is>
      </c>
      <c r="B7436" s="1" t="n">
        <v>44851</v>
      </c>
      <c r="C7436" s="1" t="n">
        <v>45357</v>
      </c>
      <c r="D7436" t="inlineStr">
        <is>
          <t>VÄSTERBOTTENS LÄN</t>
        </is>
      </c>
      <c r="E7436" t="inlineStr">
        <is>
          <t>VINDELN</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47010-2022</t>
        </is>
      </c>
      <c r="B7437" s="1" t="n">
        <v>44851</v>
      </c>
      <c r="C7437" s="1" t="n">
        <v>45357</v>
      </c>
      <c r="D7437" t="inlineStr">
        <is>
          <t>VÄSTERBOTTENS LÄN</t>
        </is>
      </c>
      <c r="E7437" t="inlineStr">
        <is>
          <t>NORDMALING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47253-2022</t>
        </is>
      </c>
      <c r="B7438" s="1" t="n">
        <v>44852</v>
      </c>
      <c r="C7438" s="1" t="n">
        <v>45357</v>
      </c>
      <c r="D7438" t="inlineStr">
        <is>
          <t>VÄSTERBOTTENS LÄN</t>
        </is>
      </c>
      <c r="E7438" t="inlineStr">
        <is>
          <t>VILHELMINA</t>
        </is>
      </c>
      <c r="F7438" t="inlineStr">
        <is>
          <t>SCA</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47252-2022</t>
        </is>
      </c>
      <c r="B7439" s="1" t="n">
        <v>44852</v>
      </c>
      <c r="C7439" s="1" t="n">
        <v>45357</v>
      </c>
      <c r="D7439" t="inlineStr">
        <is>
          <t>VÄSTERBOTTENS LÄN</t>
        </is>
      </c>
      <c r="E7439" t="inlineStr">
        <is>
          <t>VILHELMINA</t>
        </is>
      </c>
      <c r="F7439" t="inlineStr">
        <is>
          <t>SCA</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47266-2022</t>
        </is>
      </c>
      <c r="B7440" s="1" t="n">
        <v>44852</v>
      </c>
      <c r="C7440" s="1" t="n">
        <v>45357</v>
      </c>
      <c r="D7440" t="inlineStr">
        <is>
          <t>VÄSTERBOTTENS LÄN</t>
        </is>
      </c>
      <c r="E7440" t="inlineStr">
        <is>
          <t>DOROTEA</t>
        </is>
      </c>
      <c r="F7440" t="inlineStr">
        <is>
          <t>SCA</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47254-2022</t>
        </is>
      </c>
      <c r="B7441" s="1" t="n">
        <v>44853</v>
      </c>
      <c r="C7441" s="1" t="n">
        <v>45357</v>
      </c>
      <c r="D7441" t="inlineStr">
        <is>
          <t>VÄSTERBOTTENS LÄN</t>
        </is>
      </c>
      <c r="E7441" t="inlineStr">
        <is>
          <t>VILHELMINA</t>
        </is>
      </c>
      <c r="F7441" t="inlineStr">
        <is>
          <t>SCA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47263-2022</t>
        </is>
      </c>
      <c r="B7442" s="1" t="n">
        <v>44853</v>
      </c>
      <c r="C7442" s="1" t="n">
        <v>45357</v>
      </c>
      <c r="D7442" t="inlineStr">
        <is>
          <t>VÄSTERBOTTENS LÄN</t>
        </is>
      </c>
      <c r="E7442" t="inlineStr">
        <is>
          <t>DOROTEA</t>
        </is>
      </c>
      <c r="F7442" t="inlineStr">
        <is>
          <t>SCA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47288-2022</t>
        </is>
      </c>
      <c r="B7443" s="1" t="n">
        <v>44852</v>
      </c>
      <c r="C7443" s="1" t="n">
        <v>45357</v>
      </c>
      <c r="D7443" t="inlineStr">
        <is>
          <t>VÄSTERBOTTENS LÄN</t>
        </is>
      </c>
      <c r="E7443" t="inlineStr">
        <is>
          <t>VILHELMINA</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47287-2022</t>
        </is>
      </c>
      <c r="B7444" s="1" t="n">
        <v>44853</v>
      </c>
      <c r="C7444" s="1" t="n">
        <v>45357</v>
      </c>
      <c r="D7444" t="inlineStr">
        <is>
          <t>VÄSTERBOTTENS LÄN</t>
        </is>
      </c>
      <c r="E7444" t="inlineStr">
        <is>
          <t>VILHELMINA</t>
        </is>
      </c>
      <c r="F7444" t="inlineStr">
        <is>
          <t>SCA</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47285-2022</t>
        </is>
      </c>
      <c r="B7445" s="1" t="n">
        <v>44853</v>
      </c>
      <c r="C7445" s="1" t="n">
        <v>45357</v>
      </c>
      <c r="D7445" t="inlineStr">
        <is>
          <t>VÄSTERBOTTENS LÄN</t>
        </is>
      </c>
      <c r="E7445" t="inlineStr">
        <is>
          <t>VILHELMINA</t>
        </is>
      </c>
      <c r="F7445" t="inlineStr">
        <is>
          <t>SCA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47394-2022</t>
        </is>
      </c>
      <c r="B7446" s="1" t="n">
        <v>44852</v>
      </c>
      <c r="C7446" s="1" t="n">
        <v>45357</v>
      </c>
      <c r="D7446" t="inlineStr">
        <is>
          <t>VÄSTERBOTTENS LÄN</t>
        </is>
      </c>
      <c r="E7446" t="inlineStr">
        <is>
          <t>ROBERTSFORS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47286-2022</t>
        </is>
      </c>
      <c r="B7447" s="1" t="n">
        <v>44852</v>
      </c>
      <c r="C7447" s="1" t="n">
        <v>45357</v>
      </c>
      <c r="D7447" t="inlineStr">
        <is>
          <t>VÄSTERBOTTENS LÄN</t>
        </is>
      </c>
      <c r="E7447" t="inlineStr">
        <is>
          <t>VILHELMINA</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47603-2022</t>
        </is>
      </c>
      <c r="B7448" s="1" t="n">
        <v>44852</v>
      </c>
      <c r="C7448" s="1" t="n">
        <v>45357</v>
      </c>
      <c r="D7448" t="inlineStr">
        <is>
          <t>VÄSTERBOTTENS LÄN</t>
        </is>
      </c>
      <c r="E7448" t="inlineStr">
        <is>
          <t>SORSELE</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47637-2022</t>
        </is>
      </c>
      <c r="B7449" s="1" t="n">
        <v>44852</v>
      </c>
      <c r="C7449" s="1" t="n">
        <v>45357</v>
      </c>
      <c r="D7449" t="inlineStr">
        <is>
          <t>VÄSTERBOTTENS LÄN</t>
        </is>
      </c>
      <c r="E7449" t="inlineStr">
        <is>
          <t>SKELLEFTEÅ</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47500-2022</t>
        </is>
      </c>
      <c r="B7450" s="1" t="n">
        <v>44852</v>
      </c>
      <c r="C7450" s="1" t="n">
        <v>45357</v>
      </c>
      <c r="D7450" t="inlineStr">
        <is>
          <t>VÄSTERBOTTENS LÄN</t>
        </is>
      </c>
      <c r="E7450" t="inlineStr">
        <is>
          <t>SKELLEFTEÅ</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47089-2022</t>
        </is>
      </c>
      <c r="B7451" s="1" t="n">
        <v>44852</v>
      </c>
      <c r="C7451" s="1" t="n">
        <v>45357</v>
      </c>
      <c r="D7451" t="inlineStr">
        <is>
          <t>VÄSTERBOTTENS LÄN</t>
        </is>
      </c>
      <c r="E7451" t="inlineStr">
        <is>
          <t>VÄNNÄS</t>
        </is>
      </c>
      <c r="F7451" t="inlineStr">
        <is>
          <t>Holmen skog AB</t>
        </is>
      </c>
      <c r="G7451" t="n">
        <v>9.199999999999999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47442-2022</t>
        </is>
      </c>
      <c r="B7452" s="1" t="n">
        <v>44852</v>
      </c>
      <c r="C7452" s="1" t="n">
        <v>45357</v>
      </c>
      <c r="D7452" t="inlineStr">
        <is>
          <t>VÄSTERBOTTENS LÄN</t>
        </is>
      </c>
      <c r="E7452" t="inlineStr">
        <is>
          <t>VINDELN</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47410-2022</t>
        </is>
      </c>
      <c r="B7453" s="1" t="n">
        <v>44853</v>
      </c>
      <c r="C7453" s="1" t="n">
        <v>45357</v>
      </c>
      <c r="D7453" t="inlineStr">
        <is>
          <t>VÄSTERBOTTENS LÄN</t>
        </is>
      </c>
      <c r="E7453" t="inlineStr">
        <is>
          <t>SKELLEFTEÅ</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47544-2022</t>
        </is>
      </c>
      <c r="B7454" s="1" t="n">
        <v>44853</v>
      </c>
      <c r="C7454" s="1" t="n">
        <v>45357</v>
      </c>
      <c r="D7454" t="inlineStr">
        <is>
          <t>VÄSTERBOTTENS LÄN</t>
        </is>
      </c>
      <c r="E7454" t="inlineStr">
        <is>
          <t>MALÅ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47548-2022</t>
        </is>
      </c>
      <c r="B7455" s="1" t="n">
        <v>44854</v>
      </c>
      <c r="C7455" s="1" t="n">
        <v>45357</v>
      </c>
      <c r="D7455" t="inlineStr">
        <is>
          <t>VÄSTERBOTTENS LÄN</t>
        </is>
      </c>
      <c r="E7455" t="inlineStr">
        <is>
          <t>SKELLEFTEÅ</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47572-2022</t>
        </is>
      </c>
      <c r="B7456" s="1" t="n">
        <v>44853</v>
      </c>
      <c r="C7456" s="1" t="n">
        <v>45357</v>
      </c>
      <c r="D7456" t="inlineStr">
        <is>
          <t>VÄSTERBOTTENS LÄN</t>
        </is>
      </c>
      <c r="E7456" t="inlineStr">
        <is>
          <t>DOROTEA</t>
        </is>
      </c>
      <c r="F7456" t="inlineStr">
        <is>
          <t>SCA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47399-2022</t>
        </is>
      </c>
      <c r="B7457" s="1" t="n">
        <v>44853</v>
      </c>
      <c r="C7457" s="1" t="n">
        <v>45357</v>
      </c>
      <c r="D7457" t="inlineStr">
        <is>
          <t>VÄSTERBOTTENS LÄN</t>
        </is>
      </c>
      <c r="E7457" t="inlineStr">
        <is>
          <t>NORSJÖ</t>
        </is>
      </c>
      <c r="F7457" t="inlineStr">
        <is>
          <t>Holmen skog AB</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47403-2022</t>
        </is>
      </c>
      <c r="B7458" s="1" t="n">
        <v>44853</v>
      </c>
      <c r="C7458" s="1" t="n">
        <v>45357</v>
      </c>
      <c r="D7458" t="inlineStr">
        <is>
          <t>VÄSTERBOTTENS LÄN</t>
        </is>
      </c>
      <c r="E7458" t="inlineStr">
        <is>
          <t>UMEÅ</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47538-2022</t>
        </is>
      </c>
      <c r="B7459" s="1" t="n">
        <v>44853</v>
      </c>
      <c r="C7459" s="1" t="n">
        <v>45357</v>
      </c>
      <c r="D7459" t="inlineStr">
        <is>
          <t>VÄSTERBOTTENS LÄN</t>
        </is>
      </c>
      <c r="E7459" t="inlineStr">
        <is>
          <t>VÄNNÄS</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47575-2022</t>
        </is>
      </c>
      <c r="B7460" s="1" t="n">
        <v>44853</v>
      </c>
      <c r="C7460" s="1" t="n">
        <v>45357</v>
      </c>
      <c r="D7460" t="inlineStr">
        <is>
          <t>VÄSTERBOTTENS LÄN</t>
        </is>
      </c>
      <c r="E7460" t="inlineStr">
        <is>
          <t>VILHELMINA</t>
        </is>
      </c>
      <c r="F7460" t="inlineStr">
        <is>
          <t>SCA</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47545-2022</t>
        </is>
      </c>
      <c r="B7461" s="1" t="n">
        <v>44853</v>
      </c>
      <c r="C7461" s="1" t="n">
        <v>45357</v>
      </c>
      <c r="D7461" t="inlineStr">
        <is>
          <t>VÄSTERBOTTENS LÄN</t>
        </is>
      </c>
      <c r="E7461" t="inlineStr">
        <is>
          <t>MALÅ</t>
        </is>
      </c>
      <c r="G7461" t="n">
        <v>8</v>
      </c>
      <c r="H7461" t="n">
        <v>0</v>
      </c>
      <c r="I7461" t="n">
        <v>0</v>
      </c>
      <c r="J7461" t="n">
        <v>0</v>
      </c>
      <c r="K7461" t="n">
        <v>0</v>
      </c>
      <c r="L7461" t="n">
        <v>0</v>
      </c>
      <c r="M7461" t="n">
        <v>0</v>
      </c>
      <c r="N7461" t="n">
        <v>0</v>
      </c>
      <c r="O7461" t="n">
        <v>0</v>
      </c>
      <c r="P7461" t="n">
        <v>0</v>
      </c>
      <c r="Q7461" t="n">
        <v>0</v>
      </c>
      <c r="R7461" s="2" t="inlineStr"/>
    </row>
    <row r="7462" ht="15" customHeight="1">
      <c r="A7462" t="inlineStr">
        <is>
          <t>A 47554-2022</t>
        </is>
      </c>
      <c r="B7462" s="1" t="n">
        <v>44854</v>
      </c>
      <c r="C7462" s="1" t="n">
        <v>45357</v>
      </c>
      <c r="D7462" t="inlineStr">
        <is>
          <t>VÄSTERBOTTENS LÄN</t>
        </is>
      </c>
      <c r="E7462" t="inlineStr">
        <is>
          <t>SKELLEFTEÅ</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47571-2022</t>
        </is>
      </c>
      <c r="B7463" s="1" t="n">
        <v>44853</v>
      </c>
      <c r="C7463" s="1" t="n">
        <v>45357</v>
      </c>
      <c r="D7463" t="inlineStr">
        <is>
          <t>VÄSTERBOTTENS LÄN</t>
        </is>
      </c>
      <c r="E7463" t="inlineStr">
        <is>
          <t>VILHELMINA</t>
        </is>
      </c>
      <c r="F7463" t="inlineStr">
        <is>
          <t>SCA</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47936-2022</t>
        </is>
      </c>
      <c r="B7464" s="1" t="n">
        <v>44853</v>
      </c>
      <c r="C7464" s="1" t="n">
        <v>45357</v>
      </c>
      <c r="D7464" t="inlineStr">
        <is>
          <t>VÄSTERBOTTENS LÄN</t>
        </is>
      </c>
      <c r="E7464" t="inlineStr">
        <is>
          <t>ROBERTSFORS</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47988-2022</t>
        </is>
      </c>
      <c r="B7465" s="1" t="n">
        <v>44853</v>
      </c>
      <c r="C7465" s="1" t="n">
        <v>45357</v>
      </c>
      <c r="D7465" t="inlineStr">
        <is>
          <t>VÄSTERBOTTENS LÄN</t>
        </is>
      </c>
      <c r="E7465" t="inlineStr">
        <is>
          <t>SKELLEFTEÅ</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47984-2022</t>
        </is>
      </c>
      <c r="B7466" s="1" t="n">
        <v>44853</v>
      </c>
      <c r="C7466" s="1" t="n">
        <v>45357</v>
      </c>
      <c r="D7466" t="inlineStr">
        <is>
          <t>VÄSTERBOTTENS LÄN</t>
        </is>
      </c>
      <c r="E7466" t="inlineStr">
        <is>
          <t>SKELLEFTEÅ</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47976-2022</t>
        </is>
      </c>
      <c r="B7467" s="1" t="n">
        <v>44853</v>
      </c>
      <c r="C7467" s="1" t="n">
        <v>45357</v>
      </c>
      <c r="D7467" t="inlineStr">
        <is>
          <t>VÄSTERBOTTENS LÄN</t>
        </is>
      </c>
      <c r="E7467" t="inlineStr">
        <is>
          <t>VÄNNÄS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47991-2022</t>
        </is>
      </c>
      <c r="B7468" s="1" t="n">
        <v>44853</v>
      </c>
      <c r="C7468" s="1" t="n">
        <v>45357</v>
      </c>
      <c r="D7468" t="inlineStr">
        <is>
          <t>VÄSTERBOTTENS LÄN</t>
        </is>
      </c>
      <c r="E7468" t="inlineStr">
        <is>
          <t>SKELLEFTEÅ</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48006-2022</t>
        </is>
      </c>
      <c r="B7469" s="1" t="n">
        <v>44853</v>
      </c>
      <c r="C7469" s="1" t="n">
        <v>45357</v>
      </c>
      <c r="D7469" t="inlineStr">
        <is>
          <t>VÄSTERBOTTENS LÄN</t>
        </is>
      </c>
      <c r="E7469" t="inlineStr">
        <is>
          <t>ROBERTSFORS</t>
        </is>
      </c>
      <c r="G7469" t="n">
        <v>15.8</v>
      </c>
      <c r="H7469" t="n">
        <v>0</v>
      </c>
      <c r="I7469" t="n">
        <v>0</v>
      </c>
      <c r="J7469" t="n">
        <v>0</v>
      </c>
      <c r="K7469" t="n">
        <v>0</v>
      </c>
      <c r="L7469" t="n">
        <v>0</v>
      </c>
      <c r="M7469" t="n">
        <v>0</v>
      </c>
      <c r="N7469" t="n">
        <v>0</v>
      </c>
      <c r="O7469" t="n">
        <v>0</v>
      </c>
      <c r="P7469" t="n">
        <v>0</v>
      </c>
      <c r="Q7469" t="n">
        <v>0</v>
      </c>
      <c r="R7469" s="2" t="inlineStr"/>
    </row>
    <row r="7470" ht="15" customHeight="1">
      <c r="A7470" t="inlineStr">
        <is>
          <t>A 47712-2022</t>
        </is>
      </c>
      <c r="B7470" s="1" t="n">
        <v>44854</v>
      </c>
      <c r="C7470" s="1" t="n">
        <v>45357</v>
      </c>
      <c r="D7470" t="inlineStr">
        <is>
          <t>VÄSTERBOTTENS LÄN</t>
        </is>
      </c>
      <c r="E7470" t="inlineStr">
        <is>
          <t>LYCKSELE</t>
        </is>
      </c>
      <c r="F7470" t="inlineStr">
        <is>
          <t>Sveaskog</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47743-2022</t>
        </is>
      </c>
      <c r="B7471" s="1" t="n">
        <v>44854</v>
      </c>
      <c r="C7471" s="1" t="n">
        <v>45357</v>
      </c>
      <c r="D7471" t="inlineStr">
        <is>
          <t>VÄSTERBOTTENS LÄN</t>
        </is>
      </c>
      <c r="E7471" t="inlineStr">
        <is>
          <t>NORDMALING</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47696-2022</t>
        </is>
      </c>
      <c r="B7472" s="1" t="n">
        <v>44854</v>
      </c>
      <c r="C7472" s="1" t="n">
        <v>45357</v>
      </c>
      <c r="D7472" t="inlineStr">
        <is>
          <t>VÄSTERBOTTENS LÄN</t>
        </is>
      </c>
      <c r="E7472" t="inlineStr">
        <is>
          <t>SKELLEFTEÅ</t>
        </is>
      </c>
      <c r="F7472" t="inlineStr">
        <is>
          <t>Holmen skog AB</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47727-2022</t>
        </is>
      </c>
      <c r="B7473" s="1" t="n">
        <v>44854</v>
      </c>
      <c r="C7473" s="1" t="n">
        <v>45357</v>
      </c>
      <c r="D7473" t="inlineStr">
        <is>
          <t>VÄSTERBOTTENS LÄN</t>
        </is>
      </c>
      <c r="E7473" t="inlineStr">
        <is>
          <t>LYCKSELE</t>
        </is>
      </c>
      <c r="F7473" t="inlineStr">
        <is>
          <t>Sveaskog</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47642-2022</t>
        </is>
      </c>
      <c r="B7474" s="1" t="n">
        <v>44854</v>
      </c>
      <c r="C7474" s="1" t="n">
        <v>45357</v>
      </c>
      <c r="D7474" t="inlineStr">
        <is>
          <t>VÄSTERBOTTENS LÄN</t>
        </is>
      </c>
      <c r="E7474" t="inlineStr">
        <is>
          <t>UMEÅ</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47733-2022</t>
        </is>
      </c>
      <c r="B7475" s="1" t="n">
        <v>44854</v>
      </c>
      <c r="C7475" s="1" t="n">
        <v>45357</v>
      </c>
      <c r="D7475" t="inlineStr">
        <is>
          <t>VÄSTERBOTTENS LÄN</t>
        </is>
      </c>
      <c r="E7475" t="inlineStr">
        <is>
          <t>NORDMALING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47773-2022</t>
        </is>
      </c>
      <c r="B7476" s="1" t="n">
        <v>44855</v>
      </c>
      <c r="C7476" s="1" t="n">
        <v>45357</v>
      </c>
      <c r="D7476" t="inlineStr">
        <is>
          <t>VÄSTERBOTTENS LÄN</t>
        </is>
      </c>
      <c r="E7476" t="inlineStr">
        <is>
          <t>NORSJÖ</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47770-2022</t>
        </is>
      </c>
      <c r="B7477" s="1" t="n">
        <v>44854</v>
      </c>
      <c r="C7477" s="1" t="n">
        <v>45357</v>
      </c>
      <c r="D7477" t="inlineStr">
        <is>
          <t>VÄSTERBOTTENS LÄN</t>
        </is>
      </c>
      <c r="E7477" t="inlineStr">
        <is>
          <t>MALÅ</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47776-2022</t>
        </is>
      </c>
      <c r="B7478" s="1" t="n">
        <v>44855</v>
      </c>
      <c r="C7478" s="1" t="n">
        <v>45357</v>
      </c>
      <c r="D7478" t="inlineStr">
        <is>
          <t>VÄSTERBOTTENS LÄN</t>
        </is>
      </c>
      <c r="E7478" t="inlineStr">
        <is>
          <t>ROBERTSFORS</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47789-2022</t>
        </is>
      </c>
      <c r="B7479" s="1" t="n">
        <v>44855</v>
      </c>
      <c r="C7479" s="1" t="n">
        <v>45357</v>
      </c>
      <c r="D7479" t="inlineStr">
        <is>
          <t>VÄSTERBOTTENS LÄN</t>
        </is>
      </c>
      <c r="E7479" t="inlineStr">
        <is>
          <t>ÅSELE</t>
        </is>
      </c>
      <c r="F7479" t="inlineStr">
        <is>
          <t>SCA</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47767-2022</t>
        </is>
      </c>
      <c r="B7480" s="1" t="n">
        <v>44854</v>
      </c>
      <c r="C7480" s="1" t="n">
        <v>45357</v>
      </c>
      <c r="D7480" t="inlineStr">
        <is>
          <t>VÄSTERBOTTENS LÄN</t>
        </is>
      </c>
      <c r="E7480" t="inlineStr">
        <is>
          <t>VÄNNÄS</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47772-2022</t>
        </is>
      </c>
      <c r="B7481" s="1" t="n">
        <v>44855</v>
      </c>
      <c r="C7481" s="1" t="n">
        <v>45357</v>
      </c>
      <c r="D7481" t="inlineStr">
        <is>
          <t>VÄSTERBOTTENS LÄN</t>
        </is>
      </c>
      <c r="E7481" t="inlineStr">
        <is>
          <t>VÄNNÄS</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47806-2022</t>
        </is>
      </c>
      <c r="B7482" s="1" t="n">
        <v>44855</v>
      </c>
      <c r="C7482" s="1" t="n">
        <v>45357</v>
      </c>
      <c r="D7482" t="inlineStr">
        <is>
          <t>VÄSTERBOTTENS LÄN</t>
        </is>
      </c>
      <c r="E7482" t="inlineStr">
        <is>
          <t>NORDMALING</t>
        </is>
      </c>
      <c r="F7482" t="inlineStr">
        <is>
          <t>SCA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47748-2022</t>
        </is>
      </c>
      <c r="B7483" s="1" t="n">
        <v>44854</v>
      </c>
      <c r="C7483" s="1" t="n">
        <v>45357</v>
      </c>
      <c r="D7483" t="inlineStr">
        <is>
          <t>VÄSTERBOTTENS LÄN</t>
        </is>
      </c>
      <c r="E7483" t="inlineStr">
        <is>
          <t>NORDMALING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47771-2022</t>
        </is>
      </c>
      <c r="B7484" s="1" t="n">
        <v>44854</v>
      </c>
      <c r="C7484" s="1" t="n">
        <v>45357</v>
      </c>
      <c r="D7484" t="inlineStr">
        <is>
          <t>VÄSTERBOTTENS LÄN</t>
        </is>
      </c>
      <c r="E7484" t="inlineStr">
        <is>
          <t>VÄNNÄS</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47777-2022</t>
        </is>
      </c>
      <c r="B7485" s="1" t="n">
        <v>44854</v>
      </c>
      <c r="C7485" s="1" t="n">
        <v>45357</v>
      </c>
      <c r="D7485" t="inlineStr">
        <is>
          <t>VÄSTERBOTTENS LÄN</t>
        </is>
      </c>
      <c r="E7485" t="inlineStr">
        <is>
          <t>NORDMALING</t>
        </is>
      </c>
      <c r="G7485" t="n">
        <v>10.5</v>
      </c>
      <c r="H7485" t="n">
        <v>0</v>
      </c>
      <c r="I7485" t="n">
        <v>0</v>
      </c>
      <c r="J7485" t="n">
        <v>0</v>
      </c>
      <c r="K7485" t="n">
        <v>0</v>
      </c>
      <c r="L7485" t="n">
        <v>0</v>
      </c>
      <c r="M7485" t="n">
        <v>0</v>
      </c>
      <c r="N7485" t="n">
        <v>0</v>
      </c>
      <c r="O7485" t="n">
        <v>0</v>
      </c>
      <c r="P7485" t="n">
        <v>0</v>
      </c>
      <c r="Q7485" t="n">
        <v>0</v>
      </c>
      <c r="R7485" s="2" t="inlineStr"/>
    </row>
    <row r="7486" ht="15" customHeight="1">
      <c r="A7486" t="inlineStr">
        <is>
          <t>A 48573-2022</t>
        </is>
      </c>
      <c r="B7486" s="1" t="n">
        <v>44854</v>
      </c>
      <c r="C7486" s="1" t="n">
        <v>45357</v>
      </c>
      <c r="D7486" t="inlineStr">
        <is>
          <t>VÄSTERBOTTENS LÄN</t>
        </is>
      </c>
      <c r="E7486" t="inlineStr">
        <is>
          <t>VINDELN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47908-2022</t>
        </is>
      </c>
      <c r="B7487" s="1" t="n">
        <v>44855</v>
      </c>
      <c r="C7487" s="1" t="n">
        <v>45357</v>
      </c>
      <c r="D7487" t="inlineStr">
        <is>
          <t>VÄSTERBOTTENS LÄN</t>
        </is>
      </c>
      <c r="E7487" t="inlineStr">
        <is>
          <t>SORSELE</t>
        </is>
      </c>
      <c r="F7487" t="inlineStr">
        <is>
          <t>Kyrkan</t>
        </is>
      </c>
      <c r="G7487" t="n">
        <v>22.7</v>
      </c>
      <c r="H7487" t="n">
        <v>0</v>
      </c>
      <c r="I7487" t="n">
        <v>0</v>
      </c>
      <c r="J7487" t="n">
        <v>0</v>
      </c>
      <c r="K7487" t="n">
        <v>0</v>
      </c>
      <c r="L7487" t="n">
        <v>0</v>
      </c>
      <c r="M7487" t="n">
        <v>0</v>
      </c>
      <c r="N7487" t="n">
        <v>0</v>
      </c>
      <c r="O7487" t="n">
        <v>0</v>
      </c>
      <c r="P7487" t="n">
        <v>0</v>
      </c>
      <c r="Q7487" t="n">
        <v>0</v>
      </c>
      <c r="R7487" s="2" t="inlineStr"/>
    </row>
    <row r="7488" ht="15" customHeight="1">
      <c r="A7488" t="inlineStr">
        <is>
          <t>A 47919-2022</t>
        </is>
      </c>
      <c r="B7488" s="1" t="n">
        <v>44855</v>
      </c>
      <c r="C7488" s="1" t="n">
        <v>45357</v>
      </c>
      <c r="D7488" t="inlineStr">
        <is>
          <t>VÄSTERBOTTENS LÄN</t>
        </is>
      </c>
      <c r="E7488" t="inlineStr">
        <is>
          <t>BJURHOLM</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48002-2022</t>
        </is>
      </c>
      <c r="B7489" s="1" t="n">
        <v>44855</v>
      </c>
      <c r="C7489" s="1" t="n">
        <v>45357</v>
      </c>
      <c r="D7489" t="inlineStr">
        <is>
          <t>VÄSTERBOTTENS LÄN</t>
        </is>
      </c>
      <c r="E7489" t="inlineStr">
        <is>
          <t>VINDELN</t>
        </is>
      </c>
      <c r="F7489" t="inlineStr">
        <is>
          <t>Holmen skog AB</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48068-2022</t>
        </is>
      </c>
      <c r="B7490" s="1" t="n">
        <v>44855</v>
      </c>
      <c r="C7490" s="1" t="n">
        <v>45357</v>
      </c>
      <c r="D7490" t="inlineStr">
        <is>
          <t>VÄSTERBOTTENS LÄN</t>
        </is>
      </c>
      <c r="E7490" t="inlineStr">
        <is>
          <t>VILHELMINA</t>
        </is>
      </c>
      <c r="F7490" t="inlineStr">
        <is>
          <t>SCA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47907-2022</t>
        </is>
      </c>
      <c r="B7491" s="1" t="n">
        <v>44855</v>
      </c>
      <c r="C7491" s="1" t="n">
        <v>45357</v>
      </c>
      <c r="D7491" t="inlineStr">
        <is>
          <t>VÄSTERBOTTENS LÄN</t>
        </is>
      </c>
      <c r="E7491" t="inlineStr">
        <is>
          <t>BJURHOLM</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48071-2022</t>
        </is>
      </c>
      <c r="B7492" s="1" t="n">
        <v>44856</v>
      </c>
      <c r="C7492" s="1" t="n">
        <v>45357</v>
      </c>
      <c r="D7492" t="inlineStr">
        <is>
          <t>VÄSTERBOTTENS LÄN</t>
        </is>
      </c>
      <c r="E7492" t="inlineStr">
        <is>
          <t>LYCKSELE</t>
        </is>
      </c>
      <c r="F7492" t="inlineStr">
        <is>
          <t>SCA</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48077-2022</t>
        </is>
      </c>
      <c r="B7493" s="1" t="n">
        <v>44856</v>
      </c>
      <c r="C7493" s="1" t="n">
        <v>45357</v>
      </c>
      <c r="D7493" t="inlineStr">
        <is>
          <t>VÄSTERBOTTENS LÄN</t>
        </is>
      </c>
      <c r="E7493" t="inlineStr">
        <is>
          <t>LYCKSELE</t>
        </is>
      </c>
      <c r="F7493" t="inlineStr">
        <is>
          <t>SCA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47952-2022</t>
        </is>
      </c>
      <c r="B7494" s="1" t="n">
        <v>44855</v>
      </c>
      <c r="C7494" s="1" t="n">
        <v>45357</v>
      </c>
      <c r="D7494" t="inlineStr">
        <is>
          <t>VÄSTERBOTTENS LÄN</t>
        </is>
      </c>
      <c r="E7494" t="inlineStr">
        <is>
          <t>VINDELN</t>
        </is>
      </c>
      <c r="F7494" t="inlineStr">
        <is>
          <t>Holmen skog AB</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48011-2022</t>
        </is>
      </c>
      <c r="B7495" s="1" t="n">
        <v>44855</v>
      </c>
      <c r="C7495" s="1" t="n">
        <v>45357</v>
      </c>
      <c r="D7495" t="inlineStr">
        <is>
          <t>VÄSTERBOTTENS LÄN</t>
        </is>
      </c>
      <c r="E7495" t="inlineStr">
        <is>
          <t>SKELLEFTEÅ</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48024-2022</t>
        </is>
      </c>
      <c r="B7496" s="1" t="n">
        <v>44855</v>
      </c>
      <c r="C7496" s="1" t="n">
        <v>45357</v>
      </c>
      <c r="D7496" t="inlineStr">
        <is>
          <t>VÄSTERBOTTENS LÄN</t>
        </is>
      </c>
      <c r="E7496" t="inlineStr">
        <is>
          <t>ROBERTSFORS</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48043-2022</t>
        </is>
      </c>
      <c r="B7497" s="1" t="n">
        <v>44855</v>
      </c>
      <c r="C7497" s="1" t="n">
        <v>45357</v>
      </c>
      <c r="D7497" t="inlineStr">
        <is>
          <t>VÄSTERBOTTENS LÄN</t>
        </is>
      </c>
      <c r="E7497" t="inlineStr">
        <is>
          <t>UMEÅ</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47940-2022</t>
        </is>
      </c>
      <c r="B7498" s="1" t="n">
        <v>44855</v>
      </c>
      <c r="C7498" s="1" t="n">
        <v>45357</v>
      </c>
      <c r="D7498" t="inlineStr">
        <is>
          <t>VÄSTERBOTTENS LÄN</t>
        </is>
      </c>
      <c r="E7498" t="inlineStr">
        <is>
          <t>VINDELN</t>
        </is>
      </c>
      <c r="F7498" t="inlineStr">
        <is>
          <t>Holmen skog AB</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48082-2022</t>
        </is>
      </c>
      <c r="B7499" s="1" t="n">
        <v>44856</v>
      </c>
      <c r="C7499" s="1" t="n">
        <v>45357</v>
      </c>
      <c r="D7499" t="inlineStr">
        <is>
          <t>VÄSTERBOTTENS LÄN</t>
        </is>
      </c>
      <c r="E7499" t="inlineStr">
        <is>
          <t>SKELLEFTEÅ</t>
        </is>
      </c>
      <c r="F7499" t="inlineStr">
        <is>
          <t>SCA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48722-2022</t>
        </is>
      </c>
      <c r="B7500" s="1" t="n">
        <v>44855</v>
      </c>
      <c r="C7500" s="1" t="n">
        <v>45357</v>
      </c>
      <c r="D7500" t="inlineStr">
        <is>
          <t>VÄSTERBOTTENS LÄN</t>
        </is>
      </c>
      <c r="E7500" t="inlineStr">
        <is>
          <t>SKELLEFTEÅ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48087-2022</t>
        </is>
      </c>
      <c r="B7501" s="1" t="n">
        <v>44856</v>
      </c>
      <c r="C7501" s="1" t="n">
        <v>45357</v>
      </c>
      <c r="D7501" t="inlineStr">
        <is>
          <t>VÄSTERBOTTENS LÄN</t>
        </is>
      </c>
      <c r="E7501" t="inlineStr">
        <is>
          <t>DOROTEA</t>
        </is>
      </c>
      <c r="F7501" t="inlineStr">
        <is>
          <t>SCA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48125-2022</t>
        </is>
      </c>
      <c r="B7502" s="1" t="n">
        <v>44857</v>
      </c>
      <c r="C7502" s="1" t="n">
        <v>45357</v>
      </c>
      <c r="D7502" t="inlineStr">
        <is>
          <t>VÄSTERBOTTENS LÄN</t>
        </is>
      </c>
      <c r="E7502" t="inlineStr">
        <is>
          <t>SKELLEFTEÅ</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48117-2022</t>
        </is>
      </c>
      <c r="B7503" s="1" t="n">
        <v>44857</v>
      </c>
      <c r="C7503" s="1" t="n">
        <v>45357</v>
      </c>
      <c r="D7503" t="inlineStr">
        <is>
          <t>VÄSTERBOTTENS LÄN</t>
        </is>
      </c>
      <c r="E7503" t="inlineStr">
        <is>
          <t>VILHELMINA</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48133-2022</t>
        </is>
      </c>
      <c r="B7504" s="1" t="n">
        <v>44857</v>
      </c>
      <c r="C7504" s="1" t="n">
        <v>45357</v>
      </c>
      <c r="D7504" t="inlineStr">
        <is>
          <t>VÄSTERBOTTENS LÄN</t>
        </is>
      </c>
      <c r="E7504" t="inlineStr">
        <is>
          <t>SKELLEFTEÅ</t>
        </is>
      </c>
      <c r="F7504" t="inlineStr">
        <is>
          <t>Sveaskog</t>
        </is>
      </c>
      <c r="G7504" t="n">
        <v>18.3</v>
      </c>
      <c r="H7504" t="n">
        <v>0</v>
      </c>
      <c r="I7504" t="n">
        <v>0</v>
      </c>
      <c r="J7504" t="n">
        <v>0</v>
      </c>
      <c r="K7504" t="n">
        <v>0</v>
      </c>
      <c r="L7504" t="n">
        <v>0</v>
      </c>
      <c r="M7504" t="n">
        <v>0</v>
      </c>
      <c r="N7504" t="n">
        <v>0</v>
      </c>
      <c r="O7504" t="n">
        <v>0</v>
      </c>
      <c r="P7504" t="n">
        <v>0</v>
      </c>
      <c r="Q7504" t="n">
        <v>0</v>
      </c>
      <c r="R7504" s="2" t="inlineStr"/>
    </row>
    <row r="7505" ht="15" customHeight="1">
      <c r="A7505" t="inlineStr">
        <is>
          <t>A 48143-2022</t>
        </is>
      </c>
      <c r="B7505" s="1" t="n">
        <v>44858</v>
      </c>
      <c r="C7505" s="1" t="n">
        <v>45357</v>
      </c>
      <c r="D7505" t="inlineStr">
        <is>
          <t>VÄSTERBOTTENS LÄN</t>
        </is>
      </c>
      <c r="E7505" t="inlineStr">
        <is>
          <t>MALÅ</t>
        </is>
      </c>
      <c r="F7505" t="inlineStr">
        <is>
          <t>Sveaskog</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48156-2022</t>
        </is>
      </c>
      <c r="B7506" s="1" t="n">
        <v>44858</v>
      </c>
      <c r="C7506" s="1" t="n">
        <v>45357</v>
      </c>
      <c r="D7506" t="inlineStr">
        <is>
          <t>VÄSTERBOTTENS LÄN</t>
        </is>
      </c>
      <c r="E7506" t="inlineStr">
        <is>
          <t>UMEÅ</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48283-2022</t>
        </is>
      </c>
      <c r="B7507" s="1" t="n">
        <v>44858</v>
      </c>
      <c r="C7507" s="1" t="n">
        <v>45357</v>
      </c>
      <c r="D7507" t="inlineStr">
        <is>
          <t>VÄSTERBOTTENS LÄN</t>
        </is>
      </c>
      <c r="E7507" t="inlineStr">
        <is>
          <t>ÅSELE</t>
        </is>
      </c>
      <c r="F7507" t="inlineStr">
        <is>
          <t>Sveaskog</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48358-2022</t>
        </is>
      </c>
      <c r="B7508" s="1" t="n">
        <v>44858</v>
      </c>
      <c r="C7508" s="1" t="n">
        <v>45357</v>
      </c>
      <c r="D7508" t="inlineStr">
        <is>
          <t>VÄSTERBOTTENS LÄN</t>
        </is>
      </c>
      <c r="E7508" t="inlineStr">
        <is>
          <t>STORUMAN</t>
        </is>
      </c>
      <c r="F7508" t="inlineStr">
        <is>
          <t>Sveaskog</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48144-2022</t>
        </is>
      </c>
      <c r="B7509" s="1" t="n">
        <v>44858</v>
      </c>
      <c r="C7509" s="1" t="n">
        <v>45357</v>
      </c>
      <c r="D7509" t="inlineStr">
        <is>
          <t>VÄSTERBOTTENS LÄN</t>
        </is>
      </c>
      <c r="E7509" t="inlineStr">
        <is>
          <t>MALÅ</t>
        </is>
      </c>
      <c r="F7509" t="inlineStr">
        <is>
          <t>Sveaskog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48524-2022</t>
        </is>
      </c>
      <c r="B7510" s="1" t="n">
        <v>44859</v>
      </c>
      <c r="C7510" s="1" t="n">
        <v>45357</v>
      </c>
      <c r="D7510" t="inlineStr">
        <is>
          <t>VÄSTERBOTTENS LÄN</t>
        </is>
      </c>
      <c r="E7510" t="inlineStr">
        <is>
          <t>VILHELMINA</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48145-2022</t>
        </is>
      </c>
      <c r="B7511" s="1" t="n">
        <v>44858</v>
      </c>
      <c r="C7511" s="1" t="n">
        <v>45357</v>
      </c>
      <c r="D7511" t="inlineStr">
        <is>
          <t>VÄSTERBOTTENS LÄN</t>
        </is>
      </c>
      <c r="E7511" t="inlineStr">
        <is>
          <t>MALÅ</t>
        </is>
      </c>
      <c r="F7511" t="inlineStr">
        <is>
          <t>Sveaskog</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48507-2022</t>
        </is>
      </c>
      <c r="B7512" s="1" t="n">
        <v>44859</v>
      </c>
      <c r="C7512" s="1" t="n">
        <v>45357</v>
      </c>
      <c r="D7512" t="inlineStr">
        <is>
          <t>VÄSTERBOTTENS LÄN</t>
        </is>
      </c>
      <c r="E7512" t="inlineStr">
        <is>
          <t>VILHELMINA</t>
        </is>
      </c>
      <c r="F7512" t="inlineStr">
        <is>
          <t>SCA</t>
        </is>
      </c>
      <c r="G7512" t="n">
        <v>10.5</v>
      </c>
      <c r="H7512" t="n">
        <v>0</v>
      </c>
      <c r="I7512" t="n">
        <v>0</v>
      </c>
      <c r="J7512" t="n">
        <v>0</v>
      </c>
      <c r="K7512" t="n">
        <v>0</v>
      </c>
      <c r="L7512" t="n">
        <v>0</v>
      </c>
      <c r="M7512" t="n">
        <v>0</v>
      </c>
      <c r="N7512" t="n">
        <v>0</v>
      </c>
      <c r="O7512" t="n">
        <v>0</v>
      </c>
      <c r="P7512" t="n">
        <v>0</v>
      </c>
      <c r="Q7512" t="n">
        <v>0</v>
      </c>
      <c r="R7512" s="2" t="inlineStr"/>
    </row>
    <row r="7513" ht="15" customHeight="1">
      <c r="A7513" t="inlineStr">
        <is>
          <t>A 48526-2022</t>
        </is>
      </c>
      <c r="B7513" s="1" t="n">
        <v>44858</v>
      </c>
      <c r="C7513" s="1" t="n">
        <v>45357</v>
      </c>
      <c r="D7513" t="inlineStr">
        <is>
          <t>VÄSTERBOTTENS LÄN</t>
        </is>
      </c>
      <c r="E7513" t="inlineStr">
        <is>
          <t>VILHELMINA</t>
        </is>
      </c>
      <c r="F7513" t="inlineStr">
        <is>
          <t>SCA</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49226-2022</t>
        </is>
      </c>
      <c r="B7514" s="1" t="n">
        <v>44858</v>
      </c>
      <c r="C7514" s="1" t="n">
        <v>45357</v>
      </c>
      <c r="D7514" t="inlineStr">
        <is>
          <t>VÄSTERBOTTENS LÄN</t>
        </is>
      </c>
      <c r="E7514" t="inlineStr">
        <is>
          <t>NORDMALING</t>
        </is>
      </c>
      <c r="G7514" t="n">
        <v>8.300000000000001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49241-2022</t>
        </is>
      </c>
      <c r="B7515" s="1" t="n">
        <v>44858</v>
      </c>
      <c r="C7515" s="1" t="n">
        <v>45357</v>
      </c>
      <c r="D7515" t="inlineStr">
        <is>
          <t>VÄSTERBOTTENS LÄN</t>
        </is>
      </c>
      <c r="E7515" t="inlineStr">
        <is>
          <t>SKELLEFTEÅ</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48280-2022</t>
        </is>
      </c>
      <c r="B7516" s="1" t="n">
        <v>44858</v>
      </c>
      <c r="C7516" s="1" t="n">
        <v>45357</v>
      </c>
      <c r="D7516" t="inlineStr">
        <is>
          <t>VÄSTERBOTTENS LÄN</t>
        </is>
      </c>
      <c r="E7516" t="inlineStr">
        <is>
          <t>ÅSELE</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48329-2022</t>
        </is>
      </c>
      <c r="B7517" s="1" t="n">
        <v>44858</v>
      </c>
      <c r="C7517" s="1" t="n">
        <v>45357</v>
      </c>
      <c r="D7517" t="inlineStr">
        <is>
          <t>VÄSTERBOTTENS LÄN</t>
        </is>
      </c>
      <c r="E7517" t="inlineStr">
        <is>
          <t>NORDMALING</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48432-2022</t>
        </is>
      </c>
      <c r="B7518" s="1" t="n">
        <v>44858</v>
      </c>
      <c r="C7518" s="1" t="n">
        <v>45357</v>
      </c>
      <c r="D7518" t="inlineStr">
        <is>
          <t>VÄSTERBOTTENS LÄN</t>
        </is>
      </c>
      <c r="E7518" t="inlineStr">
        <is>
          <t>ROBERTSFORS</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48515-2022</t>
        </is>
      </c>
      <c r="B7519" s="1" t="n">
        <v>44859</v>
      </c>
      <c r="C7519" s="1" t="n">
        <v>45357</v>
      </c>
      <c r="D7519" t="inlineStr">
        <is>
          <t>VÄSTERBOTTENS LÄN</t>
        </is>
      </c>
      <c r="E7519" t="inlineStr">
        <is>
          <t>VILHELMINA</t>
        </is>
      </c>
      <c r="F7519" t="inlineStr">
        <is>
          <t>SCA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48551-2022</t>
        </is>
      </c>
      <c r="B7520" s="1" t="n">
        <v>44859</v>
      </c>
      <c r="C7520" s="1" t="n">
        <v>45357</v>
      </c>
      <c r="D7520" t="inlineStr">
        <is>
          <t>VÄSTERBOTTENS LÄN</t>
        </is>
      </c>
      <c r="E7520" t="inlineStr">
        <is>
          <t>VILHELMINA</t>
        </is>
      </c>
      <c r="F7520" t="inlineStr">
        <is>
          <t>SCA</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48508-2022</t>
        </is>
      </c>
      <c r="B7521" s="1" t="n">
        <v>44858</v>
      </c>
      <c r="C7521" s="1" t="n">
        <v>45357</v>
      </c>
      <c r="D7521" t="inlineStr">
        <is>
          <t>VÄSTERBOTTENS LÄN</t>
        </is>
      </c>
      <c r="E7521" t="inlineStr">
        <is>
          <t>VILHELMINA</t>
        </is>
      </c>
      <c r="F7521" t="inlineStr">
        <is>
          <t>SCA</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48527-2022</t>
        </is>
      </c>
      <c r="B7522" s="1" t="n">
        <v>44859</v>
      </c>
      <c r="C7522" s="1" t="n">
        <v>45357</v>
      </c>
      <c r="D7522" t="inlineStr">
        <is>
          <t>VÄSTERBOTTENS LÄN</t>
        </is>
      </c>
      <c r="E7522" t="inlineStr">
        <is>
          <t>VILHELMINA</t>
        </is>
      </c>
      <c r="F7522" t="inlineStr">
        <is>
          <t>SCA</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48770-2022</t>
        </is>
      </c>
      <c r="B7523" s="1" t="n">
        <v>44859</v>
      </c>
      <c r="C7523" s="1" t="n">
        <v>45357</v>
      </c>
      <c r="D7523" t="inlineStr">
        <is>
          <t>VÄSTERBOTTENS LÄN</t>
        </is>
      </c>
      <c r="E7523" t="inlineStr">
        <is>
          <t>VINDELN</t>
        </is>
      </c>
      <c r="F7523" t="inlineStr">
        <is>
          <t>Holmen skog AB</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48775-2022</t>
        </is>
      </c>
      <c r="B7524" s="1" t="n">
        <v>44859</v>
      </c>
      <c r="C7524" s="1" t="n">
        <v>45357</v>
      </c>
      <c r="D7524" t="inlineStr">
        <is>
          <t>VÄSTERBOTTENS LÄN</t>
        </is>
      </c>
      <c r="E7524" t="inlineStr">
        <is>
          <t>VILHELMINA</t>
        </is>
      </c>
      <c r="F7524" t="inlineStr">
        <is>
          <t>Sveaskog</t>
        </is>
      </c>
      <c r="G7524" t="n">
        <v>10.7</v>
      </c>
      <c r="H7524" t="n">
        <v>0</v>
      </c>
      <c r="I7524" t="n">
        <v>0</v>
      </c>
      <c r="J7524" t="n">
        <v>0</v>
      </c>
      <c r="K7524" t="n">
        <v>0</v>
      </c>
      <c r="L7524" t="n">
        <v>0</v>
      </c>
      <c r="M7524" t="n">
        <v>0</v>
      </c>
      <c r="N7524" t="n">
        <v>0</v>
      </c>
      <c r="O7524" t="n">
        <v>0</v>
      </c>
      <c r="P7524" t="n">
        <v>0</v>
      </c>
      <c r="Q7524" t="n">
        <v>0</v>
      </c>
      <c r="R7524" s="2" t="inlineStr"/>
    </row>
    <row r="7525" ht="15" customHeight="1">
      <c r="A7525" t="inlineStr">
        <is>
          <t>A 48610-2022</t>
        </is>
      </c>
      <c r="B7525" s="1" t="n">
        <v>44859</v>
      </c>
      <c r="C7525" s="1" t="n">
        <v>45357</v>
      </c>
      <c r="D7525" t="inlineStr">
        <is>
          <t>VÄSTERBOTTENS LÄN</t>
        </is>
      </c>
      <c r="E7525" t="inlineStr">
        <is>
          <t>VINDELN</t>
        </is>
      </c>
      <c r="F7525" t="inlineStr">
        <is>
          <t>Holmen skog AB</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48772-2022</t>
        </is>
      </c>
      <c r="B7526" s="1" t="n">
        <v>44859</v>
      </c>
      <c r="C7526" s="1" t="n">
        <v>45357</v>
      </c>
      <c r="D7526" t="inlineStr">
        <is>
          <t>VÄSTERBOTTENS LÄN</t>
        </is>
      </c>
      <c r="E7526" t="inlineStr">
        <is>
          <t>ÅSELE</t>
        </is>
      </c>
      <c r="F7526" t="inlineStr">
        <is>
          <t>Sveaskog</t>
        </is>
      </c>
      <c r="G7526" t="n">
        <v>26.9</v>
      </c>
      <c r="H7526" t="n">
        <v>0</v>
      </c>
      <c r="I7526" t="n">
        <v>0</v>
      </c>
      <c r="J7526" t="n">
        <v>0</v>
      </c>
      <c r="K7526" t="n">
        <v>0</v>
      </c>
      <c r="L7526" t="n">
        <v>0</v>
      </c>
      <c r="M7526" t="n">
        <v>0</v>
      </c>
      <c r="N7526" t="n">
        <v>0</v>
      </c>
      <c r="O7526" t="n">
        <v>0</v>
      </c>
      <c r="P7526" t="n">
        <v>0</v>
      </c>
      <c r="Q7526" t="n">
        <v>0</v>
      </c>
      <c r="R7526" s="2" t="inlineStr"/>
    </row>
    <row r="7527" ht="15" customHeight="1">
      <c r="A7527" t="inlineStr">
        <is>
          <t>A 48678-2022</t>
        </is>
      </c>
      <c r="B7527" s="1" t="n">
        <v>44859</v>
      </c>
      <c r="C7527" s="1" t="n">
        <v>45357</v>
      </c>
      <c r="D7527" t="inlineStr">
        <is>
          <t>VÄSTERBOTTENS LÄN</t>
        </is>
      </c>
      <c r="E7527" t="inlineStr">
        <is>
          <t>LYCKSELE</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48768-2022</t>
        </is>
      </c>
      <c r="B7528" s="1" t="n">
        <v>44859</v>
      </c>
      <c r="C7528" s="1" t="n">
        <v>45357</v>
      </c>
      <c r="D7528" t="inlineStr">
        <is>
          <t>VÄSTERBOTTENS LÄN</t>
        </is>
      </c>
      <c r="E7528" t="inlineStr">
        <is>
          <t>VILHELMINA</t>
        </is>
      </c>
      <c r="F7528" t="inlineStr">
        <is>
          <t>Sveaskog</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48779-2022</t>
        </is>
      </c>
      <c r="B7529" s="1" t="n">
        <v>44859</v>
      </c>
      <c r="C7529" s="1" t="n">
        <v>45357</v>
      </c>
      <c r="D7529" t="inlineStr">
        <is>
          <t>VÄSTERBOTTENS LÄN</t>
        </is>
      </c>
      <c r="E7529" t="inlineStr">
        <is>
          <t>UMEÅ</t>
        </is>
      </c>
      <c r="F7529" t="inlineStr">
        <is>
          <t>Holmen skog AB</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48843-2022</t>
        </is>
      </c>
      <c r="B7530" s="1" t="n">
        <v>44859</v>
      </c>
      <c r="C7530" s="1" t="n">
        <v>45357</v>
      </c>
      <c r="D7530" t="inlineStr">
        <is>
          <t>VÄSTERBOTTENS LÄN</t>
        </is>
      </c>
      <c r="E7530" t="inlineStr">
        <is>
          <t>UMEÅ</t>
        </is>
      </c>
      <c r="F7530" t="inlineStr">
        <is>
          <t>Holmen skog AB</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48935-2022</t>
        </is>
      </c>
      <c r="B7531" s="1" t="n">
        <v>44859</v>
      </c>
      <c r="C7531" s="1" t="n">
        <v>45357</v>
      </c>
      <c r="D7531" t="inlineStr">
        <is>
          <t>VÄSTERBOTTENS LÄN</t>
        </is>
      </c>
      <c r="E7531" t="inlineStr">
        <is>
          <t>DOROTEA</t>
        </is>
      </c>
      <c r="F7531" t="inlineStr">
        <is>
          <t>SCA</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48771-2022</t>
        </is>
      </c>
      <c r="B7532" s="1" t="n">
        <v>44859</v>
      </c>
      <c r="C7532" s="1" t="n">
        <v>45357</v>
      </c>
      <c r="D7532" t="inlineStr">
        <is>
          <t>VÄSTERBOTTENS LÄN</t>
        </is>
      </c>
      <c r="E7532" t="inlineStr">
        <is>
          <t>UMEÅ</t>
        </is>
      </c>
      <c r="F7532" t="inlineStr">
        <is>
          <t>Holmen skog AB</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48881-2022</t>
        </is>
      </c>
      <c r="B7533" s="1" t="n">
        <v>44859</v>
      </c>
      <c r="C7533" s="1" t="n">
        <v>45357</v>
      </c>
      <c r="D7533" t="inlineStr">
        <is>
          <t>VÄSTERBOTTENS LÄN</t>
        </is>
      </c>
      <c r="E7533" t="inlineStr">
        <is>
          <t>UMEÅ</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48939-2022</t>
        </is>
      </c>
      <c r="B7534" s="1" t="n">
        <v>44860</v>
      </c>
      <c r="C7534" s="1" t="n">
        <v>45357</v>
      </c>
      <c r="D7534" t="inlineStr">
        <is>
          <t>VÄSTERBOTTENS LÄN</t>
        </is>
      </c>
      <c r="E7534" t="inlineStr">
        <is>
          <t>NORDMALING</t>
        </is>
      </c>
      <c r="F7534" t="inlineStr">
        <is>
          <t>SCA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48943-2022</t>
        </is>
      </c>
      <c r="B7535" s="1" t="n">
        <v>44860</v>
      </c>
      <c r="C7535" s="1" t="n">
        <v>45357</v>
      </c>
      <c r="D7535" t="inlineStr">
        <is>
          <t>VÄSTERBOTTENS LÄN</t>
        </is>
      </c>
      <c r="E7535" t="inlineStr">
        <is>
          <t>NORDMALING</t>
        </is>
      </c>
      <c r="F7535" t="inlineStr">
        <is>
          <t>SCA</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48890-2022</t>
        </is>
      </c>
      <c r="B7536" s="1" t="n">
        <v>44859</v>
      </c>
      <c r="C7536" s="1" t="n">
        <v>45357</v>
      </c>
      <c r="D7536" t="inlineStr">
        <is>
          <t>VÄSTERBOTTENS LÄN</t>
        </is>
      </c>
      <c r="E7536" t="inlineStr">
        <is>
          <t>LYCKSELE</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48942-2022</t>
        </is>
      </c>
      <c r="B7537" s="1" t="n">
        <v>44860</v>
      </c>
      <c r="C7537" s="1" t="n">
        <v>45357</v>
      </c>
      <c r="D7537" t="inlineStr">
        <is>
          <t>VÄSTERBOTTENS LÄN</t>
        </is>
      </c>
      <c r="E7537" t="inlineStr">
        <is>
          <t>NORDMALING</t>
        </is>
      </c>
      <c r="F7537" t="inlineStr">
        <is>
          <t>SCA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48946-2022</t>
        </is>
      </c>
      <c r="B7538" s="1" t="n">
        <v>44860</v>
      </c>
      <c r="C7538" s="1" t="n">
        <v>45357</v>
      </c>
      <c r="D7538" t="inlineStr">
        <is>
          <t>VÄSTERBOTTENS LÄN</t>
        </is>
      </c>
      <c r="E7538" t="inlineStr">
        <is>
          <t>BJURHOLM</t>
        </is>
      </c>
      <c r="F7538" t="inlineStr">
        <is>
          <t>SCA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48867-2022</t>
        </is>
      </c>
      <c r="B7539" s="1" t="n">
        <v>44859</v>
      </c>
      <c r="C7539" s="1" t="n">
        <v>45357</v>
      </c>
      <c r="D7539" t="inlineStr">
        <is>
          <t>VÄSTERBOTTENS LÄN</t>
        </is>
      </c>
      <c r="E7539" t="inlineStr">
        <is>
          <t>VINDELN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48941-2022</t>
        </is>
      </c>
      <c r="B7540" s="1" t="n">
        <v>44860</v>
      </c>
      <c r="C7540" s="1" t="n">
        <v>45357</v>
      </c>
      <c r="D7540" t="inlineStr">
        <is>
          <t>VÄSTERBOTTENS LÄN</t>
        </is>
      </c>
      <c r="E7540" t="inlineStr">
        <is>
          <t>NORDMALING</t>
        </is>
      </c>
      <c r="F7540" t="inlineStr">
        <is>
          <t>SCA</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48945-2022</t>
        </is>
      </c>
      <c r="B7541" s="1" t="n">
        <v>44860</v>
      </c>
      <c r="C7541" s="1" t="n">
        <v>45357</v>
      </c>
      <c r="D7541" t="inlineStr">
        <is>
          <t>VÄSTERBOTTENS LÄN</t>
        </is>
      </c>
      <c r="E7541" t="inlineStr">
        <is>
          <t>NORDMALING</t>
        </is>
      </c>
      <c r="F7541" t="inlineStr">
        <is>
          <t>SCA</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48949-2022</t>
        </is>
      </c>
      <c r="B7542" s="1" t="n">
        <v>44860</v>
      </c>
      <c r="C7542" s="1" t="n">
        <v>45357</v>
      </c>
      <c r="D7542" t="inlineStr">
        <is>
          <t>VÄSTERBOTTENS LÄN</t>
        </is>
      </c>
      <c r="E7542" t="inlineStr">
        <is>
          <t>NORDMALING</t>
        </is>
      </c>
      <c r="F7542" t="inlineStr">
        <is>
          <t>SCA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48940-2022</t>
        </is>
      </c>
      <c r="B7543" s="1" t="n">
        <v>44860</v>
      </c>
      <c r="C7543" s="1" t="n">
        <v>45357</v>
      </c>
      <c r="D7543" t="inlineStr">
        <is>
          <t>VÄSTERBOTTENS LÄN</t>
        </is>
      </c>
      <c r="E7543" t="inlineStr">
        <is>
          <t>NORDMALING</t>
        </is>
      </c>
      <c r="F7543" t="inlineStr">
        <is>
          <t>SCA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48944-2022</t>
        </is>
      </c>
      <c r="B7544" s="1" t="n">
        <v>44860</v>
      </c>
      <c r="C7544" s="1" t="n">
        <v>45357</v>
      </c>
      <c r="D7544" t="inlineStr">
        <is>
          <t>VÄSTERBOTTENS LÄN</t>
        </is>
      </c>
      <c r="E7544" t="inlineStr">
        <is>
          <t>NORDMALING</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48948-2022</t>
        </is>
      </c>
      <c r="B7545" s="1" t="n">
        <v>44860</v>
      </c>
      <c r="C7545" s="1" t="n">
        <v>45357</v>
      </c>
      <c r="D7545" t="inlineStr">
        <is>
          <t>VÄSTERBOTTENS LÄN</t>
        </is>
      </c>
      <c r="E7545" t="inlineStr">
        <is>
          <t>NORDMALING</t>
        </is>
      </c>
      <c r="F7545" t="inlineStr">
        <is>
          <t>SCA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49428-2022</t>
        </is>
      </c>
      <c r="B7546" s="1" t="n">
        <v>44859</v>
      </c>
      <c r="C7546" s="1" t="n">
        <v>45357</v>
      </c>
      <c r="D7546" t="inlineStr">
        <is>
          <t>VÄSTERBOTTENS LÄN</t>
        </is>
      </c>
      <c r="E7546" t="inlineStr">
        <is>
          <t>ÅSELE</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49599-2022</t>
        </is>
      </c>
      <c r="B7547" s="1" t="n">
        <v>44859</v>
      </c>
      <c r="C7547" s="1" t="n">
        <v>45357</v>
      </c>
      <c r="D7547" t="inlineStr">
        <is>
          <t>VÄSTERBOTTENS LÄN</t>
        </is>
      </c>
      <c r="E7547" t="inlineStr">
        <is>
          <t>VILHELMINA</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49417-2022</t>
        </is>
      </c>
      <c r="B7548" s="1" t="n">
        <v>44859</v>
      </c>
      <c r="C7548" s="1" t="n">
        <v>45357</v>
      </c>
      <c r="D7548" t="inlineStr">
        <is>
          <t>VÄSTERBOTTENS LÄN</t>
        </is>
      </c>
      <c r="E7548" t="inlineStr">
        <is>
          <t>NORDMALING</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49077-2022</t>
        </is>
      </c>
      <c r="B7549" s="1" t="n">
        <v>44860</v>
      </c>
      <c r="C7549" s="1" t="n">
        <v>45357</v>
      </c>
      <c r="D7549" t="inlineStr">
        <is>
          <t>VÄSTERBOTTENS LÄN</t>
        </is>
      </c>
      <c r="E7549" t="inlineStr">
        <is>
          <t>DOROTEA</t>
        </is>
      </c>
      <c r="F7549" t="inlineStr">
        <is>
          <t>Sveaskog</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49084-2022</t>
        </is>
      </c>
      <c r="B7550" s="1" t="n">
        <v>44860</v>
      </c>
      <c r="C7550" s="1" t="n">
        <v>45357</v>
      </c>
      <c r="D7550" t="inlineStr">
        <is>
          <t>VÄSTERBOTTENS LÄN</t>
        </is>
      </c>
      <c r="E7550" t="inlineStr">
        <is>
          <t>STORUMAN</t>
        </is>
      </c>
      <c r="F7550" t="inlineStr">
        <is>
          <t>Sveaskog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49017-2022</t>
        </is>
      </c>
      <c r="B7551" s="1" t="n">
        <v>44860</v>
      </c>
      <c r="C7551" s="1" t="n">
        <v>45357</v>
      </c>
      <c r="D7551" t="inlineStr">
        <is>
          <t>VÄSTERBOTTENS LÄN</t>
        </is>
      </c>
      <c r="E7551" t="inlineStr">
        <is>
          <t>ROBERTSFORS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49027-2022</t>
        </is>
      </c>
      <c r="B7552" s="1" t="n">
        <v>44860</v>
      </c>
      <c r="C7552" s="1" t="n">
        <v>45357</v>
      </c>
      <c r="D7552" t="inlineStr">
        <is>
          <t>VÄSTERBOTTENS LÄN</t>
        </is>
      </c>
      <c r="E7552" t="inlineStr">
        <is>
          <t>UMEÅ</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49063-2022</t>
        </is>
      </c>
      <c r="B7553" s="1" t="n">
        <v>44860</v>
      </c>
      <c r="C7553" s="1" t="n">
        <v>45357</v>
      </c>
      <c r="D7553" t="inlineStr">
        <is>
          <t>VÄSTERBOTTENS LÄN</t>
        </is>
      </c>
      <c r="E7553" t="inlineStr">
        <is>
          <t>ÅSELE</t>
        </is>
      </c>
      <c r="F7553" t="inlineStr">
        <is>
          <t>Sveaskog</t>
        </is>
      </c>
      <c r="G7553" t="n">
        <v>17.1</v>
      </c>
      <c r="H7553" t="n">
        <v>0</v>
      </c>
      <c r="I7553" t="n">
        <v>0</v>
      </c>
      <c r="J7553" t="n">
        <v>0</v>
      </c>
      <c r="K7553" t="n">
        <v>0</v>
      </c>
      <c r="L7553" t="n">
        <v>0</v>
      </c>
      <c r="M7553" t="n">
        <v>0</v>
      </c>
      <c r="N7553" t="n">
        <v>0</v>
      </c>
      <c r="O7553" t="n">
        <v>0</v>
      </c>
      <c r="P7553" t="n">
        <v>0</v>
      </c>
      <c r="Q7553" t="n">
        <v>0</v>
      </c>
      <c r="R7553" s="2" t="inlineStr"/>
    </row>
    <row r="7554" ht="15" customHeight="1">
      <c r="A7554" t="inlineStr">
        <is>
          <t>A 49066-2022</t>
        </is>
      </c>
      <c r="B7554" s="1" t="n">
        <v>44860</v>
      </c>
      <c r="C7554" s="1" t="n">
        <v>45357</v>
      </c>
      <c r="D7554" t="inlineStr">
        <is>
          <t>VÄSTERBOTTENS LÄN</t>
        </is>
      </c>
      <c r="E7554" t="inlineStr">
        <is>
          <t>ÅSELE</t>
        </is>
      </c>
      <c r="F7554" t="inlineStr">
        <is>
          <t>Sveaskog</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49039-2022</t>
        </is>
      </c>
      <c r="B7555" s="1" t="n">
        <v>44860</v>
      </c>
      <c r="C7555" s="1" t="n">
        <v>45357</v>
      </c>
      <c r="D7555" t="inlineStr">
        <is>
          <t>VÄSTERBOTTENS LÄN</t>
        </is>
      </c>
      <c r="E7555" t="inlineStr">
        <is>
          <t>ROBERTSFORS</t>
        </is>
      </c>
      <c r="F7555" t="inlineStr">
        <is>
          <t>Holmen skog AB</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49081-2022</t>
        </is>
      </c>
      <c r="B7556" s="1" t="n">
        <v>44860</v>
      </c>
      <c r="C7556" s="1" t="n">
        <v>45357</v>
      </c>
      <c r="D7556" t="inlineStr">
        <is>
          <t>VÄSTERBOTTENS LÄN</t>
        </is>
      </c>
      <c r="E7556" t="inlineStr">
        <is>
          <t>STORUMAN</t>
        </is>
      </c>
      <c r="F7556" t="inlineStr">
        <is>
          <t>Sveaskog</t>
        </is>
      </c>
      <c r="G7556" t="n">
        <v>19.8</v>
      </c>
      <c r="H7556" t="n">
        <v>0</v>
      </c>
      <c r="I7556" t="n">
        <v>0</v>
      </c>
      <c r="J7556" t="n">
        <v>0</v>
      </c>
      <c r="K7556" t="n">
        <v>0</v>
      </c>
      <c r="L7556" t="n">
        <v>0</v>
      </c>
      <c r="M7556" t="n">
        <v>0</v>
      </c>
      <c r="N7556" t="n">
        <v>0</v>
      </c>
      <c r="O7556" t="n">
        <v>0</v>
      </c>
      <c r="P7556" t="n">
        <v>0</v>
      </c>
      <c r="Q7556" t="n">
        <v>0</v>
      </c>
      <c r="R7556" s="2" t="inlineStr"/>
    </row>
    <row r="7557" ht="15" customHeight="1">
      <c r="A7557" t="inlineStr">
        <is>
          <t>A 49174-2022</t>
        </is>
      </c>
      <c r="B7557" s="1" t="n">
        <v>44860</v>
      </c>
      <c r="C7557" s="1" t="n">
        <v>45357</v>
      </c>
      <c r="D7557" t="inlineStr">
        <is>
          <t>VÄSTERBOTTENS LÄN</t>
        </is>
      </c>
      <c r="E7557" t="inlineStr">
        <is>
          <t>NORDMALING</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49146-2022</t>
        </is>
      </c>
      <c r="B7558" s="1" t="n">
        <v>44860</v>
      </c>
      <c r="C7558" s="1" t="n">
        <v>45357</v>
      </c>
      <c r="D7558" t="inlineStr">
        <is>
          <t>VÄSTERBOTTENS LÄN</t>
        </is>
      </c>
      <c r="E7558" t="inlineStr">
        <is>
          <t>ROBERTSFORS</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49173-2022</t>
        </is>
      </c>
      <c r="B7559" s="1" t="n">
        <v>44860</v>
      </c>
      <c r="C7559" s="1" t="n">
        <v>45357</v>
      </c>
      <c r="D7559" t="inlineStr">
        <is>
          <t>VÄSTERBOTTENS LÄN</t>
        </is>
      </c>
      <c r="E7559" t="inlineStr">
        <is>
          <t>NORDMALING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49992-2022</t>
        </is>
      </c>
      <c r="B7560" s="1" t="n">
        <v>44860</v>
      </c>
      <c r="C7560" s="1" t="n">
        <v>45357</v>
      </c>
      <c r="D7560" t="inlineStr">
        <is>
          <t>VÄSTERBOTTENS LÄN</t>
        </is>
      </c>
      <c r="E7560" t="inlineStr">
        <is>
          <t>SKELLEFTEÅ</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50081-2022</t>
        </is>
      </c>
      <c r="B7561" s="1" t="n">
        <v>44860</v>
      </c>
      <c r="C7561" s="1" t="n">
        <v>45357</v>
      </c>
      <c r="D7561" t="inlineStr">
        <is>
          <t>VÄSTERBOTTENS LÄN</t>
        </is>
      </c>
      <c r="E7561" t="inlineStr">
        <is>
          <t>VINDELN</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50086-2022</t>
        </is>
      </c>
      <c r="B7562" s="1" t="n">
        <v>44860</v>
      </c>
      <c r="C7562" s="1" t="n">
        <v>45357</v>
      </c>
      <c r="D7562" t="inlineStr">
        <is>
          <t>VÄSTERBOTTENS LÄN</t>
        </is>
      </c>
      <c r="E7562" t="inlineStr">
        <is>
          <t>VINDELN</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50018-2022</t>
        </is>
      </c>
      <c r="B7563" s="1" t="n">
        <v>44860</v>
      </c>
      <c r="C7563" s="1" t="n">
        <v>45357</v>
      </c>
      <c r="D7563" t="inlineStr">
        <is>
          <t>VÄSTERBOTTENS LÄN</t>
        </is>
      </c>
      <c r="E7563" t="inlineStr">
        <is>
          <t>SORSELE</t>
        </is>
      </c>
      <c r="F7563" t="inlineStr">
        <is>
          <t>SCA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49248-2022</t>
        </is>
      </c>
      <c r="B7564" s="1" t="n">
        <v>44861</v>
      </c>
      <c r="C7564" s="1" t="n">
        <v>45357</v>
      </c>
      <c r="D7564" t="inlineStr">
        <is>
          <t>VÄSTERBOTTENS LÄN</t>
        </is>
      </c>
      <c r="E7564" t="inlineStr">
        <is>
          <t>UMEÅ</t>
        </is>
      </c>
      <c r="F7564" t="inlineStr">
        <is>
          <t>Sveaskog</t>
        </is>
      </c>
      <c r="G7564" t="n">
        <v>8</v>
      </c>
      <c r="H7564" t="n">
        <v>0</v>
      </c>
      <c r="I7564" t="n">
        <v>0</v>
      </c>
      <c r="J7564" t="n">
        <v>0</v>
      </c>
      <c r="K7564" t="n">
        <v>0</v>
      </c>
      <c r="L7564" t="n">
        <v>0</v>
      </c>
      <c r="M7564" t="n">
        <v>0</v>
      </c>
      <c r="N7564" t="n">
        <v>0</v>
      </c>
      <c r="O7564" t="n">
        <v>0</v>
      </c>
      <c r="P7564" t="n">
        <v>0</v>
      </c>
      <c r="Q7564" t="n">
        <v>0</v>
      </c>
      <c r="R7564" s="2" t="inlineStr"/>
    </row>
    <row r="7565" ht="15" customHeight="1">
      <c r="A7565" t="inlineStr">
        <is>
          <t>A 49246-2022</t>
        </is>
      </c>
      <c r="B7565" s="1" t="n">
        <v>44861</v>
      </c>
      <c r="C7565" s="1" t="n">
        <v>45357</v>
      </c>
      <c r="D7565" t="inlineStr">
        <is>
          <t>VÄSTERBOTTENS LÄN</t>
        </is>
      </c>
      <c r="E7565" t="inlineStr">
        <is>
          <t>SKELLEFTEÅ</t>
        </is>
      </c>
      <c r="F7565" t="inlineStr">
        <is>
          <t>Holmen skog AB</t>
        </is>
      </c>
      <c r="G7565" t="n">
        <v>10.4</v>
      </c>
      <c r="H7565" t="n">
        <v>0</v>
      </c>
      <c r="I7565" t="n">
        <v>0</v>
      </c>
      <c r="J7565" t="n">
        <v>0</v>
      </c>
      <c r="K7565" t="n">
        <v>0</v>
      </c>
      <c r="L7565" t="n">
        <v>0</v>
      </c>
      <c r="M7565" t="n">
        <v>0</v>
      </c>
      <c r="N7565" t="n">
        <v>0</v>
      </c>
      <c r="O7565" t="n">
        <v>0</v>
      </c>
      <c r="P7565" t="n">
        <v>0</v>
      </c>
      <c r="Q7565" t="n">
        <v>0</v>
      </c>
      <c r="R7565" s="2" t="inlineStr"/>
    </row>
    <row r="7566" ht="15" customHeight="1">
      <c r="A7566" t="inlineStr">
        <is>
          <t>A 49296-2022</t>
        </is>
      </c>
      <c r="B7566" s="1" t="n">
        <v>44861</v>
      </c>
      <c r="C7566" s="1" t="n">
        <v>45357</v>
      </c>
      <c r="D7566" t="inlineStr">
        <is>
          <t>VÄSTERBOTTENS LÄN</t>
        </is>
      </c>
      <c r="E7566" t="inlineStr">
        <is>
          <t>UMEÅ</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49251-2022</t>
        </is>
      </c>
      <c r="B7567" s="1" t="n">
        <v>44861</v>
      </c>
      <c r="C7567" s="1" t="n">
        <v>45357</v>
      </c>
      <c r="D7567" t="inlineStr">
        <is>
          <t>VÄSTERBOTTENS LÄN</t>
        </is>
      </c>
      <c r="E7567" t="inlineStr">
        <is>
          <t>VINDELN</t>
        </is>
      </c>
      <c r="F7567" t="inlineStr">
        <is>
          <t>Sveaskog</t>
        </is>
      </c>
      <c r="G7567" t="n">
        <v>23.7</v>
      </c>
      <c r="H7567" t="n">
        <v>0</v>
      </c>
      <c r="I7567" t="n">
        <v>0</v>
      </c>
      <c r="J7567" t="n">
        <v>0</v>
      </c>
      <c r="K7567" t="n">
        <v>0</v>
      </c>
      <c r="L7567" t="n">
        <v>0</v>
      </c>
      <c r="M7567" t="n">
        <v>0</v>
      </c>
      <c r="N7567" t="n">
        <v>0</v>
      </c>
      <c r="O7567" t="n">
        <v>0</v>
      </c>
      <c r="P7567" t="n">
        <v>0</v>
      </c>
      <c r="Q7567" t="n">
        <v>0</v>
      </c>
      <c r="R7567" s="2" t="inlineStr"/>
    </row>
    <row r="7568" ht="15" customHeight="1">
      <c r="A7568" t="inlineStr">
        <is>
          <t>A 49514-2022</t>
        </is>
      </c>
      <c r="B7568" s="1" t="n">
        <v>44861</v>
      </c>
      <c r="C7568" s="1" t="n">
        <v>45357</v>
      </c>
      <c r="D7568" t="inlineStr">
        <is>
          <t>VÄSTERBOTTENS LÄN</t>
        </is>
      </c>
      <c r="E7568" t="inlineStr">
        <is>
          <t>LYCKSELE</t>
        </is>
      </c>
      <c r="F7568" t="inlineStr">
        <is>
          <t>SCA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49328-2022</t>
        </is>
      </c>
      <c r="B7569" s="1" t="n">
        <v>44861</v>
      </c>
      <c r="C7569" s="1" t="n">
        <v>45357</v>
      </c>
      <c r="D7569" t="inlineStr">
        <is>
          <t>VÄSTERBOTTENS LÄN</t>
        </is>
      </c>
      <c r="E7569" t="inlineStr">
        <is>
          <t>SKELLEFTEÅ</t>
        </is>
      </c>
      <c r="F7569" t="inlineStr">
        <is>
          <t>Holmen skog AB</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49526-2022</t>
        </is>
      </c>
      <c r="B7570" s="1" t="n">
        <v>44862</v>
      </c>
      <c r="C7570" s="1" t="n">
        <v>45357</v>
      </c>
      <c r="D7570" t="inlineStr">
        <is>
          <t>VÄSTERBOTTENS LÄN</t>
        </is>
      </c>
      <c r="E7570" t="inlineStr">
        <is>
          <t>VILHELMINA</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49536-2022</t>
        </is>
      </c>
      <c r="B7571" s="1" t="n">
        <v>44861</v>
      </c>
      <c r="C7571" s="1" t="n">
        <v>45357</v>
      </c>
      <c r="D7571" t="inlineStr">
        <is>
          <t>VÄSTERBOTTENS LÄN</t>
        </is>
      </c>
      <c r="E7571" t="inlineStr">
        <is>
          <t>DOROTEA</t>
        </is>
      </c>
      <c r="F7571" t="inlineStr">
        <is>
          <t>SCA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49374-2022</t>
        </is>
      </c>
      <c r="B7572" s="1" t="n">
        <v>44861</v>
      </c>
      <c r="C7572" s="1" t="n">
        <v>45357</v>
      </c>
      <c r="D7572" t="inlineStr">
        <is>
          <t>VÄSTERBOTTENS LÄN</t>
        </is>
      </c>
      <c r="E7572" t="inlineStr">
        <is>
          <t>VINDELN</t>
        </is>
      </c>
      <c r="F7572" t="inlineStr">
        <is>
          <t>Sveaskog</t>
        </is>
      </c>
      <c r="G7572" t="n">
        <v>28.5</v>
      </c>
      <c r="H7572" t="n">
        <v>0</v>
      </c>
      <c r="I7572" t="n">
        <v>0</v>
      </c>
      <c r="J7572" t="n">
        <v>0</v>
      </c>
      <c r="K7572" t="n">
        <v>0</v>
      </c>
      <c r="L7572" t="n">
        <v>0</v>
      </c>
      <c r="M7572" t="n">
        <v>0</v>
      </c>
      <c r="N7572" t="n">
        <v>0</v>
      </c>
      <c r="O7572" t="n">
        <v>0</v>
      </c>
      <c r="P7572" t="n">
        <v>0</v>
      </c>
      <c r="Q7572" t="n">
        <v>0</v>
      </c>
      <c r="R7572" s="2" t="inlineStr"/>
    </row>
    <row r="7573" ht="15" customHeight="1">
      <c r="A7573" t="inlineStr">
        <is>
          <t>A 49382-2022</t>
        </is>
      </c>
      <c r="B7573" s="1" t="n">
        <v>44861</v>
      </c>
      <c r="C7573" s="1" t="n">
        <v>45357</v>
      </c>
      <c r="D7573" t="inlineStr">
        <is>
          <t>VÄSTERBOTTENS LÄN</t>
        </is>
      </c>
      <c r="E7573" t="inlineStr">
        <is>
          <t>SKELLEFTEÅ</t>
        </is>
      </c>
      <c r="F7573" t="inlineStr">
        <is>
          <t>Sveaskog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49447-2022</t>
        </is>
      </c>
      <c r="B7574" s="1" t="n">
        <v>44861</v>
      </c>
      <c r="C7574" s="1" t="n">
        <v>45357</v>
      </c>
      <c r="D7574" t="inlineStr">
        <is>
          <t>VÄSTERBOTTENS LÄN</t>
        </is>
      </c>
      <c r="E7574" t="inlineStr">
        <is>
          <t>UMEÅ</t>
        </is>
      </c>
      <c r="F7574" t="inlineStr">
        <is>
          <t>Holmen skog AB</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49506-2022</t>
        </is>
      </c>
      <c r="B7575" s="1" t="n">
        <v>44861</v>
      </c>
      <c r="C7575" s="1" t="n">
        <v>45357</v>
      </c>
      <c r="D7575" t="inlineStr">
        <is>
          <t>VÄSTERBOTTENS LÄN</t>
        </is>
      </c>
      <c r="E7575" t="inlineStr">
        <is>
          <t>NORDMALING</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49525-2022</t>
        </is>
      </c>
      <c r="B7576" s="1" t="n">
        <v>44862</v>
      </c>
      <c r="C7576" s="1" t="n">
        <v>45357</v>
      </c>
      <c r="D7576" t="inlineStr">
        <is>
          <t>VÄSTERBOTTENS LÄN</t>
        </is>
      </c>
      <c r="E7576" t="inlineStr">
        <is>
          <t>NORDMALING</t>
        </is>
      </c>
      <c r="F7576" t="inlineStr">
        <is>
          <t>SCA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49505-2022</t>
        </is>
      </c>
      <c r="B7577" s="1" t="n">
        <v>44861</v>
      </c>
      <c r="C7577" s="1" t="n">
        <v>45357</v>
      </c>
      <c r="D7577" t="inlineStr">
        <is>
          <t>VÄSTERBOTTENS LÄN</t>
        </is>
      </c>
      <c r="E7577" t="inlineStr">
        <is>
          <t>NORDMALING</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49517-2022</t>
        </is>
      </c>
      <c r="B7578" s="1" t="n">
        <v>44862</v>
      </c>
      <c r="C7578" s="1" t="n">
        <v>45357</v>
      </c>
      <c r="D7578" t="inlineStr">
        <is>
          <t>VÄSTERBOTTENS LÄN</t>
        </is>
      </c>
      <c r="E7578" t="inlineStr">
        <is>
          <t>DOROTEA</t>
        </is>
      </c>
      <c r="F7578" t="inlineStr">
        <is>
          <t>SCA</t>
        </is>
      </c>
      <c r="G7578" t="n">
        <v>10.6</v>
      </c>
      <c r="H7578" t="n">
        <v>0</v>
      </c>
      <c r="I7578" t="n">
        <v>0</v>
      </c>
      <c r="J7578" t="n">
        <v>0</v>
      </c>
      <c r="K7578" t="n">
        <v>0</v>
      </c>
      <c r="L7578" t="n">
        <v>0</v>
      </c>
      <c r="M7578" t="n">
        <v>0</v>
      </c>
      <c r="N7578" t="n">
        <v>0</v>
      </c>
      <c r="O7578" t="n">
        <v>0</v>
      </c>
      <c r="P7578" t="n">
        <v>0</v>
      </c>
      <c r="Q7578" t="n">
        <v>0</v>
      </c>
      <c r="R7578" s="2" t="inlineStr"/>
    </row>
    <row r="7579" ht="15" customHeight="1">
      <c r="A7579" t="inlineStr">
        <is>
          <t>A 49534-2022</t>
        </is>
      </c>
      <c r="B7579" s="1" t="n">
        <v>44861</v>
      </c>
      <c r="C7579" s="1" t="n">
        <v>45357</v>
      </c>
      <c r="D7579" t="inlineStr">
        <is>
          <t>VÄSTERBOTTENS LÄN</t>
        </is>
      </c>
      <c r="E7579" t="inlineStr">
        <is>
          <t>DOROTEA</t>
        </is>
      </c>
      <c r="F7579" t="inlineStr">
        <is>
          <t>SCA</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49535-2022</t>
        </is>
      </c>
      <c r="B7580" s="1" t="n">
        <v>44861</v>
      </c>
      <c r="C7580" s="1" t="n">
        <v>45357</v>
      </c>
      <c r="D7580" t="inlineStr">
        <is>
          <t>VÄSTERBOTTENS LÄN</t>
        </is>
      </c>
      <c r="E7580" t="inlineStr">
        <is>
          <t>DOROTEA</t>
        </is>
      </c>
      <c r="F7580" t="inlineStr">
        <is>
          <t>SCA</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49277-2022</t>
        </is>
      </c>
      <c r="B7581" s="1" t="n">
        <v>44861</v>
      </c>
      <c r="C7581" s="1" t="n">
        <v>45357</v>
      </c>
      <c r="D7581" t="inlineStr">
        <is>
          <t>VÄSTERBOTTENS LÄN</t>
        </is>
      </c>
      <c r="E7581" t="inlineStr">
        <is>
          <t>SKELLEFTEÅ</t>
        </is>
      </c>
      <c r="F7581" t="inlineStr">
        <is>
          <t>Holmen skog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49341-2022</t>
        </is>
      </c>
      <c r="B7582" s="1" t="n">
        <v>44861</v>
      </c>
      <c r="C7582" s="1" t="n">
        <v>45357</v>
      </c>
      <c r="D7582" t="inlineStr">
        <is>
          <t>VÄSTERBOTTENS LÄN</t>
        </is>
      </c>
      <c r="E7582" t="inlineStr">
        <is>
          <t>LYCKSELE</t>
        </is>
      </c>
      <c r="F7582" t="inlineStr">
        <is>
          <t>Sveaskog</t>
        </is>
      </c>
      <c r="G7582" t="n">
        <v>29.1</v>
      </c>
      <c r="H7582" t="n">
        <v>0</v>
      </c>
      <c r="I7582" t="n">
        <v>0</v>
      </c>
      <c r="J7582" t="n">
        <v>0</v>
      </c>
      <c r="K7582" t="n">
        <v>0</v>
      </c>
      <c r="L7582" t="n">
        <v>0</v>
      </c>
      <c r="M7582" t="n">
        <v>0</v>
      </c>
      <c r="N7582" t="n">
        <v>0</v>
      </c>
      <c r="O7582" t="n">
        <v>0</v>
      </c>
      <c r="P7582" t="n">
        <v>0</v>
      </c>
      <c r="Q7582" t="n">
        <v>0</v>
      </c>
      <c r="R7582" s="2" t="inlineStr"/>
    </row>
    <row r="7583" ht="15" customHeight="1">
      <c r="A7583" t="inlineStr">
        <is>
          <t>A 49504-2022</t>
        </is>
      </c>
      <c r="B7583" s="1" t="n">
        <v>44861</v>
      </c>
      <c r="C7583" s="1" t="n">
        <v>45357</v>
      </c>
      <c r="D7583" t="inlineStr">
        <is>
          <t>VÄSTERBOTTENS LÄN</t>
        </is>
      </c>
      <c r="E7583" t="inlineStr">
        <is>
          <t>NORDMALING</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49527-2022</t>
        </is>
      </c>
      <c r="B7584" s="1" t="n">
        <v>44862</v>
      </c>
      <c r="C7584" s="1" t="n">
        <v>45357</v>
      </c>
      <c r="D7584" t="inlineStr">
        <is>
          <t>VÄSTERBOTTENS LÄN</t>
        </is>
      </c>
      <c r="E7584" t="inlineStr">
        <is>
          <t>ÅSELE</t>
        </is>
      </c>
      <c r="F7584" t="inlineStr">
        <is>
          <t>SCA</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49640-2022</t>
        </is>
      </c>
      <c r="B7585" s="1" t="n">
        <v>44862</v>
      </c>
      <c r="C7585" s="1" t="n">
        <v>45357</v>
      </c>
      <c r="D7585" t="inlineStr">
        <is>
          <t>VÄSTERBOTTENS LÄN</t>
        </is>
      </c>
      <c r="E7585" t="inlineStr">
        <is>
          <t>VILHELMINA</t>
        </is>
      </c>
      <c r="F7585" t="inlineStr">
        <is>
          <t>Sveaskog</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49597-2022</t>
        </is>
      </c>
      <c r="B7586" s="1" t="n">
        <v>44862</v>
      </c>
      <c r="C7586" s="1" t="n">
        <v>45357</v>
      </c>
      <c r="D7586" t="inlineStr">
        <is>
          <t>VÄSTERBOTTENS LÄN</t>
        </is>
      </c>
      <c r="E7586" t="inlineStr">
        <is>
          <t>ROBERTSFORS</t>
        </is>
      </c>
      <c r="F7586" t="inlineStr">
        <is>
          <t>Holmen skog AB</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49664-2022</t>
        </is>
      </c>
      <c r="B7587" s="1" t="n">
        <v>44862</v>
      </c>
      <c r="C7587" s="1" t="n">
        <v>45357</v>
      </c>
      <c r="D7587" t="inlineStr">
        <is>
          <t>VÄSTERBOTTENS LÄN</t>
        </is>
      </c>
      <c r="E7587" t="inlineStr">
        <is>
          <t>ÅSELE</t>
        </is>
      </c>
      <c r="F7587" t="inlineStr">
        <is>
          <t>Holmen skog AB</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49729-2022</t>
        </is>
      </c>
      <c r="B7588" s="1" t="n">
        <v>44862</v>
      </c>
      <c r="C7588" s="1" t="n">
        <v>45357</v>
      </c>
      <c r="D7588" t="inlineStr">
        <is>
          <t>VÄSTERBOTTENS LÄN</t>
        </is>
      </c>
      <c r="E7588" t="inlineStr">
        <is>
          <t>NORDMALING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49648-2022</t>
        </is>
      </c>
      <c r="B7589" s="1" t="n">
        <v>44862</v>
      </c>
      <c r="C7589" s="1" t="n">
        <v>45357</v>
      </c>
      <c r="D7589" t="inlineStr">
        <is>
          <t>VÄSTERBOTTENS LÄN</t>
        </is>
      </c>
      <c r="E7589" t="inlineStr">
        <is>
          <t>BJURHOLM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49661-2022</t>
        </is>
      </c>
      <c r="B7590" s="1" t="n">
        <v>44862</v>
      </c>
      <c r="C7590" s="1" t="n">
        <v>45357</v>
      </c>
      <c r="D7590" t="inlineStr">
        <is>
          <t>VÄSTERBOTTENS LÄN</t>
        </is>
      </c>
      <c r="E7590" t="inlineStr">
        <is>
          <t>UMEÅ</t>
        </is>
      </c>
      <c r="F7590" t="inlineStr">
        <is>
          <t>Holmen skog AB</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49578-2022</t>
        </is>
      </c>
      <c r="B7591" s="1" t="n">
        <v>44862</v>
      </c>
      <c r="C7591" s="1" t="n">
        <v>45357</v>
      </c>
      <c r="D7591" t="inlineStr">
        <is>
          <t>VÄSTERBOTTENS LÄN</t>
        </is>
      </c>
      <c r="E7591" t="inlineStr">
        <is>
          <t>SKELLEFTEÅ</t>
        </is>
      </c>
      <c r="F7591" t="inlineStr">
        <is>
          <t>Holmen skog AB</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49667-2022</t>
        </is>
      </c>
      <c r="B7592" s="1" t="n">
        <v>44862</v>
      </c>
      <c r="C7592" s="1" t="n">
        <v>45357</v>
      </c>
      <c r="D7592" t="inlineStr">
        <is>
          <t>VÄSTERBOTTENS LÄN</t>
        </is>
      </c>
      <c r="E7592" t="inlineStr">
        <is>
          <t>ROBERTSFORS</t>
        </is>
      </c>
      <c r="F7592" t="inlineStr">
        <is>
          <t>Holmen skog AB</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49735-2022</t>
        </is>
      </c>
      <c r="B7593" s="1" t="n">
        <v>44862</v>
      </c>
      <c r="C7593" s="1" t="n">
        <v>45357</v>
      </c>
      <c r="D7593" t="inlineStr">
        <is>
          <t>VÄSTERBOTTENS LÄN</t>
        </is>
      </c>
      <c r="E7593" t="inlineStr">
        <is>
          <t>NORSJÖ</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49757-2022</t>
        </is>
      </c>
      <c r="B7594" s="1" t="n">
        <v>44862</v>
      </c>
      <c r="C7594" s="1" t="n">
        <v>45357</v>
      </c>
      <c r="D7594" t="inlineStr">
        <is>
          <t>VÄSTERBOTTENS LÄN</t>
        </is>
      </c>
      <c r="E7594" t="inlineStr">
        <is>
          <t>SKELLEFTEÅ</t>
        </is>
      </c>
      <c r="F7594" t="inlineStr">
        <is>
          <t>Holmen skog AB</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49749-2022</t>
        </is>
      </c>
      <c r="B7595" s="1" t="n">
        <v>44862</v>
      </c>
      <c r="C7595" s="1" t="n">
        <v>45357</v>
      </c>
      <c r="D7595" t="inlineStr">
        <is>
          <t>VÄSTERBOTTENS LÄN</t>
        </is>
      </c>
      <c r="E7595" t="inlineStr">
        <is>
          <t>SKELLEFTEÅ</t>
        </is>
      </c>
      <c r="F7595" t="inlineStr">
        <is>
          <t>Holmen skog AB</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49876-2022</t>
        </is>
      </c>
      <c r="B7596" s="1" t="n">
        <v>44864</v>
      </c>
      <c r="C7596" s="1" t="n">
        <v>45357</v>
      </c>
      <c r="D7596" t="inlineStr">
        <is>
          <t>VÄSTERBOTTENS LÄN</t>
        </is>
      </c>
      <c r="E7596" t="inlineStr">
        <is>
          <t>SKELLEFTEÅ</t>
        </is>
      </c>
      <c r="F7596" t="inlineStr">
        <is>
          <t>SCA</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49875-2022</t>
        </is>
      </c>
      <c r="B7597" s="1" t="n">
        <v>44864</v>
      </c>
      <c r="C7597" s="1" t="n">
        <v>45357</v>
      </c>
      <c r="D7597" t="inlineStr">
        <is>
          <t>VÄSTERBOTTENS LÄN</t>
        </is>
      </c>
      <c r="E7597" t="inlineStr">
        <is>
          <t>SKELLEFTEÅ</t>
        </is>
      </c>
      <c r="F7597" t="inlineStr">
        <is>
          <t>SCA</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49906-2022</t>
        </is>
      </c>
      <c r="B7598" s="1" t="n">
        <v>44864</v>
      </c>
      <c r="C7598" s="1" t="n">
        <v>45357</v>
      </c>
      <c r="D7598" t="inlineStr">
        <is>
          <t>VÄSTERBOTTENS LÄN</t>
        </is>
      </c>
      <c r="E7598" t="inlineStr">
        <is>
          <t>SKELLEFTEÅ</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49887-2022</t>
        </is>
      </c>
      <c r="B7599" s="1" t="n">
        <v>44864</v>
      </c>
      <c r="C7599" s="1" t="n">
        <v>45357</v>
      </c>
      <c r="D7599" t="inlineStr">
        <is>
          <t>VÄSTERBOTTENS LÄN</t>
        </is>
      </c>
      <c r="E7599" t="inlineStr">
        <is>
          <t>BJURHOLM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49908-2022</t>
        </is>
      </c>
      <c r="B7600" s="1" t="n">
        <v>44864</v>
      </c>
      <c r="C7600" s="1" t="n">
        <v>45357</v>
      </c>
      <c r="D7600" t="inlineStr">
        <is>
          <t>VÄSTERBOTTENS LÄN</t>
        </is>
      </c>
      <c r="E7600" t="inlineStr">
        <is>
          <t>SKELLEFTEÅ</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49905-2022</t>
        </is>
      </c>
      <c r="B7601" s="1" t="n">
        <v>44864</v>
      </c>
      <c r="C7601" s="1" t="n">
        <v>45357</v>
      </c>
      <c r="D7601" t="inlineStr">
        <is>
          <t>VÄSTERBOTTENS LÄN</t>
        </is>
      </c>
      <c r="E7601" t="inlineStr">
        <is>
          <t>SKELLEFTEÅ</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49907-2022</t>
        </is>
      </c>
      <c r="B7602" s="1" t="n">
        <v>44864</v>
      </c>
      <c r="C7602" s="1" t="n">
        <v>45357</v>
      </c>
      <c r="D7602" t="inlineStr">
        <is>
          <t>VÄSTERBOTTENS LÄN</t>
        </is>
      </c>
      <c r="E7602" t="inlineStr">
        <is>
          <t>SKELLEFTEÅ</t>
        </is>
      </c>
      <c r="F7602" t="inlineStr">
        <is>
          <t>SCA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50055-2022</t>
        </is>
      </c>
      <c r="B7603" s="1" t="n">
        <v>44865</v>
      </c>
      <c r="C7603" s="1" t="n">
        <v>45357</v>
      </c>
      <c r="D7603" t="inlineStr">
        <is>
          <t>VÄSTERBOTTENS LÄN</t>
        </is>
      </c>
      <c r="E7603" t="inlineStr">
        <is>
          <t>SKELLEFTEÅ</t>
        </is>
      </c>
      <c r="F7603" t="inlineStr">
        <is>
          <t>Holmen skog AB</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49961-2022</t>
        </is>
      </c>
      <c r="B7604" s="1" t="n">
        <v>44865</v>
      </c>
      <c r="C7604" s="1" t="n">
        <v>45357</v>
      </c>
      <c r="D7604" t="inlineStr">
        <is>
          <t>VÄSTERBOTTENS LÄN</t>
        </is>
      </c>
      <c r="E7604" t="inlineStr">
        <is>
          <t>SKELLEFTEÅ</t>
        </is>
      </c>
      <c r="F7604" t="inlineStr">
        <is>
          <t>Holmen skog AB</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50206-2022</t>
        </is>
      </c>
      <c r="B7605" s="1" t="n">
        <v>44865</v>
      </c>
      <c r="C7605" s="1" t="n">
        <v>45357</v>
      </c>
      <c r="D7605" t="inlineStr">
        <is>
          <t>VÄSTERBOTTENS LÄN</t>
        </is>
      </c>
      <c r="E7605" t="inlineStr">
        <is>
          <t>UMEÅ</t>
        </is>
      </c>
      <c r="F7605" t="inlineStr">
        <is>
          <t>Holmen skog AB</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50140-2022</t>
        </is>
      </c>
      <c r="B7606" s="1" t="n">
        <v>44865</v>
      </c>
      <c r="C7606" s="1" t="n">
        <v>45357</v>
      </c>
      <c r="D7606" t="inlineStr">
        <is>
          <t>VÄSTERBOTTENS LÄN</t>
        </is>
      </c>
      <c r="E7606" t="inlineStr">
        <is>
          <t>UMEÅ</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49973-2022</t>
        </is>
      </c>
      <c r="B7607" s="1" t="n">
        <v>44865</v>
      </c>
      <c r="C7607" s="1" t="n">
        <v>45357</v>
      </c>
      <c r="D7607" t="inlineStr">
        <is>
          <t>VÄSTERBOTTENS LÄN</t>
        </is>
      </c>
      <c r="E7607" t="inlineStr">
        <is>
          <t>VINDELN</t>
        </is>
      </c>
      <c r="F7607" t="inlineStr">
        <is>
          <t>Sveaskog</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50148-2022</t>
        </is>
      </c>
      <c r="B7608" s="1" t="n">
        <v>44865</v>
      </c>
      <c r="C7608" s="1" t="n">
        <v>45357</v>
      </c>
      <c r="D7608" t="inlineStr">
        <is>
          <t>VÄSTERBOTTENS LÄN</t>
        </is>
      </c>
      <c r="E7608" t="inlineStr">
        <is>
          <t>UMEÅ</t>
        </is>
      </c>
      <c r="F7608" t="inlineStr">
        <is>
          <t>Holmen skog AB</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50264-2022</t>
        </is>
      </c>
      <c r="B7609" s="1" t="n">
        <v>44865</v>
      </c>
      <c r="C7609" s="1" t="n">
        <v>45357</v>
      </c>
      <c r="D7609" t="inlineStr">
        <is>
          <t>VÄSTERBOTTENS LÄN</t>
        </is>
      </c>
      <c r="E7609" t="inlineStr">
        <is>
          <t>VINDELN</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51093-2022</t>
        </is>
      </c>
      <c r="B7610" s="1" t="n">
        <v>44865</v>
      </c>
      <c r="C7610" s="1" t="n">
        <v>45357</v>
      </c>
      <c r="D7610" t="inlineStr">
        <is>
          <t>VÄSTERBOTTENS LÄN</t>
        </is>
      </c>
      <c r="E7610" t="inlineStr">
        <is>
          <t>VINDELN</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50928-2022</t>
        </is>
      </c>
      <c r="B7611" s="1" t="n">
        <v>44865</v>
      </c>
      <c r="C7611" s="1" t="n">
        <v>45357</v>
      </c>
      <c r="D7611" t="inlineStr">
        <is>
          <t>VÄSTERBOTTENS LÄN</t>
        </is>
      </c>
      <c r="E7611" t="inlineStr">
        <is>
          <t>BJURHOLM</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51068-2022</t>
        </is>
      </c>
      <c r="B7612" s="1" t="n">
        <v>44865</v>
      </c>
      <c r="C7612" s="1" t="n">
        <v>45357</v>
      </c>
      <c r="D7612" t="inlineStr">
        <is>
          <t>VÄSTERBOTTENS LÄN</t>
        </is>
      </c>
      <c r="E7612" t="inlineStr">
        <is>
          <t>BJURHOLM</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51104-2022</t>
        </is>
      </c>
      <c r="B7613" s="1" t="n">
        <v>44865</v>
      </c>
      <c r="C7613" s="1" t="n">
        <v>45357</v>
      </c>
      <c r="D7613" t="inlineStr">
        <is>
          <t>VÄSTERBOTTENS LÄN</t>
        </is>
      </c>
      <c r="E7613" t="inlineStr">
        <is>
          <t>ROBERTSFORS</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50371-2022</t>
        </is>
      </c>
      <c r="B7614" s="1" t="n">
        <v>44866</v>
      </c>
      <c r="C7614" s="1" t="n">
        <v>45357</v>
      </c>
      <c r="D7614" t="inlineStr">
        <is>
          <t>VÄSTERBOTTENS LÄN</t>
        </is>
      </c>
      <c r="E7614" t="inlineStr">
        <is>
          <t>SKELLEFTEÅ</t>
        </is>
      </c>
      <c r="G7614" t="n">
        <v>10.5</v>
      </c>
      <c r="H7614" t="n">
        <v>0</v>
      </c>
      <c r="I7614" t="n">
        <v>0</v>
      </c>
      <c r="J7614" t="n">
        <v>0</v>
      </c>
      <c r="K7614" t="n">
        <v>0</v>
      </c>
      <c r="L7614" t="n">
        <v>0</v>
      </c>
      <c r="M7614" t="n">
        <v>0</v>
      </c>
      <c r="N7614" t="n">
        <v>0</v>
      </c>
      <c r="O7614" t="n">
        <v>0</v>
      </c>
      <c r="P7614" t="n">
        <v>0</v>
      </c>
      <c r="Q7614" t="n">
        <v>0</v>
      </c>
      <c r="R7614" s="2" t="inlineStr"/>
    </row>
    <row r="7615" ht="15" customHeight="1">
      <c r="A7615" t="inlineStr">
        <is>
          <t>A 50366-2022</t>
        </is>
      </c>
      <c r="B7615" s="1" t="n">
        <v>44866</v>
      </c>
      <c r="C7615" s="1" t="n">
        <v>45357</v>
      </c>
      <c r="D7615" t="inlineStr">
        <is>
          <t>VÄSTERBOTTENS LÄN</t>
        </is>
      </c>
      <c r="E7615" t="inlineStr">
        <is>
          <t>SKELLEFTEÅ</t>
        </is>
      </c>
      <c r="F7615" t="inlineStr">
        <is>
          <t>Holmen skog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50529-2022</t>
        </is>
      </c>
      <c r="B7616" s="1" t="n">
        <v>44866</v>
      </c>
      <c r="C7616" s="1" t="n">
        <v>45357</v>
      </c>
      <c r="D7616" t="inlineStr">
        <is>
          <t>VÄSTERBOTTENS LÄN</t>
        </is>
      </c>
      <c r="E7616" t="inlineStr">
        <is>
          <t>SKELLEFTEÅ</t>
        </is>
      </c>
      <c r="F7616" t="inlineStr">
        <is>
          <t>Holmen skog AB</t>
        </is>
      </c>
      <c r="G7616" t="n">
        <v>20.7</v>
      </c>
      <c r="H7616" t="n">
        <v>0</v>
      </c>
      <c r="I7616" t="n">
        <v>0</v>
      </c>
      <c r="J7616" t="n">
        <v>0</v>
      </c>
      <c r="K7616" t="n">
        <v>0</v>
      </c>
      <c r="L7616" t="n">
        <v>0</v>
      </c>
      <c r="M7616" t="n">
        <v>0</v>
      </c>
      <c r="N7616" t="n">
        <v>0</v>
      </c>
      <c r="O7616" t="n">
        <v>0</v>
      </c>
      <c r="P7616" t="n">
        <v>0</v>
      </c>
      <c r="Q7616" t="n">
        <v>0</v>
      </c>
      <c r="R7616" s="2" t="inlineStr"/>
    </row>
    <row r="7617" ht="15" customHeight="1">
      <c r="A7617" t="inlineStr">
        <is>
          <t>A 50409-2022</t>
        </is>
      </c>
      <c r="B7617" s="1" t="n">
        <v>44866</v>
      </c>
      <c r="C7617" s="1" t="n">
        <v>45357</v>
      </c>
      <c r="D7617" t="inlineStr">
        <is>
          <t>VÄSTERBOTTENS LÄN</t>
        </is>
      </c>
      <c r="E7617" t="inlineStr">
        <is>
          <t>SKELLEFTEÅ</t>
        </is>
      </c>
      <c r="F7617" t="inlineStr">
        <is>
          <t>Holmen skog AB</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50538-2022</t>
        </is>
      </c>
      <c r="B7618" s="1" t="n">
        <v>44866</v>
      </c>
      <c r="C7618" s="1" t="n">
        <v>45357</v>
      </c>
      <c r="D7618" t="inlineStr">
        <is>
          <t>VÄSTERBOTTENS LÄN</t>
        </is>
      </c>
      <c r="E7618" t="inlineStr">
        <is>
          <t>SKELLEFTEÅ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50549-2022</t>
        </is>
      </c>
      <c r="B7619" s="1" t="n">
        <v>44866</v>
      </c>
      <c r="C7619" s="1" t="n">
        <v>45357</v>
      </c>
      <c r="D7619" t="inlineStr">
        <is>
          <t>VÄSTERBOTTENS LÄN</t>
        </is>
      </c>
      <c r="E7619" t="inlineStr">
        <is>
          <t>SKELLEFTEÅ</t>
        </is>
      </c>
      <c r="F7619" t="inlineStr">
        <is>
          <t>Kommuner</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50632-2022</t>
        </is>
      </c>
      <c r="B7620" s="1" t="n">
        <v>44866</v>
      </c>
      <c r="C7620" s="1" t="n">
        <v>45357</v>
      </c>
      <c r="D7620" t="inlineStr">
        <is>
          <t>VÄSTERBOTTENS LÄN</t>
        </is>
      </c>
      <c r="E7620" t="inlineStr">
        <is>
          <t>NORDMALING</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50531-2022</t>
        </is>
      </c>
      <c r="B7621" s="1" t="n">
        <v>44866</v>
      </c>
      <c r="C7621" s="1" t="n">
        <v>45357</v>
      </c>
      <c r="D7621" t="inlineStr">
        <is>
          <t>VÄSTERBOTTENS LÄN</t>
        </is>
      </c>
      <c r="E7621" t="inlineStr">
        <is>
          <t>SKELLEFTEÅ</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50539-2022</t>
        </is>
      </c>
      <c r="B7622" s="1" t="n">
        <v>44866</v>
      </c>
      <c r="C7622" s="1" t="n">
        <v>45357</v>
      </c>
      <c r="D7622" t="inlineStr">
        <is>
          <t>VÄSTERBOTTENS LÄN</t>
        </is>
      </c>
      <c r="E7622" t="inlineStr">
        <is>
          <t>ÅSELE</t>
        </is>
      </c>
      <c r="F7622" t="inlineStr">
        <is>
          <t>Holmen skog AB</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50554-2022</t>
        </is>
      </c>
      <c r="B7623" s="1" t="n">
        <v>44866</v>
      </c>
      <c r="C7623" s="1" t="n">
        <v>45357</v>
      </c>
      <c r="D7623" t="inlineStr">
        <is>
          <t>VÄSTERBOTTENS LÄN</t>
        </is>
      </c>
      <c r="E7623" t="inlineStr">
        <is>
          <t>SKELLEFTEÅ</t>
        </is>
      </c>
      <c r="F7623" t="inlineStr">
        <is>
          <t>Kommuner</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50633-2022</t>
        </is>
      </c>
      <c r="B7624" s="1" t="n">
        <v>44866</v>
      </c>
      <c r="C7624" s="1" t="n">
        <v>45357</v>
      </c>
      <c r="D7624" t="inlineStr">
        <is>
          <t>VÄSTERBOTTENS LÄN</t>
        </is>
      </c>
      <c r="E7624" t="inlineStr">
        <is>
          <t>NORDMALING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51239-2022</t>
        </is>
      </c>
      <c r="B7625" s="1" t="n">
        <v>44866</v>
      </c>
      <c r="C7625" s="1" t="n">
        <v>45357</v>
      </c>
      <c r="D7625" t="inlineStr">
        <is>
          <t>VÄSTERBOTTENS LÄN</t>
        </is>
      </c>
      <c r="E7625" t="inlineStr">
        <is>
          <t>BJURHOLM</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51392-2022</t>
        </is>
      </c>
      <c r="B7626" s="1" t="n">
        <v>44866</v>
      </c>
      <c r="C7626" s="1" t="n">
        <v>45357</v>
      </c>
      <c r="D7626" t="inlineStr">
        <is>
          <t>VÄSTERBOTTENS LÄN</t>
        </is>
      </c>
      <c r="E7626" t="inlineStr">
        <is>
          <t>LYCKSELE</t>
        </is>
      </c>
      <c r="G7626" t="n">
        <v>7</v>
      </c>
      <c r="H7626" t="n">
        <v>0</v>
      </c>
      <c r="I7626" t="n">
        <v>0</v>
      </c>
      <c r="J7626" t="n">
        <v>0</v>
      </c>
      <c r="K7626" t="n">
        <v>0</v>
      </c>
      <c r="L7626" t="n">
        <v>0</v>
      </c>
      <c r="M7626" t="n">
        <v>0</v>
      </c>
      <c r="N7626" t="n">
        <v>0</v>
      </c>
      <c r="O7626" t="n">
        <v>0</v>
      </c>
      <c r="P7626" t="n">
        <v>0</v>
      </c>
      <c r="Q7626" t="n">
        <v>0</v>
      </c>
      <c r="R7626" s="2" t="inlineStr"/>
    </row>
    <row r="7627" ht="15" customHeight="1">
      <c r="A7627" t="inlineStr">
        <is>
          <t>A 51356-2022</t>
        </is>
      </c>
      <c r="B7627" s="1" t="n">
        <v>44866</v>
      </c>
      <c r="C7627" s="1" t="n">
        <v>45357</v>
      </c>
      <c r="D7627" t="inlineStr">
        <is>
          <t>VÄSTERBOTTENS LÄN</t>
        </is>
      </c>
      <c r="E7627" t="inlineStr">
        <is>
          <t>NORDMALING</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51387-2022</t>
        </is>
      </c>
      <c r="B7628" s="1" t="n">
        <v>44866</v>
      </c>
      <c r="C7628" s="1" t="n">
        <v>45357</v>
      </c>
      <c r="D7628" t="inlineStr">
        <is>
          <t>VÄSTERBOTTENS LÄN</t>
        </is>
      </c>
      <c r="E7628" t="inlineStr">
        <is>
          <t>LYCKSELE</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51394-2022</t>
        </is>
      </c>
      <c r="B7629" s="1" t="n">
        <v>44866</v>
      </c>
      <c r="C7629" s="1" t="n">
        <v>45357</v>
      </c>
      <c r="D7629" t="inlineStr">
        <is>
          <t>VÄSTERBOTTENS LÄN</t>
        </is>
      </c>
      <c r="E7629" t="inlineStr">
        <is>
          <t>SORSELE</t>
        </is>
      </c>
      <c r="F7629" t="inlineStr">
        <is>
          <t>SCA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51361-2022</t>
        </is>
      </c>
      <c r="B7630" s="1" t="n">
        <v>44866</v>
      </c>
      <c r="C7630" s="1" t="n">
        <v>45357</v>
      </c>
      <c r="D7630" t="inlineStr">
        <is>
          <t>VÄSTERBOTTENS LÄN</t>
        </is>
      </c>
      <c r="E7630" t="inlineStr">
        <is>
          <t>SORSELE</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50730-2022</t>
        </is>
      </c>
      <c r="B7631" s="1" t="n">
        <v>44867</v>
      </c>
      <c r="C7631" s="1" t="n">
        <v>45357</v>
      </c>
      <c r="D7631" t="inlineStr">
        <is>
          <t>VÄSTERBOTTENS LÄN</t>
        </is>
      </c>
      <c r="E7631" t="inlineStr">
        <is>
          <t>NORSJÖ</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50872-2022</t>
        </is>
      </c>
      <c r="B7632" s="1" t="n">
        <v>44867</v>
      </c>
      <c r="C7632" s="1" t="n">
        <v>45357</v>
      </c>
      <c r="D7632" t="inlineStr">
        <is>
          <t>VÄSTERBOTTENS LÄN</t>
        </is>
      </c>
      <c r="E7632" t="inlineStr">
        <is>
          <t>SKELLEFTEÅ</t>
        </is>
      </c>
      <c r="F7632" t="inlineStr">
        <is>
          <t>Holmen skog AB</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50883-2022</t>
        </is>
      </c>
      <c r="B7633" s="1" t="n">
        <v>44867</v>
      </c>
      <c r="C7633" s="1" t="n">
        <v>45357</v>
      </c>
      <c r="D7633" t="inlineStr">
        <is>
          <t>VÄSTERBOTTENS LÄN</t>
        </is>
      </c>
      <c r="E7633" t="inlineStr">
        <is>
          <t>VILHELMINA</t>
        </is>
      </c>
      <c r="F7633" t="inlineStr">
        <is>
          <t>Sveaskog</t>
        </is>
      </c>
      <c r="G7633" t="n">
        <v>8.699999999999999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50895-2022</t>
        </is>
      </c>
      <c r="B7634" s="1" t="n">
        <v>44867</v>
      </c>
      <c r="C7634" s="1" t="n">
        <v>45357</v>
      </c>
      <c r="D7634" t="inlineStr">
        <is>
          <t>VÄSTERBOTTENS LÄN</t>
        </is>
      </c>
      <c r="E7634" t="inlineStr">
        <is>
          <t>SORSELE</t>
        </is>
      </c>
      <c r="F7634" t="inlineStr">
        <is>
          <t>Sveaskog</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50913-2022</t>
        </is>
      </c>
      <c r="B7635" s="1" t="n">
        <v>44867</v>
      </c>
      <c r="C7635" s="1" t="n">
        <v>45357</v>
      </c>
      <c r="D7635" t="inlineStr">
        <is>
          <t>VÄSTERBOTTENS LÄN</t>
        </is>
      </c>
      <c r="E7635" t="inlineStr">
        <is>
          <t>STORUMAN</t>
        </is>
      </c>
      <c r="F7635" t="inlineStr">
        <is>
          <t>Sveaskog</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50706-2022</t>
        </is>
      </c>
      <c r="B7636" s="1" t="n">
        <v>44867</v>
      </c>
      <c r="C7636" s="1" t="n">
        <v>45357</v>
      </c>
      <c r="D7636" t="inlineStr">
        <is>
          <t>VÄSTERBOTTENS LÄN</t>
        </is>
      </c>
      <c r="E7636" t="inlineStr">
        <is>
          <t>NORSJÖ</t>
        </is>
      </c>
      <c r="F7636" t="inlineStr">
        <is>
          <t>Holmen skog AB</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50779-2022</t>
        </is>
      </c>
      <c r="B7637" s="1" t="n">
        <v>44867</v>
      </c>
      <c r="C7637" s="1" t="n">
        <v>45357</v>
      </c>
      <c r="D7637" t="inlineStr">
        <is>
          <t>VÄSTERBOTTENS LÄN</t>
        </is>
      </c>
      <c r="E7637" t="inlineStr">
        <is>
          <t>LYCKSELE</t>
        </is>
      </c>
      <c r="F7637" t="inlineStr">
        <is>
          <t>Sveaskog</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50796-2022</t>
        </is>
      </c>
      <c r="B7638" s="1" t="n">
        <v>44867</v>
      </c>
      <c r="C7638" s="1" t="n">
        <v>45357</v>
      </c>
      <c r="D7638" t="inlineStr">
        <is>
          <t>VÄSTERBOTTENS LÄN</t>
        </is>
      </c>
      <c r="E7638" t="inlineStr">
        <is>
          <t>NORSJÖ</t>
        </is>
      </c>
      <c r="F7638" t="inlineStr">
        <is>
          <t>Holmen skog AB</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50838-2022</t>
        </is>
      </c>
      <c r="B7639" s="1" t="n">
        <v>44867</v>
      </c>
      <c r="C7639" s="1" t="n">
        <v>45357</v>
      </c>
      <c r="D7639" t="inlineStr">
        <is>
          <t>VÄSTERBOTTENS LÄN</t>
        </is>
      </c>
      <c r="E7639" t="inlineStr">
        <is>
          <t>SKELLEFTEÅ</t>
        </is>
      </c>
      <c r="F7639" t="inlineStr">
        <is>
          <t>Holmen skog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50901-2022</t>
        </is>
      </c>
      <c r="B7640" s="1" t="n">
        <v>44867</v>
      </c>
      <c r="C7640" s="1" t="n">
        <v>45357</v>
      </c>
      <c r="D7640" t="inlineStr">
        <is>
          <t>VÄSTERBOTTENS LÄN</t>
        </is>
      </c>
      <c r="E7640" t="inlineStr">
        <is>
          <t>SORSELE</t>
        </is>
      </c>
      <c r="F7640" t="inlineStr">
        <is>
          <t>Sveaskog</t>
        </is>
      </c>
      <c r="G7640" t="n">
        <v>8.800000000000001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50917-2022</t>
        </is>
      </c>
      <c r="B7641" s="1" t="n">
        <v>44867</v>
      </c>
      <c r="C7641" s="1" t="n">
        <v>45357</v>
      </c>
      <c r="D7641" t="inlineStr">
        <is>
          <t>VÄSTERBOTTENS LÄN</t>
        </is>
      </c>
      <c r="E7641" t="inlineStr">
        <is>
          <t>STORUMAN</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50769-2022</t>
        </is>
      </c>
      <c r="B7642" s="1" t="n">
        <v>44867</v>
      </c>
      <c r="C7642" s="1" t="n">
        <v>45357</v>
      </c>
      <c r="D7642" t="inlineStr">
        <is>
          <t>VÄSTERBOTTENS LÄN</t>
        </is>
      </c>
      <c r="E7642" t="inlineStr">
        <is>
          <t>DOROTEA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50946-2022</t>
        </is>
      </c>
      <c r="B7643" s="1" t="n">
        <v>44867</v>
      </c>
      <c r="C7643" s="1" t="n">
        <v>45357</v>
      </c>
      <c r="D7643" t="inlineStr">
        <is>
          <t>VÄSTERBOTTENS LÄN</t>
        </is>
      </c>
      <c r="E7643" t="inlineStr">
        <is>
          <t>UMEÅ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50915-2022</t>
        </is>
      </c>
      <c r="B7644" s="1" t="n">
        <v>44867</v>
      </c>
      <c r="C7644" s="1" t="n">
        <v>45357</v>
      </c>
      <c r="D7644" t="inlineStr">
        <is>
          <t>VÄSTERBOTTENS LÄN</t>
        </is>
      </c>
      <c r="E7644" t="inlineStr">
        <is>
          <t>STORUMAN</t>
        </is>
      </c>
      <c r="F7644" t="inlineStr">
        <is>
          <t>Sveaskog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50973-2022</t>
        </is>
      </c>
      <c r="B7645" s="1" t="n">
        <v>44867</v>
      </c>
      <c r="C7645" s="1" t="n">
        <v>45357</v>
      </c>
      <c r="D7645" t="inlineStr">
        <is>
          <t>VÄSTERBOTTENS LÄN</t>
        </is>
      </c>
      <c r="E7645" t="inlineStr">
        <is>
          <t>LYCKSELE</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51000-2022</t>
        </is>
      </c>
      <c r="B7646" s="1" t="n">
        <v>44867</v>
      </c>
      <c r="C7646" s="1" t="n">
        <v>45357</v>
      </c>
      <c r="D7646" t="inlineStr">
        <is>
          <t>VÄSTERBOTTENS LÄN</t>
        </is>
      </c>
      <c r="E7646" t="inlineStr">
        <is>
          <t>NORSJÖ</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51005-2022</t>
        </is>
      </c>
      <c r="B7647" s="1" t="n">
        <v>44867</v>
      </c>
      <c r="C7647" s="1" t="n">
        <v>45357</v>
      </c>
      <c r="D7647" t="inlineStr">
        <is>
          <t>VÄSTERBOTTENS LÄN</t>
        </is>
      </c>
      <c r="E7647" t="inlineStr">
        <is>
          <t>NORDMALING</t>
        </is>
      </c>
      <c r="F7647" t="inlineStr">
        <is>
          <t>SCA</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51008-2022</t>
        </is>
      </c>
      <c r="B7648" s="1" t="n">
        <v>44867</v>
      </c>
      <c r="C7648" s="1" t="n">
        <v>45357</v>
      </c>
      <c r="D7648" t="inlineStr">
        <is>
          <t>VÄSTERBOTTENS LÄN</t>
        </is>
      </c>
      <c r="E7648" t="inlineStr">
        <is>
          <t>NORDMALING</t>
        </is>
      </c>
      <c r="F7648" t="inlineStr">
        <is>
          <t>SCA</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51017-2022</t>
        </is>
      </c>
      <c r="B7649" s="1" t="n">
        <v>44867</v>
      </c>
      <c r="C7649" s="1" t="n">
        <v>45357</v>
      </c>
      <c r="D7649" t="inlineStr">
        <is>
          <t>VÄSTERBOTTENS LÄN</t>
        </is>
      </c>
      <c r="E7649" t="inlineStr">
        <is>
          <t>VILHELMINA</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51811-2022</t>
        </is>
      </c>
      <c r="B7650" s="1" t="n">
        <v>44867</v>
      </c>
      <c r="C7650" s="1" t="n">
        <v>45357</v>
      </c>
      <c r="D7650" t="inlineStr">
        <is>
          <t>VÄSTERBOTTENS LÄN</t>
        </is>
      </c>
      <c r="E7650" t="inlineStr">
        <is>
          <t>SKELLEFTEÅ</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51035-2022</t>
        </is>
      </c>
      <c r="B7651" s="1" t="n">
        <v>44868</v>
      </c>
      <c r="C7651" s="1" t="n">
        <v>45357</v>
      </c>
      <c r="D7651" t="inlineStr">
        <is>
          <t>VÄSTERBOTTENS LÄN</t>
        </is>
      </c>
      <c r="E7651" t="inlineStr">
        <is>
          <t>ROBERTSFORS</t>
        </is>
      </c>
      <c r="F7651" t="inlineStr">
        <is>
          <t>Holmen skog AB</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51091-2022</t>
        </is>
      </c>
      <c r="B7652" s="1" t="n">
        <v>44868</v>
      </c>
      <c r="C7652" s="1" t="n">
        <v>45357</v>
      </c>
      <c r="D7652" t="inlineStr">
        <is>
          <t>VÄSTERBOTTENS LÄN</t>
        </is>
      </c>
      <c r="E7652" t="inlineStr">
        <is>
          <t>VINDELN</t>
        </is>
      </c>
      <c r="F7652" t="inlineStr">
        <is>
          <t>Holmen skog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51107-2022</t>
        </is>
      </c>
      <c r="B7653" s="1" t="n">
        <v>44868</v>
      </c>
      <c r="C7653" s="1" t="n">
        <v>45357</v>
      </c>
      <c r="D7653" t="inlineStr">
        <is>
          <t>VÄSTERBOTTENS LÄN</t>
        </is>
      </c>
      <c r="E7653" t="inlineStr">
        <is>
          <t>ROBERTSFORS</t>
        </is>
      </c>
      <c r="F7653" t="inlineStr">
        <is>
          <t>Holmen skog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51155-2022</t>
        </is>
      </c>
      <c r="B7654" s="1" t="n">
        <v>44868</v>
      </c>
      <c r="C7654" s="1" t="n">
        <v>45357</v>
      </c>
      <c r="D7654" t="inlineStr">
        <is>
          <t>VÄSTERBOTTENS LÄN</t>
        </is>
      </c>
      <c r="E7654" t="inlineStr">
        <is>
          <t>VINDELN</t>
        </is>
      </c>
      <c r="F7654" t="inlineStr">
        <is>
          <t>Holmen skog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51222-2022</t>
        </is>
      </c>
      <c r="B7655" s="1" t="n">
        <v>44868</v>
      </c>
      <c r="C7655" s="1" t="n">
        <v>45357</v>
      </c>
      <c r="D7655" t="inlineStr">
        <is>
          <t>VÄSTERBOTTENS LÄN</t>
        </is>
      </c>
      <c r="E7655" t="inlineStr">
        <is>
          <t>SKELLEFTEÅ</t>
        </is>
      </c>
      <c r="F7655" t="inlineStr">
        <is>
          <t>Holmen skog AB</t>
        </is>
      </c>
      <c r="G7655" t="n">
        <v>16.4</v>
      </c>
      <c r="H7655" t="n">
        <v>0</v>
      </c>
      <c r="I7655" t="n">
        <v>0</v>
      </c>
      <c r="J7655" t="n">
        <v>0</v>
      </c>
      <c r="K7655" t="n">
        <v>0</v>
      </c>
      <c r="L7655" t="n">
        <v>0</v>
      </c>
      <c r="M7655" t="n">
        <v>0</v>
      </c>
      <c r="N7655" t="n">
        <v>0</v>
      </c>
      <c r="O7655" t="n">
        <v>0</v>
      </c>
      <c r="P7655" t="n">
        <v>0</v>
      </c>
      <c r="Q7655" t="n">
        <v>0</v>
      </c>
      <c r="R7655" s="2" t="inlineStr"/>
    </row>
    <row r="7656" ht="15" customHeight="1">
      <c r="A7656" t="inlineStr">
        <is>
          <t>A 51160-2022</t>
        </is>
      </c>
      <c r="B7656" s="1" t="n">
        <v>44868</v>
      </c>
      <c r="C7656" s="1" t="n">
        <v>45357</v>
      </c>
      <c r="D7656" t="inlineStr">
        <is>
          <t>VÄSTERBOTTENS LÄN</t>
        </is>
      </c>
      <c r="E7656" t="inlineStr">
        <is>
          <t>SKELLEFTEÅ</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51240-2022</t>
        </is>
      </c>
      <c r="B7657" s="1" t="n">
        <v>44868</v>
      </c>
      <c r="C7657" s="1" t="n">
        <v>45357</v>
      </c>
      <c r="D7657" t="inlineStr">
        <is>
          <t>VÄSTERBOTTENS LÄN</t>
        </is>
      </c>
      <c r="E7657" t="inlineStr">
        <is>
          <t>SKELLEFTEÅ</t>
        </is>
      </c>
      <c r="F7657" t="inlineStr">
        <is>
          <t>Holmen skog AB</t>
        </is>
      </c>
      <c r="G7657" t="n">
        <v>9.9</v>
      </c>
      <c r="H7657" t="n">
        <v>0</v>
      </c>
      <c r="I7657" t="n">
        <v>0</v>
      </c>
      <c r="J7657" t="n">
        <v>0</v>
      </c>
      <c r="K7657" t="n">
        <v>0</v>
      </c>
      <c r="L7657" t="n">
        <v>0</v>
      </c>
      <c r="M7657" t="n">
        <v>0</v>
      </c>
      <c r="N7657" t="n">
        <v>0</v>
      </c>
      <c r="O7657" t="n">
        <v>0</v>
      </c>
      <c r="P7657" t="n">
        <v>0</v>
      </c>
      <c r="Q7657" t="n">
        <v>0</v>
      </c>
      <c r="R7657" s="2" t="inlineStr"/>
    </row>
    <row r="7658" ht="15" customHeight="1">
      <c r="A7658" t="inlineStr">
        <is>
          <t>A 51301-2022</t>
        </is>
      </c>
      <c r="B7658" s="1" t="n">
        <v>44868</v>
      </c>
      <c r="C7658" s="1" t="n">
        <v>45357</v>
      </c>
      <c r="D7658" t="inlineStr">
        <is>
          <t>VÄSTERBOTTENS LÄN</t>
        </is>
      </c>
      <c r="E7658" t="inlineStr">
        <is>
          <t>BJURHOLM</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51323-2022</t>
        </is>
      </c>
      <c r="B7659" s="1" t="n">
        <v>44868</v>
      </c>
      <c r="C7659" s="1" t="n">
        <v>45357</v>
      </c>
      <c r="D7659" t="inlineStr">
        <is>
          <t>VÄSTERBOTTENS LÄN</t>
        </is>
      </c>
      <c r="E7659" t="inlineStr">
        <is>
          <t>NORDMALING</t>
        </is>
      </c>
      <c r="F7659" t="inlineStr">
        <is>
          <t>SCA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52129-2022</t>
        </is>
      </c>
      <c r="B7660" s="1" t="n">
        <v>44868</v>
      </c>
      <c r="C7660" s="1" t="n">
        <v>45357</v>
      </c>
      <c r="D7660" t="inlineStr">
        <is>
          <t>VÄSTERBOTTENS LÄN</t>
        </is>
      </c>
      <c r="E7660" t="inlineStr">
        <is>
          <t>SKELLEFTEÅ</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51225-2022</t>
        </is>
      </c>
      <c r="B7661" s="1" t="n">
        <v>44868</v>
      </c>
      <c r="C7661" s="1" t="n">
        <v>45357</v>
      </c>
      <c r="D7661" t="inlineStr">
        <is>
          <t>VÄSTERBOTTENS LÄN</t>
        </is>
      </c>
      <c r="E7661" t="inlineStr">
        <is>
          <t>ROBERTSFORS</t>
        </is>
      </c>
      <c r="F7661" t="inlineStr">
        <is>
          <t>Holmen skog AB</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51300-2022</t>
        </is>
      </c>
      <c r="B7662" s="1" t="n">
        <v>44868</v>
      </c>
      <c r="C7662" s="1" t="n">
        <v>45357</v>
      </c>
      <c r="D7662" t="inlineStr">
        <is>
          <t>VÄSTERBOTTENS LÄN</t>
        </is>
      </c>
      <c r="E7662" t="inlineStr">
        <is>
          <t>BJURHOLM</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52141-2022</t>
        </is>
      </c>
      <c r="B7663" s="1" t="n">
        <v>44868</v>
      </c>
      <c r="C7663" s="1" t="n">
        <v>45357</v>
      </c>
      <c r="D7663" t="inlineStr">
        <is>
          <t>VÄSTERBOTTENS LÄN</t>
        </is>
      </c>
      <c r="E7663" t="inlineStr">
        <is>
          <t>SKELLEFTEÅ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52178-2022</t>
        </is>
      </c>
      <c r="B7664" s="1" t="n">
        <v>44868</v>
      </c>
      <c r="C7664" s="1" t="n">
        <v>45357</v>
      </c>
      <c r="D7664" t="inlineStr">
        <is>
          <t>VÄSTERBOTTENS LÄN</t>
        </is>
      </c>
      <c r="E7664" t="inlineStr">
        <is>
          <t>VINDELN</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52148-2022</t>
        </is>
      </c>
      <c r="B7665" s="1" t="n">
        <v>44868</v>
      </c>
      <c r="C7665" s="1" t="n">
        <v>45357</v>
      </c>
      <c r="D7665" t="inlineStr">
        <is>
          <t>VÄSTERBOTTENS LÄN</t>
        </is>
      </c>
      <c r="E7665" t="inlineStr">
        <is>
          <t>SKELLEFTEÅ</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52135-2022</t>
        </is>
      </c>
      <c r="B7666" s="1" t="n">
        <v>44868</v>
      </c>
      <c r="C7666" s="1" t="n">
        <v>45357</v>
      </c>
      <c r="D7666" t="inlineStr">
        <is>
          <t>VÄSTERBOTTENS LÄN</t>
        </is>
      </c>
      <c r="E7666" t="inlineStr">
        <is>
          <t>SKELLEFTEÅ</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52159-2022</t>
        </is>
      </c>
      <c r="B7667" s="1" t="n">
        <v>44868</v>
      </c>
      <c r="C7667" s="1" t="n">
        <v>45357</v>
      </c>
      <c r="D7667" t="inlineStr">
        <is>
          <t>VÄSTERBOTTENS LÄN</t>
        </is>
      </c>
      <c r="E7667" t="inlineStr">
        <is>
          <t>ÅSELE</t>
        </is>
      </c>
      <c r="G7667" t="n">
        <v>6.3</v>
      </c>
      <c r="H7667" t="n">
        <v>0</v>
      </c>
      <c r="I7667" t="n">
        <v>0</v>
      </c>
      <c r="J7667" t="n">
        <v>0</v>
      </c>
      <c r="K7667" t="n">
        <v>0</v>
      </c>
      <c r="L7667" t="n">
        <v>0</v>
      </c>
      <c r="M7667" t="n">
        <v>0</v>
      </c>
      <c r="N7667" t="n">
        <v>0</v>
      </c>
      <c r="O7667" t="n">
        <v>0</v>
      </c>
      <c r="P7667" t="n">
        <v>0</v>
      </c>
      <c r="Q7667" t="n">
        <v>0</v>
      </c>
      <c r="R7667" s="2" t="inlineStr"/>
    </row>
    <row r="7668" ht="15" customHeight="1">
      <c r="A7668" t="inlineStr">
        <is>
          <t>A 51440-2022</t>
        </is>
      </c>
      <c r="B7668" s="1" t="n">
        <v>44869</v>
      </c>
      <c r="C7668" s="1" t="n">
        <v>45357</v>
      </c>
      <c r="D7668" t="inlineStr">
        <is>
          <t>VÄSTERBOTTENS LÄN</t>
        </is>
      </c>
      <c r="E7668" t="inlineStr">
        <is>
          <t>VINDELN</t>
        </is>
      </c>
      <c r="F7668" t="inlineStr">
        <is>
          <t>Holmen skog AB</t>
        </is>
      </c>
      <c r="G7668" t="n">
        <v>9.6</v>
      </c>
      <c r="H7668" t="n">
        <v>0</v>
      </c>
      <c r="I7668" t="n">
        <v>0</v>
      </c>
      <c r="J7668" t="n">
        <v>0</v>
      </c>
      <c r="K7668" t="n">
        <v>0</v>
      </c>
      <c r="L7668" t="n">
        <v>0</v>
      </c>
      <c r="M7668" t="n">
        <v>0</v>
      </c>
      <c r="N7668" t="n">
        <v>0</v>
      </c>
      <c r="O7668" t="n">
        <v>0</v>
      </c>
      <c r="P7668" t="n">
        <v>0</v>
      </c>
      <c r="Q7668" t="n">
        <v>0</v>
      </c>
      <c r="R7668" s="2" t="inlineStr"/>
    </row>
    <row r="7669" ht="15" customHeight="1">
      <c r="A7669" t="inlineStr">
        <is>
          <t>A 51486-2022</t>
        </is>
      </c>
      <c r="B7669" s="1" t="n">
        <v>44869</v>
      </c>
      <c r="C7669" s="1" t="n">
        <v>45357</v>
      </c>
      <c r="D7669" t="inlineStr">
        <is>
          <t>VÄSTERBOTTENS LÄN</t>
        </is>
      </c>
      <c r="E7669" t="inlineStr">
        <is>
          <t>SKELLEFTEÅ</t>
        </is>
      </c>
      <c r="F7669" t="inlineStr">
        <is>
          <t>Holmen skog AB</t>
        </is>
      </c>
      <c r="G7669" t="n">
        <v>5.6</v>
      </c>
      <c r="H7669" t="n">
        <v>0</v>
      </c>
      <c r="I7669" t="n">
        <v>0</v>
      </c>
      <c r="J7669" t="n">
        <v>0</v>
      </c>
      <c r="K7669" t="n">
        <v>0</v>
      </c>
      <c r="L7669" t="n">
        <v>0</v>
      </c>
      <c r="M7669" t="n">
        <v>0</v>
      </c>
      <c r="N7669" t="n">
        <v>0</v>
      </c>
      <c r="O7669" t="n">
        <v>0</v>
      </c>
      <c r="P7669" t="n">
        <v>0</v>
      </c>
      <c r="Q7669" t="n">
        <v>0</v>
      </c>
      <c r="R7669" s="2" t="inlineStr"/>
    </row>
    <row r="7670" ht="15" customHeight="1">
      <c r="A7670" t="inlineStr">
        <is>
          <t>A 51427-2022</t>
        </is>
      </c>
      <c r="B7670" s="1" t="n">
        <v>44869</v>
      </c>
      <c r="C7670" s="1" t="n">
        <v>45357</v>
      </c>
      <c r="D7670" t="inlineStr">
        <is>
          <t>VÄSTERBOTTENS LÄN</t>
        </is>
      </c>
      <c r="E7670" t="inlineStr">
        <is>
          <t>SKELLEFTEÅ</t>
        </is>
      </c>
      <c r="F7670" t="inlineStr">
        <is>
          <t>Holmen skog AB</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51438-2022</t>
        </is>
      </c>
      <c r="B7671" s="1" t="n">
        <v>44869</v>
      </c>
      <c r="C7671" s="1" t="n">
        <v>45357</v>
      </c>
      <c r="D7671" t="inlineStr">
        <is>
          <t>VÄSTERBOTTENS LÄN</t>
        </is>
      </c>
      <c r="E7671" t="inlineStr">
        <is>
          <t>SKELLEFTEÅ</t>
        </is>
      </c>
      <c r="F7671" t="inlineStr">
        <is>
          <t>Holmen skog AB</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51549-2022</t>
        </is>
      </c>
      <c r="B7672" s="1" t="n">
        <v>44869</v>
      </c>
      <c r="C7672" s="1" t="n">
        <v>45357</v>
      </c>
      <c r="D7672" t="inlineStr">
        <is>
          <t>VÄSTERBOTTENS LÄN</t>
        </is>
      </c>
      <c r="E7672" t="inlineStr">
        <is>
          <t>VINDELN</t>
        </is>
      </c>
      <c r="F7672" t="inlineStr">
        <is>
          <t>SCA</t>
        </is>
      </c>
      <c r="G7672" t="n">
        <v>9.9</v>
      </c>
      <c r="H7672" t="n">
        <v>0</v>
      </c>
      <c r="I7672" t="n">
        <v>0</v>
      </c>
      <c r="J7672" t="n">
        <v>0</v>
      </c>
      <c r="K7672" t="n">
        <v>0</v>
      </c>
      <c r="L7672" t="n">
        <v>0</v>
      </c>
      <c r="M7672" t="n">
        <v>0</v>
      </c>
      <c r="N7672" t="n">
        <v>0</v>
      </c>
      <c r="O7672" t="n">
        <v>0</v>
      </c>
      <c r="P7672" t="n">
        <v>0</v>
      </c>
      <c r="Q7672" t="n">
        <v>0</v>
      </c>
      <c r="R7672" s="2" t="inlineStr"/>
    </row>
    <row r="7673" ht="15" customHeight="1">
      <c r="A7673" t="inlineStr">
        <is>
          <t>A 52403-2022</t>
        </is>
      </c>
      <c r="B7673" s="1" t="n">
        <v>44869</v>
      </c>
      <c r="C7673" s="1" t="n">
        <v>45357</v>
      </c>
      <c r="D7673" t="inlineStr">
        <is>
          <t>VÄSTERBOTTENS LÄN</t>
        </is>
      </c>
      <c r="E7673" t="inlineStr">
        <is>
          <t>STORUMAN</t>
        </is>
      </c>
      <c r="F7673" t="inlineStr">
        <is>
          <t>Allmännings- och besparingsskogar</t>
        </is>
      </c>
      <c r="G7673" t="n">
        <v>14.7</v>
      </c>
      <c r="H7673" t="n">
        <v>0</v>
      </c>
      <c r="I7673" t="n">
        <v>0</v>
      </c>
      <c r="J7673" t="n">
        <v>0</v>
      </c>
      <c r="K7673" t="n">
        <v>0</v>
      </c>
      <c r="L7673" t="n">
        <v>0</v>
      </c>
      <c r="M7673" t="n">
        <v>0</v>
      </c>
      <c r="N7673" t="n">
        <v>0</v>
      </c>
      <c r="O7673" t="n">
        <v>0</v>
      </c>
      <c r="P7673" t="n">
        <v>0</v>
      </c>
      <c r="Q7673" t="n">
        <v>0</v>
      </c>
      <c r="R7673" s="2" t="inlineStr"/>
    </row>
    <row r="7674" ht="15" customHeight="1">
      <c r="A7674" t="inlineStr">
        <is>
          <t>A 52482-2022</t>
        </is>
      </c>
      <c r="B7674" s="1" t="n">
        <v>44869</v>
      </c>
      <c r="C7674" s="1" t="n">
        <v>45357</v>
      </c>
      <c r="D7674" t="inlineStr">
        <is>
          <t>VÄSTERBOTTENS LÄN</t>
        </is>
      </c>
      <c r="E7674" t="inlineStr">
        <is>
          <t>SKELLEFTEÅ</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52500-2022</t>
        </is>
      </c>
      <c r="B7675" s="1" t="n">
        <v>44869</v>
      </c>
      <c r="C7675" s="1" t="n">
        <v>45357</v>
      </c>
      <c r="D7675" t="inlineStr">
        <is>
          <t>VÄSTERBOTTENS LÄN</t>
        </is>
      </c>
      <c r="E7675" t="inlineStr">
        <is>
          <t>SKELLEFTEÅ</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52475-2022</t>
        </is>
      </c>
      <c r="B7676" s="1" t="n">
        <v>44869</v>
      </c>
      <c r="C7676" s="1" t="n">
        <v>45357</v>
      </c>
      <c r="D7676" t="inlineStr">
        <is>
          <t>VÄSTERBOTTENS LÄN</t>
        </is>
      </c>
      <c r="E7676" t="inlineStr">
        <is>
          <t>SKELLEFTEÅ</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52497-2022</t>
        </is>
      </c>
      <c r="B7677" s="1" t="n">
        <v>44869</v>
      </c>
      <c r="C7677" s="1" t="n">
        <v>45357</v>
      </c>
      <c r="D7677" t="inlineStr">
        <is>
          <t>VÄSTERBOTTENS LÄN</t>
        </is>
      </c>
      <c r="E7677" t="inlineStr">
        <is>
          <t>SKELLEFTEÅ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52627-2022</t>
        </is>
      </c>
      <c r="B7678" s="1" t="n">
        <v>44869</v>
      </c>
      <c r="C7678" s="1" t="n">
        <v>45357</v>
      </c>
      <c r="D7678" t="inlineStr">
        <is>
          <t>VÄSTERBOTTENS LÄN</t>
        </is>
      </c>
      <c r="E7678" t="inlineStr">
        <is>
          <t>SORSELE</t>
        </is>
      </c>
      <c r="F7678" t="inlineStr">
        <is>
          <t>Allmännings- och besparingsskogar</t>
        </is>
      </c>
      <c r="G7678" t="n">
        <v>15.4</v>
      </c>
      <c r="H7678" t="n">
        <v>0</v>
      </c>
      <c r="I7678" t="n">
        <v>0</v>
      </c>
      <c r="J7678" t="n">
        <v>0</v>
      </c>
      <c r="K7678" t="n">
        <v>0</v>
      </c>
      <c r="L7678" t="n">
        <v>0</v>
      </c>
      <c r="M7678" t="n">
        <v>0</v>
      </c>
      <c r="N7678" t="n">
        <v>0</v>
      </c>
      <c r="O7678" t="n">
        <v>0</v>
      </c>
      <c r="P7678" t="n">
        <v>0</v>
      </c>
      <c r="Q7678" t="n">
        <v>0</v>
      </c>
      <c r="R7678" s="2" t="inlineStr"/>
    </row>
    <row r="7679" ht="15" customHeight="1">
      <c r="A7679" t="inlineStr">
        <is>
          <t>A 51491-2022</t>
        </is>
      </c>
      <c r="B7679" s="1" t="n">
        <v>44869</v>
      </c>
      <c r="C7679" s="1" t="n">
        <v>45357</v>
      </c>
      <c r="D7679" t="inlineStr">
        <is>
          <t>VÄSTERBOTTENS LÄN</t>
        </is>
      </c>
      <c r="E7679" t="inlineStr">
        <is>
          <t>NORSJÖ</t>
        </is>
      </c>
      <c r="F7679" t="inlineStr">
        <is>
          <t>Sveaskog</t>
        </is>
      </c>
      <c r="G7679" t="n">
        <v>9.5</v>
      </c>
      <c r="H7679" t="n">
        <v>0</v>
      </c>
      <c r="I7679" t="n">
        <v>0</v>
      </c>
      <c r="J7679" t="n">
        <v>0</v>
      </c>
      <c r="K7679" t="n">
        <v>0</v>
      </c>
      <c r="L7679" t="n">
        <v>0</v>
      </c>
      <c r="M7679" t="n">
        <v>0</v>
      </c>
      <c r="N7679" t="n">
        <v>0</v>
      </c>
      <c r="O7679" t="n">
        <v>0</v>
      </c>
      <c r="P7679" t="n">
        <v>0</v>
      </c>
      <c r="Q7679" t="n">
        <v>0</v>
      </c>
      <c r="R7679" s="2" t="inlineStr"/>
    </row>
    <row r="7680" ht="15" customHeight="1">
      <c r="A7680" t="inlineStr">
        <is>
          <t>A 52459-2022</t>
        </is>
      </c>
      <c r="B7680" s="1" t="n">
        <v>44869</v>
      </c>
      <c r="C7680" s="1" t="n">
        <v>45357</v>
      </c>
      <c r="D7680" t="inlineStr">
        <is>
          <t>VÄSTERBOTTENS LÄN</t>
        </is>
      </c>
      <c r="E7680" t="inlineStr">
        <is>
          <t>SKELLEFTEÅ</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52492-2022</t>
        </is>
      </c>
      <c r="B7681" s="1" t="n">
        <v>44869</v>
      </c>
      <c r="C7681" s="1" t="n">
        <v>45357</v>
      </c>
      <c r="D7681" t="inlineStr">
        <is>
          <t>VÄSTERBOTTENS LÄN</t>
        </is>
      </c>
      <c r="E7681" t="inlineStr">
        <is>
          <t>SKELLEFTEÅ</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52621-2022</t>
        </is>
      </c>
      <c r="B7682" s="1" t="n">
        <v>44869</v>
      </c>
      <c r="C7682" s="1" t="n">
        <v>45357</v>
      </c>
      <c r="D7682" t="inlineStr">
        <is>
          <t>VÄSTERBOTTENS LÄN</t>
        </is>
      </c>
      <c r="E7682" t="inlineStr">
        <is>
          <t>SORSELE</t>
        </is>
      </c>
      <c r="F7682" t="inlineStr">
        <is>
          <t>Allmännings- och besparingsskogar</t>
        </is>
      </c>
      <c r="G7682" t="n">
        <v>17.3</v>
      </c>
      <c r="H7682" t="n">
        <v>0</v>
      </c>
      <c r="I7682" t="n">
        <v>0</v>
      </c>
      <c r="J7682" t="n">
        <v>0</v>
      </c>
      <c r="K7682" t="n">
        <v>0</v>
      </c>
      <c r="L7682" t="n">
        <v>0</v>
      </c>
      <c r="M7682" t="n">
        <v>0</v>
      </c>
      <c r="N7682" t="n">
        <v>0</v>
      </c>
      <c r="O7682" t="n">
        <v>0</v>
      </c>
      <c r="P7682" t="n">
        <v>0</v>
      </c>
      <c r="Q7682" t="n">
        <v>0</v>
      </c>
      <c r="R7682" s="2" t="inlineStr"/>
    </row>
    <row r="7683" ht="15" customHeight="1">
      <c r="A7683" t="inlineStr">
        <is>
          <t>A 51548-2022</t>
        </is>
      </c>
      <c r="B7683" s="1" t="n">
        <v>44869</v>
      </c>
      <c r="C7683" s="1" t="n">
        <v>45357</v>
      </c>
      <c r="D7683" t="inlineStr">
        <is>
          <t>VÄSTERBOTTENS LÄN</t>
        </is>
      </c>
      <c r="E7683" t="inlineStr">
        <is>
          <t>VINDELN</t>
        </is>
      </c>
      <c r="F7683" t="inlineStr">
        <is>
          <t>SCA</t>
        </is>
      </c>
      <c r="G7683" t="n">
        <v>15.3</v>
      </c>
      <c r="H7683" t="n">
        <v>0</v>
      </c>
      <c r="I7683" t="n">
        <v>0</v>
      </c>
      <c r="J7683" t="n">
        <v>0</v>
      </c>
      <c r="K7683" t="n">
        <v>0</v>
      </c>
      <c r="L7683" t="n">
        <v>0</v>
      </c>
      <c r="M7683" t="n">
        <v>0</v>
      </c>
      <c r="N7683" t="n">
        <v>0</v>
      </c>
      <c r="O7683" t="n">
        <v>0</v>
      </c>
      <c r="P7683" t="n">
        <v>0</v>
      </c>
      <c r="Q7683" t="n">
        <v>0</v>
      </c>
      <c r="R7683" s="2" t="inlineStr"/>
    </row>
    <row r="7684" ht="15" customHeight="1">
      <c r="A7684" t="inlineStr">
        <is>
          <t>A 52488-2022</t>
        </is>
      </c>
      <c r="B7684" s="1" t="n">
        <v>44869</v>
      </c>
      <c r="C7684" s="1" t="n">
        <v>45357</v>
      </c>
      <c r="D7684" t="inlineStr">
        <is>
          <t>VÄSTERBOTTENS LÄN</t>
        </is>
      </c>
      <c r="E7684" t="inlineStr">
        <is>
          <t>SKELLEFTEÅ</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51493-2022</t>
        </is>
      </c>
      <c r="B7685" s="1" t="n">
        <v>44869</v>
      </c>
      <c r="C7685" s="1" t="n">
        <v>45357</v>
      </c>
      <c r="D7685" t="inlineStr">
        <is>
          <t>VÄSTERBOTTENS LÄN</t>
        </is>
      </c>
      <c r="E7685" t="inlineStr">
        <is>
          <t>NORSJÖ</t>
        </is>
      </c>
      <c r="F7685" t="inlineStr">
        <is>
          <t>Sveaskog</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52598-2022</t>
        </is>
      </c>
      <c r="B7686" s="1" t="n">
        <v>44869</v>
      </c>
      <c r="C7686" s="1" t="n">
        <v>45357</v>
      </c>
      <c r="D7686" t="inlineStr">
        <is>
          <t>VÄSTERBOTTENS LÄN</t>
        </is>
      </c>
      <c r="E7686" t="inlineStr">
        <is>
          <t>SORSELE</t>
        </is>
      </c>
      <c r="F7686" t="inlineStr">
        <is>
          <t>Allmännings- och besparingsskogar</t>
        </is>
      </c>
      <c r="G7686" t="n">
        <v>17.1</v>
      </c>
      <c r="H7686" t="n">
        <v>0</v>
      </c>
      <c r="I7686" t="n">
        <v>0</v>
      </c>
      <c r="J7686" t="n">
        <v>0</v>
      </c>
      <c r="K7686" t="n">
        <v>0</v>
      </c>
      <c r="L7686" t="n">
        <v>0</v>
      </c>
      <c r="M7686" t="n">
        <v>0</v>
      </c>
      <c r="N7686" t="n">
        <v>0</v>
      </c>
      <c r="O7686" t="n">
        <v>0</v>
      </c>
      <c r="P7686" t="n">
        <v>0</v>
      </c>
      <c r="Q7686" t="n">
        <v>0</v>
      </c>
      <c r="R7686" s="2" t="inlineStr"/>
    </row>
    <row r="7687" ht="15" customHeight="1">
      <c r="A7687" t="inlineStr">
        <is>
          <t>A 51616-2022</t>
        </is>
      </c>
      <c r="B7687" s="1" t="n">
        <v>44871</v>
      </c>
      <c r="C7687" s="1" t="n">
        <v>45357</v>
      </c>
      <c r="D7687" t="inlineStr">
        <is>
          <t>VÄSTERBOTTENS LÄN</t>
        </is>
      </c>
      <c r="E7687" t="inlineStr">
        <is>
          <t>VINDELN</t>
        </is>
      </c>
      <c r="F7687" t="inlineStr">
        <is>
          <t>SCA</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51588-2022</t>
        </is>
      </c>
      <c r="B7688" s="1" t="n">
        <v>44871</v>
      </c>
      <c r="C7688" s="1" t="n">
        <v>45357</v>
      </c>
      <c r="D7688" t="inlineStr">
        <is>
          <t>VÄSTERBOTTENS LÄN</t>
        </is>
      </c>
      <c r="E7688" t="inlineStr">
        <is>
          <t>ROBERTSFORS</t>
        </is>
      </c>
      <c r="F7688" t="inlineStr">
        <is>
          <t>Holmen skog AB</t>
        </is>
      </c>
      <c r="G7688" t="n">
        <v>11.9</v>
      </c>
      <c r="H7688" t="n">
        <v>0</v>
      </c>
      <c r="I7688" t="n">
        <v>0</v>
      </c>
      <c r="J7688" t="n">
        <v>0</v>
      </c>
      <c r="K7688" t="n">
        <v>0</v>
      </c>
      <c r="L7688" t="n">
        <v>0</v>
      </c>
      <c r="M7688" t="n">
        <v>0</v>
      </c>
      <c r="N7688" t="n">
        <v>0</v>
      </c>
      <c r="O7688" t="n">
        <v>0</v>
      </c>
      <c r="P7688" t="n">
        <v>0</v>
      </c>
      <c r="Q7688" t="n">
        <v>0</v>
      </c>
      <c r="R7688" s="2" t="inlineStr"/>
    </row>
    <row r="7689" ht="15" customHeight="1">
      <c r="A7689" t="inlineStr">
        <is>
          <t>A 51615-2022</t>
        </is>
      </c>
      <c r="B7689" s="1" t="n">
        <v>44871</v>
      </c>
      <c r="C7689" s="1" t="n">
        <v>45357</v>
      </c>
      <c r="D7689" t="inlineStr">
        <is>
          <t>VÄSTERBOTTENS LÄN</t>
        </is>
      </c>
      <c r="E7689" t="inlineStr">
        <is>
          <t>VINDELN</t>
        </is>
      </c>
      <c r="F7689" t="inlineStr">
        <is>
          <t>SCA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51632-2022</t>
        </is>
      </c>
      <c r="B7690" s="1" t="n">
        <v>44872</v>
      </c>
      <c r="C7690" s="1" t="n">
        <v>45357</v>
      </c>
      <c r="D7690" t="inlineStr">
        <is>
          <t>VÄSTERBOTTENS LÄN</t>
        </is>
      </c>
      <c r="E7690" t="inlineStr">
        <is>
          <t>VINDELN</t>
        </is>
      </c>
      <c r="F7690" t="inlineStr">
        <is>
          <t>Sveaskog</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51748-2022</t>
        </is>
      </c>
      <c r="B7691" s="1" t="n">
        <v>44872</v>
      </c>
      <c r="C7691" s="1" t="n">
        <v>45357</v>
      </c>
      <c r="D7691" t="inlineStr">
        <is>
          <t>VÄSTERBOTTENS LÄN</t>
        </is>
      </c>
      <c r="E7691" t="inlineStr">
        <is>
          <t>MALÅ</t>
        </is>
      </c>
      <c r="F7691" t="inlineStr">
        <is>
          <t>Sveaskog</t>
        </is>
      </c>
      <c r="G7691" t="n">
        <v>7.3</v>
      </c>
      <c r="H7691" t="n">
        <v>0</v>
      </c>
      <c r="I7691" t="n">
        <v>0</v>
      </c>
      <c r="J7691" t="n">
        <v>0</v>
      </c>
      <c r="K7691" t="n">
        <v>0</v>
      </c>
      <c r="L7691" t="n">
        <v>0</v>
      </c>
      <c r="M7691" t="n">
        <v>0</v>
      </c>
      <c r="N7691" t="n">
        <v>0</v>
      </c>
      <c r="O7691" t="n">
        <v>0</v>
      </c>
      <c r="P7691" t="n">
        <v>0</v>
      </c>
      <c r="Q7691" t="n">
        <v>0</v>
      </c>
      <c r="R7691" s="2" t="inlineStr"/>
    </row>
    <row r="7692" ht="15" customHeight="1">
      <c r="A7692" t="inlineStr">
        <is>
          <t>A 51919-2022</t>
        </is>
      </c>
      <c r="B7692" s="1" t="n">
        <v>44872</v>
      </c>
      <c r="C7692" s="1" t="n">
        <v>45357</v>
      </c>
      <c r="D7692" t="inlineStr">
        <is>
          <t>VÄSTERBOTTENS LÄN</t>
        </is>
      </c>
      <c r="E7692" t="inlineStr">
        <is>
          <t>SKELLEFTEÅ</t>
        </is>
      </c>
      <c r="F7692" t="inlineStr">
        <is>
          <t>Holmen skog AB</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51951-2022</t>
        </is>
      </c>
      <c r="B7693" s="1" t="n">
        <v>44872</v>
      </c>
      <c r="C7693" s="1" t="n">
        <v>45357</v>
      </c>
      <c r="D7693" t="inlineStr">
        <is>
          <t>VÄSTERBOTTENS LÄN</t>
        </is>
      </c>
      <c r="E7693" t="inlineStr">
        <is>
          <t>SKELLEFTEÅ</t>
        </is>
      </c>
      <c r="F7693" t="inlineStr">
        <is>
          <t>Holmen skog AB</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51995-2022</t>
        </is>
      </c>
      <c r="B7694" s="1" t="n">
        <v>44872</v>
      </c>
      <c r="C7694" s="1" t="n">
        <v>45357</v>
      </c>
      <c r="D7694" t="inlineStr">
        <is>
          <t>VÄSTERBOTTENS LÄN</t>
        </is>
      </c>
      <c r="E7694" t="inlineStr">
        <is>
          <t>NORSJÖ</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52009-2022</t>
        </is>
      </c>
      <c r="B7695" s="1" t="n">
        <v>44872</v>
      </c>
      <c r="C7695" s="1" t="n">
        <v>45357</v>
      </c>
      <c r="D7695" t="inlineStr">
        <is>
          <t>VÄSTERBOTTENS LÄN</t>
        </is>
      </c>
      <c r="E7695" t="inlineStr">
        <is>
          <t>SKELLEFTEÅ</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51982-2022</t>
        </is>
      </c>
      <c r="B7696" s="1" t="n">
        <v>44872</v>
      </c>
      <c r="C7696" s="1" t="n">
        <v>45357</v>
      </c>
      <c r="D7696" t="inlineStr">
        <is>
          <t>VÄSTERBOTTENS LÄN</t>
        </is>
      </c>
      <c r="E7696" t="inlineStr">
        <is>
          <t>SKELLEFTEÅ</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51874-2022</t>
        </is>
      </c>
      <c r="B7697" s="1" t="n">
        <v>44872</v>
      </c>
      <c r="C7697" s="1" t="n">
        <v>45357</v>
      </c>
      <c r="D7697" t="inlineStr">
        <is>
          <t>VÄSTERBOTTENS LÄN</t>
        </is>
      </c>
      <c r="E7697" t="inlineStr">
        <is>
          <t>SKELLEFTEÅ</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51926-2022</t>
        </is>
      </c>
      <c r="B7698" s="1" t="n">
        <v>44872</v>
      </c>
      <c r="C7698" s="1" t="n">
        <v>45357</v>
      </c>
      <c r="D7698" t="inlineStr">
        <is>
          <t>VÄSTERBOTTENS LÄN</t>
        </is>
      </c>
      <c r="E7698" t="inlineStr">
        <is>
          <t>NORSJÖ</t>
        </is>
      </c>
      <c r="F7698" t="inlineStr">
        <is>
          <t>Holmen skog AB</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51994-2022</t>
        </is>
      </c>
      <c r="B7699" s="1" t="n">
        <v>44872</v>
      </c>
      <c r="C7699" s="1" t="n">
        <v>45357</v>
      </c>
      <c r="D7699" t="inlineStr">
        <is>
          <t>VÄSTERBOTTENS LÄN</t>
        </is>
      </c>
      <c r="E7699" t="inlineStr">
        <is>
          <t>ÅSELE</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51998-2022</t>
        </is>
      </c>
      <c r="B7700" s="1" t="n">
        <v>44872</v>
      </c>
      <c r="C7700" s="1" t="n">
        <v>45357</v>
      </c>
      <c r="D7700" t="inlineStr">
        <is>
          <t>VÄSTERBOTTENS LÄN</t>
        </is>
      </c>
      <c r="E7700" t="inlineStr">
        <is>
          <t>NORSJÖ</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52864-2022</t>
        </is>
      </c>
      <c r="B7701" s="1" t="n">
        <v>44872</v>
      </c>
      <c r="C7701" s="1" t="n">
        <v>45357</v>
      </c>
      <c r="D7701" t="inlineStr">
        <is>
          <t>VÄSTERBOTTENS LÄN</t>
        </is>
      </c>
      <c r="E7701" t="inlineStr">
        <is>
          <t>SKELLEFTEÅ</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52881-2022</t>
        </is>
      </c>
      <c r="B7702" s="1" t="n">
        <v>44872</v>
      </c>
      <c r="C7702" s="1" t="n">
        <v>45357</v>
      </c>
      <c r="D7702" t="inlineStr">
        <is>
          <t>VÄSTERBOTTENS LÄN</t>
        </is>
      </c>
      <c r="E7702" t="inlineStr">
        <is>
          <t>UMEÅ</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52003-2022</t>
        </is>
      </c>
      <c r="B7703" s="1" t="n">
        <v>44872</v>
      </c>
      <c r="C7703" s="1" t="n">
        <v>45357</v>
      </c>
      <c r="D7703" t="inlineStr">
        <is>
          <t>VÄSTERBOTTENS LÄN</t>
        </is>
      </c>
      <c r="E7703" t="inlineStr">
        <is>
          <t>SKELLEFTEÅ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52008-2022</t>
        </is>
      </c>
      <c r="B7704" s="1" t="n">
        <v>44872</v>
      </c>
      <c r="C7704" s="1" t="n">
        <v>45357</v>
      </c>
      <c r="D7704" t="inlineStr">
        <is>
          <t>VÄSTERBOTTENS LÄN</t>
        </is>
      </c>
      <c r="E7704" t="inlineStr">
        <is>
          <t>VILHELMINA</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52019-2022</t>
        </is>
      </c>
      <c r="B7705" s="1" t="n">
        <v>44872</v>
      </c>
      <c r="C7705" s="1" t="n">
        <v>45357</v>
      </c>
      <c r="D7705" t="inlineStr">
        <is>
          <t>VÄSTERBOTTENS LÄN</t>
        </is>
      </c>
      <c r="E7705" t="inlineStr">
        <is>
          <t>VINDELN</t>
        </is>
      </c>
      <c r="F7705" t="inlineStr">
        <is>
          <t>SCA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52025-2022</t>
        </is>
      </c>
      <c r="B7706" s="1" t="n">
        <v>44872</v>
      </c>
      <c r="C7706" s="1" t="n">
        <v>45357</v>
      </c>
      <c r="D7706" t="inlineStr">
        <is>
          <t>VÄSTERBOTTENS LÄN</t>
        </is>
      </c>
      <c r="E7706" t="inlineStr">
        <is>
          <t>ÅSELE</t>
        </is>
      </c>
      <c r="F7706" t="inlineStr">
        <is>
          <t>SCA</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52784-2022</t>
        </is>
      </c>
      <c r="B7707" s="1" t="n">
        <v>44872</v>
      </c>
      <c r="C7707" s="1" t="n">
        <v>45357</v>
      </c>
      <c r="D7707" t="inlineStr">
        <is>
          <t>VÄSTERBOTTENS LÄN</t>
        </is>
      </c>
      <c r="E7707" t="inlineStr">
        <is>
          <t>NORDMALING</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52817-2022</t>
        </is>
      </c>
      <c r="B7708" s="1" t="n">
        <v>44872</v>
      </c>
      <c r="C7708" s="1" t="n">
        <v>45357</v>
      </c>
      <c r="D7708" t="inlineStr">
        <is>
          <t>VÄSTERBOTTENS LÄN</t>
        </is>
      </c>
      <c r="E7708" t="inlineStr">
        <is>
          <t>SKELLEFTEÅ</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52862-2022</t>
        </is>
      </c>
      <c r="B7709" s="1" t="n">
        <v>44872</v>
      </c>
      <c r="C7709" s="1" t="n">
        <v>45357</v>
      </c>
      <c r="D7709" t="inlineStr">
        <is>
          <t>VÄSTERBOTTENS LÄN</t>
        </is>
      </c>
      <c r="E7709" t="inlineStr">
        <is>
          <t>UMEÅ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52888-2022</t>
        </is>
      </c>
      <c r="B7710" s="1" t="n">
        <v>44872</v>
      </c>
      <c r="C7710" s="1" t="n">
        <v>45357</v>
      </c>
      <c r="D7710" t="inlineStr">
        <is>
          <t>VÄSTERBOTTENS LÄN</t>
        </is>
      </c>
      <c r="E7710" t="inlineStr">
        <is>
          <t>VINDELN</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53753-2022</t>
        </is>
      </c>
      <c r="B7711" s="1" t="n">
        <v>44872</v>
      </c>
      <c r="C7711" s="1" t="n">
        <v>45357</v>
      </c>
      <c r="D7711" t="inlineStr">
        <is>
          <t>VÄSTERBOTTENS LÄN</t>
        </is>
      </c>
      <c r="E7711" t="inlineStr">
        <is>
          <t>SKELLEFTEÅ</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52871-2022</t>
        </is>
      </c>
      <c r="B7712" s="1" t="n">
        <v>44872</v>
      </c>
      <c r="C7712" s="1" t="n">
        <v>45357</v>
      </c>
      <c r="D7712" t="inlineStr">
        <is>
          <t>VÄSTERBOTTENS LÄN</t>
        </is>
      </c>
      <c r="E7712" t="inlineStr">
        <is>
          <t>SKELLEFTEÅ</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52885-2022</t>
        </is>
      </c>
      <c r="B7713" s="1" t="n">
        <v>44872</v>
      </c>
      <c r="C7713" s="1" t="n">
        <v>45357</v>
      </c>
      <c r="D7713" t="inlineStr">
        <is>
          <t>VÄSTERBOTTENS LÄN</t>
        </is>
      </c>
      <c r="E7713" t="inlineStr">
        <is>
          <t>VINDELN</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53743-2022</t>
        </is>
      </c>
      <c r="B7714" s="1" t="n">
        <v>44872</v>
      </c>
      <c r="C7714" s="1" t="n">
        <v>45357</v>
      </c>
      <c r="D7714" t="inlineStr">
        <is>
          <t>VÄSTERBOTTENS LÄN</t>
        </is>
      </c>
      <c r="E7714" t="inlineStr">
        <is>
          <t>SKELLEFTEÅ</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52855-2022</t>
        </is>
      </c>
      <c r="B7715" s="1" t="n">
        <v>44872</v>
      </c>
      <c r="C7715" s="1" t="n">
        <v>45357</v>
      </c>
      <c r="D7715" t="inlineStr">
        <is>
          <t>VÄSTERBOTTENS LÄN</t>
        </is>
      </c>
      <c r="E7715" t="inlineStr">
        <is>
          <t>SKELLEFTEÅ</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52043-2022</t>
        </is>
      </c>
      <c r="B7716" s="1" t="n">
        <v>44873</v>
      </c>
      <c r="C7716" s="1" t="n">
        <v>45357</v>
      </c>
      <c r="D7716" t="inlineStr">
        <is>
          <t>VÄSTERBOTTENS LÄN</t>
        </is>
      </c>
      <c r="E7716" t="inlineStr">
        <is>
          <t>SKELLEFTEÅ</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52126-2022</t>
        </is>
      </c>
      <c r="B7717" s="1" t="n">
        <v>44873</v>
      </c>
      <c r="C7717" s="1" t="n">
        <v>45357</v>
      </c>
      <c r="D7717" t="inlineStr">
        <is>
          <t>VÄSTERBOTTENS LÄN</t>
        </is>
      </c>
      <c r="E7717" t="inlineStr">
        <is>
          <t>UMEÅ</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52162-2022</t>
        </is>
      </c>
      <c r="B7718" s="1" t="n">
        <v>44873</v>
      </c>
      <c r="C7718" s="1" t="n">
        <v>45357</v>
      </c>
      <c r="D7718" t="inlineStr">
        <is>
          <t>VÄSTERBOTTENS LÄN</t>
        </is>
      </c>
      <c r="E7718" t="inlineStr">
        <is>
          <t>UMEÅ</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52186-2022</t>
        </is>
      </c>
      <c r="B7719" s="1" t="n">
        <v>44873</v>
      </c>
      <c r="C7719" s="1" t="n">
        <v>45357</v>
      </c>
      <c r="D7719" t="inlineStr">
        <is>
          <t>VÄSTERBOTTENS LÄN</t>
        </is>
      </c>
      <c r="E7719" t="inlineStr">
        <is>
          <t>LYCKSELE</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52330-2022</t>
        </is>
      </c>
      <c r="B7720" s="1" t="n">
        <v>44873</v>
      </c>
      <c r="C7720" s="1" t="n">
        <v>45357</v>
      </c>
      <c r="D7720" t="inlineStr">
        <is>
          <t>VÄSTERBOTTENS LÄN</t>
        </is>
      </c>
      <c r="E7720" t="inlineStr">
        <is>
          <t>NORSJÖ</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52343-2022</t>
        </is>
      </c>
      <c r="B7721" s="1" t="n">
        <v>44873</v>
      </c>
      <c r="C7721" s="1" t="n">
        <v>45357</v>
      </c>
      <c r="D7721" t="inlineStr">
        <is>
          <t>VÄSTERBOTTENS LÄN</t>
        </is>
      </c>
      <c r="E7721" t="inlineStr">
        <is>
          <t>DOROTEA</t>
        </is>
      </c>
      <c r="F7721" t="inlineStr">
        <is>
          <t>SCA</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52158-2022</t>
        </is>
      </c>
      <c r="B7722" s="1" t="n">
        <v>44873</v>
      </c>
      <c r="C7722" s="1" t="n">
        <v>45357</v>
      </c>
      <c r="D7722" t="inlineStr">
        <is>
          <t>VÄSTERBOTTENS LÄN</t>
        </is>
      </c>
      <c r="E7722" t="inlineStr">
        <is>
          <t>UMEÅ</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52321-2022</t>
        </is>
      </c>
      <c r="B7723" s="1" t="n">
        <v>44873</v>
      </c>
      <c r="C7723" s="1" t="n">
        <v>45357</v>
      </c>
      <c r="D7723" t="inlineStr">
        <is>
          <t>VÄSTERBOTTENS LÄN</t>
        </is>
      </c>
      <c r="E7723" t="inlineStr">
        <is>
          <t>BJURHOLM</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52329-2022</t>
        </is>
      </c>
      <c r="B7724" s="1" t="n">
        <v>44873</v>
      </c>
      <c r="C7724" s="1" t="n">
        <v>45357</v>
      </c>
      <c r="D7724" t="inlineStr">
        <is>
          <t>VÄSTERBOTTENS LÄN</t>
        </is>
      </c>
      <c r="E7724" t="inlineStr">
        <is>
          <t>NORSJÖ</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52312-2022</t>
        </is>
      </c>
      <c r="B7725" s="1" t="n">
        <v>44873</v>
      </c>
      <c r="C7725" s="1" t="n">
        <v>45357</v>
      </c>
      <c r="D7725" t="inlineStr">
        <is>
          <t>VÄSTERBOTTENS LÄN</t>
        </is>
      </c>
      <c r="E7725" t="inlineStr">
        <is>
          <t>UMEÅ</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52935-2022</t>
        </is>
      </c>
      <c r="B7726" s="1" t="n">
        <v>44873</v>
      </c>
      <c r="C7726" s="1" t="n">
        <v>45357</v>
      </c>
      <c r="D7726" t="inlineStr">
        <is>
          <t>VÄSTERBOTTENS LÄN</t>
        </is>
      </c>
      <c r="E7726" t="inlineStr">
        <is>
          <t>VINDELN</t>
        </is>
      </c>
      <c r="G7726" t="n">
        <v>12.5</v>
      </c>
      <c r="H7726" t="n">
        <v>0</v>
      </c>
      <c r="I7726" t="n">
        <v>0</v>
      </c>
      <c r="J7726" t="n">
        <v>0</v>
      </c>
      <c r="K7726" t="n">
        <v>0</v>
      </c>
      <c r="L7726" t="n">
        <v>0</v>
      </c>
      <c r="M7726" t="n">
        <v>0</v>
      </c>
      <c r="N7726" t="n">
        <v>0</v>
      </c>
      <c r="O7726" t="n">
        <v>0</v>
      </c>
      <c r="P7726" t="n">
        <v>0</v>
      </c>
      <c r="Q7726" t="n">
        <v>0</v>
      </c>
      <c r="R7726" s="2" t="inlineStr"/>
    </row>
    <row r="7727" ht="15" customHeight="1">
      <c r="A7727" t="inlineStr">
        <is>
          <t>A 52370-2022</t>
        </is>
      </c>
      <c r="B7727" s="1" t="n">
        <v>44874</v>
      </c>
      <c r="C7727" s="1" t="n">
        <v>45357</v>
      </c>
      <c r="D7727" t="inlineStr">
        <is>
          <t>VÄSTERBOTTENS LÄN</t>
        </is>
      </c>
      <c r="E7727" t="inlineStr">
        <is>
          <t>LYCKSELE</t>
        </is>
      </c>
      <c r="F7727" t="inlineStr">
        <is>
          <t>Sveaskog</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52538-2022</t>
        </is>
      </c>
      <c r="B7728" s="1" t="n">
        <v>44874</v>
      </c>
      <c r="C7728" s="1" t="n">
        <v>45357</v>
      </c>
      <c r="D7728" t="inlineStr">
        <is>
          <t>VÄSTERBOTTENS LÄN</t>
        </is>
      </c>
      <c r="E7728" t="inlineStr">
        <is>
          <t>NORSJÖ</t>
        </is>
      </c>
      <c r="F7728" t="inlineStr">
        <is>
          <t>Sveaskog</t>
        </is>
      </c>
      <c r="G7728" t="n">
        <v>11.7</v>
      </c>
      <c r="H7728" t="n">
        <v>0</v>
      </c>
      <c r="I7728" t="n">
        <v>0</v>
      </c>
      <c r="J7728" t="n">
        <v>0</v>
      </c>
      <c r="K7728" t="n">
        <v>0</v>
      </c>
      <c r="L7728" t="n">
        <v>0</v>
      </c>
      <c r="M7728" t="n">
        <v>0</v>
      </c>
      <c r="N7728" t="n">
        <v>0</v>
      </c>
      <c r="O7728" t="n">
        <v>0</v>
      </c>
      <c r="P7728" t="n">
        <v>0</v>
      </c>
      <c r="Q7728" t="n">
        <v>0</v>
      </c>
      <c r="R7728" s="2" t="inlineStr"/>
    </row>
    <row r="7729" ht="15" customHeight="1">
      <c r="A7729" t="inlineStr">
        <is>
          <t>A 52534-2022</t>
        </is>
      </c>
      <c r="B7729" s="1" t="n">
        <v>44874</v>
      </c>
      <c r="C7729" s="1" t="n">
        <v>45357</v>
      </c>
      <c r="D7729" t="inlineStr">
        <is>
          <t>VÄSTERBOTTENS LÄN</t>
        </is>
      </c>
      <c r="E7729" t="inlineStr">
        <is>
          <t>NORSJÖ</t>
        </is>
      </c>
      <c r="F7729" t="inlineStr">
        <is>
          <t>Sveaskog</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52589-2022</t>
        </is>
      </c>
      <c r="B7730" s="1" t="n">
        <v>44874</v>
      </c>
      <c r="C7730" s="1" t="n">
        <v>45357</v>
      </c>
      <c r="D7730" t="inlineStr">
        <is>
          <t>VÄSTERBOTTENS LÄN</t>
        </is>
      </c>
      <c r="E7730" t="inlineStr">
        <is>
          <t>SKELLEFTEÅ</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52676-2022</t>
        </is>
      </c>
      <c r="B7731" s="1" t="n">
        <v>44874</v>
      </c>
      <c r="C7731" s="1" t="n">
        <v>45357</v>
      </c>
      <c r="D7731" t="inlineStr">
        <is>
          <t>VÄSTERBOTTENS LÄN</t>
        </is>
      </c>
      <c r="E7731" t="inlineStr">
        <is>
          <t>VINDELN</t>
        </is>
      </c>
      <c r="F7731" t="inlineStr">
        <is>
          <t>Sveaskog</t>
        </is>
      </c>
      <c r="G7731" t="n">
        <v>12.6</v>
      </c>
      <c r="H7731" t="n">
        <v>0</v>
      </c>
      <c r="I7731" t="n">
        <v>0</v>
      </c>
      <c r="J7731" t="n">
        <v>0</v>
      </c>
      <c r="K7731" t="n">
        <v>0</v>
      </c>
      <c r="L7731" t="n">
        <v>0</v>
      </c>
      <c r="M7731" t="n">
        <v>0</v>
      </c>
      <c r="N7731" t="n">
        <v>0</v>
      </c>
      <c r="O7731" t="n">
        <v>0</v>
      </c>
      <c r="P7731" t="n">
        <v>0</v>
      </c>
      <c r="Q7731" t="n">
        <v>0</v>
      </c>
      <c r="R7731" s="2" t="inlineStr"/>
    </row>
    <row r="7732" ht="15" customHeight="1">
      <c r="A7732" t="inlineStr">
        <is>
          <t>A 52682-2022</t>
        </is>
      </c>
      <c r="B7732" s="1" t="n">
        <v>44874</v>
      </c>
      <c r="C7732" s="1" t="n">
        <v>45357</v>
      </c>
      <c r="D7732" t="inlineStr">
        <is>
          <t>VÄSTERBOTTENS LÄN</t>
        </is>
      </c>
      <c r="E7732" t="inlineStr">
        <is>
          <t>VINDELN</t>
        </is>
      </c>
      <c r="F7732" t="inlineStr">
        <is>
          <t>Sveaskog</t>
        </is>
      </c>
      <c r="G7732" t="n">
        <v>8.6</v>
      </c>
      <c r="H7732" t="n">
        <v>0</v>
      </c>
      <c r="I7732" t="n">
        <v>0</v>
      </c>
      <c r="J7732" t="n">
        <v>0</v>
      </c>
      <c r="K7732" t="n">
        <v>0</v>
      </c>
      <c r="L7732" t="n">
        <v>0</v>
      </c>
      <c r="M7732" t="n">
        <v>0</v>
      </c>
      <c r="N7732" t="n">
        <v>0</v>
      </c>
      <c r="O7732" t="n">
        <v>0</v>
      </c>
      <c r="P7732" t="n">
        <v>0</v>
      </c>
      <c r="Q7732" t="n">
        <v>0</v>
      </c>
      <c r="R7732" s="2" t="inlineStr"/>
    </row>
    <row r="7733" ht="15" customHeight="1">
      <c r="A7733" t="inlineStr">
        <is>
          <t>A 52686-2022</t>
        </is>
      </c>
      <c r="B7733" s="1" t="n">
        <v>44874</v>
      </c>
      <c r="C7733" s="1" t="n">
        <v>45357</v>
      </c>
      <c r="D7733" t="inlineStr">
        <is>
          <t>VÄSTERBOTTENS LÄN</t>
        </is>
      </c>
      <c r="E7733" t="inlineStr">
        <is>
          <t>VINDELN</t>
        </is>
      </c>
      <c r="F7733" t="inlineStr">
        <is>
          <t>Sveaskog</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52711-2022</t>
        </is>
      </c>
      <c r="B7734" s="1" t="n">
        <v>44874</v>
      </c>
      <c r="C7734" s="1" t="n">
        <v>45357</v>
      </c>
      <c r="D7734" t="inlineStr">
        <is>
          <t>VÄSTERBOTTENS LÄN</t>
        </is>
      </c>
      <c r="E7734" t="inlineStr">
        <is>
          <t>VILHELMINA</t>
        </is>
      </c>
      <c r="F7734" t="inlineStr">
        <is>
          <t>SCA</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52533-2022</t>
        </is>
      </c>
      <c r="B7735" s="1" t="n">
        <v>44874</v>
      </c>
      <c r="C7735" s="1" t="n">
        <v>45357</v>
      </c>
      <c r="D7735" t="inlineStr">
        <is>
          <t>VÄSTERBOTTENS LÄN</t>
        </is>
      </c>
      <c r="E7735" t="inlineStr">
        <is>
          <t>NORSJÖ</t>
        </is>
      </c>
      <c r="F7735" t="inlineStr">
        <is>
          <t>Sveaskog</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52548-2022</t>
        </is>
      </c>
      <c r="B7736" s="1" t="n">
        <v>44874</v>
      </c>
      <c r="C7736" s="1" t="n">
        <v>45357</v>
      </c>
      <c r="D7736" t="inlineStr">
        <is>
          <t>VÄSTERBOTTENS LÄN</t>
        </is>
      </c>
      <c r="E7736" t="inlineStr">
        <is>
          <t>SKELLEFTEÅ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52555-2022</t>
        </is>
      </c>
      <c r="B7737" s="1" t="n">
        <v>44874</v>
      </c>
      <c r="C7737" s="1" t="n">
        <v>45357</v>
      </c>
      <c r="D7737" t="inlineStr">
        <is>
          <t>VÄSTERBOTTENS LÄN</t>
        </is>
      </c>
      <c r="E7737" t="inlineStr">
        <is>
          <t>SKELLEFTEÅ</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52562-2022</t>
        </is>
      </c>
      <c r="B7738" s="1" t="n">
        <v>44874</v>
      </c>
      <c r="C7738" s="1" t="n">
        <v>45357</v>
      </c>
      <c r="D7738" t="inlineStr">
        <is>
          <t>VÄSTERBOTTENS LÄN</t>
        </is>
      </c>
      <c r="E7738" t="inlineStr">
        <is>
          <t>BJURHOLM</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52681-2022</t>
        </is>
      </c>
      <c r="B7739" s="1" t="n">
        <v>44874</v>
      </c>
      <c r="C7739" s="1" t="n">
        <v>45357</v>
      </c>
      <c r="D7739" t="inlineStr">
        <is>
          <t>VÄSTERBOTTENS LÄN</t>
        </is>
      </c>
      <c r="E7739" t="inlineStr">
        <is>
          <t>UMEÅ</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53389-2022</t>
        </is>
      </c>
      <c r="B7740" s="1" t="n">
        <v>44874</v>
      </c>
      <c r="C7740" s="1" t="n">
        <v>45357</v>
      </c>
      <c r="D7740" t="inlineStr">
        <is>
          <t>VÄSTERBOTTENS LÄN</t>
        </is>
      </c>
      <c r="E7740" t="inlineStr">
        <is>
          <t>LYCKSELE</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52679-2022</t>
        </is>
      </c>
      <c r="B7741" s="1" t="n">
        <v>44874</v>
      </c>
      <c r="C7741" s="1" t="n">
        <v>45357</v>
      </c>
      <c r="D7741" t="inlineStr">
        <is>
          <t>VÄSTERBOTTENS LÄN</t>
        </is>
      </c>
      <c r="E7741" t="inlineStr">
        <is>
          <t>UMEÅ</t>
        </is>
      </c>
      <c r="F7741" t="inlineStr">
        <is>
          <t>Sveaskog</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52683-2022</t>
        </is>
      </c>
      <c r="B7742" s="1" t="n">
        <v>44874</v>
      </c>
      <c r="C7742" s="1" t="n">
        <v>45357</v>
      </c>
      <c r="D7742" t="inlineStr">
        <is>
          <t>VÄSTERBOTTENS LÄN</t>
        </is>
      </c>
      <c r="E7742" t="inlineStr">
        <is>
          <t>LYCKSELE</t>
        </is>
      </c>
      <c r="F7742" t="inlineStr">
        <is>
          <t>Sveaskog</t>
        </is>
      </c>
      <c r="G7742" t="n">
        <v>24.8</v>
      </c>
      <c r="H7742" t="n">
        <v>0</v>
      </c>
      <c r="I7742" t="n">
        <v>0</v>
      </c>
      <c r="J7742" t="n">
        <v>0</v>
      </c>
      <c r="K7742" t="n">
        <v>0</v>
      </c>
      <c r="L7742" t="n">
        <v>0</v>
      </c>
      <c r="M7742" t="n">
        <v>0</v>
      </c>
      <c r="N7742" t="n">
        <v>0</v>
      </c>
      <c r="O7742" t="n">
        <v>0</v>
      </c>
      <c r="P7742" t="n">
        <v>0</v>
      </c>
      <c r="Q7742" t="n">
        <v>0</v>
      </c>
      <c r="R7742" s="2" t="inlineStr"/>
    </row>
    <row r="7743" ht="15" customHeight="1">
      <c r="A7743" t="inlineStr">
        <is>
          <t>A 52689-2022</t>
        </is>
      </c>
      <c r="B7743" s="1" t="n">
        <v>44874</v>
      </c>
      <c r="C7743" s="1" t="n">
        <v>45357</v>
      </c>
      <c r="D7743" t="inlineStr">
        <is>
          <t>VÄSTERBOTTENS LÄN</t>
        </is>
      </c>
      <c r="E7743" t="inlineStr">
        <is>
          <t>BJURHOLM</t>
        </is>
      </c>
      <c r="F7743" t="inlineStr">
        <is>
          <t>Sveaskog</t>
        </is>
      </c>
      <c r="G7743" t="n">
        <v>18.4</v>
      </c>
      <c r="H7743" t="n">
        <v>0</v>
      </c>
      <c r="I7743" t="n">
        <v>0</v>
      </c>
      <c r="J7743" t="n">
        <v>0</v>
      </c>
      <c r="K7743" t="n">
        <v>0</v>
      </c>
      <c r="L7743" t="n">
        <v>0</v>
      </c>
      <c r="M7743" t="n">
        <v>0</v>
      </c>
      <c r="N7743" t="n">
        <v>0</v>
      </c>
      <c r="O7743" t="n">
        <v>0</v>
      </c>
      <c r="P7743" t="n">
        <v>0</v>
      </c>
      <c r="Q7743" t="n">
        <v>0</v>
      </c>
      <c r="R7743" s="2" t="inlineStr"/>
    </row>
    <row r="7744" ht="15" customHeight="1">
      <c r="A7744" t="inlineStr">
        <is>
          <t>A 52704-2022</t>
        </is>
      </c>
      <c r="B7744" s="1" t="n">
        <v>44874</v>
      </c>
      <c r="C7744" s="1" t="n">
        <v>45357</v>
      </c>
      <c r="D7744" t="inlineStr">
        <is>
          <t>VÄSTERBOTTENS LÄN</t>
        </is>
      </c>
      <c r="E7744" t="inlineStr">
        <is>
          <t>VILHELMINA</t>
        </is>
      </c>
      <c r="G7744" t="n">
        <v>17.4</v>
      </c>
      <c r="H7744" t="n">
        <v>0</v>
      </c>
      <c r="I7744" t="n">
        <v>0</v>
      </c>
      <c r="J7744" t="n">
        <v>0</v>
      </c>
      <c r="K7744" t="n">
        <v>0</v>
      </c>
      <c r="L7744" t="n">
        <v>0</v>
      </c>
      <c r="M7744" t="n">
        <v>0</v>
      </c>
      <c r="N7744" t="n">
        <v>0</v>
      </c>
      <c r="O7744" t="n">
        <v>0</v>
      </c>
      <c r="P7744" t="n">
        <v>0</v>
      </c>
      <c r="Q7744" t="n">
        <v>0</v>
      </c>
      <c r="R7744" s="2" t="inlineStr"/>
    </row>
    <row r="7745" ht="15" customHeight="1">
      <c r="A7745" t="inlineStr">
        <is>
          <t>A 52585-2022</t>
        </is>
      </c>
      <c r="B7745" s="1" t="n">
        <v>44874</v>
      </c>
      <c r="C7745" s="1" t="n">
        <v>45357</v>
      </c>
      <c r="D7745" t="inlineStr">
        <is>
          <t>VÄSTERBOTTENS LÄN</t>
        </is>
      </c>
      <c r="E7745" t="inlineStr">
        <is>
          <t>UMEÅ</t>
        </is>
      </c>
      <c r="F7745" t="inlineStr">
        <is>
          <t>Holmen skog AB</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52672-2022</t>
        </is>
      </c>
      <c r="B7746" s="1" t="n">
        <v>44874</v>
      </c>
      <c r="C7746" s="1" t="n">
        <v>45357</v>
      </c>
      <c r="D7746" t="inlineStr">
        <is>
          <t>VÄSTERBOTTENS LÄN</t>
        </is>
      </c>
      <c r="E7746" t="inlineStr">
        <is>
          <t>VÄNNÄS</t>
        </is>
      </c>
      <c r="F7746" t="inlineStr">
        <is>
          <t>Sveaskog</t>
        </is>
      </c>
      <c r="G7746" t="n">
        <v>26.9</v>
      </c>
      <c r="H7746" t="n">
        <v>0</v>
      </c>
      <c r="I7746" t="n">
        <v>0</v>
      </c>
      <c r="J7746" t="n">
        <v>0</v>
      </c>
      <c r="K7746" t="n">
        <v>0</v>
      </c>
      <c r="L7746" t="n">
        <v>0</v>
      </c>
      <c r="M7746" t="n">
        <v>0</v>
      </c>
      <c r="N7746" t="n">
        <v>0</v>
      </c>
      <c r="O7746" t="n">
        <v>0</v>
      </c>
      <c r="P7746" t="n">
        <v>0</v>
      </c>
      <c r="Q7746" t="n">
        <v>0</v>
      </c>
      <c r="R7746" s="2" t="inlineStr"/>
    </row>
    <row r="7747" ht="15" customHeight="1">
      <c r="A7747" t="inlineStr">
        <is>
          <t>A 52680-2022</t>
        </is>
      </c>
      <c r="B7747" s="1" t="n">
        <v>44874</v>
      </c>
      <c r="C7747" s="1" t="n">
        <v>45357</v>
      </c>
      <c r="D7747" t="inlineStr">
        <is>
          <t>VÄSTERBOTTENS LÄN</t>
        </is>
      </c>
      <c r="E7747" t="inlineStr">
        <is>
          <t>UMEÅ</t>
        </is>
      </c>
      <c r="F7747" t="inlineStr">
        <is>
          <t>Sveaskog</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52684-2022</t>
        </is>
      </c>
      <c r="B7748" s="1" t="n">
        <v>44874</v>
      </c>
      <c r="C7748" s="1" t="n">
        <v>45357</v>
      </c>
      <c r="D7748" t="inlineStr">
        <is>
          <t>VÄSTERBOTTENS LÄN</t>
        </is>
      </c>
      <c r="E7748" t="inlineStr">
        <is>
          <t>VINDELN</t>
        </is>
      </c>
      <c r="F7748" t="inlineStr">
        <is>
          <t>Sveaskog</t>
        </is>
      </c>
      <c r="G7748" t="n">
        <v>11.7</v>
      </c>
      <c r="H7748" t="n">
        <v>0</v>
      </c>
      <c r="I7748" t="n">
        <v>0</v>
      </c>
      <c r="J7748" t="n">
        <v>0</v>
      </c>
      <c r="K7748" t="n">
        <v>0</v>
      </c>
      <c r="L7748" t="n">
        <v>0</v>
      </c>
      <c r="M7748" t="n">
        <v>0</v>
      </c>
      <c r="N7748" t="n">
        <v>0</v>
      </c>
      <c r="O7748" t="n">
        <v>0</v>
      </c>
      <c r="P7748" t="n">
        <v>0</v>
      </c>
      <c r="Q7748" t="n">
        <v>0</v>
      </c>
      <c r="R7748" s="2" t="inlineStr"/>
    </row>
    <row r="7749" ht="15" customHeight="1">
      <c r="A7749" t="inlineStr">
        <is>
          <t>A 53369-2022</t>
        </is>
      </c>
      <c r="B7749" s="1" t="n">
        <v>44874</v>
      </c>
      <c r="C7749" s="1" t="n">
        <v>45357</v>
      </c>
      <c r="D7749" t="inlineStr">
        <is>
          <t>VÄSTERBOTTENS LÄN</t>
        </is>
      </c>
      <c r="E7749" t="inlineStr">
        <is>
          <t>LYCKSELE</t>
        </is>
      </c>
      <c r="G7749" t="n">
        <v>9.1</v>
      </c>
      <c r="H7749" t="n">
        <v>0</v>
      </c>
      <c r="I7749" t="n">
        <v>0</v>
      </c>
      <c r="J7749" t="n">
        <v>0</v>
      </c>
      <c r="K7749" t="n">
        <v>0</v>
      </c>
      <c r="L7749" t="n">
        <v>0</v>
      </c>
      <c r="M7749" t="n">
        <v>0</v>
      </c>
      <c r="N7749" t="n">
        <v>0</v>
      </c>
      <c r="O7749" t="n">
        <v>0</v>
      </c>
      <c r="P7749" t="n">
        <v>0</v>
      </c>
      <c r="Q7749" t="n">
        <v>0</v>
      </c>
      <c r="R7749" s="2" t="inlineStr"/>
    </row>
    <row r="7750" ht="15" customHeight="1">
      <c r="A7750" t="inlineStr">
        <is>
          <t>A 52685-2022</t>
        </is>
      </c>
      <c r="B7750" s="1" t="n">
        <v>44874</v>
      </c>
      <c r="C7750" s="1" t="n">
        <v>45357</v>
      </c>
      <c r="D7750" t="inlineStr">
        <is>
          <t>VÄSTERBOTTENS LÄN</t>
        </is>
      </c>
      <c r="E7750" t="inlineStr">
        <is>
          <t>VINDELN</t>
        </is>
      </c>
      <c r="F7750" t="inlineStr">
        <is>
          <t>Sveaskog</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52694-2022</t>
        </is>
      </c>
      <c r="B7751" s="1" t="n">
        <v>44874</v>
      </c>
      <c r="C7751" s="1" t="n">
        <v>45357</v>
      </c>
      <c r="D7751" t="inlineStr">
        <is>
          <t>VÄSTERBOTTENS LÄN</t>
        </is>
      </c>
      <c r="E7751" t="inlineStr">
        <is>
          <t>VINDELN</t>
        </is>
      </c>
      <c r="F7751" t="inlineStr">
        <is>
          <t>Sveaskog</t>
        </is>
      </c>
      <c r="G7751" t="n">
        <v>16.5</v>
      </c>
      <c r="H7751" t="n">
        <v>0</v>
      </c>
      <c r="I7751" t="n">
        <v>0</v>
      </c>
      <c r="J7751" t="n">
        <v>0</v>
      </c>
      <c r="K7751" t="n">
        <v>0</v>
      </c>
      <c r="L7751" t="n">
        <v>0</v>
      </c>
      <c r="M7751" t="n">
        <v>0</v>
      </c>
      <c r="N7751" t="n">
        <v>0</v>
      </c>
      <c r="O7751" t="n">
        <v>0</v>
      </c>
      <c r="P7751" t="n">
        <v>0</v>
      </c>
      <c r="Q7751" t="n">
        <v>0</v>
      </c>
      <c r="R7751" s="2" t="inlineStr"/>
    </row>
    <row r="7752" ht="15" customHeight="1">
      <c r="A7752" t="inlineStr">
        <is>
          <t>A 52835-2022</t>
        </is>
      </c>
      <c r="B7752" s="1" t="n">
        <v>44875</v>
      </c>
      <c r="C7752" s="1" t="n">
        <v>45357</v>
      </c>
      <c r="D7752" t="inlineStr">
        <is>
          <t>VÄSTERBOTTENS LÄN</t>
        </is>
      </c>
      <c r="E7752" t="inlineStr">
        <is>
          <t>SKELLEFTEÅ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52869-2022</t>
        </is>
      </c>
      <c r="B7753" s="1" t="n">
        <v>44875</v>
      </c>
      <c r="C7753" s="1" t="n">
        <v>45357</v>
      </c>
      <c r="D7753" t="inlineStr">
        <is>
          <t>VÄSTERBOTTENS LÄN</t>
        </is>
      </c>
      <c r="E7753" t="inlineStr">
        <is>
          <t>SKELLEFTEÅ</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52886-2022</t>
        </is>
      </c>
      <c r="B7754" s="1" t="n">
        <v>44875</v>
      </c>
      <c r="C7754" s="1" t="n">
        <v>45357</v>
      </c>
      <c r="D7754" t="inlineStr">
        <is>
          <t>VÄSTERBOTTENS LÄN</t>
        </is>
      </c>
      <c r="E7754" t="inlineStr">
        <is>
          <t>LYCKSELE</t>
        </is>
      </c>
      <c r="F7754" t="inlineStr">
        <is>
          <t>Sveaskog</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52986-2022</t>
        </is>
      </c>
      <c r="B7755" s="1" t="n">
        <v>44875</v>
      </c>
      <c r="C7755" s="1" t="n">
        <v>45357</v>
      </c>
      <c r="D7755" t="inlineStr">
        <is>
          <t>VÄSTERBOTTENS LÄN</t>
        </is>
      </c>
      <c r="E7755" t="inlineStr">
        <is>
          <t>SKELLEFTEÅ</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53027-2022</t>
        </is>
      </c>
      <c r="B7756" s="1" t="n">
        <v>44875</v>
      </c>
      <c r="C7756" s="1" t="n">
        <v>45357</v>
      </c>
      <c r="D7756" t="inlineStr">
        <is>
          <t>VÄSTERBOTTENS LÄN</t>
        </is>
      </c>
      <c r="E7756" t="inlineStr">
        <is>
          <t>LYCKSELE</t>
        </is>
      </c>
      <c r="F7756" t="inlineStr">
        <is>
          <t>SCA</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52880-2022</t>
        </is>
      </c>
      <c r="B7757" s="1" t="n">
        <v>44875</v>
      </c>
      <c r="C7757" s="1" t="n">
        <v>45357</v>
      </c>
      <c r="D7757" t="inlineStr">
        <is>
          <t>VÄSTERBOTTENS LÄN</t>
        </is>
      </c>
      <c r="E7757" t="inlineStr">
        <is>
          <t>VINDELN</t>
        </is>
      </c>
      <c r="F7757" t="inlineStr">
        <is>
          <t>Sveaskog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52956-2022</t>
        </is>
      </c>
      <c r="B7758" s="1" t="n">
        <v>44875</v>
      </c>
      <c r="C7758" s="1" t="n">
        <v>45357</v>
      </c>
      <c r="D7758" t="inlineStr">
        <is>
          <t>VÄSTERBOTTENS LÄN</t>
        </is>
      </c>
      <c r="E7758" t="inlineStr">
        <is>
          <t>LYCKSELE</t>
        </is>
      </c>
      <c r="F7758" t="inlineStr">
        <is>
          <t>Holmen skog AB</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52988-2022</t>
        </is>
      </c>
      <c r="B7759" s="1" t="n">
        <v>44875</v>
      </c>
      <c r="C7759" s="1" t="n">
        <v>45357</v>
      </c>
      <c r="D7759" t="inlineStr">
        <is>
          <t>VÄSTERBOTTENS LÄN</t>
        </is>
      </c>
      <c r="E7759" t="inlineStr">
        <is>
          <t>SKELLEFTEÅ</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52883-2022</t>
        </is>
      </c>
      <c r="B7760" s="1" t="n">
        <v>44875</v>
      </c>
      <c r="C7760" s="1" t="n">
        <v>45357</v>
      </c>
      <c r="D7760" t="inlineStr">
        <is>
          <t>VÄSTERBOTTENS LÄN</t>
        </is>
      </c>
      <c r="E7760" t="inlineStr">
        <is>
          <t>VINDELN</t>
        </is>
      </c>
      <c r="F7760" t="inlineStr">
        <is>
          <t>Sveaskog</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52995-2022</t>
        </is>
      </c>
      <c r="B7761" s="1" t="n">
        <v>44875</v>
      </c>
      <c r="C7761" s="1" t="n">
        <v>45357</v>
      </c>
      <c r="D7761" t="inlineStr">
        <is>
          <t>VÄSTERBOTTENS LÄN</t>
        </is>
      </c>
      <c r="E7761" t="inlineStr">
        <is>
          <t>VILHELMINA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53536-2022</t>
        </is>
      </c>
      <c r="B7762" s="1" t="n">
        <v>44875</v>
      </c>
      <c r="C7762" s="1" t="n">
        <v>45357</v>
      </c>
      <c r="D7762" t="inlineStr">
        <is>
          <t>VÄSTERBOTTENS LÄN</t>
        </is>
      </c>
      <c r="E7762" t="inlineStr">
        <is>
          <t>BJURHOLM</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53033-2022</t>
        </is>
      </c>
      <c r="B7763" s="1" t="n">
        <v>44876</v>
      </c>
      <c r="C7763" s="1" t="n">
        <v>45357</v>
      </c>
      <c r="D7763" t="inlineStr">
        <is>
          <t>VÄSTERBOTTENS LÄN</t>
        </is>
      </c>
      <c r="E7763" t="inlineStr">
        <is>
          <t>SKELLEFTEÅ</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53075-2022</t>
        </is>
      </c>
      <c r="B7764" s="1" t="n">
        <v>44876</v>
      </c>
      <c r="C7764" s="1" t="n">
        <v>45357</v>
      </c>
      <c r="D7764" t="inlineStr">
        <is>
          <t>VÄSTERBOTTENS LÄN</t>
        </is>
      </c>
      <c r="E7764" t="inlineStr">
        <is>
          <t>SKELLEFTEÅ</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53153-2022</t>
        </is>
      </c>
      <c r="B7765" s="1" t="n">
        <v>44876</v>
      </c>
      <c r="C7765" s="1" t="n">
        <v>45357</v>
      </c>
      <c r="D7765" t="inlineStr">
        <is>
          <t>VÄSTERBOTTENS LÄN</t>
        </is>
      </c>
      <c r="E7765" t="inlineStr">
        <is>
          <t>UMEÅ</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53089-2022</t>
        </is>
      </c>
      <c r="B7766" s="1" t="n">
        <v>44876</v>
      </c>
      <c r="C7766" s="1" t="n">
        <v>45357</v>
      </c>
      <c r="D7766" t="inlineStr">
        <is>
          <t>VÄSTERBOTTENS LÄN</t>
        </is>
      </c>
      <c r="E7766" t="inlineStr">
        <is>
          <t>SKELLEFTEÅ</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53092-2022</t>
        </is>
      </c>
      <c r="B7767" s="1" t="n">
        <v>44876</v>
      </c>
      <c r="C7767" s="1" t="n">
        <v>45357</v>
      </c>
      <c r="D7767" t="inlineStr">
        <is>
          <t>VÄSTERBOTTENS LÄN</t>
        </is>
      </c>
      <c r="E7767" t="inlineStr">
        <is>
          <t>SKELLEFTEÅ</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53106-2022</t>
        </is>
      </c>
      <c r="B7768" s="1" t="n">
        <v>44876</v>
      </c>
      <c r="C7768" s="1" t="n">
        <v>45357</v>
      </c>
      <c r="D7768" t="inlineStr">
        <is>
          <t>VÄSTERBOTTENS LÄN</t>
        </is>
      </c>
      <c r="E7768" t="inlineStr">
        <is>
          <t>UMEÅ</t>
        </is>
      </c>
      <c r="F7768" t="inlineStr">
        <is>
          <t>Holmen skog AB</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53083-2022</t>
        </is>
      </c>
      <c r="B7769" s="1" t="n">
        <v>44876</v>
      </c>
      <c r="C7769" s="1" t="n">
        <v>45357</v>
      </c>
      <c r="D7769" t="inlineStr">
        <is>
          <t>VÄSTERBOTTENS LÄN</t>
        </is>
      </c>
      <c r="E7769" t="inlineStr">
        <is>
          <t>SKELLEFTEÅ</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53105-2022</t>
        </is>
      </c>
      <c r="B7770" s="1" t="n">
        <v>44876</v>
      </c>
      <c r="C7770" s="1" t="n">
        <v>45357</v>
      </c>
      <c r="D7770" t="inlineStr">
        <is>
          <t>VÄSTERBOTTENS LÄN</t>
        </is>
      </c>
      <c r="E7770" t="inlineStr">
        <is>
          <t>NORSJÖ</t>
        </is>
      </c>
      <c r="F7770" t="inlineStr">
        <is>
          <t>Holmen skog AB</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53111-2022</t>
        </is>
      </c>
      <c r="B7771" s="1" t="n">
        <v>44876</v>
      </c>
      <c r="C7771" s="1" t="n">
        <v>45357</v>
      </c>
      <c r="D7771" t="inlineStr">
        <is>
          <t>VÄSTERBOTTENS LÄN</t>
        </is>
      </c>
      <c r="E7771" t="inlineStr">
        <is>
          <t>UMEÅ</t>
        </is>
      </c>
      <c r="F7771" t="inlineStr">
        <is>
          <t>Holmen skog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53226-2022</t>
        </is>
      </c>
      <c r="B7772" s="1" t="n">
        <v>44876</v>
      </c>
      <c r="C7772" s="1" t="n">
        <v>45357</v>
      </c>
      <c r="D7772" t="inlineStr">
        <is>
          <t>VÄSTERBOTTENS LÄN</t>
        </is>
      </c>
      <c r="E7772" t="inlineStr">
        <is>
          <t>LYCKSELE</t>
        </is>
      </c>
      <c r="F7772" t="inlineStr">
        <is>
          <t>Holmen skog AB</t>
        </is>
      </c>
      <c r="G7772" t="n">
        <v>10.5</v>
      </c>
      <c r="H7772" t="n">
        <v>0</v>
      </c>
      <c r="I7772" t="n">
        <v>0</v>
      </c>
      <c r="J7772" t="n">
        <v>0</v>
      </c>
      <c r="K7772" t="n">
        <v>0</v>
      </c>
      <c r="L7772" t="n">
        <v>0</v>
      </c>
      <c r="M7772" t="n">
        <v>0</v>
      </c>
      <c r="N7772" t="n">
        <v>0</v>
      </c>
      <c r="O7772" t="n">
        <v>0</v>
      </c>
      <c r="P7772" t="n">
        <v>0</v>
      </c>
      <c r="Q7772" t="n">
        <v>0</v>
      </c>
      <c r="R7772" s="2" t="inlineStr"/>
    </row>
    <row r="7773" ht="15" customHeight="1">
      <c r="A7773" t="inlineStr">
        <is>
          <t>A 53285-2022</t>
        </is>
      </c>
      <c r="B7773" s="1" t="n">
        <v>44876</v>
      </c>
      <c r="C7773" s="1" t="n">
        <v>45357</v>
      </c>
      <c r="D7773" t="inlineStr">
        <is>
          <t>VÄSTERBOTTENS LÄN</t>
        </is>
      </c>
      <c r="E7773" t="inlineStr">
        <is>
          <t>ÅSELE</t>
        </is>
      </c>
      <c r="F7773" t="inlineStr">
        <is>
          <t>SCA</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53826-2022</t>
        </is>
      </c>
      <c r="B7774" s="1" t="n">
        <v>44876</v>
      </c>
      <c r="C7774" s="1" t="n">
        <v>45357</v>
      </c>
      <c r="D7774" t="inlineStr">
        <is>
          <t>VÄSTERBOTTENS LÄN</t>
        </is>
      </c>
      <c r="E7774" t="inlineStr">
        <is>
          <t>VINDELN</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53984-2022</t>
        </is>
      </c>
      <c r="B7775" s="1" t="n">
        <v>44876</v>
      </c>
      <c r="C7775" s="1" t="n">
        <v>45357</v>
      </c>
      <c r="D7775" t="inlineStr">
        <is>
          <t>VÄSTERBOTTENS LÄN</t>
        </is>
      </c>
      <c r="E7775" t="inlineStr">
        <is>
          <t>ROBERTSFORS</t>
        </is>
      </c>
      <c r="G7775" t="n">
        <v>7.5</v>
      </c>
      <c r="H7775" t="n">
        <v>0</v>
      </c>
      <c r="I7775" t="n">
        <v>0</v>
      </c>
      <c r="J7775" t="n">
        <v>0</v>
      </c>
      <c r="K7775" t="n">
        <v>0</v>
      </c>
      <c r="L7775" t="n">
        <v>0</v>
      </c>
      <c r="M7775" t="n">
        <v>0</v>
      </c>
      <c r="N7775" t="n">
        <v>0</v>
      </c>
      <c r="O7775" t="n">
        <v>0</v>
      </c>
      <c r="P7775" t="n">
        <v>0</v>
      </c>
      <c r="Q7775" t="n">
        <v>0</v>
      </c>
      <c r="R7775" s="2" t="inlineStr"/>
    </row>
    <row r="7776" ht="15" customHeight="1">
      <c r="A7776" t="inlineStr">
        <is>
          <t>A 53160-2022</t>
        </is>
      </c>
      <c r="B7776" s="1" t="n">
        <v>44876</v>
      </c>
      <c r="C7776" s="1" t="n">
        <v>45357</v>
      </c>
      <c r="D7776" t="inlineStr">
        <is>
          <t>VÄSTERBOTTENS LÄN</t>
        </is>
      </c>
      <c r="E7776" t="inlineStr">
        <is>
          <t>UMEÅ</t>
        </is>
      </c>
      <c r="G7776" t="n">
        <v>11.5</v>
      </c>
      <c r="H7776" t="n">
        <v>0</v>
      </c>
      <c r="I7776" t="n">
        <v>0</v>
      </c>
      <c r="J7776" t="n">
        <v>0</v>
      </c>
      <c r="K7776" t="n">
        <v>0</v>
      </c>
      <c r="L7776" t="n">
        <v>0</v>
      </c>
      <c r="M7776" t="n">
        <v>0</v>
      </c>
      <c r="N7776" t="n">
        <v>0</v>
      </c>
      <c r="O7776" t="n">
        <v>0</v>
      </c>
      <c r="P7776" t="n">
        <v>0</v>
      </c>
      <c r="Q7776" t="n">
        <v>0</v>
      </c>
      <c r="R7776" s="2" t="inlineStr"/>
    </row>
    <row r="7777" ht="15" customHeight="1">
      <c r="A7777" t="inlineStr">
        <is>
          <t>A 53241-2022</t>
        </is>
      </c>
      <c r="B7777" s="1" t="n">
        <v>44876</v>
      </c>
      <c r="C7777" s="1" t="n">
        <v>45357</v>
      </c>
      <c r="D7777" t="inlineStr">
        <is>
          <t>VÄSTERBOTTENS LÄN</t>
        </is>
      </c>
      <c r="E7777" t="inlineStr">
        <is>
          <t>LYCKSELE</t>
        </is>
      </c>
      <c r="F7777" t="inlineStr">
        <is>
          <t>Holmen skog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53795-2022</t>
        </is>
      </c>
      <c r="B7778" s="1" t="n">
        <v>44876</v>
      </c>
      <c r="C7778" s="1" t="n">
        <v>45357</v>
      </c>
      <c r="D7778" t="inlineStr">
        <is>
          <t>VÄSTERBOTTENS LÄN</t>
        </is>
      </c>
      <c r="E7778" t="inlineStr">
        <is>
          <t>DOROTEA</t>
        </is>
      </c>
      <c r="G7778" t="n">
        <v>12.3</v>
      </c>
      <c r="H7778" t="n">
        <v>0</v>
      </c>
      <c r="I7778" t="n">
        <v>0</v>
      </c>
      <c r="J7778" t="n">
        <v>0</v>
      </c>
      <c r="K7778" t="n">
        <v>0</v>
      </c>
      <c r="L7778" t="n">
        <v>0</v>
      </c>
      <c r="M7778" t="n">
        <v>0</v>
      </c>
      <c r="N7778" t="n">
        <v>0</v>
      </c>
      <c r="O7778" t="n">
        <v>0</v>
      </c>
      <c r="P7778" t="n">
        <v>0</v>
      </c>
      <c r="Q7778" t="n">
        <v>0</v>
      </c>
      <c r="R7778" s="2" t="inlineStr"/>
    </row>
    <row r="7779" ht="15" customHeight="1">
      <c r="A7779" t="inlineStr">
        <is>
          <t>A 53309-2022</t>
        </is>
      </c>
      <c r="B7779" s="1" t="n">
        <v>44878</v>
      </c>
      <c r="C7779" s="1" t="n">
        <v>45357</v>
      </c>
      <c r="D7779" t="inlineStr">
        <is>
          <t>VÄSTERBOTTENS LÄN</t>
        </is>
      </c>
      <c r="E7779" t="inlineStr">
        <is>
          <t>DOROTEA</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53321-2022</t>
        </is>
      </c>
      <c r="B7780" s="1" t="n">
        <v>44879</v>
      </c>
      <c r="C7780" s="1" t="n">
        <v>45357</v>
      </c>
      <c r="D7780" t="inlineStr">
        <is>
          <t>VÄSTERBOTTENS LÄN</t>
        </is>
      </c>
      <c r="E7780" t="inlineStr">
        <is>
          <t>NORDMALING</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53597-2022</t>
        </is>
      </c>
      <c r="B7781" s="1" t="n">
        <v>44879</v>
      </c>
      <c r="C7781" s="1" t="n">
        <v>45357</v>
      </c>
      <c r="D7781" t="inlineStr">
        <is>
          <t>VÄSTERBOTTENS LÄN</t>
        </is>
      </c>
      <c r="E7781" t="inlineStr">
        <is>
          <t>VINDELN</t>
        </is>
      </c>
      <c r="F7781" t="inlineStr">
        <is>
          <t>Sveaskog</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53639-2022</t>
        </is>
      </c>
      <c r="B7782" s="1" t="n">
        <v>44879</v>
      </c>
      <c r="C7782" s="1" t="n">
        <v>45357</v>
      </c>
      <c r="D7782" t="inlineStr">
        <is>
          <t>VÄSTERBOTTENS LÄN</t>
        </is>
      </c>
      <c r="E7782" t="inlineStr">
        <is>
          <t>SKELLEFTEÅ</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53646-2022</t>
        </is>
      </c>
      <c r="B7783" s="1" t="n">
        <v>44879</v>
      </c>
      <c r="C7783" s="1" t="n">
        <v>45357</v>
      </c>
      <c r="D7783" t="inlineStr">
        <is>
          <t>VÄSTERBOTTENS LÄN</t>
        </is>
      </c>
      <c r="E7783" t="inlineStr">
        <is>
          <t>SKELLEFTEÅ</t>
        </is>
      </c>
      <c r="G7783" t="n">
        <v>10.6</v>
      </c>
      <c r="H7783" t="n">
        <v>0</v>
      </c>
      <c r="I7783" t="n">
        <v>0</v>
      </c>
      <c r="J7783" t="n">
        <v>0</v>
      </c>
      <c r="K7783" t="n">
        <v>0</v>
      </c>
      <c r="L7783" t="n">
        <v>0</v>
      </c>
      <c r="M7783" t="n">
        <v>0</v>
      </c>
      <c r="N7783" t="n">
        <v>0</v>
      </c>
      <c r="O7783" t="n">
        <v>0</v>
      </c>
      <c r="P7783" t="n">
        <v>0</v>
      </c>
      <c r="Q7783" t="n">
        <v>0</v>
      </c>
      <c r="R7783" s="2" t="inlineStr"/>
    </row>
    <row r="7784" ht="15" customHeight="1">
      <c r="A7784" t="inlineStr">
        <is>
          <t>A 53624-2022</t>
        </is>
      </c>
      <c r="B7784" s="1" t="n">
        <v>44879</v>
      </c>
      <c r="C7784" s="1" t="n">
        <v>45357</v>
      </c>
      <c r="D7784" t="inlineStr">
        <is>
          <t>VÄSTERBOTTENS LÄN</t>
        </is>
      </c>
      <c r="E7784" t="inlineStr">
        <is>
          <t>NORSJÖ</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53642-2022</t>
        </is>
      </c>
      <c r="B7785" s="1" t="n">
        <v>44879</v>
      </c>
      <c r="C7785" s="1" t="n">
        <v>45357</v>
      </c>
      <c r="D7785" t="inlineStr">
        <is>
          <t>VÄSTERBOTTENS LÄN</t>
        </is>
      </c>
      <c r="E7785" t="inlineStr">
        <is>
          <t>SKELLEFTEÅ</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53652-2022</t>
        </is>
      </c>
      <c r="B7786" s="1" t="n">
        <v>44879</v>
      </c>
      <c r="C7786" s="1" t="n">
        <v>45357</v>
      </c>
      <c r="D7786" t="inlineStr">
        <is>
          <t>VÄSTERBOTTENS LÄN</t>
        </is>
      </c>
      <c r="E7786" t="inlineStr">
        <is>
          <t>VILHELMINA</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53654-2022</t>
        </is>
      </c>
      <c r="B7787" s="1" t="n">
        <v>44879</v>
      </c>
      <c r="C7787" s="1" t="n">
        <v>45357</v>
      </c>
      <c r="D7787" t="inlineStr">
        <is>
          <t>VÄSTERBOTTENS LÄN</t>
        </is>
      </c>
      <c r="E7787" t="inlineStr">
        <is>
          <t>VILHELMINA</t>
        </is>
      </c>
      <c r="F7787" t="inlineStr">
        <is>
          <t>SCA</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54376-2022</t>
        </is>
      </c>
      <c r="B7788" s="1" t="n">
        <v>44879</v>
      </c>
      <c r="C7788" s="1" t="n">
        <v>45357</v>
      </c>
      <c r="D7788" t="inlineStr">
        <is>
          <t>VÄSTERBOTTENS LÄN</t>
        </is>
      </c>
      <c r="E7788" t="inlineStr">
        <is>
          <t>SORSELE</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53638-2022</t>
        </is>
      </c>
      <c r="B7789" s="1" t="n">
        <v>44879</v>
      </c>
      <c r="C7789" s="1" t="n">
        <v>45357</v>
      </c>
      <c r="D7789" t="inlineStr">
        <is>
          <t>VÄSTERBOTTENS LÄN</t>
        </is>
      </c>
      <c r="E7789" t="inlineStr">
        <is>
          <t>ÅSELE</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53658-2022</t>
        </is>
      </c>
      <c r="B7790" s="1" t="n">
        <v>44879</v>
      </c>
      <c r="C7790" s="1" t="n">
        <v>45357</v>
      </c>
      <c r="D7790" t="inlineStr">
        <is>
          <t>VÄSTERBOTTENS LÄN</t>
        </is>
      </c>
      <c r="E7790" t="inlineStr">
        <is>
          <t>VILHELMINA</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53641-2022</t>
        </is>
      </c>
      <c r="B7791" s="1" t="n">
        <v>44879</v>
      </c>
      <c r="C7791" s="1" t="n">
        <v>45357</v>
      </c>
      <c r="D7791" t="inlineStr">
        <is>
          <t>VÄSTERBOTTENS LÄN</t>
        </is>
      </c>
      <c r="E7791" t="inlineStr">
        <is>
          <t>SKELLEFTEÅ</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53672-2022</t>
        </is>
      </c>
      <c r="B7792" s="1" t="n">
        <v>44879</v>
      </c>
      <c r="C7792" s="1" t="n">
        <v>45357</v>
      </c>
      <c r="D7792" t="inlineStr">
        <is>
          <t>VÄSTERBOTTENS LÄN</t>
        </is>
      </c>
      <c r="E7792" t="inlineStr">
        <is>
          <t>BJURHOLM</t>
        </is>
      </c>
      <c r="F7792" t="inlineStr">
        <is>
          <t>SCA</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54316-2022</t>
        </is>
      </c>
      <c r="B7793" s="1" t="n">
        <v>44879</v>
      </c>
      <c r="C7793" s="1" t="n">
        <v>45357</v>
      </c>
      <c r="D7793" t="inlineStr">
        <is>
          <t>VÄSTERBOTTENS LÄN</t>
        </is>
      </c>
      <c r="E7793" t="inlineStr">
        <is>
          <t>SKELLEFTEÅ</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54375-2022</t>
        </is>
      </c>
      <c r="B7794" s="1" t="n">
        <v>44879</v>
      </c>
      <c r="C7794" s="1" t="n">
        <v>45357</v>
      </c>
      <c r="D7794" t="inlineStr">
        <is>
          <t>VÄSTERBOTTENS LÄN</t>
        </is>
      </c>
      <c r="E7794" t="inlineStr">
        <is>
          <t>SORSELE</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53740-2022</t>
        </is>
      </c>
      <c r="B7795" s="1" t="n">
        <v>44880</v>
      </c>
      <c r="C7795" s="1" t="n">
        <v>45357</v>
      </c>
      <c r="D7795" t="inlineStr">
        <is>
          <t>VÄSTERBOTTENS LÄN</t>
        </is>
      </c>
      <c r="E7795" t="inlineStr">
        <is>
          <t>LYCKSELE</t>
        </is>
      </c>
      <c r="G7795" t="n">
        <v>10.5</v>
      </c>
      <c r="H7795" t="n">
        <v>0</v>
      </c>
      <c r="I7795" t="n">
        <v>0</v>
      </c>
      <c r="J7795" t="n">
        <v>0</v>
      </c>
      <c r="K7795" t="n">
        <v>0</v>
      </c>
      <c r="L7795" t="n">
        <v>0</v>
      </c>
      <c r="M7795" t="n">
        <v>0</v>
      </c>
      <c r="N7795" t="n">
        <v>0</v>
      </c>
      <c r="O7795" t="n">
        <v>0</v>
      </c>
      <c r="P7795" t="n">
        <v>0</v>
      </c>
      <c r="Q7795" t="n">
        <v>0</v>
      </c>
      <c r="R7795" s="2" t="inlineStr"/>
    </row>
    <row r="7796" ht="15" customHeight="1">
      <c r="A7796" t="inlineStr">
        <is>
          <t>A 53919-2022</t>
        </is>
      </c>
      <c r="B7796" s="1" t="n">
        <v>44880</v>
      </c>
      <c r="C7796" s="1" t="n">
        <v>45357</v>
      </c>
      <c r="D7796" t="inlineStr">
        <is>
          <t>VÄSTERBOTTENS LÄN</t>
        </is>
      </c>
      <c r="E7796" t="inlineStr">
        <is>
          <t>LYCKSELE</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53686-2022</t>
        </is>
      </c>
      <c r="B7797" s="1" t="n">
        <v>44880</v>
      </c>
      <c r="C7797" s="1" t="n">
        <v>45357</v>
      </c>
      <c r="D7797" t="inlineStr">
        <is>
          <t>VÄSTERBOTTENS LÄN</t>
        </is>
      </c>
      <c r="E7797" t="inlineStr">
        <is>
          <t>ROBERTSFORS</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54438-2022</t>
        </is>
      </c>
      <c r="B7798" s="1" t="n">
        <v>44880</v>
      </c>
      <c r="C7798" s="1" t="n">
        <v>45357</v>
      </c>
      <c r="D7798" t="inlineStr">
        <is>
          <t>VÄSTERBOTTENS LÄN</t>
        </is>
      </c>
      <c r="E7798" t="inlineStr">
        <is>
          <t>SKELLEFTEÅ</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53903-2022</t>
        </is>
      </c>
      <c r="B7799" s="1" t="n">
        <v>44880</v>
      </c>
      <c r="C7799" s="1" t="n">
        <v>45357</v>
      </c>
      <c r="D7799" t="inlineStr">
        <is>
          <t>VÄSTERBOTTENS LÄN</t>
        </is>
      </c>
      <c r="E7799" t="inlineStr">
        <is>
          <t>SKELLEFTEÅ</t>
        </is>
      </c>
      <c r="F7799" t="inlineStr">
        <is>
          <t>Sveaskog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53922-2022</t>
        </is>
      </c>
      <c r="B7800" s="1" t="n">
        <v>44880</v>
      </c>
      <c r="C7800" s="1" t="n">
        <v>45357</v>
      </c>
      <c r="D7800" t="inlineStr">
        <is>
          <t>VÄSTERBOTTENS LÄN</t>
        </is>
      </c>
      <c r="E7800" t="inlineStr">
        <is>
          <t>ROBERTSFORS</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54456-2022</t>
        </is>
      </c>
      <c r="B7801" s="1" t="n">
        <v>44880</v>
      </c>
      <c r="C7801" s="1" t="n">
        <v>45357</v>
      </c>
      <c r="D7801" t="inlineStr">
        <is>
          <t>VÄSTERBOTTENS LÄN</t>
        </is>
      </c>
      <c r="E7801" t="inlineStr">
        <is>
          <t>SKELLEFTEÅ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54606-2022</t>
        </is>
      </c>
      <c r="B7802" s="1" t="n">
        <v>44880</v>
      </c>
      <c r="C7802" s="1" t="n">
        <v>45357</v>
      </c>
      <c r="D7802" t="inlineStr">
        <is>
          <t>VÄSTERBOTTENS LÄN</t>
        </is>
      </c>
      <c r="E7802" t="inlineStr">
        <is>
          <t>ROBERTSFORS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54432-2022</t>
        </is>
      </c>
      <c r="B7803" s="1" t="n">
        <v>44880</v>
      </c>
      <c r="C7803" s="1" t="n">
        <v>45357</v>
      </c>
      <c r="D7803" t="inlineStr">
        <is>
          <t>VÄSTERBOTTENS LÄN</t>
        </is>
      </c>
      <c r="E7803" t="inlineStr">
        <is>
          <t>VINDELN</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53986-2022</t>
        </is>
      </c>
      <c r="B7804" s="1" t="n">
        <v>44881</v>
      </c>
      <c r="C7804" s="1" t="n">
        <v>45357</v>
      </c>
      <c r="D7804" t="inlineStr">
        <is>
          <t>VÄSTERBOTTENS LÄN</t>
        </is>
      </c>
      <c r="E7804" t="inlineStr">
        <is>
          <t>NORDMALING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54081-2022</t>
        </is>
      </c>
      <c r="B7805" s="1" t="n">
        <v>44881</v>
      </c>
      <c r="C7805" s="1" t="n">
        <v>45357</v>
      </c>
      <c r="D7805" t="inlineStr">
        <is>
          <t>VÄSTERBOTTENS LÄN</t>
        </is>
      </c>
      <c r="E7805" t="inlineStr">
        <is>
          <t>SKELLEFTEÅ</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54135-2022</t>
        </is>
      </c>
      <c r="B7806" s="1" t="n">
        <v>44881</v>
      </c>
      <c r="C7806" s="1" t="n">
        <v>45357</v>
      </c>
      <c r="D7806" t="inlineStr">
        <is>
          <t>VÄSTERBOTTENS LÄN</t>
        </is>
      </c>
      <c r="E7806" t="inlineStr">
        <is>
          <t>LYCKSELE</t>
        </is>
      </c>
      <c r="F7806" t="inlineStr">
        <is>
          <t>Holmen skog AB</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54167-2022</t>
        </is>
      </c>
      <c r="B7807" s="1" t="n">
        <v>44881</v>
      </c>
      <c r="C7807" s="1" t="n">
        <v>45357</v>
      </c>
      <c r="D7807" t="inlineStr">
        <is>
          <t>VÄSTERBOTTENS LÄN</t>
        </is>
      </c>
      <c r="E7807" t="inlineStr">
        <is>
          <t>LYCKSELE</t>
        </is>
      </c>
      <c r="G7807" t="n">
        <v>11.3</v>
      </c>
      <c r="H7807" t="n">
        <v>0</v>
      </c>
      <c r="I7807" t="n">
        <v>0</v>
      </c>
      <c r="J7807" t="n">
        <v>0</v>
      </c>
      <c r="K7807" t="n">
        <v>0</v>
      </c>
      <c r="L7807" t="n">
        <v>0</v>
      </c>
      <c r="M7807" t="n">
        <v>0</v>
      </c>
      <c r="N7807" t="n">
        <v>0</v>
      </c>
      <c r="O7807" t="n">
        <v>0</v>
      </c>
      <c r="P7807" t="n">
        <v>0</v>
      </c>
      <c r="Q7807" t="n">
        <v>0</v>
      </c>
      <c r="R7807" s="2" t="inlineStr"/>
    </row>
    <row r="7808" ht="15" customHeight="1">
      <c r="A7808" t="inlineStr">
        <is>
          <t>A 54239-2022</t>
        </is>
      </c>
      <c r="B7808" s="1" t="n">
        <v>44881</v>
      </c>
      <c r="C7808" s="1" t="n">
        <v>45357</v>
      </c>
      <c r="D7808" t="inlineStr">
        <is>
          <t>VÄSTERBOTTENS LÄN</t>
        </is>
      </c>
      <c r="E7808" t="inlineStr">
        <is>
          <t>MALÅ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54664-2022</t>
        </is>
      </c>
      <c r="B7809" s="1" t="n">
        <v>44881</v>
      </c>
      <c r="C7809" s="1" t="n">
        <v>45357</v>
      </c>
      <c r="D7809" t="inlineStr">
        <is>
          <t>VÄSTERBOTTENS LÄN</t>
        </is>
      </c>
      <c r="E7809" t="inlineStr">
        <is>
          <t>MALÅ</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54238-2022</t>
        </is>
      </c>
      <c r="B7810" s="1" t="n">
        <v>44881</v>
      </c>
      <c r="C7810" s="1" t="n">
        <v>45357</v>
      </c>
      <c r="D7810" t="inlineStr">
        <is>
          <t>VÄSTERBOTTENS LÄN</t>
        </is>
      </c>
      <c r="E7810" t="inlineStr">
        <is>
          <t>MALÅ</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54649-2022</t>
        </is>
      </c>
      <c r="B7811" s="1" t="n">
        <v>44881</v>
      </c>
      <c r="C7811" s="1" t="n">
        <v>45357</v>
      </c>
      <c r="D7811" t="inlineStr">
        <is>
          <t>VÄSTERBOTTENS LÄN</t>
        </is>
      </c>
      <c r="E7811" t="inlineStr">
        <is>
          <t>MALÅ</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54729-2022</t>
        </is>
      </c>
      <c r="B7812" s="1" t="n">
        <v>44881</v>
      </c>
      <c r="C7812" s="1" t="n">
        <v>45357</v>
      </c>
      <c r="D7812" t="inlineStr">
        <is>
          <t>VÄSTERBOTTENS LÄN</t>
        </is>
      </c>
      <c r="E7812" t="inlineStr">
        <is>
          <t>VILHELMINA</t>
        </is>
      </c>
      <c r="G7812" t="n">
        <v>19.2</v>
      </c>
      <c r="H7812" t="n">
        <v>0</v>
      </c>
      <c r="I7812" t="n">
        <v>0</v>
      </c>
      <c r="J7812" t="n">
        <v>0</v>
      </c>
      <c r="K7812" t="n">
        <v>0</v>
      </c>
      <c r="L7812" t="n">
        <v>0</v>
      </c>
      <c r="M7812" t="n">
        <v>0</v>
      </c>
      <c r="N7812" t="n">
        <v>0</v>
      </c>
      <c r="O7812" t="n">
        <v>0</v>
      </c>
      <c r="P7812" t="n">
        <v>0</v>
      </c>
      <c r="Q7812" t="n">
        <v>0</v>
      </c>
      <c r="R7812" s="2" t="inlineStr"/>
    </row>
    <row r="7813" ht="15" customHeight="1">
      <c r="A7813" t="inlineStr">
        <is>
          <t>A 54727-2022</t>
        </is>
      </c>
      <c r="B7813" s="1" t="n">
        <v>44881</v>
      </c>
      <c r="C7813" s="1" t="n">
        <v>45357</v>
      </c>
      <c r="D7813" t="inlineStr">
        <is>
          <t>VÄSTERBOTTENS LÄN</t>
        </is>
      </c>
      <c r="E7813" t="inlineStr">
        <is>
          <t>VILHELMINA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54691-2022</t>
        </is>
      </c>
      <c r="B7814" s="1" t="n">
        <v>44881</v>
      </c>
      <c r="C7814" s="1" t="n">
        <v>45357</v>
      </c>
      <c r="D7814" t="inlineStr">
        <is>
          <t>VÄSTERBOTTENS LÄN</t>
        </is>
      </c>
      <c r="E7814" t="inlineStr">
        <is>
          <t>VINDELN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54288-2022</t>
        </is>
      </c>
      <c r="B7815" s="1" t="n">
        <v>44882</v>
      </c>
      <c r="C7815" s="1" t="n">
        <v>45357</v>
      </c>
      <c r="D7815" t="inlineStr">
        <is>
          <t>VÄSTERBOTTENS LÄN</t>
        </is>
      </c>
      <c r="E7815" t="inlineStr">
        <is>
          <t>LYCKSELE</t>
        </is>
      </c>
      <c r="F7815" t="inlineStr">
        <is>
          <t>Holmen skog AB</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54270-2022</t>
        </is>
      </c>
      <c r="B7816" s="1" t="n">
        <v>44882</v>
      </c>
      <c r="C7816" s="1" t="n">
        <v>45357</v>
      </c>
      <c r="D7816" t="inlineStr">
        <is>
          <t>VÄSTERBOTTENS LÄN</t>
        </is>
      </c>
      <c r="E7816" t="inlineStr">
        <is>
          <t>STORUMAN</t>
        </is>
      </c>
      <c r="F7816" t="inlineStr">
        <is>
          <t>Holmen skog AB</t>
        </is>
      </c>
      <c r="G7816" t="n">
        <v>11.2</v>
      </c>
      <c r="H7816" t="n">
        <v>0</v>
      </c>
      <c r="I7816" t="n">
        <v>0</v>
      </c>
      <c r="J7816" t="n">
        <v>0</v>
      </c>
      <c r="K7816" t="n">
        <v>0</v>
      </c>
      <c r="L7816" t="n">
        <v>0</v>
      </c>
      <c r="M7816" t="n">
        <v>0</v>
      </c>
      <c r="N7816" t="n">
        <v>0</v>
      </c>
      <c r="O7816" t="n">
        <v>0</v>
      </c>
      <c r="P7816" t="n">
        <v>0</v>
      </c>
      <c r="Q7816" t="n">
        <v>0</v>
      </c>
      <c r="R7816" s="2" t="inlineStr"/>
    </row>
    <row r="7817" ht="15" customHeight="1">
      <c r="A7817" t="inlineStr">
        <is>
          <t>A 55328-2022</t>
        </is>
      </c>
      <c r="B7817" s="1" t="n">
        <v>44882</v>
      </c>
      <c r="C7817" s="1" t="n">
        <v>45357</v>
      </c>
      <c r="D7817" t="inlineStr">
        <is>
          <t>VÄSTERBOTTENS LÄN</t>
        </is>
      </c>
      <c r="E7817" t="inlineStr">
        <is>
          <t>LYCKSELE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55418-2022</t>
        </is>
      </c>
      <c r="B7818" s="1" t="n">
        <v>44882</v>
      </c>
      <c r="C7818" s="1" t="n">
        <v>45357</v>
      </c>
      <c r="D7818" t="inlineStr">
        <is>
          <t>VÄSTERBOTTENS LÄN</t>
        </is>
      </c>
      <c r="E7818" t="inlineStr">
        <is>
          <t>SORSELE</t>
        </is>
      </c>
      <c r="F7818" t="inlineStr">
        <is>
          <t>SCA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55096-2022</t>
        </is>
      </c>
      <c r="B7819" s="1" t="n">
        <v>44882</v>
      </c>
      <c r="C7819" s="1" t="n">
        <v>45357</v>
      </c>
      <c r="D7819" t="inlineStr">
        <is>
          <t>VÄSTERBOTTENS LÄN</t>
        </is>
      </c>
      <c r="E7819" t="inlineStr">
        <is>
          <t>VINDELN</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55334-2022</t>
        </is>
      </c>
      <c r="B7820" s="1" t="n">
        <v>44882</v>
      </c>
      <c r="C7820" s="1" t="n">
        <v>45357</v>
      </c>
      <c r="D7820" t="inlineStr">
        <is>
          <t>VÄSTERBOTTENS LÄN</t>
        </is>
      </c>
      <c r="E7820" t="inlineStr">
        <is>
          <t>LYCKSELE</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54725-2022</t>
        </is>
      </c>
      <c r="B7821" s="1" t="n">
        <v>44883</v>
      </c>
      <c r="C7821" s="1" t="n">
        <v>45357</v>
      </c>
      <c r="D7821" t="inlineStr">
        <is>
          <t>VÄSTERBOTTENS LÄN</t>
        </is>
      </c>
      <c r="E7821" t="inlineStr">
        <is>
          <t>VINDELN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54825-2022</t>
        </is>
      </c>
      <c r="B7822" s="1" t="n">
        <v>44883</v>
      </c>
      <c r="C7822" s="1" t="n">
        <v>45357</v>
      </c>
      <c r="D7822" t="inlineStr">
        <is>
          <t>VÄSTERBOTTENS LÄN</t>
        </is>
      </c>
      <c r="E7822" t="inlineStr">
        <is>
          <t>SKELLEFTEÅ</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55471-2022</t>
        </is>
      </c>
      <c r="B7823" s="1" t="n">
        <v>44883</v>
      </c>
      <c r="C7823" s="1" t="n">
        <v>45357</v>
      </c>
      <c r="D7823" t="inlineStr">
        <is>
          <t>VÄSTERBOTTENS LÄN</t>
        </is>
      </c>
      <c r="E7823" t="inlineStr">
        <is>
          <t>ROBERTSFORS</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54635-2022</t>
        </is>
      </c>
      <c r="B7824" s="1" t="n">
        <v>44883</v>
      </c>
      <c r="C7824" s="1" t="n">
        <v>45357</v>
      </c>
      <c r="D7824" t="inlineStr">
        <is>
          <t>VÄSTERBOTTENS LÄN</t>
        </is>
      </c>
      <c r="E7824" t="inlineStr">
        <is>
          <t>SKELLEFTEÅ</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54687-2022</t>
        </is>
      </c>
      <c r="B7825" s="1" t="n">
        <v>44883</v>
      </c>
      <c r="C7825" s="1" t="n">
        <v>45357</v>
      </c>
      <c r="D7825" t="inlineStr">
        <is>
          <t>VÄSTERBOTTENS LÄN</t>
        </is>
      </c>
      <c r="E7825" t="inlineStr">
        <is>
          <t>LYCKSELE</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54814-2022</t>
        </is>
      </c>
      <c r="B7826" s="1" t="n">
        <v>44883</v>
      </c>
      <c r="C7826" s="1" t="n">
        <v>45357</v>
      </c>
      <c r="D7826" t="inlineStr">
        <is>
          <t>VÄSTERBOTTENS LÄN</t>
        </is>
      </c>
      <c r="E7826" t="inlineStr">
        <is>
          <t>VÄNNÄS</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55460-2022</t>
        </is>
      </c>
      <c r="B7827" s="1" t="n">
        <v>44883</v>
      </c>
      <c r="C7827" s="1" t="n">
        <v>45357</v>
      </c>
      <c r="D7827" t="inlineStr">
        <is>
          <t>VÄSTERBOTTENS LÄN</t>
        </is>
      </c>
      <c r="E7827" t="inlineStr">
        <is>
          <t>ROBERTSFORS</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55675-2022</t>
        </is>
      </c>
      <c r="B7828" s="1" t="n">
        <v>44883</v>
      </c>
      <c r="C7828" s="1" t="n">
        <v>45357</v>
      </c>
      <c r="D7828" t="inlineStr">
        <is>
          <t>VÄSTERBOTTENS LÄN</t>
        </is>
      </c>
      <c r="E7828" t="inlineStr">
        <is>
          <t>MALÅ</t>
        </is>
      </c>
      <c r="G7828" t="n">
        <v>12.6</v>
      </c>
      <c r="H7828" t="n">
        <v>0</v>
      </c>
      <c r="I7828" t="n">
        <v>0</v>
      </c>
      <c r="J7828" t="n">
        <v>0</v>
      </c>
      <c r="K7828" t="n">
        <v>0</v>
      </c>
      <c r="L7828" t="n">
        <v>0</v>
      </c>
      <c r="M7828" t="n">
        <v>0</v>
      </c>
      <c r="N7828" t="n">
        <v>0</v>
      </c>
      <c r="O7828" t="n">
        <v>0</v>
      </c>
      <c r="P7828" t="n">
        <v>0</v>
      </c>
      <c r="Q7828" t="n">
        <v>0</v>
      </c>
      <c r="R7828" s="2" t="inlineStr"/>
    </row>
    <row r="7829" ht="15" customHeight="1">
      <c r="A7829" t="inlineStr">
        <is>
          <t>A 55668-2022</t>
        </is>
      </c>
      <c r="B7829" s="1" t="n">
        <v>44883</v>
      </c>
      <c r="C7829" s="1" t="n">
        <v>45357</v>
      </c>
      <c r="D7829" t="inlineStr">
        <is>
          <t>VÄSTERBOTTENS LÄN</t>
        </is>
      </c>
      <c r="E7829" t="inlineStr">
        <is>
          <t>MALÅ</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54891-2022</t>
        </is>
      </c>
      <c r="B7830" s="1" t="n">
        <v>44886</v>
      </c>
      <c r="C7830" s="1" t="n">
        <v>45357</v>
      </c>
      <c r="D7830" t="inlineStr">
        <is>
          <t>VÄSTERBOTTENS LÄN</t>
        </is>
      </c>
      <c r="E7830" t="inlineStr">
        <is>
          <t>NORSJÖ</t>
        </is>
      </c>
      <c r="F7830" t="inlineStr">
        <is>
          <t>Holmen skog AB</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55018-2022</t>
        </is>
      </c>
      <c r="B7831" s="1" t="n">
        <v>44886</v>
      </c>
      <c r="C7831" s="1" t="n">
        <v>45357</v>
      </c>
      <c r="D7831" t="inlineStr">
        <is>
          <t>VÄSTERBOTTENS LÄN</t>
        </is>
      </c>
      <c r="E7831" t="inlineStr">
        <is>
          <t>SKELLEFTEÅ</t>
        </is>
      </c>
      <c r="F7831" t="inlineStr">
        <is>
          <t>Holmen skog AB</t>
        </is>
      </c>
      <c r="G7831" t="n">
        <v>12.5</v>
      </c>
      <c r="H7831" t="n">
        <v>0</v>
      </c>
      <c r="I7831" t="n">
        <v>0</v>
      </c>
      <c r="J7831" t="n">
        <v>0</v>
      </c>
      <c r="K7831" t="n">
        <v>0</v>
      </c>
      <c r="L7831" t="n">
        <v>0</v>
      </c>
      <c r="M7831" t="n">
        <v>0</v>
      </c>
      <c r="N7831" t="n">
        <v>0</v>
      </c>
      <c r="O7831" t="n">
        <v>0</v>
      </c>
      <c r="P7831" t="n">
        <v>0</v>
      </c>
      <c r="Q7831" t="n">
        <v>0</v>
      </c>
      <c r="R7831" s="2" t="inlineStr"/>
    </row>
    <row r="7832" ht="15" customHeight="1">
      <c r="A7832" t="inlineStr">
        <is>
          <t>A 55063-2022</t>
        </is>
      </c>
      <c r="B7832" s="1" t="n">
        <v>44886</v>
      </c>
      <c r="C7832" s="1" t="n">
        <v>45357</v>
      </c>
      <c r="D7832" t="inlineStr">
        <is>
          <t>VÄSTERBOTTENS LÄN</t>
        </is>
      </c>
      <c r="E7832" t="inlineStr">
        <is>
          <t>SKELLEFTEÅ</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55210-2022</t>
        </is>
      </c>
      <c r="B7833" s="1" t="n">
        <v>44886</v>
      </c>
      <c r="C7833" s="1" t="n">
        <v>45357</v>
      </c>
      <c r="D7833" t="inlineStr">
        <is>
          <t>VÄSTERBOTTENS LÄN</t>
        </is>
      </c>
      <c r="E7833" t="inlineStr">
        <is>
          <t>DOROTEA</t>
        </is>
      </c>
      <c r="F7833" t="inlineStr">
        <is>
          <t>SCA</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55045-2022</t>
        </is>
      </c>
      <c r="B7834" s="1" t="n">
        <v>44886</v>
      </c>
      <c r="C7834" s="1" t="n">
        <v>45357</v>
      </c>
      <c r="D7834" t="inlineStr">
        <is>
          <t>VÄSTERBOTTENS LÄN</t>
        </is>
      </c>
      <c r="E7834" t="inlineStr">
        <is>
          <t>NORDMALING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55037-2022</t>
        </is>
      </c>
      <c r="B7835" s="1" t="n">
        <v>44886</v>
      </c>
      <c r="C7835" s="1" t="n">
        <v>45357</v>
      </c>
      <c r="D7835" t="inlineStr">
        <is>
          <t>VÄSTERBOTTENS LÄN</t>
        </is>
      </c>
      <c r="E7835" t="inlineStr">
        <is>
          <t>SKELLEFTEÅ</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55132-2022</t>
        </is>
      </c>
      <c r="B7836" s="1" t="n">
        <v>44886</v>
      </c>
      <c r="C7836" s="1" t="n">
        <v>45357</v>
      </c>
      <c r="D7836" t="inlineStr">
        <is>
          <t>VÄSTERBOTTENS LÄN</t>
        </is>
      </c>
      <c r="E7836" t="inlineStr">
        <is>
          <t>ÅSELE</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55156-2022</t>
        </is>
      </c>
      <c r="B7837" s="1" t="n">
        <v>44886</v>
      </c>
      <c r="C7837" s="1" t="n">
        <v>45357</v>
      </c>
      <c r="D7837" t="inlineStr">
        <is>
          <t>VÄSTERBOTTENS LÄN</t>
        </is>
      </c>
      <c r="E7837" t="inlineStr">
        <is>
          <t>STORUMAN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55170-2022</t>
        </is>
      </c>
      <c r="B7838" s="1" t="n">
        <v>44886</v>
      </c>
      <c r="C7838" s="1" t="n">
        <v>45357</v>
      </c>
      <c r="D7838" t="inlineStr">
        <is>
          <t>VÄSTERBOTTENS LÄN</t>
        </is>
      </c>
      <c r="E7838" t="inlineStr">
        <is>
          <t>LYCKSELE</t>
        </is>
      </c>
      <c r="F7838" t="inlineStr">
        <is>
          <t>Holmen skog AB</t>
        </is>
      </c>
      <c r="G7838" t="n">
        <v>9</v>
      </c>
      <c r="H7838" t="n">
        <v>0</v>
      </c>
      <c r="I7838" t="n">
        <v>0</v>
      </c>
      <c r="J7838" t="n">
        <v>0</v>
      </c>
      <c r="K7838" t="n">
        <v>0</v>
      </c>
      <c r="L7838" t="n">
        <v>0</v>
      </c>
      <c r="M7838" t="n">
        <v>0</v>
      </c>
      <c r="N7838" t="n">
        <v>0</v>
      </c>
      <c r="O7838" t="n">
        <v>0</v>
      </c>
      <c r="P7838" t="n">
        <v>0</v>
      </c>
      <c r="Q7838" t="n">
        <v>0</v>
      </c>
      <c r="R7838" s="2" t="inlineStr"/>
    </row>
    <row r="7839" ht="15" customHeight="1">
      <c r="A7839" t="inlineStr">
        <is>
          <t>A 55176-2022</t>
        </is>
      </c>
      <c r="B7839" s="1" t="n">
        <v>44886</v>
      </c>
      <c r="C7839" s="1" t="n">
        <v>45357</v>
      </c>
      <c r="D7839" t="inlineStr">
        <is>
          <t>VÄSTERBOTTENS LÄN</t>
        </is>
      </c>
      <c r="E7839" t="inlineStr">
        <is>
          <t>SKELLEFTEÅ</t>
        </is>
      </c>
      <c r="F7839" t="inlineStr">
        <is>
          <t>Sveaskog</t>
        </is>
      </c>
      <c r="G7839" t="n">
        <v>11.6</v>
      </c>
      <c r="H7839" t="n">
        <v>0</v>
      </c>
      <c r="I7839" t="n">
        <v>0</v>
      </c>
      <c r="J7839" t="n">
        <v>0</v>
      </c>
      <c r="K7839" t="n">
        <v>0</v>
      </c>
      <c r="L7839" t="n">
        <v>0</v>
      </c>
      <c r="M7839" t="n">
        <v>0</v>
      </c>
      <c r="N7839" t="n">
        <v>0</v>
      </c>
      <c r="O7839" t="n">
        <v>0</v>
      </c>
      <c r="P7839" t="n">
        <v>0</v>
      </c>
      <c r="Q7839" t="n">
        <v>0</v>
      </c>
      <c r="R7839" s="2" t="inlineStr"/>
    </row>
    <row r="7840" ht="15" customHeight="1">
      <c r="A7840" t="inlineStr">
        <is>
          <t>A 55128-2022</t>
        </is>
      </c>
      <c r="B7840" s="1" t="n">
        <v>44886</v>
      </c>
      <c r="C7840" s="1" t="n">
        <v>45357</v>
      </c>
      <c r="D7840" t="inlineStr">
        <is>
          <t>VÄSTERBOTTENS LÄN</t>
        </is>
      </c>
      <c r="E7840" t="inlineStr">
        <is>
          <t>ÅSELE</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55134-2022</t>
        </is>
      </c>
      <c r="B7841" s="1" t="n">
        <v>44886</v>
      </c>
      <c r="C7841" s="1" t="n">
        <v>45357</v>
      </c>
      <c r="D7841" t="inlineStr">
        <is>
          <t>VÄSTERBOTTENS LÄN</t>
        </is>
      </c>
      <c r="E7841" t="inlineStr">
        <is>
          <t>VINDELN</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55139-2022</t>
        </is>
      </c>
      <c r="B7842" s="1" t="n">
        <v>44886</v>
      </c>
      <c r="C7842" s="1" t="n">
        <v>45357</v>
      </c>
      <c r="D7842" t="inlineStr">
        <is>
          <t>VÄSTERBOTTENS LÄN</t>
        </is>
      </c>
      <c r="E7842" t="inlineStr">
        <is>
          <t>ÅSELE</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55758-2022</t>
        </is>
      </c>
      <c r="B7843" s="1" t="n">
        <v>44886</v>
      </c>
      <c r="C7843" s="1" t="n">
        <v>45357</v>
      </c>
      <c r="D7843" t="inlineStr">
        <is>
          <t>VÄSTERBOTTENS LÄN</t>
        </is>
      </c>
      <c r="E7843" t="inlineStr">
        <is>
          <t>VINDELN</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55198-2022</t>
        </is>
      </c>
      <c r="B7844" s="1" t="n">
        <v>44886</v>
      </c>
      <c r="C7844" s="1" t="n">
        <v>45357</v>
      </c>
      <c r="D7844" t="inlineStr">
        <is>
          <t>VÄSTERBOTTENS LÄN</t>
        </is>
      </c>
      <c r="E7844" t="inlineStr">
        <is>
          <t>NORDMALING</t>
        </is>
      </c>
      <c r="G7844" t="n">
        <v>9.4</v>
      </c>
      <c r="H7844" t="n">
        <v>0</v>
      </c>
      <c r="I7844" t="n">
        <v>0</v>
      </c>
      <c r="J7844" t="n">
        <v>0</v>
      </c>
      <c r="K7844" t="n">
        <v>0</v>
      </c>
      <c r="L7844" t="n">
        <v>0</v>
      </c>
      <c r="M7844" t="n">
        <v>0</v>
      </c>
      <c r="N7844" t="n">
        <v>0</v>
      </c>
      <c r="O7844" t="n">
        <v>0</v>
      </c>
      <c r="P7844" t="n">
        <v>0</v>
      </c>
      <c r="Q7844" t="n">
        <v>0</v>
      </c>
      <c r="R7844" s="2" t="inlineStr"/>
    </row>
    <row r="7845" ht="15" customHeight="1">
      <c r="A7845" t="inlineStr">
        <is>
          <t>A 55238-2022</t>
        </is>
      </c>
      <c r="B7845" s="1" t="n">
        <v>44887</v>
      </c>
      <c r="C7845" s="1" t="n">
        <v>45357</v>
      </c>
      <c r="D7845" t="inlineStr">
        <is>
          <t>VÄSTERBOTTENS LÄN</t>
        </is>
      </c>
      <c r="E7845" t="inlineStr">
        <is>
          <t>ÅSELE</t>
        </is>
      </c>
      <c r="F7845" t="inlineStr">
        <is>
          <t>SCA</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55745-2022</t>
        </is>
      </c>
      <c r="B7846" s="1" t="n">
        <v>44886</v>
      </c>
      <c r="C7846" s="1" t="n">
        <v>45357</v>
      </c>
      <c r="D7846" t="inlineStr">
        <is>
          <t>VÄSTERBOTTENS LÄN</t>
        </is>
      </c>
      <c r="E7846" t="inlineStr">
        <is>
          <t>VINDELN</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55858-2022</t>
        </is>
      </c>
      <c r="B7847" s="1" t="n">
        <v>44886</v>
      </c>
      <c r="C7847" s="1" t="n">
        <v>45357</v>
      </c>
      <c r="D7847" t="inlineStr">
        <is>
          <t>VÄSTERBOTTENS LÄN</t>
        </is>
      </c>
      <c r="E7847" t="inlineStr">
        <is>
          <t>NORDMALING</t>
        </is>
      </c>
      <c r="G7847" t="n">
        <v>9.9</v>
      </c>
      <c r="H7847" t="n">
        <v>0</v>
      </c>
      <c r="I7847" t="n">
        <v>0</v>
      </c>
      <c r="J7847" t="n">
        <v>0</v>
      </c>
      <c r="K7847" t="n">
        <v>0</v>
      </c>
      <c r="L7847" t="n">
        <v>0</v>
      </c>
      <c r="M7847" t="n">
        <v>0</v>
      </c>
      <c r="N7847" t="n">
        <v>0</v>
      </c>
      <c r="O7847" t="n">
        <v>0</v>
      </c>
      <c r="P7847" t="n">
        <v>0</v>
      </c>
      <c r="Q7847" t="n">
        <v>0</v>
      </c>
      <c r="R7847" s="2" t="inlineStr"/>
    </row>
    <row r="7848" ht="15" customHeight="1">
      <c r="A7848" t="inlineStr">
        <is>
          <t>A 55735-2022</t>
        </is>
      </c>
      <c r="B7848" s="1" t="n">
        <v>44886</v>
      </c>
      <c r="C7848" s="1" t="n">
        <v>45357</v>
      </c>
      <c r="D7848" t="inlineStr">
        <is>
          <t>VÄSTERBOTTENS LÄN</t>
        </is>
      </c>
      <c r="E7848" t="inlineStr">
        <is>
          <t>VINDELN</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55817-2022</t>
        </is>
      </c>
      <c r="B7849" s="1" t="n">
        <v>44886</v>
      </c>
      <c r="C7849" s="1" t="n">
        <v>45357</v>
      </c>
      <c r="D7849" t="inlineStr">
        <is>
          <t>VÄSTERBOTTENS LÄN</t>
        </is>
      </c>
      <c r="E7849" t="inlineStr">
        <is>
          <t>SORSELE</t>
        </is>
      </c>
      <c r="G7849" t="n">
        <v>10</v>
      </c>
      <c r="H7849" t="n">
        <v>0</v>
      </c>
      <c r="I7849" t="n">
        <v>0</v>
      </c>
      <c r="J7849" t="n">
        <v>0</v>
      </c>
      <c r="K7849" t="n">
        <v>0</v>
      </c>
      <c r="L7849" t="n">
        <v>0</v>
      </c>
      <c r="M7849" t="n">
        <v>0</v>
      </c>
      <c r="N7849" t="n">
        <v>0</v>
      </c>
      <c r="O7849" t="n">
        <v>0</v>
      </c>
      <c r="P7849" t="n">
        <v>0</v>
      </c>
      <c r="Q7849" t="n">
        <v>0</v>
      </c>
      <c r="R7849" s="2" t="inlineStr"/>
    </row>
    <row r="7850" ht="15" customHeight="1">
      <c r="A7850" t="inlineStr">
        <is>
          <t>A 55263-2022</t>
        </is>
      </c>
      <c r="B7850" s="1" t="n">
        <v>44887</v>
      </c>
      <c r="C7850" s="1" t="n">
        <v>45357</v>
      </c>
      <c r="D7850" t="inlineStr">
        <is>
          <t>VÄSTERBOTTENS LÄN</t>
        </is>
      </c>
      <c r="E7850" t="inlineStr">
        <is>
          <t>LYCKSELE</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55456-2022</t>
        </is>
      </c>
      <c r="B7851" s="1" t="n">
        <v>44887</v>
      </c>
      <c r="C7851" s="1" t="n">
        <v>45357</v>
      </c>
      <c r="D7851" t="inlineStr">
        <is>
          <t>VÄSTERBOTTENS LÄN</t>
        </is>
      </c>
      <c r="E7851" t="inlineStr">
        <is>
          <t>LYCKSELE</t>
        </is>
      </c>
      <c r="F7851" t="inlineStr">
        <is>
          <t>Holmen skog AB</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55503-2022</t>
        </is>
      </c>
      <c r="B7852" s="1" t="n">
        <v>44887</v>
      </c>
      <c r="C7852" s="1" t="n">
        <v>45357</v>
      </c>
      <c r="D7852" t="inlineStr">
        <is>
          <t>VÄSTERBOTTENS LÄN</t>
        </is>
      </c>
      <c r="E7852" t="inlineStr">
        <is>
          <t>LYCKSELE</t>
        </is>
      </c>
      <c r="F7852" t="inlineStr">
        <is>
          <t>Sveaskog</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55542-2022</t>
        </is>
      </c>
      <c r="B7853" s="1" t="n">
        <v>44887</v>
      </c>
      <c r="C7853" s="1" t="n">
        <v>45357</v>
      </c>
      <c r="D7853" t="inlineStr">
        <is>
          <t>VÄSTERBOTTENS LÄN</t>
        </is>
      </c>
      <c r="E7853" t="inlineStr">
        <is>
          <t>BJURHOLM</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56313-2022</t>
        </is>
      </c>
      <c r="B7854" s="1" t="n">
        <v>44887</v>
      </c>
      <c r="C7854" s="1" t="n">
        <v>45357</v>
      </c>
      <c r="D7854" t="inlineStr">
        <is>
          <t>VÄSTERBOTTENS LÄN</t>
        </is>
      </c>
      <c r="E7854" t="inlineStr">
        <is>
          <t>SKELLEFTEÅ</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56299-2022</t>
        </is>
      </c>
      <c r="B7855" s="1" t="n">
        <v>44887</v>
      </c>
      <c r="C7855" s="1" t="n">
        <v>45357</v>
      </c>
      <c r="D7855" t="inlineStr">
        <is>
          <t>VÄSTERBOTTENS LÄN</t>
        </is>
      </c>
      <c r="E7855" t="inlineStr">
        <is>
          <t>SKELLEFTEÅ</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55582-2022</t>
        </is>
      </c>
      <c r="B7856" s="1" t="n">
        <v>44888</v>
      </c>
      <c r="C7856" s="1" t="n">
        <v>45357</v>
      </c>
      <c r="D7856" t="inlineStr">
        <is>
          <t>VÄSTERBOTTENS LÄN</t>
        </is>
      </c>
      <c r="E7856" t="inlineStr">
        <is>
          <t>LYCKSELE</t>
        </is>
      </c>
      <c r="F7856" t="inlineStr">
        <is>
          <t>Holmen skog AB</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55611-2022</t>
        </is>
      </c>
      <c r="B7857" s="1" t="n">
        <v>44888</v>
      </c>
      <c r="C7857" s="1" t="n">
        <v>45357</v>
      </c>
      <c r="D7857" t="inlineStr">
        <is>
          <t>VÄSTERBOTTENS LÄN</t>
        </is>
      </c>
      <c r="E7857" t="inlineStr">
        <is>
          <t>SKELLEFTEÅ</t>
        </is>
      </c>
      <c r="G7857" t="n">
        <v>9.9</v>
      </c>
      <c r="H7857" t="n">
        <v>0</v>
      </c>
      <c r="I7857" t="n">
        <v>0</v>
      </c>
      <c r="J7857" t="n">
        <v>0</v>
      </c>
      <c r="K7857" t="n">
        <v>0</v>
      </c>
      <c r="L7857" t="n">
        <v>0</v>
      </c>
      <c r="M7857" t="n">
        <v>0</v>
      </c>
      <c r="N7857" t="n">
        <v>0</v>
      </c>
      <c r="O7857" t="n">
        <v>0</v>
      </c>
      <c r="P7857" t="n">
        <v>0</v>
      </c>
      <c r="Q7857" t="n">
        <v>0</v>
      </c>
      <c r="R7857" s="2" t="inlineStr"/>
    </row>
    <row r="7858" ht="15" customHeight="1">
      <c r="A7858" t="inlineStr">
        <is>
          <t>A 55584-2022</t>
        </is>
      </c>
      <c r="B7858" s="1" t="n">
        <v>44888</v>
      </c>
      <c r="C7858" s="1" t="n">
        <v>45357</v>
      </c>
      <c r="D7858" t="inlineStr">
        <is>
          <t>VÄSTERBOTTENS LÄN</t>
        </is>
      </c>
      <c r="E7858" t="inlineStr">
        <is>
          <t>SKELLEFTEÅ</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55603-2022</t>
        </is>
      </c>
      <c r="B7859" s="1" t="n">
        <v>44888</v>
      </c>
      <c r="C7859" s="1" t="n">
        <v>45357</v>
      </c>
      <c r="D7859" t="inlineStr">
        <is>
          <t>VÄSTERBOTTENS LÄN</t>
        </is>
      </c>
      <c r="E7859" t="inlineStr">
        <is>
          <t>SKELLEFTEÅ</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55623-2022</t>
        </is>
      </c>
      <c r="B7860" s="1" t="n">
        <v>44888</v>
      </c>
      <c r="C7860" s="1" t="n">
        <v>45357</v>
      </c>
      <c r="D7860" t="inlineStr">
        <is>
          <t>VÄSTERBOTTENS LÄN</t>
        </is>
      </c>
      <c r="E7860" t="inlineStr">
        <is>
          <t>SKELLEFTEÅ</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55798-2022</t>
        </is>
      </c>
      <c r="B7861" s="1" t="n">
        <v>44888</v>
      </c>
      <c r="C7861" s="1" t="n">
        <v>45357</v>
      </c>
      <c r="D7861" t="inlineStr">
        <is>
          <t>VÄSTERBOTTENS LÄN</t>
        </is>
      </c>
      <c r="E7861" t="inlineStr">
        <is>
          <t>LYCKSELE</t>
        </is>
      </c>
      <c r="F7861" t="inlineStr">
        <is>
          <t>Holmen skog AB</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55833-2022</t>
        </is>
      </c>
      <c r="B7862" s="1" t="n">
        <v>44888</v>
      </c>
      <c r="C7862" s="1" t="n">
        <v>45357</v>
      </c>
      <c r="D7862" t="inlineStr">
        <is>
          <t>VÄSTERBOTTENS LÄN</t>
        </is>
      </c>
      <c r="E7862" t="inlineStr">
        <is>
          <t>VÄNNÄS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55641-2022</t>
        </is>
      </c>
      <c r="B7863" s="1" t="n">
        <v>44888</v>
      </c>
      <c r="C7863" s="1" t="n">
        <v>45357</v>
      </c>
      <c r="D7863" t="inlineStr">
        <is>
          <t>VÄSTERBOTTENS LÄN</t>
        </is>
      </c>
      <c r="E7863" t="inlineStr">
        <is>
          <t>LYCKSELE</t>
        </is>
      </c>
      <c r="F7863" t="inlineStr">
        <is>
          <t>Holmen skog AB</t>
        </is>
      </c>
      <c r="G7863" t="n">
        <v>9.5</v>
      </c>
      <c r="H7863" t="n">
        <v>0</v>
      </c>
      <c r="I7863" t="n">
        <v>0</v>
      </c>
      <c r="J7863" t="n">
        <v>0</v>
      </c>
      <c r="K7863" t="n">
        <v>0</v>
      </c>
      <c r="L7863" t="n">
        <v>0</v>
      </c>
      <c r="M7863" t="n">
        <v>0</v>
      </c>
      <c r="N7863" t="n">
        <v>0</v>
      </c>
      <c r="O7863" t="n">
        <v>0</v>
      </c>
      <c r="P7863" t="n">
        <v>0</v>
      </c>
      <c r="Q7863" t="n">
        <v>0</v>
      </c>
      <c r="R7863" s="2" t="inlineStr"/>
    </row>
    <row r="7864" ht="15" customHeight="1">
      <c r="A7864" t="inlineStr">
        <is>
          <t>A 55815-2022</t>
        </is>
      </c>
      <c r="B7864" s="1" t="n">
        <v>44888</v>
      </c>
      <c r="C7864" s="1" t="n">
        <v>45357</v>
      </c>
      <c r="D7864" t="inlineStr">
        <is>
          <t>VÄSTERBOTTENS LÄN</t>
        </is>
      </c>
      <c r="E7864" t="inlineStr">
        <is>
          <t>SKELLEFTEÅ</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55827-2022</t>
        </is>
      </c>
      <c r="B7865" s="1" t="n">
        <v>44888</v>
      </c>
      <c r="C7865" s="1" t="n">
        <v>45357</v>
      </c>
      <c r="D7865" t="inlineStr">
        <is>
          <t>VÄSTERBOTTENS LÄN</t>
        </is>
      </c>
      <c r="E7865" t="inlineStr">
        <is>
          <t>SKELLEFTEÅ</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55870-2022</t>
        </is>
      </c>
      <c r="B7866" s="1" t="n">
        <v>44888</v>
      </c>
      <c r="C7866" s="1" t="n">
        <v>45357</v>
      </c>
      <c r="D7866" t="inlineStr">
        <is>
          <t>VÄSTERBOTTENS LÄN</t>
        </is>
      </c>
      <c r="E7866" t="inlineStr">
        <is>
          <t>VILHELMINA</t>
        </is>
      </c>
      <c r="G7866" t="n">
        <v>13.6</v>
      </c>
      <c r="H7866" t="n">
        <v>0</v>
      </c>
      <c r="I7866" t="n">
        <v>0</v>
      </c>
      <c r="J7866" t="n">
        <v>0</v>
      </c>
      <c r="K7866" t="n">
        <v>0</v>
      </c>
      <c r="L7866" t="n">
        <v>0</v>
      </c>
      <c r="M7866" t="n">
        <v>0</v>
      </c>
      <c r="N7866" t="n">
        <v>0</v>
      </c>
      <c r="O7866" t="n">
        <v>0</v>
      </c>
      <c r="P7866" t="n">
        <v>0</v>
      </c>
      <c r="Q7866" t="n">
        <v>0</v>
      </c>
      <c r="R7866" s="2" t="inlineStr"/>
    </row>
    <row r="7867" ht="15" customHeight="1">
      <c r="A7867" t="inlineStr">
        <is>
          <t>A 55888-2022</t>
        </is>
      </c>
      <c r="B7867" s="1" t="n">
        <v>44888</v>
      </c>
      <c r="C7867" s="1" t="n">
        <v>45357</v>
      </c>
      <c r="D7867" t="inlineStr">
        <is>
          <t>VÄSTERBOTTENS LÄN</t>
        </is>
      </c>
      <c r="E7867" t="inlineStr">
        <is>
          <t>DOROTEA</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56572-2022</t>
        </is>
      </c>
      <c r="B7868" s="1" t="n">
        <v>44888</v>
      </c>
      <c r="C7868" s="1" t="n">
        <v>45357</v>
      </c>
      <c r="D7868" t="inlineStr">
        <is>
          <t>VÄSTERBOTTENS LÄN</t>
        </is>
      </c>
      <c r="E7868" t="inlineStr">
        <is>
          <t>ÅSELE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55810-2022</t>
        </is>
      </c>
      <c r="B7869" s="1" t="n">
        <v>44888</v>
      </c>
      <c r="C7869" s="1" t="n">
        <v>45357</v>
      </c>
      <c r="D7869" t="inlineStr">
        <is>
          <t>VÄSTERBOTTENS LÄN</t>
        </is>
      </c>
      <c r="E7869" t="inlineStr">
        <is>
          <t>NORDMALING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55831-2022</t>
        </is>
      </c>
      <c r="B7870" s="1" t="n">
        <v>44888</v>
      </c>
      <c r="C7870" s="1" t="n">
        <v>45357</v>
      </c>
      <c r="D7870" t="inlineStr">
        <is>
          <t>VÄSTERBOTTENS LÄN</t>
        </is>
      </c>
      <c r="E7870" t="inlineStr">
        <is>
          <t>VÄNNÄS</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56564-2022</t>
        </is>
      </c>
      <c r="B7871" s="1" t="n">
        <v>44888</v>
      </c>
      <c r="C7871" s="1" t="n">
        <v>45357</v>
      </c>
      <c r="D7871" t="inlineStr">
        <is>
          <t>VÄSTERBOTTENS LÄN</t>
        </is>
      </c>
      <c r="E7871" t="inlineStr">
        <is>
          <t>VINDELN</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56646-2022</t>
        </is>
      </c>
      <c r="B7872" s="1" t="n">
        <v>44888</v>
      </c>
      <c r="C7872" s="1" t="n">
        <v>45357</v>
      </c>
      <c r="D7872" t="inlineStr">
        <is>
          <t>VÄSTERBOTTENS LÄN</t>
        </is>
      </c>
      <c r="E7872" t="inlineStr">
        <is>
          <t>ÅSELE</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55889-2022</t>
        </is>
      </c>
      <c r="B7873" s="1" t="n">
        <v>44888</v>
      </c>
      <c r="C7873" s="1" t="n">
        <v>45357</v>
      </c>
      <c r="D7873" t="inlineStr">
        <is>
          <t>VÄSTERBOTTENS LÄN</t>
        </is>
      </c>
      <c r="E7873" t="inlineStr">
        <is>
          <t>DOROTEA</t>
        </is>
      </c>
      <c r="G7873" t="n">
        <v>15.8</v>
      </c>
      <c r="H7873" t="n">
        <v>0</v>
      </c>
      <c r="I7873" t="n">
        <v>0</v>
      </c>
      <c r="J7873" t="n">
        <v>0</v>
      </c>
      <c r="K7873" t="n">
        <v>0</v>
      </c>
      <c r="L7873" t="n">
        <v>0</v>
      </c>
      <c r="M7873" t="n">
        <v>0</v>
      </c>
      <c r="N7873" t="n">
        <v>0</v>
      </c>
      <c r="O7873" t="n">
        <v>0</v>
      </c>
      <c r="P7873" t="n">
        <v>0</v>
      </c>
      <c r="Q7873" t="n">
        <v>0</v>
      </c>
      <c r="R7873" s="2" t="inlineStr"/>
    </row>
    <row r="7874" ht="15" customHeight="1">
      <c r="A7874" t="inlineStr">
        <is>
          <t>A 56824-2022</t>
        </is>
      </c>
      <c r="B7874" s="1" t="n">
        <v>44888</v>
      </c>
      <c r="C7874" s="1" t="n">
        <v>45357</v>
      </c>
      <c r="D7874" t="inlineStr">
        <is>
          <t>VÄSTERBOTTENS LÄN</t>
        </is>
      </c>
      <c r="E7874" t="inlineStr">
        <is>
          <t>SKELLEFTEÅ</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56804-2022</t>
        </is>
      </c>
      <c r="B7875" s="1" t="n">
        <v>44888</v>
      </c>
      <c r="C7875" s="1" t="n">
        <v>45357</v>
      </c>
      <c r="D7875" t="inlineStr">
        <is>
          <t>VÄSTERBOTTENS LÄN</t>
        </is>
      </c>
      <c r="E7875" t="inlineStr">
        <is>
          <t>LYCKSELE</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56031-2022</t>
        </is>
      </c>
      <c r="B7876" s="1" t="n">
        <v>44889</v>
      </c>
      <c r="C7876" s="1" t="n">
        <v>45357</v>
      </c>
      <c r="D7876" t="inlineStr">
        <is>
          <t>VÄSTERBOTTENS LÄN</t>
        </is>
      </c>
      <c r="E7876" t="inlineStr">
        <is>
          <t>SKELLEFTEÅ</t>
        </is>
      </c>
      <c r="F7876" t="inlineStr">
        <is>
          <t>Sveaskog</t>
        </is>
      </c>
      <c r="G7876" t="n">
        <v>7</v>
      </c>
      <c r="H7876" t="n">
        <v>0</v>
      </c>
      <c r="I7876" t="n">
        <v>0</v>
      </c>
      <c r="J7876" t="n">
        <v>0</v>
      </c>
      <c r="K7876" t="n">
        <v>0</v>
      </c>
      <c r="L7876" t="n">
        <v>0</v>
      </c>
      <c r="M7876" t="n">
        <v>0</v>
      </c>
      <c r="N7876" t="n">
        <v>0</v>
      </c>
      <c r="O7876" t="n">
        <v>0</v>
      </c>
      <c r="P7876" t="n">
        <v>0</v>
      </c>
      <c r="Q7876" t="n">
        <v>0</v>
      </c>
      <c r="R7876" s="2" t="inlineStr"/>
    </row>
    <row r="7877" ht="15" customHeight="1">
      <c r="A7877" t="inlineStr">
        <is>
          <t>A 55982-2022</t>
        </is>
      </c>
      <c r="B7877" s="1" t="n">
        <v>44889</v>
      </c>
      <c r="C7877" s="1" t="n">
        <v>45357</v>
      </c>
      <c r="D7877" t="inlineStr">
        <is>
          <t>VÄSTERBOTTENS LÄN</t>
        </is>
      </c>
      <c r="E7877" t="inlineStr">
        <is>
          <t>SKELLEFTEÅ</t>
        </is>
      </c>
      <c r="F7877" t="inlineStr">
        <is>
          <t>Holmen skog AB</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55999-2022</t>
        </is>
      </c>
      <c r="B7878" s="1" t="n">
        <v>44889</v>
      </c>
      <c r="C7878" s="1" t="n">
        <v>45357</v>
      </c>
      <c r="D7878" t="inlineStr">
        <is>
          <t>VÄSTERBOTTENS LÄN</t>
        </is>
      </c>
      <c r="E7878" t="inlineStr">
        <is>
          <t>SKELLEFTEÅ</t>
        </is>
      </c>
      <c r="F7878" t="inlineStr">
        <is>
          <t>Holmen skog AB</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56046-2022</t>
        </is>
      </c>
      <c r="B7879" s="1" t="n">
        <v>44889</v>
      </c>
      <c r="C7879" s="1" t="n">
        <v>45357</v>
      </c>
      <c r="D7879" t="inlineStr">
        <is>
          <t>VÄSTERBOTTENS LÄN</t>
        </is>
      </c>
      <c r="E7879" t="inlineStr">
        <is>
          <t>LYCKSELE</t>
        </is>
      </c>
      <c r="F7879" t="inlineStr">
        <is>
          <t>Sveaskog</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56072-2022</t>
        </is>
      </c>
      <c r="B7880" s="1" t="n">
        <v>44889</v>
      </c>
      <c r="C7880" s="1" t="n">
        <v>45357</v>
      </c>
      <c r="D7880" t="inlineStr">
        <is>
          <t>VÄSTERBOTTENS LÄN</t>
        </is>
      </c>
      <c r="E7880" t="inlineStr">
        <is>
          <t>SKELLEFTEÅ</t>
        </is>
      </c>
      <c r="F7880" t="inlineStr">
        <is>
          <t>Holmen skog AB</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56154-2022</t>
        </is>
      </c>
      <c r="B7881" s="1" t="n">
        <v>44889</v>
      </c>
      <c r="C7881" s="1" t="n">
        <v>45357</v>
      </c>
      <c r="D7881" t="inlineStr">
        <is>
          <t>VÄSTERBOTTENS LÄN</t>
        </is>
      </c>
      <c r="E7881" t="inlineStr">
        <is>
          <t>VILHELMINA</t>
        </is>
      </c>
      <c r="G7881" t="n">
        <v>30</v>
      </c>
      <c r="H7881" t="n">
        <v>0</v>
      </c>
      <c r="I7881" t="n">
        <v>0</v>
      </c>
      <c r="J7881" t="n">
        <v>0</v>
      </c>
      <c r="K7881" t="n">
        <v>0</v>
      </c>
      <c r="L7881" t="n">
        <v>0</v>
      </c>
      <c r="M7881" t="n">
        <v>0</v>
      </c>
      <c r="N7881" t="n">
        <v>0</v>
      </c>
      <c r="O7881" t="n">
        <v>0</v>
      </c>
      <c r="P7881" t="n">
        <v>0</v>
      </c>
      <c r="Q7881" t="n">
        <v>0</v>
      </c>
      <c r="R7881" s="2" t="inlineStr"/>
    </row>
    <row r="7882" ht="15" customHeight="1">
      <c r="A7882" t="inlineStr">
        <is>
          <t>A 57076-2022</t>
        </is>
      </c>
      <c r="B7882" s="1" t="n">
        <v>44889</v>
      </c>
      <c r="C7882" s="1" t="n">
        <v>45357</v>
      </c>
      <c r="D7882" t="inlineStr">
        <is>
          <t>VÄSTERBOTTENS LÄN</t>
        </is>
      </c>
      <c r="E7882" t="inlineStr">
        <is>
          <t>VINDELN</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56104-2022</t>
        </is>
      </c>
      <c r="B7883" s="1" t="n">
        <v>44889</v>
      </c>
      <c r="C7883" s="1" t="n">
        <v>45357</v>
      </c>
      <c r="D7883" t="inlineStr">
        <is>
          <t>VÄSTERBOTTENS LÄN</t>
        </is>
      </c>
      <c r="E7883" t="inlineStr">
        <is>
          <t>VINDELN</t>
        </is>
      </c>
      <c r="F7883" t="inlineStr">
        <is>
          <t>Holmen skog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56141-2022</t>
        </is>
      </c>
      <c r="B7884" s="1" t="n">
        <v>44889</v>
      </c>
      <c r="C7884" s="1" t="n">
        <v>45357</v>
      </c>
      <c r="D7884" t="inlineStr">
        <is>
          <t>VÄSTERBOTTENS LÄN</t>
        </is>
      </c>
      <c r="E7884" t="inlineStr">
        <is>
          <t>SKELLEFTEÅ</t>
        </is>
      </c>
      <c r="F7884" t="inlineStr">
        <is>
          <t>Sveaskog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56153-2022</t>
        </is>
      </c>
      <c r="B7885" s="1" t="n">
        <v>44889</v>
      </c>
      <c r="C7885" s="1" t="n">
        <v>45357</v>
      </c>
      <c r="D7885" t="inlineStr">
        <is>
          <t>VÄSTERBOTTENS LÄN</t>
        </is>
      </c>
      <c r="E7885" t="inlineStr">
        <is>
          <t>VILHELMINA</t>
        </is>
      </c>
      <c r="G7885" t="n">
        <v>31.6</v>
      </c>
      <c r="H7885" t="n">
        <v>0</v>
      </c>
      <c r="I7885" t="n">
        <v>0</v>
      </c>
      <c r="J7885" t="n">
        <v>0</v>
      </c>
      <c r="K7885" t="n">
        <v>0</v>
      </c>
      <c r="L7885" t="n">
        <v>0</v>
      </c>
      <c r="M7885" t="n">
        <v>0</v>
      </c>
      <c r="N7885" t="n">
        <v>0</v>
      </c>
      <c r="O7885" t="n">
        <v>0</v>
      </c>
      <c r="P7885" t="n">
        <v>0</v>
      </c>
      <c r="Q7885" t="n">
        <v>0</v>
      </c>
      <c r="R7885" s="2" t="inlineStr"/>
    </row>
    <row r="7886" ht="15" customHeight="1">
      <c r="A7886" t="inlineStr">
        <is>
          <t>A 56155-2022</t>
        </is>
      </c>
      <c r="B7886" s="1" t="n">
        <v>44889</v>
      </c>
      <c r="C7886" s="1" t="n">
        <v>45357</v>
      </c>
      <c r="D7886" t="inlineStr">
        <is>
          <t>VÄSTERBOTTENS LÄN</t>
        </is>
      </c>
      <c r="E7886" t="inlineStr">
        <is>
          <t>SKELLEFTEÅ</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56173-2022</t>
        </is>
      </c>
      <c r="B7887" s="1" t="n">
        <v>44889</v>
      </c>
      <c r="C7887" s="1" t="n">
        <v>45357</v>
      </c>
      <c r="D7887" t="inlineStr">
        <is>
          <t>VÄSTERBOTTENS LÄN</t>
        </is>
      </c>
      <c r="E7887" t="inlineStr">
        <is>
          <t>VILHELMINA</t>
        </is>
      </c>
      <c r="F7887" t="inlineStr">
        <is>
          <t>SCA</t>
        </is>
      </c>
      <c r="G7887" t="n">
        <v>7.5</v>
      </c>
      <c r="H7887" t="n">
        <v>0</v>
      </c>
      <c r="I7887" t="n">
        <v>0</v>
      </c>
      <c r="J7887" t="n">
        <v>0</v>
      </c>
      <c r="K7887" t="n">
        <v>0</v>
      </c>
      <c r="L7887" t="n">
        <v>0</v>
      </c>
      <c r="M7887" t="n">
        <v>0</v>
      </c>
      <c r="N7887" t="n">
        <v>0</v>
      </c>
      <c r="O7887" t="n">
        <v>0</v>
      </c>
      <c r="P7887" t="n">
        <v>0</v>
      </c>
      <c r="Q7887" t="n">
        <v>0</v>
      </c>
      <c r="R7887" s="2" t="inlineStr"/>
    </row>
    <row r="7888" ht="15" customHeight="1">
      <c r="A7888" t="inlineStr">
        <is>
          <t>A 56055-2022</t>
        </is>
      </c>
      <c r="B7888" s="1" t="n">
        <v>44889</v>
      </c>
      <c r="C7888" s="1" t="n">
        <v>45357</v>
      </c>
      <c r="D7888" t="inlineStr">
        <is>
          <t>VÄSTERBOTTENS LÄN</t>
        </is>
      </c>
      <c r="E7888" t="inlineStr">
        <is>
          <t>LYCKSELE</t>
        </is>
      </c>
      <c r="F7888" t="inlineStr">
        <is>
          <t>Holmen skog AB</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56113-2022</t>
        </is>
      </c>
      <c r="B7889" s="1" t="n">
        <v>44889</v>
      </c>
      <c r="C7889" s="1" t="n">
        <v>45357</v>
      </c>
      <c r="D7889" t="inlineStr">
        <is>
          <t>VÄSTERBOTTENS LÄN</t>
        </is>
      </c>
      <c r="E7889" t="inlineStr">
        <is>
          <t>SKELLEFTEÅ</t>
        </is>
      </c>
      <c r="F7889" t="inlineStr">
        <is>
          <t>Sveaskog</t>
        </is>
      </c>
      <c r="G7889" t="n">
        <v>9</v>
      </c>
      <c r="H7889" t="n">
        <v>0</v>
      </c>
      <c r="I7889" t="n">
        <v>0</v>
      </c>
      <c r="J7889" t="n">
        <v>0</v>
      </c>
      <c r="K7889" t="n">
        <v>0</v>
      </c>
      <c r="L7889" t="n">
        <v>0</v>
      </c>
      <c r="M7889" t="n">
        <v>0</v>
      </c>
      <c r="N7889" t="n">
        <v>0</v>
      </c>
      <c r="O7889" t="n">
        <v>0</v>
      </c>
      <c r="P7889" t="n">
        <v>0</v>
      </c>
      <c r="Q7889" t="n">
        <v>0</v>
      </c>
      <c r="R7889" s="2" t="inlineStr"/>
    </row>
    <row r="7890" ht="15" customHeight="1">
      <c r="A7890" t="inlineStr">
        <is>
          <t>A 56156-2022</t>
        </is>
      </c>
      <c r="B7890" s="1" t="n">
        <v>44889</v>
      </c>
      <c r="C7890" s="1" t="n">
        <v>45357</v>
      </c>
      <c r="D7890" t="inlineStr">
        <is>
          <t>VÄSTERBOTTENS LÄN</t>
        </is>
      </c>
      <c r="E7890" t="inlineStr">
        <is>
          <t>SKELLEFTEÅ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56174-2022</t>
        </is>
      </c>
      <c r="B7891" s="1" t="n">
        <v>44889</v>
      </c>
      <c r="C7891" s="1" t="n">
        <v>45357</v>
      </c>
      <c r="D7891" t="inlineStr">
        <is>
          <t>VÄSTERBOTTENS LÄN</t>
        </is>
      </c>
      <c r="E7891" t="inlineStr">
        <is>
          <t>VILHELMINA</t>
        </is>
      </c>
      <c r="F7891" t="inlineStr">
        <is>
          <t>SCA</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56179-2022</t>
        </is>
      </c>
      <c r="B7892" s="1" t="n">
        <v>44889</v>
      </c>
      <c r="C7892" s="1" t="n">
        <v>45357</v>
      </c>
      <c r="D7892" t="inlineStr">
        <is>
          <t>VÄSTERBOTTENS LÄN</t>
        </is>
      </c>
      <c r="E7892" t="inlineStr">
        <is>
          <t>VILHELMINA</t>
        </is>
      </c>
      <c r="F7892" t="inlineStr">
        <is>
          <t>SCA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57093-2022</t>
        </is>
      </c>
      <c r="B7893" s="1" t="n">
        <v>44889</v>
      </c>
      <c r="C7893" s="1" t="n">
        <v>45357</v>
      </c>
      <c r="D7893" t="inlineStr">
        <is>
          <t>VÄSTERBOTTENS LÄN</t>
        </is>
      </c>
      <c r="E7893" t="inlineStr">
        <is>
          <t>VINDELN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57139-2022</t>
        </is>
      </c>
      <c r="B7894" s="1" t="n">
        <v>44889</v>
      </c>
      <c r="C7894" s="1" t="n">
        <v>45357</v>
      </c>
      <c r="D7894" t="inlineStr">
        <is>
          <t>VÄSTERBOTTENS LÄN</t>
        </is>
      </c>
      <c r="E7894" t="inlineStr">
        <is>
          <t>STORUMAN</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57332-2022</t>
        </is>
      </c>
      <c r="B7895" s="1" t="n">
        <v>44889</v>
      </c>
      <c r="C7895" s="1" t="n">
        <v>45357</v>
      </c>
      <c r="D7895" t="inlineStr">
        <is>
          <t>VÄSTERBOTTENS LÄN</t>
        </is>
      </c>
      <c r="E7895" t="inlineStr">
        <is>
          <t>VILHELMINA</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57341-2022</t>
        </is>
      </c>
      <c r="B7896" s="1" t="n">
        <v>44889</v>
      </c>
      <c r="C7896" s="1" t="n">
        <v>45357</v>
      </c>
      <c r="D7896" t="inlineStr">
        <is>
          <t>VÄSTERBOTTENS LÄN</t>
        </is>
      </c>
      <c r="E7896" t="inlineStr">
        <is>
          <t>STORUMAN</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57431-2022</t>
        </is>
      </c>
      <c r="B7897" s="1" t="n">
        <v>44889</v>
      </c>
      <c r="C7897" s="1" t="n">
        <v>45357</v>
      </c>
      <c r="D7897" t="inlineStr">
        <is>
          <t>VÄSTERBOTTENS LÄN</t>
        </is>
      </c>
      <c r="E7897" t="inlineStr">
        <is>
          <t>DOROTEA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57499-2022</t>
        </is>
      </c>
      <c r="B7898" s="1" t="n">
        <v>44889</v>
      </c>
      <c r="C7898" s="1" t="n">
        <v>45357</v>
      </c>
      <c r="D7898" t="inlineStr">
        <is>
          <t>VÄSTERBOTTENS LÄN</t>
        </is>
      </c>
      <c r="E7898" t="inlineStr">
        <is>
          <t>MALÅ</t>
        </is>
      </c>
      <c r="G7898" t="n">
        <v>10.2</v>
      </c>
      <c r="H7898" t="n">
        <v>0</v>
      </c>
      <c r="I7898" t="n">
        <v>0</v>
      </c>
      <c r="J7898" t="n">
        <v>0</v>
      </c>
      <c r="K7898" t="n">
        <v>0</v>
      </c>
      <c r="L7898" t="n">
        <v>0</v>
      </c>
      <c r="M7898" t="n">
        <v>0</v>
      </c>
      <c r="N7898" t="n">
        <v>0</v>
      </c>
      <c r="O7898" t="n">
        <v>0</v>
      </c>
      <c r="P7898" t="n">
        <v>0</v>
      </c>
      <c r="Q7898" t="n">
        <v>0</v>
      </c>
      <c r="R7898" s="2" t="inlineStr"/>
    </row>
    <row r="7899" ht="15" customHeight="1">
      <c r="A7899" t="inlineStr">
        <is>
          <t>A 57084-2022</t>
        </is>
      </c>
      <c r="B7899" s="1" t="n">
        <v>44889</v>
      </c>
      <c r="C7899" s="1" t="n">
        <v>45357</v>
      </c>
      <c r="D7899" t="inlineStr">
        <is>
          <t>VÄSTERBOTTENS LÄN</t>
        </is>
      </c>
      <c r="E7899" t="inlineStr">
        <is>
          <t>VINDELN</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57207-2022</t>
        </is>
      </c>
      <c r="B7900" s="1" t="n">
        <v>44889</v>
      </c>
      <c r="C7900" s="1" t="n">
        <v>45357</v>
      </c>
      <c r="D7900" t="inlineStr">
        <is>
          <t>VÄSTERBOTTENS LÄN</t>
        </is>
      </c>
      <c r="E7900" t="inlineStr">
        <is>
          <t>VINDELN</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57236-2022</t>
        </is>
      </c>
      <c r="B7901" s="1" t="n">
        <v>44889</v>
      </c>
      <c r="C7901" s="1" t="n">
        <v>45357</v>
      </c>
      <c r="D7901" t="inlineStr">
        <is>
          <t>VÄSTERBOTTENS LÄN</t>
        </is>
      </c>
      <c r="E7901" t="inlineStr">
        <is>
          <t>DOROTEA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57324-2022</t>
        </is>
      </c>
      <c r="B7902" s="1" t="n">
        <v>44889</v>
      </c>
      <c r="C7902" s="1" t="n">
        <v>45357</v>
      </c>
      <c r="D7902" t="inlineStr">
        <is>
          <t>VÄSTERBOTTENS LÄN</t>
        </is>
      </c>
      <c r="E7902" t="inlineStr">
        <is>
          <t>VILHELMINA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57405-2022</t>
        </is>
      </c>
      <c r="B7903" s="1" t="n">
        <v>44889</v>
      </c>
      <c r="C7903" s="1" t="n">
        <v>45357</v>
      </c>
      <c r="D7903" t="inlineStr">
        <is>
          <t>VÄSTERBOTTENS LÄN</t>
        </is>
      </c>
      <c r="E7903" t="inlineStr">
        <is>
          <t>SKELLEFTEÅ</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57432-2022</t>
        </is>
      </c>
      <c r="B7904" s="1" t="n">
        <v>44889</v>
      </c>
      <c r="C7904" s="1" t="n">
        <v>45357</v>
      </c>
      <c r="D7904" t="inlineStr">
        <is>
          <t>VÄSTERBOTTENS LÄN</t>
        </is>
      </c>
      <c r="E7904" t="inlineStr">
        <is>
          <t>SKELLEFTEÅ</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57089-2022</t>
        </is>
      </c>
      <c r="B7905" s="1" t="n">
        <v>44889</v>
      </c>
      <c r="C7905" s="1" t="n">
        <v>45357</v>
      </c>
      <c r="D7905" t="inlineStr">
        <is>
          <t>VÄSTERBOTTENS LÄN</t>
        </is>
      </c>
      <c r="E7905" t="inlineStr">
        <is>
          <t>VINDELN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57328-2022</t>
        </is>
      </c>
      <c r="B7906" s="1" t="n">
        <v>44889</v>
      </c>
      <c r="C7906" s="1" t="n">
        <v>45357</v>
      </c>
      <c r="D7906" t="inlineStr">
        <is>
          <t>VÄSTERBOTTENS LÄN</t>
        </is>
      </c>
      <c r="E7906" t="inlineStr">
        <is>
          <t>VILHELMINA</t>
        </is>
      </c>
      <c r="G7906" t="n">
        <v>9.5</v>
      </c>
      <c r="H7906" t="n">
        <v>0</v>
      </c>
      <c r="I7906" t="n">
        <v>0</v>
      </c>
      <c r="J7906" t="n">
        <v>0</v>
      </c>
      <c r="K7906" t="n">
        <v>0</v>
      </c>
      <c r="L7906" t="n">
        <v>0</v>
      </c>
      <c r="M7906" t="n">
        <v>0</v>
      </c>
      <c r="N7906" t="n">
        <v>0</v>
      </c>
      <c r="O7906" t="n">
        <v>0</v>
      </c>
      <c r="P7906" t="n">
        <v>0</v>
      </c>
      <c r="Q7906" t="n">
        <v>0</v>
      </c>
      <c r="R7906" s="2" t="inlineStr"/>
    </row>
    <row r="7907" ht="15" customHeight="1">
      <c r="A7907" t="inlineStr">
        <is>
          <t>A 57339-2022</t>
        </is>
      </c>
      <c r="B7907" s="1" t="n">
        <v>44889</v>
      </c>
      <c r="C7907" s="1" t="n">
        <v>45357</v>
      </c>
      <c r="D7907" t="inlineStr">
        <is>
          <t>VÄSTERBOTTENS LÄN</t>
        </is>
      </c>
      <c r="E7907" t="inlineStr">
        <is>
          <t>VILHELMINA</t>
        </is>
      </c>
      <c r="G7907" t="n">
        <v>33.1</v>
      </c>
      <c r="H7907" t="n">
        <v>0</v>
      </c>
      <c r="I7907" t="n">
        <v>0</v>
      </c>
      <c r="J7907" t="n">
        <v>0</v>
      </c>
      <c r="K7907" t="n">
        <v>0</v>
      </c>
      <c r="L7907" t="n">
        <v>0</v>
      </c>
      <c r="M7907" t="n">
        <v>0</v>
      </c>
      <c r="N7907" t="n">
        <v>0</v>
      </c>
      <c r="O7907" t="n">
        <v>0</v>
      </c>
      <c r="P7907" t="n">
        <v>0</v>
      </c>
      <c r="Q7907" t="n">
        <v>0</v>
      </c>
      <c r="R7907" s="2" t="inlineStr"/>
    </row>
    <row r="7908" ht="15" customHeight="1">
      <c r="A7908" t="inlineStr">
        <is>
          <t>A 57217-2022</t>
        </is>
      </c>
      <c r="B7908" s="1" t="n">
        <v>44889</v>
      </c>
      <c r="C7908" s="1" t="n">
        <v>45357</v>
      </c>
      <c r="D7908" t="inlineStr">
        <is>
          <t>VÄSTERBOTTENS LÄN</t>
        </is>
      </c>
      <c r="E7908" t="inlineStr">
        <is>
          <t>VINDELN</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57340-2022</t>
        </is>
      </c>
      <c r="B7909" s="1" t="n">
        <v>44889</v>
      </c>
      <c r="C7909" s="1" t="n">
        <v>45357</v>
      </c>
      <c r="D7909" t="inlineStr">
        <is>
          <t>VÄSTERBOTTENS LÄN</t>
        </is>
      </c>
      <c r="E7909" t="inlineStr">
        <is>
          <t>STORUMAN</t>
        </is>
      </c>
      <c r="G7909" t="n">
        <v>14.2</v>
      </c>
      <c r="H7909" t="n">
        <v>0</v>
      </c>
      <c r="I7909" t="n">
        <v>0</v>
      </c>
      <c r="J7909" t="n">
        <v>0</v>
      </c>
      <c r="K7909" t="n">
        <v>0</v>
      </c>
      <c r="L7909" t="n">
        <v>0</v>
      </c>
      <c r="M7909" t="n">
        <v>0</v>
      </c>
      <c r="N7909" t="n">
        <v>0</v>
      </c>
      <c r="O7909" t="n">
        <v>0</v>
      </c>
      <c r="P7909" t="n">
        <v>0</v>
      </c>
      <c r="Q7909" t="n">
        <v>0</v>
      </c>
      <c r="R7909" s="2" t="inlineStr"/>
    </row>
    <row r="7910" ht="15" customHeight="1">
      <c r="A7910" t="inlineStr">
        <is>
          <t>A 57459-2022</t>
        </is>
      </c>
      <c r="B7910" s="1" t="n">
        <v>44889</v>
      </c>
      <c r="C7910" s="1" t="n">
        <v>45357</v>
      </c>
      <c r="D7910" t="inlineStr">
        <is>
          <t>VÄSTERBOTTENS LÄN</t>
        </is>
      </c>
      <c r="E7910" t="inlineStr">
        <is>
          <t>VÄNNÄS</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55938-2022</t>
        </is>
      </c>
      <c r="B7911" s="1" t="n">
        <v>44889</v>
      </c>
      <c r="C7911" s="1" t="n">
        <v>45357</v>
      </c>
      <c r="D7911" t="inlineStr">
        <is>
          <t>VÄSTERBOTTENS LÄN</t>
        </is>
      </c>
      <c r="E7911" t="inlineStr">
        <is>
          <t>UMEÅ</t>
        </is>
      </c>
      <c r="F7911" t="inlineStr">
        <is>
          <t>Holmen skog AB</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57376-2022</t>
        </is>
      </c>
      <c r="B7912" s="1" t="n">
        <v>44889</v>
      </c>
      <c r="C7912" s="1" t="n">
        <v>45357</v>
      </c>
      <c r="D7912" t="inlineStr">
        <is>
          <t>VÄSTERBOTTENS LÄN</t>
        </is>
      </c>
      <c r="E7912" t="inlineStr">
        <is>
          <t>DOROTEA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56251-2022</t>
        </is>
      </c>
      <c r="B7913" s="1" t="n">
        <v>44890</v>
      </c>
      <c r="C7913" s="1" t="n">
        <v>45357</v>
      </c>
      <c r="D7913" t="inlineStr">
        <is>
          <t>VÄSTERBOTTENS LÄN</t>
        </is>
      </c>
      <c r="E7913" t="inlineStr">
        <is>
          <t>VINDELN</t>
        </is>
      </c>
      <c r="F7913" t="inlineStr">
        <is>
          <t>Holmen skog AB</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56284-2022</t>
        </is>
      </c>
      <c r="B7914" s="1" t="n">
        <v>44890</v>
      </c>
      <c r="C7914" s="1" t="n">
        <v>45357</v>
      </c>
      <c r="D7914" t="inlineStr">
        <is>
          <t>VÄSTERBOTTENS LÄN</t>
        </is>
      </c>
      <c r="E7914" t="inlineStr">
        <is>
          <t>SKELLEFTEÅ</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56212-2022</t>
        </is>
      </c>
      <c r="B7915" s="1" t="n">
        <v>44890</v>
      </c>
      <c r="C7915" s="1" t="n">
        <v>45357</v>
      </c>
      <c r="D7915" t="inlineStr">
        <is>
          <t>VÄSTERBOTTENS LÄN</t>
        </is>
      </c>
      <c r="E7915" t="inlineStr">
        <is>
          <t>VINDELN</t>
        </is>
      </c>
      <c r="F7915" t="inlineStr">
        <is>
          <t>Holmen skog AB</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56326-2022</t>
        </is>
      </c>
      <c r="B7916" s="1" t="n">
        <v>44890</v>
      </c>
      <c r="C7916" s="1" t="n">
        <v>45357</v>
      </c>
      <c r="D7916" t="inlineStr">
        <is>
          <t>VÄSTERBOTTENS LÄN</t>
        </is>
      </c>
      <c r="E7916" t="inlineStr">
        <is>
          <t>VÄNNÄS</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56337-2022</t>
        </is>
      </c>
      <c r="B7917" s="1" t="n">
        <v>44890</v>
      </c>
      <c r="C7917" s="1" t="n">
        <v>45357</v>
      </c>
      <c r="D7917" t="inlineStr">
        <is>
          <t>VÄSTERBOTTENS LÄN</t>
        </is>
      </c>
      <c r="E7917" t="inlineStr">
        <is>
          <t>VINDELN</t>
        </is>
      </c>
      <c r="F7917" t="inlineStr">
        <is>
          <t>Holmen skog AB</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56408-2022</t>
        </is>
      </c>
      <c r="B7918" s="1" t="n">
        <v>44890</v>
      </c>
      <c r="C7918" s="1" t="n">
        <v>45357</v>
      </c>
      <c r="D7918" t="inlineStr">
        <is>
          <t>VÄSTERBOTTENS LÄN</t>
        </is>
      </c>
      <c r="E7918" t="inlineStr">
        <is>
          <t>VILHELMINA</t>
        </is>
      </c>
      <c r="F7918" t="inlineStr">
        <is>
          <t>SCA</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56396-2022</t>
        </is>
      </c>
      <c r="B7919" s="1" t="n">
        <v>44890</v>
      </c>
      <c r="C7919" s="1" t="n">
        <v>45357</v>
      </c>
      <c r="D7919" t="inlineStr">
        <is>
          <t>VÄSTERBOTTENS LÄN</t>
        </is>
      </c>
      <c r="E7919" t="inlineStr">
        <is>
          <t>VILHELMINA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56405-2022</t>
        </is>
      </c>
      <c r="B7920" s="1" t="n">
        <v>44890</v>
      </c>
      <c r="C7920" s="1" t="n">
        <v>45357</v>
      </c>
      <c r="D7920" t="inlineStr">
        <is>
          <t>VÄSTERBOTTENS LÄN</t>
        </is>
      </c>
      <c r="E7920" t="inlineStr">
        <is>
          <t>VILHELMINA</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56409-2022</t>
        </is>
      </c>
      <c r="B7921" s="1" t="n">
        <v>44890</v>
      </c>
      <c r="C7921" s="1" t="n">
        <v>45357</v>
      </c>
      <c r="D7921" t="inlineStr">
        <is>
          <t>VÄSTERBOTTENS LÄN</t>
        </is>
      </c>
      <c r="E7921" t="inlineStr">
        <is>
          <t>VILHELMINA</t>
        </is>
      </c>
      <c r="F7921" t="inlineStr">
        <is>
          <t>SCA</t>
        </is>
      </c>
      <c r="G7921" t="n">
        <v>10</v>
      </c>
      <c r="H7921" t="n">
        <v>0</v>
      </c>
      <c r="I7921" t="n">
        <v>0</v>
      </c>
      <c r="J7921" t="n">
        <v>0</v>
      </c>
      <c r="K7921" t="n">
        <v>0</v>
      </c>
      <c r="L7921" t="n">
        <v>0</v>
      </c>
      <c r="M7921" t="n">
        <v>0</v>
      </c>
      <c r="N7921" t="n">
        <v>0</v>
      </c>
      <c r="O7921" t="n">
        <v>0</v>
      </c>
      <c r="P7921" t="n">
        <v>0</v>
      </c>
      <c r="Q7921" t="n">
        <v>0</v>
      </c>
      <c r="R7921" s="2" t="inlineStr"/>
    </row>
    <row r="7922" ht="15" customHeight="1">
      <c r="A7922" t="inlineStr">
        <is>
          <t>A 56394-2022</t>
        </is>
      </c>
      <c r="B7922" s="1" t="n">
        <v>44890</v>
      </c>
      <c r="C7922" s="1" t="n">
        <v>45357</v>
      </c>
      <c r="D7922" t="inlineStr">
        <is>
          <t>VÄSTERBOTTENS LÄN</t>
        </is>
      </c>
      <c r="E7922" t="inlineStr">
        <is>
          <t>SKELLEFTEÅ</t>
        </is>
      </c>
      <c r="F7922" t="inlineStr">
        <is>
          <t>Sveaskog</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56398-2022</t>
        </is>
      </c>
      <c r="B7923" s="1" t="n">
        <v>44890</v>
      </c>
      <c r="C7923" s="1" t="n">
        <v>45357</v>
      </c>
      <c r="D7923" t="inlineStr">
        <is>
          <t>VÄSTERBOTTENS LÄN</t>
        </is>
      </c>
      <c r="E7923" t="inlineStr">
        <is>
          <t>NORSJÖ</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56407-2022</t>
        </is>
      </c>
      <c r="B7924" s="1" t="n">
        <v>44890</v>
      </c>
      <c r="C7924" s="1" t="n">
        <v>45357</v>
      </c>
      <c r="D7924" t="inlineStr">
        <is>
          <t>VÄSTERBOTTENS LÄN</t>
        </is>
      </c>
      <c r="E7924" t="inlineStr">
        <is>
          <t>VILHELMINA</t>
        </is>
      </c>
      <c r="F7924" t="inlineStr">
        <is>
          <t>SCA</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56415-2022</t>
        </is>
      </c>
      <c r="B7925" s="1" t="n">
        <v>44890</v>
      </c>
      <c r="C7925" s="1" t="n">
        <v>45357</v>
      </c>
      <c r="D7925" t="inlineStr">
        <is>
          <t>VÄSTERBOTTENS LÄN</t>
        </is>
      </c>
      <c r="E7925" t="inlineStr">
        <is>
          <t>SORSELE</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56343-2022</t>
        </is>
      </c>
      <c r="B7926" s="1" t="n">
        <v>44890</v>
      </c>
      <c r="C7926" s="1" t="n">
        <v>45357</v>
      </c>
      <c r="D7926" t="inlineStr">
        <is>
          <t>VÄSTERBOTTENS LÄN</t>
        </is>
      </c>
      <c r="E7926" t="inlineStr">
        <is>
          <t>LYCKSELE</t>
        </is>
      </c>
      <c r="F7926" t="inlineStr">
        <is>
          <t>Sveaskog</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56406-2022</t>
        </is>
      </c>
      <c r="B7927" s="1" t="n">
        <v>44890</v>
      </c>
      <c r="C7927" s="1" t="n">
        <v>45357</v>
      </c>
      <c r="D7927" t="inlineStr">
        <is>
          <t>VÄSTERBOTTENS LÄN</t>
        </is>
      </c>
      <c r="E7927" t="inlineStr">
        <is>
          <t>VILHELMINA</t>
        </is>
      </c>
      <c r="F7927" t="inlineStr">
        <is>
          <t>SCA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56414-2022</t>
        </is>
      </c>
      <c r="B7928" s="1" t="n">
        <v>44890</v>
      </c>
      <c r="C7928" s="1" t="n">
        <v>45357</v>
      </c>
      <c r="D7928" t="inlineStr">
        <is>
          <t>VÄSTERBOTTENS LÄN</t>
        </is>
      </c>
      <c r="E7928" t="inlineStr">
        <is>
          <t>SORSELE</t>
        </is>
      </c>
      <c r="F7928" t="inlineStr">
        <is>
          <t>SCA</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57625-2022</t>
        </is>
      </c>
      <c r="B7929" s="1" t="n">
        <v>44890</v>
      </c>
      <c r="C7929" s="1" t="n">
        <v>45357</v>
      </c>
      <c r="D7929" t="inlineStr">
        <is>
          <t>VÄSTERBOTTENS LÄN</t>
        </is>
      </c>
      <c r="E7929" t="inlineStr">
        <is>
          <t>ROBERTSFORS</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56436-2022</t>
        </is>
      </c>
      <c r="B7930" s="1" t="n">
        <v>44892</v>
      </c>
      <c r="C7930" s="1" t="n">
        <v>45357</v>
      </c>
      <c r="D7930" t="inlineStr">
        <is>
          <t>VÄSTERBOTTENS LÄN</t>
        </is>
      </c>
      <c r="E7930" t="inlineStr">
        <is>
          <t>NORSJÖ</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56435-2022</t>
        </is>
      </c>
      <c r="B7931" s="1" t="n">
        <v>44892</v>
      </c>
      <c r="C7931" s="1" t="n">
        <v>45357</v>
      </c>
      <c r="D7931" t="inlineStr">
        <is>
          <t>VÄSTERBOTTENS LÄN</t>
        </is>
      </c>
      <c r="E7931" t="inlineStr">
        <is>
          <t>SKELLEFTEÅ</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56509-2022</t>
        </is>
      </c>
      <c r="B7932" s="1" t="n">
        <v>44893</v>
      </c>
      <c r="C7932" s="1" t="n">
        <v>45357</v>
      </c>
      <c r="D7932" t="inlineStr">
        <is>
          <t>VÄSTERBOTTENS LÄN</t>
        </is>
      </c>
      <c r="E7932" t="inlineStr">
        <is>
          <t>SORSELE</t>
        </is>
      </c>
      <c r="F7932" t="inlineStr">
        <is>
          <t>Sveaskog</t>
        </is>
      </c>
      <c r="G7932" t="n">
        <v>9.5</v>
      </c>
      <c r="H7932" t="n">
        <v>0</v>
      </c>
      <c r="I7932" t="n">
        <v>0</v>
      </c>
      <c r="J7932" t="n">
        <v>0</v>
      </c>
      <c r="K7932" t="n">
        <v>0</v>
      </c>
      <c r="L7932" t="n">
        <v>0</v>
      </c>
      <c r="M7932" t="n">
        <v>0</v>
      </c>
      <c r="N7932" t="n">
        <v>0</v>
      </c>
      <c r="O7932" t="n">
        <v>0</v>
      </c>
      <c r="P7932" t="n">
        <v>0</v>
      </c>
      <c r="Q7932" t="n">
        <v>0</v>
      </c>
      <c r="R7932" s="2" t="inlineStr"/>
    </row>
    <row r="7933" ht="15" customHeight="1">
      <c r="A7933" t="inlineStr">
        <is>
          <t>A 56597-2022</t>
        </is>
      </c>
      <c r="B7933" s="1" t="n">
        <v>44893</v>
      </c>
      <c r="C7933" s="1" t="n">
        <v>45357</v>
      </c>
      <c r="D7933" t="inlineStr">
        <is>
          <t>VÄSTERBOTTENS LÄN</t>
        </is>
      </c>
      <c r="E7933" t="inlineStr">
        <is>
          <t>VINDELN</t>
        </is>
      </c>
      <c r="F7933" t="inlineStr">
        <is>
          <t>Holmen skog AB</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56620-2022</t>
        </is>
      </c>
      <c r="B7934" s="1" t="n">
        <v>44893</v>
      </c>
      <c r="C7934" s="1" t="n">
        <v>45357</v>
      </c>
      <c r="D7934" t="inlineStr">
        <is>
          <t>VÄSTERBOTTENS LÄN</t>
        </is>
      </c>
      <c r="E7934" t="inlineStr">
        <is>
          <t>NORSJÖ</t>
        </is>
      </c>
      <c r="F7934" t="inlineStr">
        <is>
          <t>Holmen skog AB</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56503-2022</t>
        </is>
      </c>
      <c r="B7935" s="1" t="n">
        <v>44893</v>
      </c>
      <c r="C7935" s="1" t="n">
        <v>45357</v>
      </c>
      <c r="D7935" t="inlineStr">
        <is>
          <t>VÄSTERBOTTENS LÄN</t>
        </is>
      </c>
      <c r="E7935" t="inlineStr">
        <is>
          <t>SKELLEFTEÅ</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56716-2022</t>
        </is>
      </c>
      <c r="B7936" s="1" t="n">
        <v>44893</v>
      </c>
      <c r="C7936" s="1" t="n">
        <v>45357</v>
      </c>
      <c r="D7936" t="inlineStr">
        <is>
          <t>VÄSTERBOTTENS LÄN</t>
        </is>
      </c>
      <c r="E7936" t="inlineStr">
        <is>
          <t>NORSJÖ</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56727-2022</t>
        </is>
      </c>
      <c r="B7937" s="1" t="n">
        <v>44893</v>
      </c>
      <c r="C7937" s="1" t="n">
        <v>45357</v>
      </c>
      <c r="D7937" t="inlineStr">
        <is>
          <t>VÄSTERBOTTENS LÄN</t>
        </is>
      </c>
      <c r="E7937" t="inlineStr">
        <is>
          <t>MALÅ</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56720-2022</t>
        </is>
      </c>
      <c r="B7938" s="1" t="n">
        <v>44893</v>
      </c>
      <c r="C7938" s="1" t="n">
        <v>45357</v>
      </c>
      <c r="D7938" t="inlineStr">
        <is>
          <t>VÄSTERBOTTENS LÄN</t>
        </is>
      </c>
      <c r="E7938" t="inlineStr">
        <is>
          <t>MALÅ</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56725-2022</t>
        </is>
      </c>
      <c r="B7939" s="1" t="n">
        <v>44893</v>
      </c>
      <c r="C7939" s="1" t="n">
        <v>45357</v>
      </c>
      <c r="D7939" t="inlineStr">
        <is>
          <t>VÄSTERBOTTENS LÄN</t>
        </is>
      </c>
      <c r="E7939" t="inlineStr">
        <is>
          <t>NORSJÖ</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56717-2022</t>
        </is>
      </c>
      <c r="B7940" s="1" t="n">
        <v>44893</v>
      </c>
      <c r="C7940" s="1" t="n">
        <v>45357</v>
      </c>
      <c r="D7940" t="inlineStr">
        <is>
          <t>VÄSTERBOTTENS LÄN</t>
        </is>
      </c>
      <c r="E7940" t="inlineStr">
        <is>
          <t>NORSJÖ</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56724-2022</t>
        </is>
      </c>
      <c r="B7941" s="1" t="n">
        <v>44893</v>
      </c>
      <c r="C7941" s="1" t="n">
        <v>45357</v>
      </c>
      <c r="D7941" t="inlineStr">
        <is>
          <t>VÄSTERBOTTENS LÄN</t>
        </is>
      </c>
      <c r="E7941" t="inlineStr">
        <is>
          <t>MALÅ</t>
        </is>
      </c>
      <c r="G7941" t="n">
        <v>8.5</v>
      </c>
      <c r="H7941" t="n">
        <v>0</v>
      </c>
      <c r="I7941" t="n">
        <v>0</v>
      </c>
      <c r="J7941" t="n">
        <v>0</v>
      </c>
      <c r="K7941" t="n">
        <v>0</v>
      </c>
      <c r="L7941" t="n">
        <v>0</v>
      </c>
      <c r="M7941" t="n">
        <v>0</v>
      </c>
      <c r="N7941" t="n">
        <v>0</v>
      </c>
      <c r="O7941" t="n">
        <v>0</v>
      </c>
      <c r="P7941" t="n">
        <v>0</v>
      </c>
      <c r="Q7941" t="n">
        <v>0</v>
      </c>
      <c r="R7941" s="2" t="inlineStr"/>
    </row>
    <row r="7942" ht="15" customHeight="1">
      <c r="A7942" t="inlineStr">
        <is>
          <t>A 56729-2022</t>
        </is>
      </c>
      <c r="B7942" s="1" t="n">
        <v>44893</v>
      </c>
      <c r="C7942" s="1" t="n">
        <v>45357</v>
      </c>
      <c r="D7942" t="inlineStr">
        <is>
          <t>VÄSTERBOTTENS LÄN</t>
        </is>
      </c>
      <c r="E7942" t="inlineStr">
        <is>
          <t>MALÅ</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56734-2022</t>
        </is>
      </c>
      <c r="B7943" s="1" t="n">
        <v>44893</v>
      </c>
      <c r="C7943" s="1" t="n">
        <v>45357</v>
      </c>
      <c r="D7943" t="inlineStr">
        <is>
          <t>VÄSTERBOTTENS LÄN</t>
        </is>
      </c>
      <c r="E7943" t="inlineStr">
        <is>
          <t>NORDMALING</t>
        </is>
      </c>
      <c r="F7943" t="inlineStr">
        <is>
          <t>SCA</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57406-2022</t>
        </is>
      </c>
      <c r="B7944" s="1" t="n">
        <v>44893</v>
      </c>
      <c r="C7944" s="1" t="n">
        <v>45357</v>
      </c>
      <c r="D7944" t="inlineStr">
        <is>
          <t>VÄSTERBOTTENS LÄN</t>
        </is>
      </c>
      <c r="E7944" t="inlineStr">
        <is>
          <t>SKELLEFTEÅ</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56715-2022</t>
        </is>
      </c>
      <c r="B7945" s="1" t="n">
        <v>44893</v>
      </c>
      <c r="C7945" s="1" t="n">
        <v>45357</v>
      </c>
      <c r="D7945" t="inlineStr">
        <is>
          <t>VÄSTERBOTTENS LÄN</t>
        </is>
      </c>
      <c r="E7945" t="inlineStr">
        <is>
          <t>NORSJÖ</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56721-2022</t>
        </is>
      </c>
      <c r="B7946" s="1" t="n">
        <v>44893</v>
      </c>
      <c r="C7946" s="1" t="n">
        <v>45357</v>
      </c>
      <c r="D7946" t="inlineStr">
        <is>
          <t>VÄSTERBOTTENS LÄN</t>
        </is>
      </c>
      <c r="E7946" t="inlineStr">
        <is>
          <t>MALÅ</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56726-2022</t>
        </is>
      </c>
      <c r="B7947" s="1" t="n">
        <v>44893</v>
      </c>
      <c r="C7947" s="1" t="n">
        <v>45357</v>
      </c>
      <c r="D7947" t="inlineStr">
        <is>
          <t>VÄSTERBOTTENS LÄN</t>
        </is>
      </c>
      <c r="E7947" t="inlineStr">
        <is>
          <t>MALÅ</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56738-2022</t>
        </is>
      </c>
      <c r="B7948" s="1" t="n">
        <v>44893</v>
      </c>
      <c r="C7948" s="1" t="n">
        <v>45357</v>
      </c>
      <c r="D7948" t="inlineStr">
        <is>
          <t>VÄSTERBOTTENS LÄN</t>
        </is>
      </c>
      <c r="E7948" t="inlineStr">
        <is>
          <t>DOROTEA</t>
        </is>
      </c>
      <c r="F7948" t="inlineStr">
        <is>
          <t>SCA</t>
        </is>
      </c>
      <c r="G7948" t="n">
        <v>73.2</v>
      </c>
      <c r="H7948" t="n">
        <v>0</v>
      </c>
      <c r="I7948" t="n">
        <v>0</v>
      </c>
      <c r="J7948" t="n">
        <v>0</v>
      </c>
      <c r="K7948" t="n">
        <v>0</v>
      </c>
      <c r="L7948" t="n">
        <v>0</v>
      </c>
      <c r="M7948" t="n">
        <v>0</v>
      </c>
      <c r="N7948" t="n">
        <v>0</v>
      </c>
      <c r="O7948" t="n">
        <v>0</v>
      </c>
      <c r="P7948" t="n">
        <v>0</v>
      </c>
      <c r="Q7948" t="n">
        <v>0</v>
      </c>
      <c r="R7948" s="2" t="inlineStr"/>
    </row>
    <row r="7949" ht="15" customHeight="1">
      <c r="A7949" t="inlineStr">
        <is>
          <t>A 58114-2022</t>
        </is>
      </c>
      <c r="B7949" s="1" t="n">
        <v>44893</v>
      </c>
      <c r="C7949" s="1" t="n">
        <v>45357</v>
      </c>
      <c r="D7949" t="inlineStr">
        <is>
          <t>VÄSTERBOTTENS LÄN</t>
        </is>
      </c>
      <c r="E7949" t="inlineStr">
        <is>
          <t>SKELLEFTEÅ</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58240-2022</t>
        </is>
      </c>
      <c r="B7950" s="1" t="n">
        <v>44893</v>
      </c>
      <c r="C7950" s="1" t="n">
        <v>45357</v>
      </c>
      <c r="D7950" t="inlineStr">
        <is>
          <t>VÄSTERBOTTENS LÄN</t>
        </is>
      </c>
      <c r="E7950" t="inlineStr">
        <is>
          <t>MALÅ</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56733-2022</t>
        </is>
      </c>
      <c r="B7951" s="1" t="n">
        <v>44893</v>
      </c>
      <c r="C7951" s="1" t="n">
        <v>45357</v>
      </c>
      <c r="D7951" t="inlineStr">
        <is>
          <t>VÄSTERBOTTENS LÄN</t>
        </is>
      </c>
      <c r="E7951" t="inlineStr">
        <is>
          <t>VILHELMINA</t>
        </is>
      </c>
      <c r="F7951" t="inlineStr">
        <is>
          <t>SCA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58247-2022</t>
        </is>
      </c>
      <c r="B7952" s="1" t="n">
        <v>44893</v>
      </c>
      <c r="C7952" s="1" t="n">
        <v>45357</v>
      </c>
      <c r="D7952" t="inlineStr">
        <is>
          <t>VÄSTERBOTTENS LÄN</t>
        </is>
      </c>
      <c r="E7952" t="inlineStr">
        <is>
          <t>SORSELE</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56760-2022</t>
        </is>
      </c>
      <c r="B7953" s="1" t="n">
        <v>44894</v>
      </c>
      <c r="C7953" s="1" t="n">
        <v>45357</v>
      </c>
      <c r="D7953" t="inlineStr">
        <is>
          <t>VÄSTERBOTTENS LÄN</t>
        </is>
      </c>
      <c r="E7953" t="inlineStr">
        <is>
          <t>VINDELN</t>
        </is>
      </c>
      <c r="F7953" t="inlineStr">
        <is>
          <t>Holmen skog AB</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56993-2022</t>
        </is>
      </c>
      <c r="B7954" s="1" t="n">
        <v>44894</v>
      </c>
      <c r="C7954" s="1" t="n">
        <v>45357</v>
      </c>
      <c r="D7954" t="inlineStr">
        <is>
          <t>VÄSTERBOTTENS LÄN</t>
        </is>
      </c>
      <c r="E7954" t="inlineStr">
        <is>
          <t>SKELLEFTEÅ</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56973-2022</t>
        </is>
      </c>
      <c r="B7955" s="1" t="n">
        <v>44894</v>
      </c>
      <c r="C7955" s="1" t="n">
        <v>45357</v>
      </c>
      <c r="D7955" t="inlineStr">
        <is>
          <t>VÄSTERBOTTENS LÄN</t>
        </is>
      </c>
      <c r="E7955" t="inlineStr">
        <is>
          <t>LYCKSELE</t>
        </is>
      </c>
      <c r="F7955" t="inlineStr">
        <is>
          <t>Holmen skog AB</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56960-2022</t>
        </is>
      </c>
      <c r="B7956" s="1" t="n">
        <v>44894</v>
      </c>
      <c r="C7956" s="1" t="n">
        <v>45357</v>
      </c>
      <c r="D7956" t="inlineStr">
        <is>
          <t>VÄSTERBOTTENS LÄN</t>
        </is>
      </c>
      <c r="E7956" t="inlineStr">
        <is>
          <t>SKELLEFTEÅ</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56995-2022</t>
        </is>
      </c>
      <c r="B7957" s="1" t="n">
        <v>44894</v>
      </c>
      <c r="C7957" s="1" t="n">
        <v>45357</v>
      </c>
      <c r="D7957" t="inlineStr">
        <is>
          <t>VÄSTERBOTTENS LÄN</t>
        </is>
      </c>
      <c r="E7957" t="inlineStr">
        <is>
          <t>SKELLEFTEÅ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58604-2022</t>
        </is>
      </c>
      <c r="B7958" s="1" t="n">
        <v>44894</v>
      </c>
      <c r="C7958" s="1" t="n">
        <v>45357</v>
      </c>
      <c r="D7958" t="inlineStr">
        <is>
          <t>VÄSTERBOTTENS LÄN</t>
        </is>
      </c>
      <c r="E7958" t="inlineStr">
        <is>
          <t>ROBERTSFORS</t>
        </is>
      </c>
      <c r="G7958" t="n">
        <v>8.9</v>
      </c>
      <c r="H7958" t="n">
        <v>0</v>
      </c>
      <c r="I7958" t="n">
        <v>0</v>
      </c>
      <c r="J7958" t="n">
        <v>0</v>
      </c>
      <c r="K7958" t="n">
        <v>0</v>
      </c>
      <c r="L7958" t="n">
        <v>0</v>
      </c>
      <c r="M7958" t="n">
        <v>0</v>
      </c>
      <c r="N7958" t="n">
        <v>0</v>
      </c>
      <c r="O7958" t="n">
        <v>0</v>
      </c>
      <c r="P7958" t="n">
        <v>0</v>
      </c>
      <c r="Q7958" t="n">
        <v>0</v>
      </c>
      <c r="R7958" s="2" t="inlineStr"/>
    </row>
    <row r="7959" ht="15" customHeight="1">
      <c r="A7959" t="inlineStr">
        <is>
          <t>A 58250-2022</t>
        </is>
      </c>
      <c r="B7959" s="1" t="n">
        <v>44894</v>
      </c>
      <c r="C7959" s="1" t="n">
        <v>45357</v>
      </c>
      <c r="D7959" t="inlineStr">
        <is>
          <t>VÄSTERBOTTENS LÄN</t>
        </is>
      </c>
      <c r="E7959" t="inlineStr">
        <is>
          <t>SKELLEFTEÅ</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58386-2022</t>
        </is>
      </c>
      <c r="B7960" s="1" t="n">
        <v>44894</v>
      </c>
      <c r="C7960" s="1" t="n">
        <v>45357</v>
      </c>
      <c r="D7960" t="inlineStr">
        <is>
          <t>VÄSTERBOTTENS LÄN</t>
        </is>
      </c>
      <c r="E7960" t="inlineStr">
        <is>
          <t>ÅSELE</t>
        </is>
      </c>
      <c r="F7960" t="inlineStr">
        <is>
          <t>Kommuner</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58634-2022</t>
        </is>
      </c>
      <c r="B7961" s="1" t="n">
        <v>44894</v>
      </c>
      <c r="C7961" s="1" t="n">
        <v>45357</v>
      </c>
      <c r="D7961" t="inlineStr">
        <is>
          <t>VÄSTERBOTTENS LÄN</t>
        </is>
      </c>
      <c r="E7961" t="inlineStr">
        <is>
          <t>SKELLEFTEÅ</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57059-2022</t>
        </is>
      </c>
      <c r="B7962" s="1" t="n">
        <v>44895</v>
      </c>
      <c r="C7962" s="1" t="n">
        <v>45357</v>
      </c>
      <c r="D7962" t="inlineStr">
        <is>
          <t>VÄSTERBOTTENS LÄN</t>
        </is>
      </c>
      <c r="E7962" t="inlineStr">
        <is>
          <t>SKELLEFTEÅ</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57103-2022</t>
        </is>
      </c>
      <c r="B7963" s="1" t="n">
        <v>44895</v>
      </c>
      <c r="C7963" s="1" t="n">
        <v>45357</v>
      </c>
      <c r="D7963" t="inlineStr">
        <is>
          <t>VÄSTERBOTTENS LÄN</t>
        </is>
      </c>
      <c r="E7963" t="inlineStr">
        <is>
          <t>SKELLEFTEÅ</t>
        </is>
      </c>
      <c r="F7963" t="inlineStr">
        <is>
          <t>Holmen skog AB</t>
        </is>
      </c>
      <c r="G7963" t="n">
        <v>18.7</v>
      </c>
      <c r="H7963" t="n">
        <v>0</v>
      </c>
      <c r="I7963" t="n">
        <v>0</v>
      </c>
      <c r="J7963" t="n">
        <v>0</v>
      </c>
      <c r="K7963" t="n">
        <v>0</v>
      </c>
      <c r="L7963" t="n">
        <v>0</v>
      </c>
      <c r="M7963" t="n">
        <v>0</v>
      </c>
      <c r="N7963" t="n">
        <v>0</v>
      </c>
      <c r="O7963" t="n">
        <v>0</v>
      </c>
      <c r="P7963" t="n">
        <v>0</v>
      </c>
      <c r="Q7963" t="n">
        <v>0</v>
      </c>
      <c r="R7963" s="2" t="inlineStr"/>
    </row>
    <row r="7964" ht="15" customHeight="1">
      <c r="A7964" t="inlineStr">
        <is>
          <t>A 57057-2022</t>
        </is>
      </c>
      <c r="B7964" s="1" t="n">
        <v>44895</v>
      </c>
      <c r="C7964" s="1" t="n">
        <v>45357</v>
      </c>
      <c r="D7964" t="inlineStr">
        <is>
          <t>VÄSTERBOTTENS LÄN</t>
        </is>
      </c>
      <c r="E7964" t="inlineStr">
        <is>
          <t>SKELLEFTEÅ</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57198-2022</t>
        </is>
      </c>
      <c r="B7965" s="1" t="n">
        <v>44895</v>
      </c>
      <c r="C7965" s="1" t="n">
        <v>45357</v>
      </c>
      <c r="D7965" t="inlineStr">
        <is>
          <t>VÄSTERBOTTENS LÄN</t>
        </is>
      </c>
      <c r="E7965" t="inlineStr">
        <is>
          <t>LYCKSELE</t>
        </is>
      </c>
      <c r="F7965" t="inlineStr">
        <is>
          <t>Sveaskog</t>
        </is>
      </c>
      <c r="G7965" t="n">
        <v>6.1</v>
      </c>
      <c r="H7965" t="n">
        <v>0</v>
      </c>
      <c r="I7965" t="n">
        <v>0</v>
      </c>
      <c r="J7965" t="n">
        <v>0</v>
      </c>
      <c r="K7965" t="n">
        <v>0</v>
      </c>
      <c r="L7965" t="n">
        <v>0</v>
      </c>
      <c r="M7965" t="n">
        <v>0</v>
      </c>
      <c r="N7965" t="n">
        <v>0</v>
      </c>
      <c r="O7965" t="n">
        <v>0</v>
      </c>
      <c r="P7965" t="n">
        <v>0</v>
      </c>
      <c r="Q7965" t="n">
        <v>0</v>
      </c>
      <c r="R7965" s="2" t="inlineStr"/>
    </row>
    <row r="7966" ht="15" customHeight="1">
      <c r="A7966" t="inlineStr">
        <is>
          <t>A 57252-2022</t>
        </is>
      </c>
      <c r="B7966" s="1" t="n">
        <v>44895</v>
      </c>
      <c r="C7966" s="1" t="n">
        <v>45357</v>
      </c>
      <c r="D7966" t="inlineStr">
        <is>
          <t>VÄSTERBOTTENS LÄN</t>
        </is>
      </c>
      <c r="E7966" t="inlineStr">
        <is>
          <t>LYCKSELE</t>
        </is>
      </c>
      <c r="F7966" t="inlineStr">
        <is>
          <t>Holmen skog AB</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57054-2022</t>
        </is>
      </c>
      <c r="B7967" s="1" t="n">
        <v>44895</v>
      </c>
      <c r="C7967" s="1" t="n">
        <v>45357</v>
      </c>
      <c r="D7967" t="inlineStr">
        <is>
          <t>VÄSTERBOTTENS LÄN</t>
        </is>
      </c>
      <c r="E7967" t="inlineStr">
        <is>
          <t>SKELLEFTEÅ</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57152-2022</t>
        </is>
      </c>
      <c r="B7968" s="1" t="n">
        <v>44895</v>
      </c>
      <c r="C7968" s="1" t="n">
        <v>45357</v>
      </c>
      <c r="D7968" t="inlineStr">
        <is>
          <t>VÄSTERBOTTENS LÄN</t>
        </is>
      </c>
      <c r="E7968" t="inlineStr">
        <is>
          <t>SKELLEFTEÅ</t>
        </is>
      </c>
      <c r="F7968" t="inlineStr">
        <is>
          <t>Holmen skog AB</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57187-2022</t>
        </is>
      </c>
      <c r="B7969" s="1" t="n">
        <v>44895</v>
      </c>
      <c r="C7969" s="1" t="n">
        <v>45357</v>
      </c>
      <c r="D7969" t="inlineStr">
        <is>
          <t>VÄSTERBOTTENS LÄN</t>
        </is>
      </c>
      <c r="E7969" t="inlineStr">
        <is>
          <t>SKELLEFTEÅ</t>
        </is>
      </c>
      <c r="G7969" t="n">
        <v>9.9</v>
      </c>
      <c r="H7969" t="n">
        <v>0</v>
      </c>
      <c r="I7969" t="n">
        <v>0</v>
      </c>
      <c r="J7969" t="n">
        <v>0</v>
      </c>
      <c r="K7969" t="n">
        <v>0</v>
      </c>
      <c r="L7969" t="n">
        <v>0</v>
      </c>
      <c r="M7969" t="n">
        <v>0</v>
      </c>
      <c r="N7969" t="n">
        <v>0</v>
      </c>
      <c r="O7969" t="n">
        <v>0</v>
      </c>
      <c r="P7969" t="n">
        <v>0</v>
      </c>
      <c r="Q7969" t="n">
        <v>0</v>
      </c>
      <c r="R7969" s="2" t="inlineStr"/>
    </row>
    <row r="7970" ht="15" customHeight="1">
      <c r="A7970" t="inlineStr">
        <is>
          <t>A 58669-2022</t>
        </is>
      </c>
      <c r="B7970" s="1" t="n">
        <v>44895</v>
      </c>
      <c r="C7970" s="1" t="n">
        <v>45357</v>
      </c>
      <c r="D7970" t="inlineStr">
        <is>
          <t>VÄSTERBOTTENS LÄN</t>
        </is>
      </c>
      <c r="E7970" t="inlineStr">
        <is>
          <t>SORSELE</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58897-2022</t>
        </is>
      </c>
      <c r="B7971" s="1" t="n">
        <v>44895</v>
      </c>
      <c r="C7971" s="1" t="n">
        <v>45357</v>
      </c>
      <c r="D7971" t="inlineStr">
        <is>
          <t>VÄSTERBOTTENS LÄN</t>
        </is>
      </c>
      <c r="E7971" t="inlineStr">
        <is>
          <t>SKELLEFTEÅ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58814-2022</t>
        </is>
      </c>
      <c r="B7972" s="1" t="n">
        <v>44895</v>
      </c>
      <c r="C7972" s="1" t="n">
        <v>45357</v>
      </c>
      <c r="D7972" t="inlineStr">
        <is>
          <t>VÄSTERBOTTENS LÄN</t>
        </is>
      </c>
      <c r="E7972" t="inlineStr">
        <is>
          <t>SKELLEFTEÅ</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58790-2022</t>
        </is>
      </c>
      <c r="B7973" s="1" t="n">
        <v>44895</v>
      </c>
      <c r="C7973" s="1" t="n">
        <v>45357</v>
      </c>
      <c r="D7973" t="inlineStr">
        <is>
          <t>VÄSTERBOTTENS LÄN</t>
        </is>
      </c>
      <c r="E7973" t="inlineStr">
        <is>
          <t>ROBERTSFORS</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57364-2022</t>
        </is>
      </c>
      <c r="B7974" s="1" t="n">
        <v>44896</v>
      </c>
      <c r="C7974" s="1" t="n">
        <v>45357</v>
      </c>
      <c r="D7974" t="inlineStr">
        <is>
          <t>VÄSTERBOTTENS LÄN</t>
        </is>
      </c>
      <c r="E7974" t="inlineStr">
        <is>
          <t>SKELLEFTEÅ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57317-2022</t>
        </is>
      </c>
      <c r="B7975" s="1" t="n">
        <v>44896</v>
      </c>
      <c r="C7975" s="1" t="n">
        <v>45357</v>
      </c>
      <c r="D7975" t="inlineStr">
        <is>
          <t>VÄSTERBOTTENS LÄN</t>
        </is>
      </c>
      <c r="E7975" t="inlineStr">
        <is>
          <t>UMEÅ</t>
        </is>
      </c>
      <c r="F7975" t="inlineStr">
        <is>
          <t>Holmen skog AB</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57334-2022</t>
        </is>
      </c>
      <c r="B7976" s="1" t="n">
        <v>44896</v>
      </c>
      <c r="C7976" s="1" t="n">
        <v>45357</v>
      </c>
      <c r="D7976" t="inlineStr">
        <is>
          <t>VÄSTERBOTTENS LÄN</t>
        </is>
      </c>
      <c r="E7976" t="inlineStr">
        <is>
          <t>BJURHOLM</t>
        </is>
      </c>
      <c r="F7976" t="inlineStr">
        <is>
          <t>Holmen skog AB</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57417-2022</t>
        </is>
      </c>
      <c r="B7977" s="1" t="n">
        <v>44896</v>
      </c>
      <c r="C7977" s="1" t="n">
        <v>45357</v>
      </c>
      <c r="D7977" t="inlineStr">
        <is>
          <t>VÄSTERBOTTENS LÄN</t>
        </is>
      </c>
      <c r="E7977" t="inlineStr">
        <is>
          <t>SKELLEFTEÅ</t>
        </is>
      </c>
      <c r="F7977" t="inlineStr">
        <is>
          <t>Holmen skog AB</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57572-2022</t>
        </is>
      </c>
      <c r="B7978" s="1" t="n">
        <v>44896</v>
      </c>
      <c r="C7978" s="1" t="n">
        <v>45357</v>
      </c>
      <c r="D7978" t="inlineStr">
        <is>
          <t>VÄSTERBOTTENS LÄN</t>
        </is>
      </c>
      <c r="E7978" t="inlineStr">
        <is>
          <t>UMEÅ</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57579-2022</t>
        </is>
      </c>
      <c r="B7979" s="1" t="n">
        <v>44896</v>
      </c>
      <c r="C7979" s="1" t="n">
        <v>45357</v>
      </c>
      <c r="D7979" t="inlineStr">
        <is>
          <t>VÄSTERBOTTENS LÄN</t>
        </is>
      </c>
      <c r="E7979" t="inlineStr">
        <is>
          <t>SKELLEFTEÅ</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57362-2022</t>
        </is>
      </c>
      <c r="B7980" s="1" t="n">
        <v>44896</v>
      </c>
      <c r="C7980" s="1" t="n">
        <v>45357</v>
      </c>
      <c r="D7980" t="inlineStr">
        <is>
          <t>VÄSTERBOTTENS LÄN</t>
        </is>
      </c>
      <c r="E7980" t="inlineStr">
        <is>
          <t>SKELLEFTEÅ</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57457-2022</t>
        </is>
      </c>
      <c r="B7981" s="1" t="n">
        <v>44896</v>
      </c>
      <c r="C7981" s="1" t="n">
        <v>45357</v>
      </c>
      <c r="D7981" t="inlineStr">
        <is>
          <t>VÄSTERBOTTENS LÄN</t>
        </is>
      </c>
      <c r="E7981" t="inlineStr">
        <is>
          <t>SKELLEFTEÅ</t>
        </is>
      </c>
      <c r="F7981" t="inlineStr">
        <is>
          <t>Holmen skog AB</t>
        </is>
      </c>
      <c r="G7981" t="n">
        <v>16.2</v>
      </c>
      <c r="H7981" t="n">
        <v>0</v>
      </c>
      <c r="I7981" t="n">
        <v>0</v>
      </c>
      <c r="J7981" t="n">
        <v>0</v>
      </c>
      <c r="K7981" t="n">
        <v>0</v>
      </c>
      <c r="L7981" t="n">
        <v>0</v>
      </c>
      <c r="M7981" t="n">
        <v>0</v>
      </c>
      <c r="N7981" t="n">
        <v>0</v>
      </c>
      <c r="O7981" t="n">
        <v>0</v>
      </c>
      <c r="P7981" t="n">
        <v>0</v>
      </c>
      <c r="Q7981" t="n">
        <v>0</v>
      </c>
      <c r="R7981" s="2" t="inlineStr"/>
    </row>
    <row r="7982" ht="15" customHeight="1">
      <c r="A7982" t="inlineStr">
        <is>
          <t>A 57556-2022</t>
        </is>
      </c>
      <c r="B7982" s="1" t="n">
        <v>44896</v>
      </c>
      <c r="C7982" s="1" t="n">
        <v>45357</v>
      </c>
      <c r="D7982" t="inlineStr">
        <is>
          <t>VÄSTERBOTTENS LÄN</t>
        </is>
      </c>
      <c r="E7982" t="inlineStr">
        <is>
          <t>UMEÅ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57569-2022</t>
        </is>
      </c>
      <c r="B7983" s="1" t="n">
        <v>44896</v>
      </c>
      <c r="C7983" s="1" t="n">
        <v>45357</v>
      </c>
      <c r="D7983" t="inlineStr">
        <is>
          <t>VÄSTERBOTTENS LÄN</t>
        </is>
      </c>
      <c r="E7983" t="inlineStr">
        <is>
          <t>SKELLEFTEÅ</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57570-2022</t>
        </is>
      </c>
      <c r="B7984" s="1" t="n">
        <v>44896</v>
      </c>
      <c r="C7984" s="1" t="n">
        <v>45357</v>
      </c>
      <c r="D7984" t="inlineStr">
        <is>
          <t>VÄSTERBOTTENS LÄN</t>
        </is>
      </c>
      <c r="E7984" t="inlineStr">
        <is>
          <t>SKELLEFTEÅ</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57577-2022</t>
        </is>
      </c>
      <c r="B7985" s="1" t="n">
        <v>44896</v>
      </c>
      <c r="C7985" s="1" t="n">
        <v>45357</v>
      </c>
      <c r="D7985" t="inlineStr">
        <is>
          <t>VÄSTERBOTTENS LÄN</t>
        </is>
      </c>
      <c r="E7985" t="inlineStr">
        <is>
          <t>SKELLEFTEÅ</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57583-2022</t>
        </is>
      </c>
      <c r="B7986" s="1" t="n">
        <v>44896</v>
      </c>
      <c r="C7986" s="1" t="n">
        <v>45357</v>
      </c>
      <c r="D7986" t="inlineStr">
        <is>
          <t>VÄSTERBOTTENS LÄN</t>
        </is>
      </c>
      <c r="E7986" t="inlineStr">
        <is>
          <t>SKELLEFTEÅ</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57590-2022</t>
        </is>
      </c>
      <c r="B7987" s="1" t="n">
        <v>44897</v>
      </c>
      <c r="C7987" s="1" t="n">
        <v>45357</v>
      </c>
      <c r="D7987" t="inlineStr">
        <is>
          <t>VÄSTERBOTTENS LÄN</t>
        </is>
      </c>
      <c r="E7987" t="inlineStr">
        <is>
          <t>NORDMALING</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57586-2022</t>
        </is>
      </c>
      <c r="B7988" s="1" t="n">
        <v>44896</v>
      </c>
      <c r="C7988" s="1" t="n">
        <v>45357</v>
      </c>
      <c r="D7988" t="inlineStr">
        <is>
          <t>VÄSTERBOTTENS LÄN</t>
        </is>
      </c>
      <c r="E7988" t="inlineStr">
        <is>
          <t>VILHELMINA</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57582-2022</t>
        </is>
      </c>
      <c r="B7989" s="1" t="n">
        <v>44896</v>
      </c>
      <c r="C7989" s="1" t="n">
        <v>45357</v>
      </c>
      <c r="D7989" t="inlineStr">
        <is>
          <t>VÄSTERBOTTENS LÄN</t>
        </is>
      </c>
      <c r="E7989" t="inlineStr">
        <is>
          <t>SKELLEFTEÅ</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57589-2022</t>
        </is>
      </c>
      <c r="B7990" s="1" t="n">
        <v>44897</v>
      </c>
      <c r="C7990" s="1" t="n">
        <v>45357</v>
      </c>
      <c r="D7990" t="inlineStr">
        <is>
          <t>VÄSTERBOTTENS LÄN</t>
        </is>
      </c>
      <c r="E7990" t="inlineStr">
        <is>
          <t>NORDMALING</t>
        </is>
      </c>
      <c r="F7990" t="inlineStr">
        <is>
          <t>SCA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57571-2022</t>
        </is>
      </c>
      <c r="B7991" s="1" t="n">
        <v>44896</v>
      </c>
      <c r="C7991" s="1" t="n">
        <v>45357</v>
      </c>
      <c r="D7991" t="inlineStr">
        <is>
          <t>VÄSTERBOTTENS LÄN</t>
        </is>
      </c>
      <c r="E7991" t="inlineStr">
        <is>
          <t>SKELLEFTEÅ</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57578-2022</t>
        </is>
      </c>
      <c r="B7992" s="1" t="n">
        <v>44896</v>
      </c>
      <c r="C7992" s="1" t="n">
        <v>45357</v>
      </c>
      <c r="D7992" t="inlineStr">
        <is>
          <t>VÄSTERBOTTENS LÄN</t>
        </is>
      </c>
      <c r="E7992" t="inlineStr">
        <is>
          <t>SKELLEFTEÅ</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57584-2022</t>
        </is>
      </c>
      <c r="B7993" s="1" t="n">
        <v>44896</v>
      </c>
      <c r="C7993" s="1" t="n">
        <v>45357</v>
      </c>
      <c r="D7993" t="inlineStr">
        <is>
          <t>VÄSTERBOTTENS LÄN</t>
        </is>
      </c>
      <c r="E7993" t="inlineStr">
        <is>
          <t>SKELLEFTEÅ</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58877-2022</t>
        </is>
      </c>
      <c r="B7994" s="1" t="n">
        <v>44896</v>
      </c>
      <c r="C7994" s="1" t="n">
        <v>45357</v>
      </c>
      <c r="D7994" t="inlineStr">
        <is>
          <t>VÄSTERBOTTENS LÄN</t>
        </is>
      </c>
      <c r="E7994" t="inlineStr">
        <is>
          <t>SKELLEFTEÅ</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58898-2022</t>
        </is>
      </c>
      <c r="B7995" s="1" t="n">
        <v>44896</v>
      </c>
      <c r="C7995" s="1" t="n">
        <v>45357</v>
      </c>
      <c r="D7995" t="inlineStr">
        <is>
          <t>VÄSTERBOTTENS LÄN</t>
        </is>
      </c>
      <c r="E7995" t="inlineStr">
        <is>
          <t>ROBERTSFORS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58915-2022</t>
        </is>
      </c>
      <c r="B7996" s="1" t="n">
        <v>44896</v>
      </c>
      <c r="C7996" s="1" t="n">
        <v>45357</v>
      </c>
      <c r="D7996" t="inlineStr">
        <is>
          <t>VÄSTERBOTTENS LÄN</t>
        </is>
      </c>
      <c r="E7996" t="inlineStr">
        <is>
          <t>LYCKSELE</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58926-2022</t>
        </is>
      </c>
      <c r="B7997" s="1" t="n">
        <v>44896</v>
      </c>
      <c r="C7997" s="1" t="n">
        <v>45357</v>
      </c>
      <c r="D7997" t="inlineStr">
        <is>
          <t>VÄSTERBOTTENS LÄN</t>
        </is>
      </c>
      <c r="E7997" t="inlineStr">
        <is>
          <t>SKELLEFTEÅ</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58938-2022</t>
        </is>
      </c>
      <c r="B7998" s="1" t="n">
        <v>44896</v>
      </c>
      <c r="C7998" s="1" t="n">
        <v>45357</v>
      </c>
      <c r="D7998" t="inlineStr">
        <is>
          <t>VÄSTERBOTTENS LÄN</t>
        </is>
      </c>
      <c r="E7998" t="inlineStr">
        <is>
          <t>VILHELMINA</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58920-2022</t>
        </is>
      </c>
      <c r="B7999" s="1" t="n">
        <v>44896</v>
      </c>
      <c r="C7999" s="1" t="n">
        <v>45357</v>
      </c>
      <c r="D7999" t="inlineStr">
        <is>
          <t>VÄSTERBOTTENS LÄN</t>
        </is>
      </c>
      <c r="E7999" t="inlineStr">
        <is>
          <t>LYCKSELE</t>
        </is>
      </c>
      <c r="G7999" t="n">
        <v>20.5</v>
      </c>
      <c r="H7999" t="n">
        <v>0</v>
      </c>
      <c r="I7999" t="n">
        <v>0</v>
      </c>
      <c r="J7999" t="n">
        <v>0</v>
      </c>
      <c r="K7999" t="n">
        <v>0</v>
      </c>
      <c r="L7999" t="n">
        <v>0</v>
      </c>
      <c r="M7999" t="n">
        <v>0</v>
      </c>
      <c r="N7999" t="n">
        <v>0</v>
      </c>
      <c r="O7999" t="n">
        <v>0</v>
      </c>
      <c r="P7999" t="n">
        <v>0</v>
      </c>
      <c r="Q7999" t="n">
        <v>0</v>
      </c>
      <c r="R7999" s="2" t="inlineStr"/>
    </row>
    <row r="8000" ht="15" customHeight="1">
      <c r="A8000" t="inlineStr">
        <is>
          <t>A 57646-2022</t>
        </is>
      </c>
      <c r="B8000" s="1" t="n">
        <v>44897</v>
      </c>
      <c r="C8000" s="1" t="n">
        <v>45357</v>
      </c>
      <c r="D8000" t="inlineStr">
        <is>
          <t>VÄSTERBOTTENS LÄN</t>
        </is>
      </c>
      <c r="E8000" t="inlineStr">
        <is>
          <t>SKELLEFTEÅ</t>
        </is>
      </c>
      <c r="F8000" t="inlineStr">
        <is>
          <t>Holmen skog AB</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57770-2022</t>
        </is>
      </c>
      <c r="B8001" s="1" t="n">
        <v>44897</v>
      </c>
      <c r="C8001" s="1" t="n">
        <v>45357</v>
      </c>
      <c r="D8001" t="inlineStr">
        <is>
          <t>VÄSTERBOTTENS LÄN</t>
        </is>
      </c>
      <c r="E8001" t="inlineStr">
        <is>
          <t>SKELLEFTEÅ</t>
        </is>
      </c>
      <c r="F8001" t="inlineStr">
        <is>
          <t>Sveaskog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57654-2022</t>
        </is>
      </c>
      <c r="B8002" s="1" t="n">
        <v>44897</v>
      </c>
      <c r="C8002" s="1" t="n">
        <v>45357</v>
      </c>
      <c r="D8002" t="inlineStr">
        <is>
          <t>VÄSTERBOTTENS LÄN</t>
        </is>
      </c>
      <c r="E8002" t="inlineStr">
        <is>
          <t>SKELLEFTEÅ</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57653-2022</t>
        </is>
      </c>
      <c r="B8003" s="1" t="n">
        <v>44897</v>
      </c>
      <c r="C8003" s="1" t="n">
        <v>45357</v>
      </c>
      <c r="D8003" t="inlineStr">
        <is>
          <t>VÄSTERBOTTENS LÄN</t>
        </is>
      </c>
      <c r="E8003" t="inlineStr">
        <is>
          <t>BJURHOLM</t>
        </is>
      </c>
      <c r="F8003" t="inlineStr">
        <is>
          <t>Holmen skog AB</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57659-2022</t>
        </is>
      </c>
      <c r="B8004" s="1" t="n">
        <v>44897</v>
      </c>
      <c r="C8004" s="1" t="n">
        <v>45357</v>
      </c>
      <c r="D8004" t="inlineStr">
        <is>
          <t>VÄSTERBOTTENS LÄN</t>
        </is>
      </c>
      <c r="E8004" t="inlineStr">
        <is>
          <t>SKELLEFTEÅ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59020-2022</t>
        </is>
      </c>
      <c r="B8005" s="1" t="n">
        <v>44897</v>
      </c>
      <c r="C8005" s="1" t="n">
        <v>45357</v>
      </c>
      <c r="D8005" t="inlineStr">
        <is>
          <t>VÄSTERBOTTENS LÄN</t>
        </is>
      </c>
      <c r="E8005" t="inlineStr">
        <is>
          <t>SKELLEFTEÅ</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59082-2022</t>
        </is>
      </c>
      <c r="B8006" s="1" t="n">
        <v>44897</v>
      </c>
      <c r="C8006" s="1" t="n">
        <v>45357</v>
      </c>
      <c r="D8006" t="inlineStr">
        <is>
          <t>VÄSTERBOTTENS LÄN</t>
        </is>
      </c>
      <c r="E8006" t="inlineStr">
        <is>
          <t>SORSELE</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57847-2022</t>
        </is>
      </c>
      <c r="B8007" s="1" t="n">
        <v>44898</v>
      </c>
      <c r="C8007" s="1" t="n">
        <v>45357</v>
      </c>
      <c r="D8007" t="inlineStr">
        <is>
          <t>VÄSTERBOTTENS LÄN</t>
        </is>
      </c>
      <c r="E8007" t="inlineStr">
        <is>
          <t>SKELLEFTEÅ</t>
        </is>
      </c>
      <c r="G8007" t="n">
        <v>6.8</v>
      </c>
      <c r="H8007" t="n">
        <v>0</v>
      </c>
      <c r="I8007" t="n">
        <v>0</v>
      </c>
      <c r="J8007" t="n">
        <v>0</v>
      </c>
      <c r="K8007" t="n">
        <v>0</v>
      </c>
      <c r="L8007" t="n">
        <v>0</v>
      </c>
      <c r="M8007" t="n">
        <v>0</v>
      </c>
      <c r="N8007" t="n">
        <v>0</v>
      </c>
      <c r="O8007" t="n">
        <v>0</v>
      </c>
      <c r="P8007" t="n">
        <v>0</v>
      </c>
      <c r="Q8007" t="n">
        <v>0</v>
      </c>
      <c r="R8007" s="2" t="inlineStr"/>
    </row>
    <row r="8008" ht="15" customHeight="1">
      <c r="A8008" t="inlineStr">
        <is>
          <t>A 59090-2022</t>
        </is>
      </c>
      <c r="B8008" s="1" t="n">
        <v>44897</v>
      </c>
      <c r="C8008" s="1" t="n">
        <v>45357</v>
      </c>
      <c r="D8008" t="inlineStr">
        <is>
          <t>VÄSTERBOTTENS LÄN</t>
        </is>
      </c>
      <c r="E8008" t="inlineStr">
        <is>
          <t>VÄNNÄS</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57849-2022</t>
        </is>
      </c>
      <c r="B8009" s="1" t="n">
        <v>44898</v>
      </c>
      <c r="C8009" s="1" t="n">
        <v>45357</v>
      </c>
      <c r="D8009" t="inlineStr">
        <is>
          <t>VÄSTERBOTTENS LÄN</t>
        </is>
      </c>
      <c r="E8009" t="inlineStr">
        <is>
          <t>SKELLEFTEÅ</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57848-2022</t>
        </is>
      </c>
      <c r="B8010" s="1" t="n">
        <v>44898</v>
      </c>
      <c r="C8010" s="1" t="n">
        <v>45357</v>
      </c>
      <c r="D8010" t="inlineStr">
        <is>
          <t>VÄSTERBOTTENS LÄN</t>
        </is>
      </c>
      <c r="E8010" t="inlineStr">
        <is>
          <t>SKELLEFTEÅ</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57851-2022</t>
        </is>
      </c>
      <c r="B8011" s="1" t="n">
        <v>44898</v>
      </c>
      <c r="C8011" s="1" t="n">
        <v>45357</v>
      </c>
      <c r="D8011" t="inlineStr">
        <is>
          <t>VÄSTERBOTTENS LÄN</t>
        </is>
      </c>
      <c r="E8011" t="inlineStr">
        <is>
          <t>SKELLEFTEÅ</t>
        </is>
      </c>
      <c r="F8011" t="inlineStr">
        <is>
          <t>Holmen skog AB</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57883-2022</t>
        </is>
      </c>
      <c r="B8012" s="1" t="n">
        <v>44899</v>
      </c>
      <c r="C8012" s="1" t="n">
        <v>45357</v>
      </c>
      <c r="D8012" t="inlineStr">
        <is>
          <t>VÄSTERBOTTENS LÄN</t>
        </is>
      </c>
      <c r="E8012" t="inlineStr">
        <is>
          <t>BJURHOLM</t>
        </is>
      </c>
      <c r="F8012" t="inlineStr">
        <is>
          <t>SCA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57908-2022</t>
        </is>
      </c>
      <c r="B8013" s="1" t="n">
        <v>44900</v>
      </c>
      <c r="C8013" s="1" t="n">
        <v>45357</v>
      </c>
      <c r="D8013" t="inlineStr">
        <is>
          <t>VÄSTERBOTTENS LÄN</t>
        </is>
      </c>
      <c r="E8013" t="inlineStr">
        <is>
          <t>SKELLEFTEÅ</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57914-2022</t>
        </is>
      </c>
      <c r="B8014" s="1" t="n">
        <v>44900</v>
      </c>
      <c r="C8014" s="1" t="n">
        <v>45357</v>
      </c>
      <c r="D8014" t="inlineStr">
        <is>
          <t>VÄSTERBOTTENS LÄN</t>
        </is>
      </c>
      <c r="E8014" t="inlineStr">
        <is>
          <t>UMEÅ</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57968-2022</t>
        </is>
      </c>
      <c r="B8015" s="1" t="n">
        <v>44900</v>
      </c>
      <c r="C8015" s="1" t="n">
        <v>45357</v>
      </c>
      <c r="D8015" t="inlineStr">
        <is>
          <t>VÄSTERBOTTENS LÄN</t>
        </is>
      </c>
      <c r="E8015" t="inlineStr">
        <is>
          <t>UMEÅ</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58053-2022</t>
        </is>
      </c>
      <c r="B8016" s="1" t="n">
        <v>44900</v>
      </c>
      <c r="C8016" s="1" t="n">
        <v>45357</v>
      </c>
      <c r="D8016" t="inlineStr">
        <is>
          <t>VÄSTERBOTTENS LÄN</t>
        </is>
      </c>
      <c r="E8016" t="inlineStr">
        <is>
          <t>SKELLEFTEÅ</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57899-2022</t>
        </is>
      </c>
      <c r="B8017" s="1" t="n">
        <v>44900</v>
      </c>
      <c r="C8017" s="1" t="n">
        <v>45357</v>
      </c>
      <c r="D8017" t="inlineStr">
        <is>
          <t>VÄSTERBOTTENS LÄN</t>
        </is>
      </c>
      <c r="E8017" t="inlineStr">
        <is>
          <t>SKELLEFTEÅ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58047-2022</t>
        </is>
      </c>
      <c r="B8018" s="1" t="n">
        <v>44900</v>
      </c>
      <c r="C8018" s="1" t="n">
        <v>45357</v>
      </c>
      <c r="D8018" t="inlineStr">
        <is>
          <t>VÄSTERBOTTENS LÄN</t>
        </is>
      </c>
      <c r="E8018" t="inlineStr">
        <is>
          <t>NORSJÖ</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58073-2022</t>
        </is>
      </c>
      <c r="B8019" s="1" t="n">
        <v>44900</v>
      </c>
      <c r="C8019" s="1" t="n">
        <v>45357</v>
      </c>
      <c r="D8019" t="inlineStr">
        <is>
          <t>VÄSTERBOTTENS LÄN</t>
        </is>
      </c>
      <c r="E8019" t="inlineStr">
        <is>
          <t>ROBERTSFORS</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58012-2022</t>
        </is>
      </c>
      <c r="B8020" s="1" t="n">
        <v>44900</v>
      </c>
      <c r="C8020" s="1" t="n">
        <v>45357</v>
      </c>
      <c r="D8020" t="inlineStr">
        <is>
          <t>VÄSTERBOTTENS LÄN</t>
        </is>
      </c>
      <c r="E8020" t="inlineStr">
        <is>
          <t>NORDMALING</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58132-2022</t>
        </is>
      </c>
      <c r="B8021" s="1" t="n">
        <v>44900</v>
      </c>
      <c r="C8021" s="1" t="n">
        <v>45357</v>
      </c>
      <c r="D8021" t="inlineStr">
        <is>
          <t>VÄSTERBOTTENS LÄN</t>
        </is>
      </c>
      <c r="E8021" t="inlineStr">
        <is>
          <t>UMEÅ</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58192-2022</t>
        </is>
      </c>
      <c r="B8022" s="1" t="n">
        <v>44900</v>
      </c>
      <c r="C8022" s="1" t="n">
        <v>45357</v>
      </c>
      <c r="D8022" t="inlineStr">
        <is>
          <t>VÄSTERBOTTENS LÄN</t>
        </is>
      </c>
      <c r="E8022" t="inlineStr">
        <is>
          <t>BJURHOLM</t>
        </is>
      </c>
      <c r="G8022" t="n">
        <v>9.800000000000001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59554-2022</t>
        </is>
      </c>
      <c r="B8023" s="1" t="n">
        <v>44900</v>
      </c>
      <c r="C8023" s="1" t="n">
        <v>45357</v>
      </c>
      <c r="D8023" t="inlineStr">
        <is>
          <t>VÄSTERBOTTENS LÄN</t>
        </is>
      </c>
      <c r="E8023" t="inlineStr">
        <is>
          <t>LYCKSELE</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59566-2022</t>
        </is>
      </c>
      <c r="B8024" s="1" t="n">
        <v>44900</v>
      </c>
      <c r="C8024" s="1" t="n">
        <v>45357</v>
      </c>
      <c r="D8024" t="inlineStr">
        <is>
          <t>VÄSTERBOTTENS LÄN</t>
        </is>
      </c>
      <c r="E8024" t="inlineStr">
        <is>
          <t>LYCKSELE</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58168-2022</t>
        </is>
      </c>
      <c r="B8025" s="1" t="n">
        <v>44900</v>
      </c>
      <c r="C8025" s="1" t="n">
        <v>45357</v>
      </c>
      <c r="D8025" t="inlineStr">
        <is>
          <t>VÄSTERBOTTENS LÄN</t>
        </is>
      </c>
      <c r="E8025" t="inlineStr">
        <is>
          <t>DOROTEA</t>
        </is>
      </c>
      <c r="F8025" t="inlineStr">
        <is>
          <t>SCA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58196-2022</t>
        </is>
      </c>
      <c r="B8026" s="1" t="n">
        <v>44900</v>
      </c>
      <c r="C8026" s="1" t="n">
        <v>45357</v>
      </c>
      <c r="D8026" t="inlineStr">
        <is>
          <t>VÄSTERBOTTENS LÄN</t>
        </is>
      </c>
      <c r="E8026" t="inlineStr">
        <is>
          <t>UMEÅ</t>
        </is>
      </c>
      <c r="F8026" t="inlineStr">
        <is>
          <t>Holmen skog AB</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58063-2022</t>
        </is>
      </c>
      <c r="B8027" s="1" t="n">
        <v>44900</v>
      </c>
      <c r="C8027" s="1" t="n">
        <v>45357</v>
      </c>
      <c r="D8027" t="inlineStr">
        <is>
          <t>VÄSTERBOTTENS LÄN</t>
        </is>
      </c>
      <c r="E8027" t="inlineStr">
        <is>
          <t>SKELLEFTEÅ</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58167-2022</t>
        </is>
      </c>
      <c r="B8028" s="1" t="n">
        <v>44900</v>
      </c>
      <c r="C8028" s="1" t="n">
        <v>45357</v>
      </c>
      <c r="D8028" t="inlineStr">
        <is>
          <t>VÄSTERBOTTENS LÄN</t>
        </is>
      </c>
      <c r="E8028" t="inlineStr">
        <is>
          <t>NORDMALING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59558-2022</t>
        </is>
      </c>
      <c r="B8029" s="1" t="n">
        <v>44900</v>
      </c>
      <c r="C8029" s="1" t="n">
        <v>45357</v>
      </c>
      <c r="D8029" t="inlineStr">
        <is>
          <t>VÄSTERBOTTENS LÄN</t>
        </is>
      </c>
      <c r="E8029" t="inlineStr">
        <is>
          <t>SORSELE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59555-2022</t>
        </is>
      </c>
      <c r="B8030" s="1" t="n">
        <v>44900</v>
      </c>
      <c r="C8030" s="1" t="n">
        <v>45357</v>
      </c>
      <c r="D8030" t="inlineStr">
        <is>
          <t>VÄSTERBOTTENS LÄN</t>
        </is>
      </c>
      <c r="E8030" t="inlineStr">
        <is>
          <t>SORSELE</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59568-2022</t>
        </is>
      </c>
      <c r="B8031" s="1" t="n">
        <v>44900</v>
      </c>
      <c r="C8031" s="1" t="n">
        <v>45357</v>
      </c>
      <c r="D8031" t="inlineStr">
        <is>
          <t>VÄSTERBOTTENS LÄN</t>
        </is>
      </c>
      <c r="E8031" t="inlineStr">
        <is>
          <t>SORSELE</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59754-2022</t>
        </is>
      </c>
      <c r="B8032" s="1" t="n">
        <v>44900</v>
      </c>
      <c r="C8032" s="1" t="n">
        <v>45357</v>
      </c>
      <c r="D8032" t="inlineStr">
        <is>
          <t>VÄSTERBOTTENS LÄN</t>
        </is>
      </c>
      <c r="E8032" t="inlineStr">
        <is>
          <t>SKELLEFTEÅ</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59559-2022</t>
        </is>
      </c>
      <c r="B8033" s="1" t="n">
        <v>44900</v>
      </c>
      <c r="C8033" s="1" t="n">
        <v>45357</v>
      </c>
      <c r="D8033" t="inlineStr">
        <is>
          <t>VÄSTERBOTTENS LÄN</t>
        </is>
      </c>
      <c r="E8033" t="inlineStr">
        <is>
          <t>LYCKSELE</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58298-2022</t>
        </is>
      </c>
      <c r="B8034" s="1" t="n">
        <v>44901</v>
      </c>
      <c r="C8034" s="1" t="n">
        <v>45357</v>
      </c>
      <c r="D8034" t="inlineStr">
        <is>
          <t>VÄSTERBOTTENS LÄN</t>
        </is>
      </c>
      <c r="E8034" t="inlineStr">
        <is>
          <t>SKELLEFTEÅ</t>
        </is>
      </c>
      <c r="F8034" t="inlineStr">
        <is>
          <t>Sveaskog</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58325-2022</t>
        </is>
      </c>
      <c r="B8035" s="1" t="n">
        <v>44901</v>
      </c>
      <c r="C8035" s="1" t="n">
        <v>45357</v>
      </c>
      <c r="D8035" t="inlineStr">
        <is>
          <t>VÄSTERBOTTENS LÄN</t>
        </is>
      </c>
      <c r="E8035" t="inlineStr">
        <is>
          <t>SKELLEFTEÅ</t>
        </is>
      </c>
      <c r="F8035" t="inlineStr">
        <is>
          <t>Sveaskog</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58376-2022</t>
        </is>
      </c>
      <c r="B8036" s="1" t="n">
        <v>44901</v>
      </c>
      <c r="C8036" s="1" t="n">
        <v>45357</v>
      </c>
      <c r="D8036" t="inlineStr">
        <is>
          <t>VÄSTERBOTTENS LÄN</t>
        </is>
      </c>
      <c r="E8036" t="inlineStr">
        <is>
          <t>SKELLEFTEÅ</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58420-2022</t>
        </is>
      </c>
      <c r="B8037" s="1" t="n">
        <v>44901</v>
      </c>
      <c r="C8037" s="1" t="n">
        <v>45357</v>
      </c>
      <c r="D8037" t="inlineStr">
        <is>
          <t>VÄSTERBOTTENS LÄN</t>
        </is>
      </c>
      <c r="E8037" t="inlineStr">
        <is>
          <t>BJURHOLM</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58429-2022</t>
        </is>
      </c>
      <c r="B8038" s="1" t="n">
        <v>44901</v>
      </c>
      <c r="C8038" s="1" t="n">
        <v>45357</v>
      </c>
      <c r="D8038" t="inlineStr">
        <is>
          <t>VÄSTERBOTTENS LÄN</t>
        </is>
      </c>
      <c r="E8038" t="inlineStr">
        <is>
          <t>SKELLEFTEÅ</t>
        </is>
      </c>
      <c r="F8038" t="inlineStr">
        <is>
          <t>SCA</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58304-2022</t>
        </is>
      </c>
      <c r="B8039" s="1" t="n">
        <v>44901</v>
      </c>
      <c r="C8039" s="1" t="n">
        <v>45357</v>
      </c>
      <c r="D8039" t="inlineStr">
        <is>
          <t>VÄSTERBOTTENS LÄN</t>
        </is>
      </c>
      <c r="E8039" t="inlineStr">
        <is>
          <t>SKELLEFTEÅ</t>
        </is>
      </c>
      <c r="F8039" t="inlineStr">
        <is>
          <t>Sveaskog</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58197-2022</t>
        </is>
      </c>
      <c r="B8040" s="1" t="n">
        <v>44901</v>
      </c>
      <c r="C8040" s="1" t="n">
        <v>45357</v>
      </c>
      <c r="D8040" t="inlineStr">
        <is>
          <t>VÄSTERBOTTENS LÄN</t>
        </is>
      </c>
      <c r="E8040" t="inlineStr">
        <is>
          <t>SKELLEFTEÅ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58207-2022</t>
        </is>
      </c>
      <c r="B8041" s="1" t="n">
        <v>44901</v>
      </c>
      <c r="C8041" s="1" t="n">
        <v>45357</v>
      </c>
      <c r="D8041" t="inlineStr">
        <is>
          <t>VÄSTERBOTTENS LÄN</t>
        </is>
      </c>
      <c r="E8041" t="inlineStr">
        <is>
          <t>VILHELMINA</t>
        </is>
      </c>
      <c r="G8041" t="n">
        <v>143.2</v>
      </c>
      <c r="H8041" t="n">
        <v>0</v>
      </c>
      <c r="I8041" t="n">
        <v>0</v>
      </c>
      <c r="J8041" t="n">
        <v>0</v>
      </c>
      <c r="K8041" t="n">
        <v>0</v>
      </c>
      <c r="L8041" t="n">
        <v>0</v>
      </c>
      <c r="M8041" t="n">
        <v>0</v>
      </c>
      <c r="N8041" t="n">
        <v>0</v>
      </c>
      <c r="O8041" t="n">
        <v>0</v>
      </c>
      <c r="P8041" t="n">
        <v>0</v>
      </c>
      <c r="Q8041" t="n">
        <v>0</v>
      </c>
      <c r="R8041" s="2" t="inlineStr"/>
    </row>
    <row r="8042" ht="15" customHeight="1">
      <c r="A8042" t="inlineStr">
        <is>
          <t>A 58295-2022</t>
        </is>
      </c>
      <c r="B8042" s="1" t="n">
        <v>44901</v>
      </c>
      <c r="C8042" s="1" t="n">
        <v>45357</v>
      </c>
      <c r="D8042" t="inlineStr">
        <is>
          <t>VÄSTERBOTTENS LÄN</t>
        </is>
      </c>
      <c r="E8042" t="inlineStr">
        <is>
          <t>SKELLEFTEÅ</t>
        </is>
      </c>
      <c r="F8042" t="inlineStr">
        <is>
          <t>Sveaskog</t>
        </is>
      </c>
      <c r="G8042" t="n">
        <v>18.3</v>
      </c>
      <c r="H8042" t="n">
        <v>0</v>
      </c>
      <c r="I8042" t="n">
        <v>0</v>
      </c>
      <c r="J8042" t="n">
        <v>0</v>
      </c>
      <c r="K8042" t="n">
        <v>0</v>
      </c>
      <c r="L8042" t="n">
        <v>0</v>
      </c>
      <c r="M8042" t="n">
        <v>0</v>
      </c>
      <c r="N8042" t="n">
        <v>0</v>
      </c>
      <c r="O8042" t="n">
        <v>0</v>
      </c>
      <c r="P8042" t="n">
        <v>0</v>
      </c>
      <c r="Q8042" t="n">
        <v>0</v>
      </c>
      <c r="R8042" s="2" t="inlineStr"/>
    </row>
    <row r="8043" ht="15" customHeight="1">
      <c r="A8043" t="inlineStr">
        <is>
          <t>A 58426-2022</t>
        </is>
      </c>
      <c r="B8043" s="1" t="n">
        <v>44901</v>
      </c>
      <c r="C8043" s="1" t="n">
        <v>45357</v>
      </c>
      <c r="D8043" t="inlineStr">
        <is>
          <t>VÄSTERBOTTENS LÄN</t>
        </is>
      </c>
      <c r="E8043" t="inlineStr">
        <is>
          <t>ROBERTSFORS</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58439-2022</t>
        </is>
      </c>
      <c r="B8044" s="1" t="n">
        <v>44901</v>
      </c>
      <c r="C8044" s="1" t="n">
        <v>45357</v>
      </c>
      <c r="D8044" t="inlineStr">
        <is>
          <t>VÄSTERBOTTENS LÄN</t>
        </is>
      </c>
      <c r="E8044" t="inlineStr">
        <is>
          <t>LYCKSELE</t>
        </is>
      </c>
      <c r="F8044" t="inlineStr">
        <is>
          <t>SCA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58349-2022</t>
        </is>
      </c>
      <c r="B8045" s="1" t="n">
        <v>44901</v>
      </c>
      <c r="C8045" s="1" t="n">
        <v>45357</v>
      </c>
      <c r="D8045" t="inlineStr">
        <is>
          <t>VÄSTERBOTTENS LÄN</t>
        </is>
      </c>
      <c r="E8045" t="inlineStr">
        <is>
          <t>SKELLEFTEÅ</t>
        </is>
      </c>
      <c r="G8045" t="n">
        <v>5.9</v>
      </c>
      <c r="H8045" t="n">
        <v>0</v>
      </c>
      <c r="I8045" t="n">
        <v>0</v>
      </c>
      <c r="J8045" t="n">
        <v>0</v>
      </c>
      <c r="K8045" t="n">
        <v>0</v>
      </c>
      <c r="L8045" t="n">
        <v>0</v>
      </c>
      <c r="M8045" t="n">
        <v>0</v>
      </c>
      <c r="N8045" t="n">
        <v>0</v>
      </c>
      <c r="O8045" t="n">
        <v>0</v>
      </c>
      <c r="P8045" t="n">
        <v>0</v>
      </c>
      <c r="Q8045" t="n">
        <v>0</v>
      </c>
      <c r="R8045" s="2" t="inlineStr"/>
    </row>
    <row r="8046" ht="15" customHeight="1">
      <c r="A8046" t="inlineStr">
        <is>
          <t>A 58440-2022</t>
        </is>
      </c>
      <c r="B8046" s="1" t="n">
        <v>44901</v>
      </c>
      <c r="C8046" s="1" t="n">
        <v>45357</v>
      </c>
      <c r="D8046" t="inlineStr">
        <is>
          <t>VÄSTERBOTTENS LÄN</t>
        </is>
      </c>
      <c r="E8046" t="inlineStr">
        <is>
          <t>LYCKSELE</t>
        </is>
      </c>
      <c r="F8046" t="inlineStr">
        <is>
          <t>SCA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59877-2022</t>
        </is>
      </c>
      <c r="B8047" s="1" t="n">
        <v>44901</v>
      </c>
      <c r="C8047" s="1" t="n">
        <v>45357</v>
      </c>
      <c r="D8047" t="inlineStr">
        <is>
          <t>VÄSTERBOTTENS LÄN</t>
        </is>
      </c>
      <c r="E8047" t="inlineStr">
        <is>
          <t>ROBERTSFORS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59833-2022</t>
        </is>
      </c>
      <c r="B8048" s="1" t="n">
        <v>44901</v>
      </c>
      <c r="C8048" s="1" t="n">
        <v>45357</v>
      </c>
      <c r="D8048" t="inlineStr">
        <is>
          <t>VÄSTERBOTTENS LÄN</t>
        </is>
      </c>
      <c r="E8048" t="inlineStr">
        <is>
          <t>ROBERTSFORS</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59967-2022</t>
        </is>
      </c>
      <c r="B8049" s="1" t="n">
        <v>44901</v>
      </c>
      <c r="C8049" s="1" t="n">
        <v>45357</v>
      </c>
      <c r="D8049" t="inlineStr">
        <is>
          <t>VÄSTERBOTTENS LÄN</t>
        </is>
      </c>
      <c r="E8049" t="inlineStr">
        <is>
          <t>ROBERTSFORS</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58464-2022</t>
        </is>
      </c>
      <c r="B8050" s="1" t="n">
        <v>44902</v>
      </c>
      <c r="C8050" s="1" t="n">
        <v>45357</v>
      </c>
      <c r="D8050" t="inlineStr">
        <is>
          <t>VÄSTERBOTTENS LÄN</t>
        </is>
      </c>
      <c r="E8050" t="inlineStr">
        <is>
          <t>SKELLEFTEÅ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58579-2022</t>
        </is>
      </c>
      <c r="B8051" s="1" t="n">
        <v>44902</v>
      </c>
      <c r="C8051" s="1" t="n">
        <v>45357</v>
      </c>
      <c r="D8051" t="inlineStr">
        <is>
          <t>VÄSTERBOTTENS LÄN</t>
        </is>
      </c>
      <c r="E8051" t="inlineStr">
        <is>
          <t>VINDELN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58566-2022</t>
        </is>
      </c>
      <c r="B8052" s="1" t="n">
        <v>44902</v>
      </c>
      <c r="C8052" s="1" t="n">
        <v>45357</v>
      </c>
      <c r="D8052" t="inlineStr">
        <is>
          <t>VÄSTERBOTTENS LÄN</t>
        </is>
      </c>
      <c r="E8052" t="inlineStr">
        <is>
          <t>VINDELN</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58613-2022</t>
        </is>
      </c>
      <c r="B8053" s="1" t="n">
        <v>44902</v>
      </c>
      <c r="C8053" s="1" t="n">
        <v>45357</v>
      </c>
      <c r="D8053" t="inlineStr">
        <is>
          <t>VÄSTERBOTTENS LÄN</t>
        </is>
      </c>
      <c r="E8053" t="inlineStr">
        <is>
          <t>NORDMALING</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58572-2022</t>
        </is>
      </c>
      <c r="B8054" s="1" t="n">
        <v>44902</v>
      </c>
      <c r="C8054" s="1" t="n">
        <v>45357</v>
      </c>
      <c r="D8054" t="inlineStr">
        <is>
          <t>VÄSTERBOTTENS LÄN</t>
        </is>
      </c>
      <c r="E8054" t="inlineStr">
        <is>
          <t>SKELLEFTEÅ</t>
        </is>
      </c>
      <c r="F8054" t="inlineStr">
        <is>
          <t>Sveaskog</t>
        </is>
      </c>
      <c r="G8054" t="n">
        <v>14.7</v>
      </c>
      <c r="H8054" t="n">
        <v>0</v>
      </c>
      <c r="I8054" t="n">
        <v>0</v>
      </c>
      <c r="J8054" t="n">
        <v>0</v>
      </c>
      <c r="K8054" t="n">
        <v>0</v>
      </c>
      <c r="L8054" t="n">
        <v>0</v>
      </c>
      <c r="M8054" t="n">
        <v>0</v>
      </c>
      <c r="N8054" t="n">
        <v>0</v>
      </c>
      <c r="O8054" t="n">
        <v>0</v>
      </c>
      <c r="P8054" t="n">
        <v>0</v>
      </c>
      <c r="Q8054" t="n">
        <v>0</v>
      </c>
      <c r="R8054" s="2" t="inlineStr"/>
    </row>
    <row r="8055" ht="15" customHeight="1">
      <c r="A8055" t="inlineStr">
        <is>
          <t>A 58581-2022</t>
        </is>
      </c>
      <c r="B8055" s="1" t="n">
        <v>44902</v>
      </c>
      <c r="C8055" s="1" t="n">
        <v>45357</v>
      </c>
      <c r="D8055" t="inlineStr">
        <is>
          <t>VÄSTERBOTTENS LÄN</t>
        </is>
      </c>
      <c r="E8055" t="inlineStr">
        <is>
          <t>VINDELN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58594-2022</t>
        </is>
      </c>
      <c r="B8056" s="1" t="n">
        <v>44902</v>
      </c>
      <c r="C8056" s="1" t="n">
        <v>45357</v>
      </c>
      <c r="D8056" t="inlineStr">
        <is>
          <t>VÄSTERBOTTENS LÄN</t>
        </is>
      </c>
      <c r="E8056" t="inlineStr">
        <is>
          <t>LYCKSELE</t>
        </is>
      </c>
      <c r="F8056" t="inlineStr">
        <is>
          <t>Sveaskog</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58696-2022</t>
        </is>
      </c>
      <c r="B8057" s="1" t="n">
        <v>44902</v>
      </c>
      <c r="C8057" s="1" t="n">
        <v>45357</v>
      </c>
      <c r="D8057" t="inlineStr">
        <is>
          <t>VÄSTERBOTTENS LÄN</t>
        </is>
      </c>
      <c r="E8057" t="inlineStr">
        <is>
          <t>VINDELN</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58676-2022</t>
        </is>
      </c>
      <c r="B8058" s="1" t="n">
        <v>44902</v>
      </c>
      <c r="C8058" s="1" t="n">
        <v>45357</v>
      </c>
      <c r="D8058" t="inlineStr">
        <is>
          <t>VÄSTERBOTTENS LÄN</t>
        </is>
      </c>
      <c r="E8058" t="inlineStr">
        <is>
          <t>SKELLEFTEÅ</t>
        </is>
      </c>
      <c r="F8058" t="inlineStr">
        <is>
          <t>Sveaskog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58605-2022</t>
        </is>
      </c>
      <c r="B8059" s="1" t="n">
        <v>44902</v>
      </c>
      <c r="C8059" s="1" t="n">
        <v>45357</v>
      </c>
      <c r="D8059" t="inlineStr">
        <is>
          <t>VÄSTERBOTTENS LÄN</t>
        </is>
      </c>
      <c r="E8059" t="inlineStr">
        <is>
          <t>UMEÅ</t>
        </is>
      </c>
      <c r="F8059" t="inlineStr">
        <is>
          <t>Holmen skog AB</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58699-2022</t>
        </is>
      </c>
      <c r="B8060" s="1" t="n">
        <v>44902</v>
      </c>
      <c r="C8060" s="1" t="n">
        <v>45357</v>
      </c>
      <c r="D8060" t="inlineStr">
        <is>
          <t>VÄSTERBOTTENS LÄN</t>
        </is>
      </c>
      <c r="E8060" t="inlineStr">
        <is>
          <t>VINDELN</t>
        </is>
      </c>
      <c r="G8060" t="n">
        <v>14.2</v>
      </c>
      <c r="H8060" t="n">
        <v>0</v>
      </c>
      <c r="I8060" t="n">
        <v>0</v>
      </c>
      <c r="J8060" t="n">
        <v>0</v>
      </c>
      <c r="K8060" t="n">
        <v>0</v>
      </c>
      <c r="L8060" t="n">
        <v>0</v>
      </c>
      <c r="M8060" t="n">
        <v>0</v>
      </c>
      <c r="N8060" t="n">
        <v>0</v>
      </c>
      <c r="O8060" t="n">
        <v>0</v>
      </c>
      <c r="P8060" t="n">
        <v>0</v>
      </c>
      <c r="Q8060" t="n">
        <v>0</v>
      </c>
      <c r="R8060" s="2" t="inlineStr"/>
    </row>
    <row r="8061" ht="15" customHeight="1">
      <c r="A8061" t="inlineStr">
        <is>
          <t>A 58719-2022</t>
        </is>
      </c>
      <c r="B8061" s="1" t="n">
        <v>44902</v>
      </c>
      <c r="C8061" s="1" t="n">
        <v>45357</v>
      </c>
      <c r="D8061" t="inlineStr">
        <is>
          <t>VÄSTERBOTTENS LÄN</t>
        </is>
      </c>
      <c r="E8061" t="inlineStr">
        <is>
          <t>DOROTEA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59995-2022</t>
        </is>
      </c>
      <c r="B8062" s="1" t="n">
        <v>44902</v>
      </c>
      <c r="C8062" s="1" t="n">
        <v>45357</v>
      </c>
      <c r="D8062" t="inlineStr">
        <is>
          <t>VÄSTERBOTTENS LÄN</t>
        </is>
      </c>
      <c r="E8062" t="inlineStr">
        <is>
          <t>VINDELN</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60012-2022</t>
        </is>
      </c>
      <c r="B8063" s="1" t="n">
        <v>44902</v>
      </c>
      <c r="C8063" s="1" t="n">
        <v>45357</v>
      </c>
      <c r="D8063" t="inlineStr">
        <is>
          <t>VÄSTERBOTTENS LÄN</t>
        </is>
      </c>
      <c r="E8063" t="inlineStr">
        <is>
          <t>VINDELN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58700-2022</t>
        </is>
      </c>
      <c r="B8064" s="1" t="n">
        <v>44902</v>
      </c>
      <c r="C8064" s="1" t="n">
        <v>45357</v>
      </c>
      <c r="D8064" t="inlineStr">
        <is>
          <t>VÄSTERBOTTENS LÄN</t>
        </is>
      </c>
      <c r="E8064" t="inlineStr">
        <is>
          <t>VINDELN</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58715-2022</t>
        </is>
      </c>
      <c r="B8065" s="1" t="n">
        <v>44902</v>
      </c>
      <c r="C8065" s="1" t="n">
        <v>45357</v>
      </c>
      <c r="D8065" t="inlineStr">
        <is>
          <t>VÄSTERBOTTENS LÄN</t>
        </is>
      </c>
      <c r="E8065" t="inlineStr">
        <is>
          <t>ROBERTSFORS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58720-2022</t>
        </is>
      </c>
      <c r="B8066" s="1" t="n">
        <v>44902</v>
      </c>
      <c r="C8066" s="1" t="n">
        <v>45357</v>
      </c>
      <c r="D8066" t="inlineStr">
        <is>
          <t>VÄSTERBOTTENS LÄN</t>
        </is>
      </c>
      <c r="E8066" t="inlineStr">
        <is>
          <t>VILHELMINA</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58739-2022</t>
        </is>
      </c>
      <c r="B8067" s="1" t="n">
        <v>44902</v>
      </c>
      <c r="C8067" s="1" t="n">
        <v>45357</v>
      </c>
      <c r="D8067" t="inlineStr">
        <is>
          <t>VÄSTERBOTTENS LÄN</t>
        </is>
      </c>
      <c r="E8067" t="inlineStr">
        <is>
          <t>VILHELMINA</t>
        </is>
      </c>
      <c r="F8067" t="inlineStr">
        <is>
          <t>SCA</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60020-2022</t>
        </is>
      </c>
      <c r="B8068" s="1" t="n">
        <v>44902</v>
      </c>
      <c r="C8068" s="1" t="n">
        <v>45357</v>
      </c>
      <c r="D8068" t="inlineStr">
        <is>
          <t>VÄSTERBOTTENS LÄN</t>
        </is>
      </c>
      <c r="E8068" t="inlineStr">
        <is>
          <t>VINDELN</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58610-2022</t>
        </is>
      </c>
      <c r="B8069" s="1" t="n">
        <v>44902</v>
      </c>
      <c r="C8069" s="1" t="n">
        <v>45357</v>
      </c>
      <c r="D8069" t="inlineStr">
        <is>
          <t>VÄSTERBOTTENS LÄN</t>
        </is>
      </c>
      <c r="E8069" t="inlineStr">
        <is>
          <t>VINDELN</t>
        </is>
      </c>
      <c r="F8069" t="inlineStr">
        <is>
          <t>Sveaskog</t>
        </is>
      </c>
      <c r="G8069" t="n">
        <v>9</v>
      </c>
      <c r="H8069" t="n">
        <v>0</v>
      </c>
      <c r="I8069" t="n">
        <v>0</v>
      </c>
      <c r="J8069" t="n">
        <v>0</v>
      </c>
      <c r="K8069" t="n">
        <v>0</v>
      </c>
      <c r="L8069" t="n">
        <v>0</v>
      </c>
      <c r="M8069" t="n">
        <v>0</v>
      </c>
      <c r="N8069" t="n">
        <v>0</v>
      </c>
      <c r="O8069" t="n">
        <v>0</v>
      </c>
      <c r="P8069" t="n">
        <v>0</v>
      </c>
      <c r="Q8069" t="n">
        <v>0</v>
      </c>
      <c r="R8069" s="2" t="inlineStr"/>
    </row>
    <row r="8070" ht="15" customHeight="1">
      <c r="A8070" t="inlineStr">
        <is>
          <t>A 58722-2022</t>
        </is>
      </c>
      <c r="B8070" s="1" t="n">
        <v>44902</v>
      </c>
      <c r="C8070" s="1" t="n">
        <v>45357</v>
      </c>
      <c r="D8070" t="inlineStr">
        <is>
          <t>VÄSTERBOTTENS LÄN</t>
        </is>
      </c>
      <c r="E8070" t="inlineStr">
        <is>
          <t>UMEÅ</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58803-2022</t>
        </is>
      </c>
      <c r="B8071" s="1" t="n">
        <v>44903</v>
      </c>
      <c r="C8071" s="1" t="n">
        <v>45357</v>
      </c>
      <c r="D8071" t="inlineStr">
        <is>
          <t>VÄSTERBOTTENS LÄN</t>
        </is>
      </c>
      <c r="E8071" t="inlineStr">
        <is>
          <t>SKELLEFTEÅ</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58872-2022</t>
        </is>
      </c>
      <c r="B8072" s="1" t="n">
        <v>44903</v>
      </c>
      <c r="C8072" s="1" t="n">
        <v>45357</v>
      </c>
      <c r="D8072" t="inlineStr">
        <is>
          <t>VÄSTERBOTTENS LÄN</t>
        </is>
      </c>
      <c r="E8072" t="inlineStr">
        <is>
          <t>LYCKSELE</t>
        </is>
      </c>
      <c r="F8072" t="inlineStr">
        <is>
          <t>Sveaskog</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58961-2022</t>
        </is>
      </c>
      <c r="B8073" s="1" t="n">
        <v>44903</v>
      </c>
      <c r="C8073" s="1" t="n">
        <v>45357</v>
      </c>
      <c r="D8073" t="inlineStr">
        <is>
          <t>VÄSTERBOTTENS LÄN</t>
        </is>
      </c>
      <c r="E8073" t="inlineStr">
        <is>
          <t>LYCKSELE</t>
        </is>
      </c>
      <c r="F8073" t="inlineStr">
        <is>
          <t>Holmen skog AB</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58975-2022</t>
        </is>
      </c>
      <c r="B8074" s="1" t="n">
        <v>44903</v>
      </c>
      <c r="C8074" s="1" t="n">
        <v>45357</v>
      </c>
      <c r="D8074" t="inlineStr">
        <is>
          <t>VÄSTERBOTTENS LÄN</t>
        </is>
      </c>
      <c r="E8074" t="inlineStr">
        <is>
          <t>LYCKSELE</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58854-2022</t>
        </is>
      </c>
      <c r="B8075" s="1" t="n">
        <v>44903</v>
      </c>
      <c r="C8075" s="1" t="n">
        <v>45357</v>
      </c>
      <c r="D8075" t="inlineStr">
        <is>
          <t>VÄSTERBOTTENS LÄN</t>
        </is>
      </c>
      <c r="E8075" t="inlineStr">
        <is>
          <t>LYCKSELE</t>
        </is>
      </c>
      <c r="F8075" t="inlineStr">
        <is>
          <t>Sveaskog</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59030-2022</t>
        </is>
      </c>
      <c r="B8076" s="1" t="n">
        <v>44903</v>
      </c>
      <c r="C8076" s="1" t="n">
        <v>45357</v>
      </c>
      <c r="D8076" t="inlineStr">
        <is>
          <t>VÄSTERBOTTENS LÄN</t>
        </is>
      </c>
      <c r="E8076" t="inlineStr">
        <is>
          <t>VILHELMINA</t>
        </is>
      </c>
      <c r="G8076" t="n">
        <v>17.8</v>
      </c>
      <c r="H8076" t="n">
        <v>0</v>
      </c>
      <c r="I8076" t="n">
        <v>0</v>
      </c>
      <c r="J8076" t="n">
        <v>0</v>
      </c>
      <c r="K8076" t="n">
        <v>0</v>
      </c>
      <c r="L8076" t="n">
        <v>0</v>
      </c>
      <c r="M8076" t="n">
        <v>0</v>
      </c>
      <c r="N8076" t="n">
        <v>0</v>
      </c>
      <c r="O8076" t="n">
        <v>0</v>
      </c>
      <c r="P8076" t="n">
        <v>0</v>
      </c>
      <c r="Q8076" t="n">
        <v>0</v>
      </c>
      <c r="R8076" s="2" t="inlineStr"/>
    </row>
    <row r="8077" ht="15" customHeight="1">
      <c r="A8077" t="inlineStr">
        <is>
          <t>A 60237-2022</t>
        </is>
      </c>
      <c r="B8077" s="1" t="n">
        <v>44903</v>
      </c>
      <c r="C8077" s="1" t="n">
        <v>45357</v>
      </c>
      <c r="D8077" t="inlineStr">
        <is>
          <t>VÄSTERBOTTENS LÄN</t>
        </is>
      </c>
      <c r="E8077" t="inlineStr">
        <is>
          <t>SKELLEFTEÅ</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59031-2022</t>
        </is>
      </c>
      <c r="B8078" s="1" t="n">
        <v>44903</v>
      </c>
      <c r="C8078" s="1" t="n">
        <v>45357</v>
      </c>
      <c r="D8078" t="inlineStr">
        <is>
          <t>VÄSTERBOTTENS LÄN</t>
        </is>
      </c>
      <c r="E8078" t="inlineStr">
        <is>
          <t>LYCKSELE</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60227-2022</t>
        </is>
      </c>
      <c r="B8079" s="1" t="n">
        <v>44903</v>
      </c>
      <c r="C8079" s="1" t="n">
        <v>45357</v>
      </c>
      <c r="D8079" t="inlineStr">
        <is>
          <t>VÄSTERBOTTENS LÄN</t>
        </is>
      </c>
      <c r="E8079" t="inlineStr">
        <is>
          <t>VILHELMINA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59102-2022</t>
        </is>
      </c>
      <c r="B8080" s="1" t="n">
        <v>44904</v>
      </c>
      <c r="C8080" s="1" t="n">
        <v>45357</v>
      </c>
      <c r="D8080" t="inlineStr">
        <is>
          <t>VÄSTERBOTTENS LÄN</t>
        </is>
      </c>
      <c r="E8080" t="inlineStr">
        <is>
          <t>LYCKSELE</t>
        </is>
      </c>
      <c r="F8080" t="inlineStr">
        <is>
          <t>Sveaskog</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59249-2022</t>
        </is>
      </c>
      <c r="B8081" s="1" t="n">
        <v>44904</v>
      </c>
      <c r="C8081" s="1" t="n">
        <v>45357</v>
      </c>
      <c r="D8081" t="inlineStr">
        <is>
          <t>VÄSTERBOTTENS LÄN</t>
        </is>
      </c>
      <c r="E8081" t="inlineStr">
        <is>
          <t>STORUMAN</t>
        </is>
      </c>
      <c r="F8081" t="inlineStr">
        <is>
          <t>Sveaskog</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59067-2022</t>
        </is>
      </c>
      <c r="B8082" s="1" t="n">
        <v>44904</v>
      </c>
      <c r="C8082" s="1" t="n">
        <v>45357</v>
      </c>
      <c r="D8082" t="inlineStr">
        <is>
          <t>VÄSTERBOTTENS LÄN</t>
        </is>
      </c>
      <c r="E8082" t="inlineStr">
        <is>
          <t>SKELLEFTEÅ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59284-2022</t>
        </is>
      </c>
      <c r="B8083" s="1" t="n">
        <v>44904</v>
      </c>
      <c r="C8083" s="1" t="n">
        <v>45357</v>
      </c>
      <c r="D8083" t="inlineStr">
        <is>
          <t>VÄSTERBOTTENS LÄN</t>
        </is>
      </c>
      <c r="E8083" t="inlineStr">
        <is>
          <t>VINDELN</t>
        </is>
      </c>
      <c r="F8083" t="inlineStr">
        <is>
          <t>Sveaskog</t>
        </is>
      </c>
      <c r="G8083" t="n">
        <v>15.3</v>
      </c>
      <c r="H8083" t="n">
        <v>0</v>
      </c>
      <c r="I8083" t="n">
        <v>0</v>
      </c>
      <c r="J8083" t="n">
        <v>0</v>
      </c>
      <c r="K8083" t="n">
        <v>0</v>
      </c>
      <c r="L8083" t="n">
        <v>0</v>
      </c>
      <c r="M8083" t="n">
        <v>0</v>
      </c>
      <c r="N8083" t="n">
        <v>0</v>
      </c>
      <c r="O8083" t="n">
        <v>0</v>
      </c>
      <c r="P8083" t="n">
        <v>0</v>
      </c>
      <c r="Q8083" t="n">
        <v>0</v>
      </c>
      <c r="R8083" s="2" t="inlineStr"/>
    </row>
    <row r="8084" ht="15" customHeight="1">
      <c r="A8084" t="inlineStr">
        <is>
          <t>A 59135-2022</t>
        </is>
      </c>
      <c r="B8084" s="1" t="n">
        <v>44904</v>
      </c>
      <c r="C8084" s="1" t="n">
        <v>45357</v>
      </c>
      <c r="D8084" t="inlineStr">
        <is>
          <t>VÄSTERBOTTENS LÄN</t>
        </is>
      </c>
      <c r="E8084" t="inlineStr">
        <is>
          <t>NORSJÖ</t>
        </is>
      </c>
      <c r="F8084" t="inlineStr">
        <is>
          <t>Sveaskog</t>
        </is>
      </c>
      <c r="G8084" t="n">
        <v>10.7</v>
      </c>
      <c r="H8084" t="n">
        <v>0</v>
      </c>
      <c r="I8084" t="n">
        <v>0</v>
      </c>
      <c r="J8084" t="n">
        <v>0</v>
      </c>
      <c r="K8084" t="n">
        <v>0</v>
      </c>
      <c r="L8084" t="n">
        <v>0</v>
      </c>
      <c r="M8084" t="n">
        <v>0</v>
      </c>
      <c r="N8084" t="n">
        <v>0</v>
      </c>
      <c r="O8084" t="n">
        <v>0</v>
      </c>
      <c r="P8084" t="n">
        <v>0</v>
      </c>
      <c r="Q8084" t="n">
        <v>0</v>
      </c>
      <c r="R8084" s="2" t="inlineStr"/>
    </row>
    <row r="8085" ht="15" customHeight="1">
      <c r="A8085" t="inlineStr">
        <is>
          <t>A 59272-2022</t>
        </is>
      </c>
      <c r="B8085" s="1" t="n">
        <v>44904</v>
      </c>
      <c r="C8085" s="1" t="n">
        <v>45357</v>
      </c>
      <c r="D8085" t="inlineStr">
        <is>
          <t>VÄSTERBOTTENS LÄN</t>
        </is>
      </c>
      <c r="E8085" t="inlineStr">
        <is>
          <t>LYCKSELE</t>
        </is>
      </c>
      <c r="F8085" t="inlineStr">
        <is>
          <t>Sveaskog</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59117-2022</t>
        </is>
      </c>
      <c r="B8086" s="1" t="n">
        <v>44904</v>
      </c>
      <c r="C8086" s="1" t="n">
        <v>45357</v>
      </c>
      <c r="D8086" t="inlineStr">
        <is>
          <t>VÄSTERBOTTENS LÄN</t>
        </is>
      </c>
      <c r="E8086" t="inlineStr">
        <is>
          <t>VINDELN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59131-2022</t>
        </is>
      </c>
      <c r="B8087" s="1" t="n">
        <v>44904</v>
      </c>
      <c r="C8087" s="1" t="n">
        <v>45357</v>
      </c>
      <c r="D8087" t="inlineStr">
        <is>
          <t>VÄSTERBOTTENS LÄN</t>
        </is>
      </c>
      <c r="E8087" t="inlineStr">
        <is>
          <t>NORSJÖ</t>
        </is>
      </c>
      <c r="F8087" t="inlineStr">
        <is>
          <t>Sveaskog</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59330-2022</t>
        </is>
      </c>
      <c r="B8088" s="1" t="n">
        <v>44904</v>
      </c>
      <c r="C8088" s="1" t="n">
        <v>45357</v>
      </c>
      <c r="D8088" t="inlineStr">
        <is>
          <t>VÄSTERBOTTENS LÄN</t>
        </is>
      </c>
      <c r="E8088" t="inlineStr">
        <is>
          <t>LYCKSELE</t>
        </is>
      </c>
      <c r="F8088" t="inlineStr">
        <is>
          <t>Sveaskog</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59256-2022</t>
        </is>
      </c>
      <c r="B8089" s="1" t="n">
        <v>44904</v>
      </c>
      <c r="C8089" s="1" t="n">
        <v>45357</v>
      </c>
      <c r="D8089" t="inlineStr">
        <is>
          <t>VÄSTERBOTTENS LÄN</t>
        </is>
      </c>
      <c r="E8089" t="inlineStr">
        <is>
          <t>ROBERTSFORS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59287-2022</t>
        </is>
      </c>
      <c r="B8090" s="1" t="n">
        <v>44904</v>
      </c>
      <c r="C8090" s="1" t="n">
        <v>45357</v>
      </c>
      <c r="D8090" t="inlineStr">
        <is>
          <t>VÄSTERBOTTENS LÄN</t>
        </is>
      </c>
      <c r="E8090" t="inlineStr">
        <is>
          <t>LYCKSELE</t>
        </is>
      </c>
      <c r="F8090" t="inlineStr">
        <is>
          <t>Sveaskog</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59080-2022</t>
        </is>
      </c>
      <c r="B8091" s="1" t="n">
        <v>44904</v>
      </c>
      <c r="C8091" s="1" t="n">
        <v>45357</v>
      </c>
      <c r="D8091" t="inlineStr">
        <is>
          <t>VÄSTERBOTTENS LÄN</t>
        </is>
      </c>
      <c r="E8091" t="inlineStr">
        <is>
          <t>UMEÅ</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59329-2022</t>
        </is>
      </c>
      <c r="B8092" s="1" t="n">
        <v>44904</v>
      </c>
      <c r="C8092" s="1" t="n">
        <v>45357</v>
      </c>
      <c r="D8092" t="inlineStr">
        <is>
          <t>VÄSTERBOTTENS LÄN</t>
        </is>
      </c>
      <c r="E8092" t="inlineStr">
        <is>
          <t>LYCKSELE</t>
        </is>
      </c>
      <c r="F8092" t="inlineStr">
        <is>
          <t>Sveaskog</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59333-2022</t>
        </is>
      </c>
      <c r="B8093" s="1" t="n">
        <v>44904</v>
      </c>
      <c r="C8093" s="1" t="n">
        <v>45357</v>
      </c>
      <c r="D8093" t="inlineStr">
        <is>
          <t>VÄSTERBOTTENS LÄN</t>
        </is>
      </c>
      <c r="E8093" t="inlineStr">
        <is>
          <t>STORUMAN</t>
        </is>
      </c>
      <c r="F8093" t="inlineStr">
        <is>
          <t>Sveaskog</t>
        </is>
      </c>
      <c r="G8093" t="n">
        <v>7</v>
      </c>
      <c r="H8093" t="n">
        <v>0</v>
      </c>
      <c r="I8093" t="n">
        <v>0</v>
      </c>
      <c r="J8093" t="n">
        <v>0</v>
      </c>
      <c r="K8093" t="n">
        <v>0</v>
      </c>
      <c r="L8093" t="n">
        <v>0</v>
      </c>
      <c r="M8093" t="n">
        <v>0</v>
      </c>
      <c r="N8093" t="n">
        <v>0</v>
      </c>
      <c r="O8093" t="n">
        <v>0</v>
      </c>
      <c r="P8093" t="n">
        <v>0</v>
      </c>
      <c r="Q8093" t="n">
        <v>0</v>
      </c>
      <c r="R8093" s="2" t="inlineStr"/>
    </row>
    <row r="8094" ht="15" customHeight="1">
      <c r="A8094" t="inlineStr">
        <is>
          <t>A 59359-2022</t>
        </is>
      </c>
      <c r="B8094" s="1" t="n">
        <v>44904</v>
      </c>
      <c r="C8094" s="1" t="n">
        <v>45357</v>
      </c>
      <c r="D8094" t="inlineStr">
        <is>
          <t>VÄSTERBOTTENS LÄN</t>
        </is>
      </c>
      <c r="E8094" t="inlineStr">
        <is>
          <t>STORUMAN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60558-2022</t>
        </is>
      </c>
      <c r="B8095" s="1" t="n">
        <v>44904</v>
      </c>
      <c r="C8095" s="1" t="n">
        <v>45357</v>
      </c>
      <c r="D8095" t="inlineStr">
        <is>
          <t>VÄSTERBOTTENS LÄN</t>
        </is>
      </c>
      <c r="E8095" t="inlineStr">
        <is>
          <t>SKELLEFTEÅ</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60438-2022</t>
        </is>
      </c>
      <c r="B8096" s="1" t="n">
        <v>44904</v>
      </c>
      <c r="C8096" s="1" t="n">
        <v>45357</v>
      </c>
      <c r="D8096" t="inlineStr">
        <is>
          <t>VÄSTERBOTTENS LÄN</t>
        </is>
      </c>
      <c r="E8096" t="inlineStr">
        <is>
          <t>NORDMALING</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60548-2022</t>
        </is>
      </c>
      <c r="B8097" s="1" t="n">
        <v>44904</v>
      </c>
      <c r="C8097" s="1" t="n">
        <v>45357</v>
      </c>
      <c r="D8097" t="inlineStr">
        <is>
          <t>VÄSTERBOTTENS LÄN</t>
        </is>
      </c>
      <c r="E8097" t="inlineStr">
        <is>
          <t>ROBERTSFORS</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60356-2022</t>
        </is>
      </c>
      <c r="B8098" s="1" t="n">
        <v>44904</v>
      </c>
      <c r="C8098" s="1" t="n">
        <v>45357</v>
      </c>
      <c r="D8098" t="inlineStr">
        <is>
          <t>VÄSTERBOTTENS LÄN</t>
        </is>
      </c>
      <c r="E8098" t="inlineStr">
        <is>
          <t>SKELLEFTEÅ</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59389-2022</t>
        </is>
      </c>
      <c r="B8099" s="1" t="n">
        <v>44905</v>
      </c>
      <c r="C8099" s="1" t="n">
        <v>45357</v>
      </c>
      <c r="D8099" t="inlineStr">
        <is>
          <t>VÄSTERBOTTENS LÄN</t>
        </is>
      </c>
      <c r="E8099" t="inlineStr">
        <is>
          <t>NORDMALING</t>
        </is>
      </c>
      <c r="F8099" t="inlineStr">
        <is>
          <t>SCA</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59420-2022</t>
        </is>
      </c>
      <c r="B8100" s="1" t="n">
        <v>44907</v>
      </c>
      <c r="C8100" s="1" t="n">
        <v>45357</v>
      </c>
      <c r="D8100" t="inlineStr">
        <is>
          <t>VÄSTERBOTTENS LÄN</t>
        </is>
      </c>
      <c r="E8100" t="inlineStr">
        <is>
          <t>NORSJÖ</t>
        </is>
      </c>
      <c r="F8100" t="inlineStr">
        <is>
          <t>Holmen skog AB</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59531-2022</t>
        </is>
      </c>
      <c r="B8101" s="1" t="n">
        <v>44907</v>
      </c>
      <c r="C8101" s="1" t="n">
        <v>45357</v>
      </c>
      <c r="D8101" t="inlineStr">
        <is>
          <t>VÄSTERBOTTENS LÄN</t>
        </is>
      </c>
      <c r="E8101" t="inlineStr">
        <is>
          <t>SKELLEFTEÅ</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59572-2022</t>
        </is>
      </c>
      <c r="B8102" s="1" t="n">
        <v>44907</v>
      </c>
      <c r="C8102" s="1" t="n">
        <v>45357</v>
      </c>
      <c r="D8102" t="inlineStr">
        <is>
          <t>VÄSTERBOTTENS LÄN</t>
        </is>
      </c>
      <c r="E8102" t="inlineStr">
        <is>
          <t>STORUMAN</t>
        </is>
      </c>
      <c r="F8102" t="inlineStr">
        <is>
          <t>Sveaskog</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60758-2022</t>
        </is>
      </c>
      <c r="B8103" s="1" t="n">
        <v>44907</v>
      </c>
      <c r="C8103" s="1" t="n">
        <v>45357</v>
      </c>
      <c r="D8103" t="inlineStr">
        <is>
          <t>VÄSTERBOTTENS LÄN</t>
        </is>
      </c>
      <c r="E8103" t="inlineStr">
        <is>
          <t>SORSELE</t>
        </is>
      </c>
      <c r="G8103" t="n">
        <v>9.199999999999999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59653-2022</t>
        </is>
      </c>
      <c r="B8104" s="1" t="n">
        <v>44907</v>
      </c>
      <c r="C8104" s="1" t="n">
        <v>45357</v>
      </c>
      <c r="D8104" t="inlineStr">
        <is>
          <t>VÄSTERBOTTENS LÄN</t>
        </is>
      </c>
      <c r="E8104" t="inlineStr">
        <is>
          <t>LYCKSELE</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60981-2022</t>
        </is>
      </c>
      <c r="B8105" s="1" t="n">
        <v>44907</v>
      </c>
      <c r="C8105" s="1" t="n">
        <v>45357</v>
      </c>
      <c r="D8105" t="inlineStr">
        <is>
          <t>VÄSTERBOTTENS LÄN</t>
        </is>
      </c>
      <c r="E8105" t="inlineStr">
        <is>
          <t>SKELLEFTEÅ</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59605-2022</t>
        </is>
      </c>
      <c r="B8106" s="1" t="n">
        <v>44907</v>
      </c>
      <c r="C8106" s="1" t="n">
        <v>45357</v>
      </c>
      <c r="D8106" t="inlineStr">
        <is>
          <t>VÄSTERBOTTENS LÄN</t>
        </is>
      </c>
      <c r="E8106" t="inlineStr">
        <is>
          <t>NORDMALING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59629-2022</t>
        </is>
      </c>
      <c r="B8107" s="1" t="n">
        <v>44907</v>
      </c>
      <c r="C8107" s="1" t="n">
        <v>45357</v>
      </c>
      <c r="D8107" t="inlineStr">
        <is>
          <t>VÄSTERBOTTENS LÄN</t>
        </is>
      </c>
      <c r="E8107" t="inlineStr">
        <is>
          <t>ROBERTSFORS</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60785-2022</t>
        </is>
      </c>
      <c r="B8108" s="1" t="n">
        <v>44907</v>
      </c>
      <c r="C8108" s="1" t="n">
        <v>45357</v>
      </c>
      <c r="D8108" t="inlineStr">
        <is>
          <t>VÄSTERBOTTENS LÄN</t>
        </is>
      </c>
      <c r="E8108" t="inlineStr">
        <is>
          <t>SKELLEFTEÅ</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60970-2022</t>
        </is>
      </c>
      <c r="B8109" s="1" t="n">
        <v>44907</v>
      </c>
      <c r="C8109" s="1" t="n">
        <v>45357</v>
      </c>
      <c r="D8109" t="inlineStr">
        <is>
          <t>VÄSTERBOTTENS LÄN</t>
        </is>
      </c>
      <c r="E8109" t="inlineStr">
        <is>
          <t>SKELLEFTEÅ</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59666-2022</t>
        </is>
      </c>
      <c r="B8110" s="1" t="n">
        <v>44908</v>
      </c>
      <c r="C8110" s="1" t="n">
        <v>45357</v>
      </c>
      <c r="D8110" t="inlineStr">
        <is>
          <t>VÄSTERBOTTENS LÄN</t>
        </is>
      </c>
      <c r="E8110" t="inlineStr">
        <is>
          <t>SKELLEFTEÅ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59690-2022</t>
        </is>
      </c>
      <c r="B8111" s="1" t="n">
        <v>44908</v>
      </c>
      <c r="C8111" s="1" t="n">
        <v>45357</v>
      </c>
      <c r="D8111" t="inlineStr">
        <is>
          <t>VÄSTERBOTTENS LÄN</t>
        </is>
      </c>
      <c r="E8111" t="inlineStr">
        <is>
          <t>ÅSELE</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59744-2022</t>
        </is>
      </c>
      <c r="B8112" s="1" t="n">
        <v>44908</v>
      </c>
      <c r="C8112" s="1" t="n">
        <v>45357</v>
      </c>
      <c r="D8112" t="inlineStr">
        <is>
          <t>VÄSTERBOTTENS LÄN</t>
        </is>
      </c>
      <c r="E8112" t="inlineStr">
        <is>
          <t>SKELLEFTEÅ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59664-2022</t>
        </is>
      </c>
      <c r="B8113" s="1" t="n">
        <v>44908</v>
      </c>
      <c r="C8113" s="1" t="n">
        <v>45357</v>
      </c>
      <c r="D8113" t="inlineStr">
        <is>
          <t>VÄSTERBOTTENS LÄN</t>
        </is>
      </c>
      <c r="E8113" t="inlineStr">
        <is>
          <t>SKELLEFTEÅ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59748-2022</t>
        </is>
      </c>
      <c r="B8114" s="1" t="n">
        <v>44908</v>
      </c>
      <c r="C8114" s="1" t="n">
        <v>45357</v>
      </c>
      <c r="D8114" t="inlineStr">
        <is>
          <t>VÄSTERBOTTENS LÄN</t>
        </is>
      </c>
      <c r="E8114" t="inlineStr">
        <is>
          <t>SKELLEFTEÅ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59691-2022</t>
        </is>
      </c>
      <c r="B8115" s="1" t="n">
        <v>44908</v>
      </c>
      <c r="C8115" s="1" t="n">
        <v>45357</v>
      </c>
      <c r="D8115" t="inlineStr">
        <is>
          <t>VÄSTERBOTTENS LÄN</t>
        </is>
      </c>
      <c r="E8115" t="inlineStr">
        <is>
          <t>ÅSELE</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60873-2022</t>
        </is>
      </c>
      <c r="B8116" s="1" t="n">
        <v>44908</v>
      </c>
      <c r="C8116" s="1" t="n">
        <v>45357</v>
      </c>
      <c r="D8116" t="inlineStr">
        <is>
          <t>VÄSTERBOTTENS LÄN</t>
        </is>
      </c>
      <c r="E8116" t="inlineStr">
        <is>
          <t>ÅSELE</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60892-2022</t>
        </is>
      </c>
      <c r="B8117" s="1" t="n">
        <v>44908</v>
      </c>
      <c r="C8117" s="1" t="n">
        <v>45357</v>
      </c>
      <c r="D8117" t="inlineStr">
        <is>
          <t>VÄSTERBOTTENS LÄN</t>
        </is>
      </c>
      <c r="E8117" t="inlineStr">
        <is>
          <t>SORSELE</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60859-2022</t>
        </is>
      </c>
      <c r="B8118" s="1" t="n">
        <v>44908</v>
      </c>
      <c r="C8118" s="1" t="n">
        <v>45357</v>
      </c>
      <c r="D8118" t="inlineStr">
        <is>
          <t>VÄSTERBOTTENS LÄN</t>
        </is>
      </c>
      <c r="E8118" t="inlineStr">
        <is>
          <t>LYCKSELE</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60868-2022</t>
        </is>
      </c>
      <c r="B8119" s="1" t="n">
        <v>44908</v>
      </c>
      <c r="C8119" s="1" t="n">
        <v>45357</v>
      </c>
      <c r="D8119" t="inlineStr">
        <is>
          <t>VÄSTERBOTTENS LÄN</t>
        </is>
      </c>
      <c r="E8119" t="inlineStr">
        <is>
          <t>ÅSELE</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59883-2022</t>
        </is>
      </c>
      <c r="B8120" s="1" t="n">
        <v>44908</v>
      </c>
      <c r="C8120" s="1" t="n">
        <v>45357</v>
      </c>
      <c r="D8120" t="inlineStr">
        <is>
          <t>VÄSTERBOTTENS LÄN</t>
        </is>
      </c>
      <c r="E8120" t="inlineStr">
        <is>
          <t>UMEÅ</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60967-2022</t>
        </is>
      </c>
      <c r="B8121" s="1" t="n">
        <v>44908</v>
      </c>
      <c r="C8121" s="1" t="n">
        <v>45357</v>
      </c>
      <c r="D8121" t="inlineStr">
        <is>
          <t>VÄSTERBOTTENS LÄN</t>
        </is>
      </c>
      <c r="E8121" t="inlineStr">
        <is>
          <t>ÅSELE</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60857-2022</t>
        </is>
      </c>
      <c r="B8122" s="1" t="n">
        <v>44908</v>
      </c>
      <c r="C8122" s="1" t="n">
        <v>45357</v>
      </c>
      <c r="D8122" t="inlineStr">
        <is>
          <t>VÄSTERBOTTENS LÄN</t>
        </is>
      </c>
      <c r="E8122" t="inlineStr">
        <is>
          <t>LYCKSELE</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60866-2022</t>
        </is>
      </c>
      <c r="B8123" s="1" t="n">
        <v>44908</v>
      </c>
      <c r="C8123" s="1" t="n">
        <v>45357</v>
      </c>
      <c r="D8123" t="inlineStr">
        <is>
          <t>VÄSTERBOTTENS LÄN</t>
        </is>
      </c>
      <c r="E8123" t="inlineStr">
        <is>
          <t>ÅSELE</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61153-2022</t>
        </is>
      </c>
      <c r="B8124" s="1" t="n">
        <v>44908</v>
      </c>
      <c r="C8124" s="1" t="n">
        <v>45357</v>
      </c>
      <c r="D8124" t="inlineStr">
        <is>
          <t>VÄSTERBOTTENS LÄN</t>
        </is>
      </c>
      <c r="E8124" t="inlineStr">
        <is>
          <t>SKELLEFTEÅ</t>
        </is>
      </c>
      <c r="G8124" t="n">
        <v>18.3</v>
      </c>
      <c r="H8124" t="n">
        <v>0</v>
      </c>
      <c r="I8124" t="n">
        <v>0</v>
      </c>
      <c r="J8124" t="n">
        <v>0</v>
      </c>
      <c r="K8124" t="n">
        <v>0</v>
      </c>
      <c r="L8124" t="n">
        <v>0</v>
      </c>
      <c r="M8124" t="n">
        <v>0</v>
      </c>
      <c r="N8124" t="n">
        <v>0</v>
      </c>
      <c r="O8124" t="n">
        <v>0</v>
      </c>
      <c r="P8124" t="n">
        <v>0</v>
      </c>
      <c r="Q8124" t="n">
        <v>0</v>
      </c>
      <c r="R8124" s="2" t="inlineStr"/>
    </row>
    <row r="8125" ht="15" customHeight="1">
      <c r="A8125" t="inlineStr">
        <is>
          <t>A 59860-2022</t>
        </is>
      </c>
      <c r="B8125" s="1" t="n">
        <v>44908</v>
      </c>
      <c r="C8125" s="1" t="n">
        <v>45357</v>
      </c>
      <c r="D8125" t="inlineStr">
        <is>
          <t>VÄSTERBOTTENS LÄN</t>
        </is>
      </c>
      <c r="E8125" t="inlineStr">
        <is>
          <t>UMEÅ</t>
        </is>
      </c>
      <c r="G8125" t="n">
        <v>8.1</v>
      </c>
      <c r="H8125" t="n">
        <v>0</v>
      </c>
      <c r="I8125" t="n">
        <v>0</v>
      </c>
      <c r="J8125" t="n">
        <v>0</v>
      </c>
      <c r="K8125" t="n">
        <v>0</v>
      </c>
      <c r="L8125" t="n">
        <v>0</v>
      </c>
      <c r="M8125" t="n">
        <v>0</v>
      </c>
      <c r="N8125" t="n">
        <v>0</v>
      </c>
      <c r="O8125" t="n">
        <v>0</v>
      </c>
      <c r="P8125" t="n">
        <v>0</v>
      </c>
      <c r="Q8125" t="n">
        <v>0</v>
      </c>
      <c r="R8125" s="2" t="inlineStr"/>
    </row>
    <row r="8126" ht="15" customHeight="1">
      <c r="A8126" t="inlineStr">
        <is>
          <t>A 59913-2022</t>
        </is>
      </c>
      <c r="B8126" s="1" t="n">
        <v>44909</v>
      </c>
      <c r="C8126" s="1" t="n">
        <v>45357</v>
      </c>
      <c r="D8126" t="inlineStr">
        <is>
          <t>VÄSTERBOTTENS LÄN</t>
        </is>
      </c>
      <c r="E8126" t="inlineStr">
        <is>
          <t>NORDMALING</t>
        </is>
      </c>
      <c r="F8126" t="inlineStr">
        <is>
          <t>SCA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59917-2022</t>
        </is>
      </c>
      <c r="B8127" s="1" t="n">
        <v>44908</v>
      </c>
      <c r="C8127" s="1" t="n">
        <v>45357</v>
      </c>
      <c r="D8127" t="inlineStr">
        <is>
          <t>VÄSTERBOTTENS LÄN</t>
        </is>
      </c>
      <c r="E8127" t="inlineStr">
        <is>
          <t>BJURHOLM</t>
        </is>
      </c>
      <c r="F8127" t="inlineStr">
        <is>
          <t>SCA</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61149-2022</t>
        </is>
      </c>
      <c r="B8128" s="1" t="n">
        <v>44908</v>
      </c>
      <c r="C8128" s="1" t="n">
        <v>45357</v>
      </c>
      <c r="D8128" t="inlineStr">
        <is>
          <t>VÄSTERBOTTENS LÄN</t>
        </is>
      </c>
      <c r="E8128" t="inlineStr">
        <is>
          <t>NORDMALING</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59866-2022</t>
        </is>
      </c>
      <c r="B8129" s="1" t="n">
        <v>44908</v>
      </c>
      <c r="C8129" s="1" t="n">
        <v>45357</v>
      </c>
      <c r="D8129" t="inlineStr">
        <is>
          <t>VÄSTERBOTTENS LÄN</t>
        </is>
      </c>
      <c r="E8129" t="inlineStr">
        <is>
          <t>BJURHOLM</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60093-2022</t>
        </is>
      </c>
      <c r="B8130" s="1" t="n">
        <v>44909</v>
      </c>
      <c r="C8130" s="1" t="n">
        <v>45357</v>
      </c>
      <c r="D8130" t="inlineStr">
        <is>
          <t>VÄSTERBOTTENS LÄN</t>
        </is>
      </c>
      <c r="E8130" t="inlineStr">
        <is>
          <t>STORUMAN</t>
        </is>
      </c>
      <c r="F8130" t="inlineStr">
        <is>
          <t>Sveaskog</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60117-2022</t>
        </is>
      </c>
      <c r="B8131" s="1" t="n">
        <v>44909</v>
      </c>
      <c r="C8131" s="1" t="n">
        <v>45357</v>
      </c>
      <c r="D8131" t="inlineStr">
        <is>
          <t>VÄSTERBOTTENS LÄN</t>
        </is>
      </c>
      <c r="E8131" t="inlineStr">
        <is>
          <t>LYCKSELE</t>
        </is>
      </c>
      <c r="F8131" t="inlineStr">
        <is>
          <t>Sveaskog</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60122-2022</t>
        </is>
      </c>
      <c r="B8132" s="1" t="n">
        <v>44909</v>
      </c>
      <c r="C8132" s="1" t="n">
        <v>45357</v>
      </c>
      <c r="D8132" t="inlineStr">
        <is>
          <t>VÄSTERBOTTENS LÄN</t>
        </is>
      </c>
      <c r="E8132" t="inlineStr">
        <is>
          <t>LYCKSELE</t>
        </is>
      </c>
      <c r="F8132" t="inlineStr">
        <is>
          <t>Sveaskog</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60131-2022</t>
        </is>
      </c>
      <c r="B8133" s="1" t="n">
        <v>44909</v>
      </c>
      <c r="C8133" s="1" t="n">
        <v>45357</v>
      </c>
      <c r="D8133" t="inlineStr">
        <is>
          <t>VÄSTERBOTTENS LÄN</t>
        </is>
      </c>
      <c r="E8133" t="inlineStr">
        <is>
          <t>LYCKSELE</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60137-2022</t>
        </is>
      </c>
      <c r="B8134" s="1" t="n">
        <v>44909</v>
      </c>
      <c r="C8134" s="1" t="n">
        <v>45357</v>
      </c>
      <c r="D8134" t="inlineStr">
        <is>
          <t>VÄSTERBOTTENS LÄN</t>
        </is>
      </c>
      <c r="E8134" t="inlineStr">
        <is>
          <t>VILHELMINA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60143-2022</t>
        </is>
      </c>
      <c r="B8135" s="1" t="n">
        <v>44909</v>
      </c>
      <c r="C8135" s="1" t="n">
        <v>45357</v>
      </c>
      <c r="D8135" t="inlineStr">
        <is>
          <t>VÄSTERBOTTENS LÄN</t>
        </is>
      </c>
      <c r="E8135" t="inlineStr">
        <is>
          <t>LYCKSELE</t>
        </is>
      </c>
      <c r="F8135" t="inlineStr">
        <is>
          <t>Sveaskog</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60000-2022</t>
        </is>
      </c>
      <c r="B8136" s="1" t="n">
        <v>44909</v>
      </c>
      <c r="C8136" s="1" t="n">
        <v>45357</v>
      </c>
      <c r="D8136" t="inlineStr">
        <is>
          <t>VÄSTERBOTTENS LÄN</t>
        </is>
      </c>
      <c r="E8136" t="inlineStr">
        <is>
          <t>SKELLEFTEÅ</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60175-2022</t>
        </is>
      </c>
      <c r="B8137" s="1" t="n">
        <v>44909</v>
      </c>
      <c r="C8137" s="1" t="n">
        <v>45357</v>
      </c>
      <c r="D8137" t="inlineStr">
        <is>
          <t>VÄSTERBOTTENS LÄN</t>
        </is>
      </c>
      <c r="E8137" t="inlineStr">
        <is>
          <t>NORDMALING</t>
        </is>
      </c>
      <c r="F8137" t="inlineStr">
        <is>
          <t>SCA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61275-2022</t>
        </is>
      </c>
      <c r="B8138" s="1" t="n">
        <v>44909</v>
      </c>
      <c r="C8138" s="1" t="n">
        <v>45357</v>
      </c>
      <c r="D8138" t="inlineStr">
        <is>
          <t>VÄSTERBOTTENS LÄN</t>
        </is>
      </c>
      <c r="E8138" t="inlineStr">
        <is>
          <t>SKELLEFTEÅ</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60022-2022</t>
        </is>
      </c>
      <c r="B8139" s="1" t="n">
        <v>44909</v>
      </c>
      <c r="C8139" s="1" t="n">
        <v>45357</v>
      </c>
      <c r="D8139" t="inlineStr">
        <is>
          <t>VÄSTERBOTTENS LÄN</t>
        </is>
      </c>
      <c r="E8139" t="inlineStr">
        <is>
          <t>MALÅ</t>
        </is>
      </c>
      <c r="F8139" t="inlineStr">
        <is>
          <t>Sveaskog</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60172-2022</t>
        </is>
      </c>
      <c r="B8140" s="1" t="n">
        <v>44909</v>
      </c>
      <c r="C8140" s="1" t="n">
        <v>45357</v>
      </c>
      <c r="D8140" t="inlineStr">
        <is>
          <t>VÄSTERBOTTENS LÄN</t>
        </is>
      </c>
      <c r="E8140" t="inlineStr">
        <is>
          <t>ROBERTSFORS</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61270-2022</t>
        </is>
      </c>
      <c r="B8141" s="1" t="n">
        <v>44909</v>
      </c>
      <c r="C8141" s="1" t="n">
        <v>45357</v>
      </c>
      <c r="D8141" t="inlineStr">
        <is>
          <t>VÄSTERBOTTENS LÄN</t>
        </is>
      </c>
      <c r="E8141" t="inlineStr">
        <is>
          <t>VILHELMINA</t>
        </is>
      </c>
      <c r="G8141" t="n">
        <v>8.9</v>
      </c>
      <c r="H8141" t="n">
        <v>0</v>
      </c>
      <c r="I8141" t="n">
        <v>0</v>
      </c>
      <c r="J8141" t="n">
        <v>0</v>
      </c>
      <c r="K8141" t="n">
        <v>0</v>
      </c>
      <c r="L8141" t="n">
        <v>0</v>
      </c>
      <c r="M8141" t="n">
        <v>0</v>
      </c>
      <c r="N8141" t="n">
        <v>0</v>
      </c>
      <c r="O8141" t="n">
        <v>0</v>
      </c>
      <c r="P8141" t="n">
        <v>0</v>
      </c>
      <c r="Q8141" t="n">
        <v>0</v>
      </c>
      <c r="R8141" s="2" t="inlineStr"/>
    </row>
    <row r="8142" ht="15" customHeight="1">
      <c r="A8142" t="inlineStr">
        <is>
          <t>A 61281-2022</t>
        </is>
      </c>
      <c r="B8142" s="1" t="n">
        <v>44909</v>
      </c>
      <c r="C8142" s="1" t="n">
        <v>45357</v>
      </c>
      <c r="D8142" t="inlineStr">
        <is>
          <t>VÄSTERBOTTENS LÄN</t>
        </is>
      </c>
      <c r="E8142" t="inlineStr">
        <is>
          <t>LYCKSELE</t>
        </is>
      </c>
      <c r="G8142" t="n">
        <v>0.2</v>
      </c>
      <c r="H8142" t="n">
        <v>0</v>
      </c>
      <c r="I8142" t="n">
        <v>0</v>
      </c>
      <c r="J8142" t="n">
        <v>0</v>
      </c>
      <c r="K8142" t="n">
        <v>0</v>
      </c>
      <c r="L8142" t="n">
        <v>0</v>
      </c>
      <c r="M8142" t="n">
        <v>0</v>
      </c>
      <c r="N8142" t="n">
        <v>0</v>
      </c>
      <c r="O8142" t="n">
        <v>0</v>
      </c>
      <c r="P8142" t="n">
        <v>0</v>
      </c>
      <c r="Q8142" t="n">
        <v>0</v>
      </c>
      <c r="R8142" s="2" t="inlineStr"/>
    </row>
    <row r="8143" ht="15" customHeight="1">
      <c r="A8143" t="inlineStr">
        <is>
          <t>A 61277-2022</t>
        </is>
      </c>
      <c r="B8143" s="1" t="n">
        <v>44909</v>
      </c>
      <c r="C8143" s="1" t="n">
        <v>45357</v>
      </c>
      <c r="D8143" t="inlineStr">
        <is>
          <t>VÄSTERBOTTENS LÄN</t>
        </is>
      </c>
      <c r="E8143" t="inlineStr">
        <is>
          <t>LYCKSELE</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60267-2022</t>
        </is>
      </c>
      <c r="B8144" s="1" t="n">
        <v>44910</v>
      </c>
      <c r="C8144" s="1" t="n">
        <v>45357</v>
      </c>
      <c r="D8144" t="inlineStr">
        <is>
          <t>VÄSTERBOTTENS LÄN</t>
        </is>
      </c>
      <c r="E8144" t="inlineStr">
        <is>
          <t>LYCKSELE</t>
        </is>
      </c>
      <c r="F8144" t="inlineStr">
        <is>
          <t>Sveaskog</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60285-2022</t>
        </is>
      </c>
      <c r="B8145" s="1" t="n">
        <v>44910</v>
      </c>
      <c r="C8145" s="1" t="n">
        <v>45357</v>
      </c>
      <c r="D8145" t="inlineStr">
        <is>
          <t>VÄSTERBOTTENS LÄN</t>
        </is>
      </c>
      <c r="E8145" t="inlineStr">
        <is>
          <t>VINDELN</t>
        </is>
      </c>
      <c r="F8145" t="inlineStr">
        <is>
          <t>Sveaskog</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60290-2022</t>
        </is>
      </c>
      <c r="B8146" s="1" t="n">
        <v>44910</v>
      </c>
      <c r="C8146" s="1" t="n">
        <v>45357</v>
      </c>
      <c r="D8146" t="inlineStr">
        <is>
          <t>VÄSTERBOTTENS LÄN</t>
        </is>
      </c>
      <c r="E8146" t="inlineStr">
        <is>
          <t>VINDELN</t>
        </is>
      </c>
      <c r="F8146" t="inlineStr">
        <is>
          <t>Sveaskog</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60226-2022</t>
        </is>
      </c>
      <c r="B8147" s="1" t="n">
        <v>44910</v>
      </c>
      <c r="C8147" s="1" t="n">
        <v>45357</v>
      </c>
      <c r="D8147" t="inlineStr">
        <is>
          <t>VÄSTERBOTTENS LÄN</t>
        </is>
      </c>
      <c r="E8147" t="inlineStr">
        <is>
          <t>LYCKSELE</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60288-2022</t>
        </is>
      </c>
      <c r="B8148" s="1" t="n">
        <v>44910</v>
      </c>
      <c r="C8148" s="1" t="n">
        <v>45357</v>
      </c>
      <c r="D8148" t="inlineStr">
        <is>
          <t>VÄSTERBOTTENS LÄN</t>
        </is>
      </c>
      <c r="E8148" t="inlineStr">
        <is>
          <t>VINDELN</t>
        </is>
      </c>
      <c r="F8148" t="inlineStr">
        <is>
          <t>Sveaskog</t>
        </is>
      </c>
      <c r="G8148" t="n">
        <v>9.199999999999999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60304-2022</t>
        </is>
      </c>
      <c r="B8149" s="1" t="n">
        <v>44910</v>
      </c>
      <c r="C8149" s="1" t="n">
        <v>45357</v>
      </c>
      <c r="D8149" t="inlineStr">
        <is>
          <t>VÄSTERBOTTENS LÄN</t>
        </is>
      </c>
      <c r="E8149" t="inlineStr">
        <is>
          <t>DOROTEA</t>
        </is>
      </c>
      <c r="F8149" t="inlineStr">
        <is>
          <t>SCA</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60330-2022</t>
        </is>
      </c>
      <c r="B8150" s="1" t="n">
        <v>44910</v>
      </c>
      <c r="C8150" s="1" t="n">
        <v>45357</v>
      </c>
      <c r="D8150" t="inlineStr">
        <is>
          <t>VÄSTERBOTTENS LÄN</t>
        </is>
      </c>
      <c r="E8150" t="inlineStr">
        <is>
          <t>LYCKSELE</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60346-2022</t>
        </is>
      </c>
      <c r="B8151" s="1" t="n">
        <v>44910</v>
      </c>
      <c r="C8151" s="1" t="n">
        <v>45357</v>
      </c>
      <c r="D8151" t="inlineStr">
        <is>
          <t>VÄSTERBOTTENS LÄN</t>
        </is>
      </c>
      <c r="E8151" t="inlineStr">
        <is>
          <t>NORSJÖ</t>
        </is>
      </c>
      <c r="F8151" t="inlineStr">
        <is>
          <t>Holmen skog AB</t>
        </is>
      </c>
      <c r="G8151" t="n">
        <v>17.5</v>
      </c>
      <c r="H8151" t="n">
        <v>0</v>
      </c>
      <c r="I8151" t="n">
        <v>0</v>
      </c>
      <c r="J8151" t="n">
        <v>0</v>
      </c>
      <c r="K8151" t="n">
        <v>0</v>
      </c>
      <c r="L8151" t="n">
        <v>0</v>
      </c>
      <c r="M8151" t="n">
        <v>0</v>
      </c>
      <c r="N8151" t="n">
        <v>0</v>
      </c>
      <c r="O8151" t="n">
        <v>0</v>
      </c>
      <c r="P8151" t="n">
        <v>0</v>
      </c>
      <c r="Q8151" t="n">
        <v>0</v>
      </c>
      <c r="R8151" s="2" t="inlineStr"/>
    </row>
    <row r="8152" ht="15" customHeight="1">
      <c r="A8152" t="inlineStr">
        <is>
          <t>A 60387-2022</t>
        </is>
      </c>
      <c r="B8152" s="1" t="n">
        <v>44910</v>
      </c>
      <c r="C8152" s="1" t="n">
        <v>45357</v>
      </c>
      <c r="D8152" t="inlineStr">
        <is>
          <t>VÄSTERBOTTENS LÄN</t>
        </is>
      </c>
      <c r="E8152" t="inlineStr">
        <is>
          <t>LYCKSELE</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61497-2022</t>
        </is>
      </c>
      <c r="B8153" s="1" t="n">
        <v>44910</v>
      </c>
      <c r="C8153" s="1" t="n">
        <v>45357</v>
      </c>
      <c r="D8153" t="inlineStr">
        <is>
          <t>VÄSTERBOTTENS LÄN</t>
        </is>
      </c>
      <c r="E8153" t="inlineStr">
        <is>
          <t>VINDELN</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60247-2022</t>
        </is>
      </c>
      <c r="B8154" s="1" t="n">
        <v>44910</v>
      </c>
      <c r="C8154" s="1" t="n">
        <v>45357</v>
      </c>
      <c r="D8154" t="inlineStr">
        <is>
          <t>VÄSTERBOTTENS LÄN</t>
        </is>
      </c>
      <c r="E8154" t="inlineStr">
        <is>
          <t>VINDELN</t>
        </is>
      </c>
      <c r="F8154" t="inlineStr">
        <is>
          <t>Sveaskog</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60272-2022</t>
        </is>
      </c>
      <c r="B8155" s="1" t="n">
        <v>44910</v>
      </c>
      <c r="C8155" s="1" t="n">
        <v>45357</v>
      </c>
      <c r="D8155" t="inlineStr">
        <is>
          <t>VÄSTERBOTTENS LÄN</t>
        </is>
      </c>
      <c r="E8155" t="inlineStr">
        <is>
          <t>LYCKSELE</t>
        </is>
      </c>
      <c r="F8155" t="inlineStr">
        <is>
          <t>Sveaskog</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60282-2022</t>
        </is>
      </c>
      <c r="B8156" s="1" t="n">
        <v>44910</v>
      </c>
      <c r="C8156" s="1" t="n">
        <v>45357</v>
      </c>
      <c r="D8156" t="inlineStr">
        <is>
          <t>VÄSTERBOTTENS LÄN</t>
        </is>
      </c>
      <c r="E8156" t="inlineStr">
        <is>
          <t>VINDELN</t>
        </is>
      </c>
      <c r="F8156" t="inlineStr">
        <is>
          <t>Sveaskog</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60311-2022</t>
        </is>
      </c>
      <c r="B8157" s="1" t="n">
        <v>44910</v>
      </c>
      <c r="C8157" s="1" t="n">
        <v>45357</v>
      </c>
      <c r="D8157" t="inlineStr">
        <is>
          <t>VÄSTERBOTTENS LÄN</t>
        </is>
      </c>
      <c r="E8157" t="inlineStr">
        <is>
          <t>VINDELN</t>
        </is>
      </c>
      <c r="F8157" t="inlineStr">
        <is>
          <t>Sveaskog</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60378-2022</t>
        </is>
      </c>
      <c r="B8158" s="1" t="n">
        <v>44910</v>
      </c>
      <c r="C8158" s="1" t="n">
        <v>45357</v>
      </c>
      <c r="D8158" t="inlineStr">
        <is>
          <t>VÄSTERBOTTENS LÄN</t>
        </is>
      </c>
      <c r="E8158" t="inlineStr">
        <is>
          <t>SKELLEFTEÅ</t>
        </is>
      </c>
      <c r="F8158" t="inlineStr">
        <is>
          <t>Holmen skog AB</t>
        </is>
      </c>
      <c r="G8158" t="n">
        <v>18.8</v>
      </c>
      <c r="H8158" t="n">
        <v>0</v>
      </c>
      <c r="I8158" t="n">
        <v>0</v>
      </c>
      <c r="J8158" t="n">
        <v>0</v>
      </c>
      <c r="K8158" t="n">
        <v>0</v>
      </c>
      <c r="L8158" t="n">
        <v>0</v>
      </c>
      <c r="M8158" t="n">
        <v>0</v>
      </c>
      <c r="N8158" t="n">
        <v>0</v>
      </c>
      <c r="O8158" t="n">
        <v>0</v>
      </c>
      <c r="P8158" t="n">
        <v>0</v>
      </c>
      <c r="Q8158" t="n">
        <v>0</v>
      </c>
      <c r="R8158" s="2" t="inlineStr"/>
    </row>
    <row r="8159" ht="15" customHeight="1">
      <c r="A8159" t="inlineStr">
        <is>
          <t>A 60364-2022</t>
        </is>
      </c>
      <c r="B8159" s="1" t="n">
        <v>44910</v>
      </c>
      <c r="C8159" s="1" t="n">
        <v>45357</v>
      </c>
      <c r="D8159" t="inlineStr">
        <is>
          <t>VÄSTERBOTTENS LÄN</t>
        </is>
      </c>
      <c r="E8159" t="inlineStr">
        <is>
          <t>VINDELN</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60488-2022</t>
        </is>
      </c>
      <c r="B8160" s="1" t="n">
        <v>44911</v>
      </c>
      <c r="C8160" s="1" t="n">
        <v>45357</v>
      </c>
      <c r="D8160" t="inlineStr">
        <is>
          <t>VÄSTERBOTTENS LÄN</t>
        </is>
      </c>
      <c r="E8160" t="inlineStr">
        <is>
          <t>SKELLEFTEÅ</t>
        </is>
      </c>
      <c r="F8160" t="inlineStr">
        <is>
          <t>Sveaskog</t>
        </is>
      </c>
      <c r="G8160" t="n">
        <v>11.6</v>
      </c>
      <c r="H8160" t="n">
        <v>0</v>
      </c>
      <c r="I8160" t="n">
        <v>0</v>
      </c>
      <c r="J8160" t="n">
        <v>0</v>
      </c>
      <c r="K8160" t="n">
        <v>0</v>
      </c>
      <c r="L8160" t="n">
        <v>0</v>
      </c>
      <c r="M8160" t="n">
        <v>0</v>
      </c>
      <c r="N8160" t="n">
        <v>0</v>
      </c>
      <c r="O8160" t="n">
        <v>0</v>
      </c>
      <c r="P8160" t="n">
        <v>0</v>
      </c>
      <c r="Q8160" t="n">
        <v>0</v>
      </c>
      <c r="R8160" s="2" t="inlineStr"/>
      <c r="U8160">
        <f>HYPERLINK("https://klasma.github.io/Logging_2482/knärot/A 60488-2022 karta knärot.png", "A 60488-2022")</f>
        <v/>
      </c>
      <c r="V8160">
        <f>HYPERLINK("https://klasma.github.io/Logging_2482/klagomål/A 60488-2022 FSC-klagomål.docx", "A 60488-2022")</f>
        <v/>
      </c>
      <c r="W8160">
        <f>HYPERLINK("https://klasma.github.io/Logging_2482/klagomålsmail/A 60488-2022 FSC-klagomål mail.docx", "A 60488-2022")</f>
        <v/>
      </c>
      <c r="X8160">
        <f>HYPERLINK("https://klasma.github.io/Logging_2482/tillsyn/A 60488-2022 tillsynsbegäran.docx", "A 60488-2022")</f>
        <v/>
      </c>
      <c r="Y8160">
        <f>HYPERLINK("https://klasma.github.io/Logging_2482/tillsynsmail/A 60488-2022 tillsynsbegäran mail.docx", "A 60488-2022")</f>
        <v/>
      </c>
    </row>
    <row r="8161" ht="15" customHeight="1">
      <c r="A8161" t="inlineStr">
        <is>
          <t>A 60498-2022</t>
        </is>
      </c>
      <c r="B8161" s="1" t="n">
        <v>44911</v>
      </c>
      <c r="C8161" s="1" t="n">
        <v>45357</v>
      </c>
      <c r="D8161" t="inlineStr">
        <is>
          <t>VÄSTERBOTTENS LÄN</t>
        </is>
      </c>
      <c r="E8161" t="inlineStr">
        <is>
          <t>SKELLEFTEÅ</t>
        </is>
      </c>
      <c r="F8161" t="inlineStr">
        <is>
          <t>Sveaskog</t>
        </is>
      </c>
      <c r="G8161" t="n">
        <v>21.2</v>
      </c>
      <c r="H8161" t="n">
        <v>0</v>
      </c>
      <c r="I8161" t="n">
        <v>0</v>
      </c>
      <c r="J8161" t="n">
        <v>0</v>
      </c>
      <c r="K8161" t="n">
        <v>0</v>
      </c>
      <c r="L8161" t="n">
        <v>0</v>
      </c>
      <c r="M8161" t="n">
        <v>0</v>
      </c>
      <c r="N8161" t="n">
        <v>0</v>
      </c>
      <c r="O8161" t="n">
        <v>0</v>
      </c>
      <c r="P8161" t="n">
        <v>0</v>
      </c>
      <c r="Q8161" t="n">
        <v>0</v>
      </c>
      <c r="R8161" s="2" t="inlineStr"/>
    </row>
    <row r="8162" ht="15" customHeight="1">
      <c r="A8162" t="inlineStr">
        <is>
          <t>A 60582-2022</t>
        </is>
      </c>
      <c r="B8162" s="1" t="n">
        <v>44911</v>
      </c>
      <c r="C8162" s="1" t="n">
        <v>45357</v>
      </c>
      <c r="D8162" t="inlineStr">
        <is>
          <t>VÄSTERBOTTENS LÄN</t>
        </is>
      </c>
      <c r="E8162" t="inlineStr">
        <is>
          <t>SKELLEFTEÅ</t>
        </is>
      </c>
      <c r="F8162" t="inlineStr">
        <is>
          <t>Sveaskog</t>
        </is>
      </c>
      <c r="G8162" t="n">
        <v>27.3</v>
      </c>
      <c r="H8162" t="n">
        <v>0</v>
      </c>
      <c r="I8162" t="n">
        <v>0</v>
      </c>
      <c r="J8162" t="n">
        <v>0</v>
      </c>
      <c r="K8162" t="n">
        <v>0</v>
      </c>
      <c r="L8162" t="n">
        <v>0</v>
      </c>
      <c r="M8162" t="n">
        <v>0</v>
      </c>
      <c r="N8162" t="n">
        <v>0</v>
      </c>
      <c r="O8162" t="n">
        <v>0</v>
      </c>
      <c r="P8162" t="n">
        <v>0</v>
      </c>
      <c r="Q8162" t="n">
        <v>0</v>
      </c>
      <c r="R8162" s="2" t="inlineStr"/>
    </row>
    <row r="8163" ht="15" customHeight="1">
      <c r="A8163" t="inlineStr">
        <is>
          <t>A 60656-2022</t>
        </is>
      </c>
      <c r="B8163" s="1" t="n">
        <v>44911</v>
      </c>
      <c r="C8163" s="1" t="n">
        <v>45357</v>
      </c>
      <c r="D8163" t="inlineStr">
        <is>
          <t>VÄSTERBOTTENS LÄN</t>
        </is>
      </c>
      <c r="E8163" t="inlineStr">
        <is>
          <t>SKELLEFTEÅ</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60446-2022</t>
        </is>
      </c>
      <c r="B8164" s="1" t="n">
        <v>44911</v>
      </c>
      <c r="C8164" s="1" t="n">
        <v>45357</v>
      </c>
      <c r="D8164" t="inlineStr">
        <is>
          <t>VÄSTERBOTTENS LÄN</t>
        </is>
      </c>
      <c r="E8164" t="inlineStr">
        <is>
          <t>VINDELN</t>
        </is>
      </c>
      <c r="F8164" t="inlineStr">
        <is>
          <t>Sveaskog</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60452-2022</t>
        </is>
      </c>
      <c r="B8165" s="1" t="n">
        <v>44911</v>
      </c>
      <c r="C8165" s="1" t="n">
        <v>45357</v>
      </c>
      <c r="D8165" t="inlineStr">
        <is>
          <t>VÄSTERBOTTENS LÄN</t>
        </is>
      </c>
      <c r="E8165" t="inlineStr">
        <is>
          <t>SKELLEFTEÅ</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60502-2022</t>
        </is>
      </c>
      <c r="B8166" s="1" t="n">
        <v>44911</v>
      </c>
      <c r="C8166" s="1" t="n">
        <v>45357</v>
      </c>
      <c r="D8166" t="inlineStr">
        <is>
          <t>VÄSTERBOTTENS LÄN</t>
        </is>
      </c>
      <c r="E8166" t="inlineStr">
        <is>
          <t>SKELLEFTEÅ</t>
        </is>
      </c>
      <c r="F8166" t="inlineStr">
        <is>
          <t>Sveaskog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60510-2022</t>
        </is>
      </c>
      <c r="B8167" s="1" t="n">
        <v>44911</v>
      </c>
      <c r="C8167" s="1" t="n">
        <v>45357</v>
      </c>
      <c r="D8167" t="inlineStr">
        <is>
          <t>VÄSTERBOTTENS LÄN</t>
        </is>
      </c>
      <c r="E8167" t="inlineStr">
        <is>
          <t>ROBERTSFORS</t>
        </is>
      </c>
      <c r="F8167" t="inlineStr">
        <is>
          <t>Sveaskog</t>
        </is>
      </c>
      <c r="G8167" t="n">
        <v>5.6</v>
      </c>
      <c r="H8167" t="n">
        <v>0</v>
      </c>
      <c r="I8167" t="n">
        <v>0</v>
      </c>
      <c r="J8167" t="n">
        <v>0</v>
      </c>
      <c r="K8167" t="n">
        <v>0</v>
      </c>
      <c r="L8167" t="n">
        <v>0</v>
      </c>
      <c r="M8167" t="n">
        <v>0</v>
      </c>
      <c r="N8167" t="n">
        <v>0</v>
      </c>
      <c r="O8167" t="n">
        <v>0</v>
      </c>
      <c r="P8167" t="n">
        <v>0</v>
      </c>
      <c r="Q8167" t="n">
        <v>0</v>
      </c>
      <c r="R8167" s="2" t="inlineStr"/>
    </row>
    <row r="8168" ht="15" customHeight="1">
      <c r="A8168" t="inlineStr">
        <is>
          <t>A 60524-2022</t>
        </is>
      </c>
      <c r="B8168" s="1" t="n">
        <v>44911</v>
      </c>
      <c r="C8168" s="1" t="n">
        <v>45357</v>
      </c>
      <c r="D8168" t="inlineStr">
        <is>
          <t>VÄSTERBOTTENS LÄN</t>
        </is>
      </c>
      <c r="E8168" t="inlineStr">
        <is>
          <t>SKELLEFTEÅ</t>
        </is>
      </c>
      <c r="F8168" t="inlineStr">
        <is>
          <t>Sveaskog</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60581-2022</t>
        </is>
      </c>
      <c r="B8169" s="1" t="n">
        <v>44911</v>
      </c>
      <c r="C8169" s="1" t="n">
        <v>45357</v>
      </c>
      <c r="D8169" t="inlineStr">
        <is>
          <t>VÄSTERBOTTENS LÄN</t>
        </is>
      </c>
      <c r="E8169" t="inlineStr">
        <is>
          <t>SKELLEFTEÅ</t>
        </is>
      </c>
      <c r="F8169" t="inlineStr">
        <is>
          <t>Sveaskog</t>
        </is>
      </c>
      <c r="G8169" t="n">
        <v>13.9</v>
      </c>
      <c r="H8169" t="n">
        <v>0</v>
      </c>
      <c r="I8169" t="n">
        <v>0</v>
      </c>
      <c r="J8169" t="n">
        <v>0</v>
      </c>
      <c r="K8169" t="n">
        <v>0</v>
      </c>
      <c r="L8169" t="n">
        <v>0</v>
      </c>
      <c r="M8169" t="n">
        <v>0</v>
      </c>
      <c r="N8169" t="n">
        <v>0</v>
      </c>
      <c r="O8169" t="n">
        <v>0</v>
      </c>
      <c r="P8169" t="n">
        <v>0</v>
      </c>
      <c r="Q8169" t="n">
        <v>0</v>
      </c>
      <c r="R8169" s="2" t="inlineStr"/>
    </row>
    <row r="8170" ht="15" customHeight="1">
      <c r="A8170" t="inlineStr">
        <is>
          <t>A 60655-2022</t>
        </is>
      </c>
      <c r="B8170" s="1" t="n">
        <v>44911</v>
      </c>
      <c r="C8170" s="1" t="n">
        <v>45357</v>
      </c>
      <c r="D8170" t="inlineStr">
        <is>
          <t>VÄSTERBOTTENS LÄN</t>
        </is>
      </c>
      <c r="E8170" t="inlineStr">
        <is>
          <t>SKELLEFTEÅ</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60685-2022</t>
        </is>
      </c>
      <c r="B8171" s="1" t="n">
        <v>44911</v>
      </c>
      <c r="C8171" s="1" t="n">
        <v>45357</v>
      </c>
      <c r="D8171" t="inlineStr">
        <is>
          <t>VÄSTERBOTTENS LÄN</t>
        </is>
      </c>
      <c r="E8171" t="inlineStr">
        <is>
          <t>LYCKSELE</t>
        </is>
      </c>
      <c r="F8171" t="inlineStr">
        <is>
          <t>SCA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60690-2022</t>
        </is>
      </c>
      <c r="B8172" s="1" t="n">
        <v>44911</v>
      </c>
      <c r="C8172" s="1" t="n">
        <v>45357</v>
      </c>
      <c r="D8172" t="inlineStr">
        <is>
          <t>VÄSTERBOTTENS LÄN</t>
        </is>
      </c>
      <c r="E8172" t="inlineStr">
        <is>
          <t>BJURHOLM</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60698-2022</t>
        </is>
      </c>
      <c r="B8173" s="1" t="n">
        <v>44911</v>
      </c>
      <c r="C8173" s="1" t="n">
        <v>45357</v>
      </c>
      <c r="D8173" t="inlineStr">
        <is>
          <t>VÄSTERBOTTENS LÄN</t>
        </is>
      </c>
      <c r="E8173" t="inlineStr">
        <is>
          <t>ÅSELE</t>
        </is>
      </c>
      <c r="F8173" t="inlineStr">
        <is>
          <t>SCA</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60682-2022</t>
        </is>
      </c>
      <c r="B8174" s="1" t="n">
        <v>44911</v>
      </c>
      <c r="C8174" s="1" t="n">
        <v>45357</v>
      </c>
      <c r="D8174" t="inlineStr">
        <is>
          <t>VÄSTERBOTTENS LÄN</t>
        </is>
      </c>
      <c r="E8174" t="inlineStr">
        <is>
          <t>VILHELMINA</t>
        </is>
      </c>
      <c r="F8174" t="inlineStr">
        <is>
          <t>SCA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60686-2022</t>
        </is>
      </c>
      <c r="B8175" s="1" t="n">
        <v>44911</v>
      </c>
      <c r="C8175" s="1" t="n">
        <v>45357</v>
      </c>
      <c r="D8175" t="inlineStr">
        <is>
          <t>VÄSTERBOTTENS LÄN</t>
        </is>
      </c>
      <c r="E8175" t="inlineStr">
        <is>
          <t>DOROTEA</t>
        </is>
      </c>
      <c r="F8175" t="inlineStr">
        <is>
          <t>SCA</t>
        </is>
      </c>
      <c r="G8175" t="n">
        <v>7.3</v>
      </c>
      <c r="H8175" t="n">
        <v>0</v>
      </c>
      <c r="I8175" t="n">
        <v>0</v>
      </c>
      <c r="J8175" t="n">
        <v>0</v>
      </c>
      <c r="K8175" t="n">
        <v>0</v>
      </c>
      <c r="L8175" t="n">
        <v>0</v>
      </c>
      <c r="M8175" t="n">
        <v>0</v>
      </c>
      <c r="N8175" t="n">
        <v>0</v>
      </c>
      <c r="O8175" t="n">
        <v>0</v>
      </c>
      <c r="P8175" t="n">
        <v>0</v>
      </c>
      <c r="Q8175" t="n">
        <v>0</v>
      </c>
      <c r="R8175" s="2" t="inlineStr"/>
    </row>
    <row r="8176" ht="15" customHeight="1">
      <c r="A8176" t="inlineStr">
        <is>
          <t>A 60506-2022</t>
        </is>
      </c>
      <c r="B8176" s="1" t="n">
        <v>44911</v>
      </c>
      <c r="C8176" s="1" t="n">
        <v>45357</v>
      </c>
      <c r="D8176" t="inlineStr">
        <is>
          <t>VÄSTERBOTTENS LÄN</t>
        </is>
      </c>
      <c r="E8176" t="inlineStr">
        <is>
          <t>SKELLEFTEÅ</t>
        </is>
      </c>
      <c r="F8176" t="inlineStr">
        <is>
          <t>Sveaskog</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60549-2022</t>
        </is>
      </c>
      <c r="B8177" s="1" t="n">
        <v>44911</v>
      </c>
      <c r="C8177" s="1" t="n">
        <v>45357</v>
      </c>
      <c r="D8177" t="inlineStr">
        <is>
          <t>VÄSTERBOTTENS LÄN</t>
        </is>
      </c>
      <c r="E8177" t="inlineStr">
        <is>
          <t>VILHELMINA</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60577-2022</t>
        </is>
      </c>
      <c r="B8178" s="1" t="n">
        <v>44911</v>
      </c>
      <c r="C8178" s="1" t="n">
        <v>45357</v>
      </c>
      <c r="D8178" t="inlineStr">
        <is>
          <t>VÄSTERBOTTENS LÄN</t>
        </is>
      </c>
      <c r="E8178" t="inlineStr">
        <is>
          <t>MALÅ</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60672-2022</t>
        </is>
      </c>
      <c r="B8179" s="1" t="n">
        <v>44911</v>
      </c>
      <c r="C8179" s="1" t="n">
        <v>45357</v>
      </c>
      <c r="D8179" t="inlineStr">
        <is>
          <t>VÄSTERBOTTENS LÄN</t>
        </is>
      </c>
      <c r="E8179" t="inlineStr">
        <is>
          <t>VINDELN</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60484-2022</t>
        </is>
      </c>
      <c r="B8180" s="1" t="n">
        <v>44911</v>
      </c>
      <c r="C8180" s="1" t="n">
        <v>45357</v>
      </c>
      <c r="D8180" t="inlineStr">
        <is>
          <t>VÄSTERBOTTENS LÄN</t>
        </is>
      </c>
      <c r="E8180" t="inlineStr">
        <is>
          <t>SKELLEFTEÅ</t>
        </is>
      </c>
      <c r="G8180" t="n">
        <v>13.8</v>
      </c>
      <c r="H8180" t="n">
        <v>0</v>
      </c>
      <c r="I8180" t="n">
        <v>0</v>
      </c>
      <c r="J8180" t="n">
        <v>0</v>
      </c>
      <c r="K8180" t="n">
        <v>0</v>
      </c>
      <c r="L8180" t="n">
        <v>0</v>
      </c>
      <c r="M8180" t="n">
        <v>0</v>
      </c>
      <c r="N8180" t="n">
        <v>0</v>
      </c>
      <c r="O8180" t="n">
        <v>0</v>
      </c>
      <c r="P8180" t="n">
        <v>0</v>
      </c>
      <c r="Q8180" t="n">
        <v>0</v>
      </c>
      <c r="R8180" s="2" t="inlineStr"/>
    </row>
    <row r="8181" ht="15" customHeight="1">
      <c r="A8181" t="inlineStr">
        <is>
          <t>A 60570-2022</t>
        </is>
      </c>
      <c r="B8181" s="1" t="n">
        <v>44911</v>
      </c>
      <c r="C8181" s="1" t="n">
        <v>45357</v>
      </c>
      <c r="D8181" t="inlineStr">
        <is>
          <t>VÄSTERBOTTENS LÄN</t>
        </is>
      </c>
      <c r="E8181" t="inlineStr">
        <is>
          <t>LYCKSELE</t>
        </is>
      </c>
      <c r="F8181" t="inlineStr">
        <is>
          <t>Sveaskog</t>
        </is>
      </c>
      <c r="G8181" t="n">
        <v>17.4</v>
      </c>
      <c r="H8181" t="n">
        <v>0</v>
      </c>
      <c r="I8181" t="n">
        <v>0</v>
      </c>
      <c r="J8181" t="n">
        <v>0</v>
      </c>
      <c r="K8181" t="n">
        <v>0</v>
      </c>
      <c r="L8181" t="n">
        <v>0</v>
      </c>
      <c r="M8181" t="n">
        <v>0</v>
      </c>
      <c r="N8181" t="n">
        <v>0</v>
      </c>
      <c r="O8181" t="n">
        <v>0</v>
      </c>
      <c r="P8181" t="n">
        <v>0</v>
      </c>
      <c r="Q8181" t="n">
        <v>0</v>
      </c>
      <c r="R8181" s="2" t="inlineStr"/>
    </row>
    <row r="8182" ht="15" customHeight="1">
      <c r="A8182" t="inlineStr">
        <is>
          <t>A 60585-2022</t>
        </is>
      </c>
      <c r="B8182" s="1" t="n">
        <v>44911</v>
      </c>
      <c r="C8182" s="1" t="n">
        <v>45357</v>
      </c>
      <c r="D8182" t="inlineStr">
        <is>
          <t>VÄSTERBOTTENS LÄN</t>
        </is>
      </c>
      <c r="E8182" t="inlineStr">
        <is>
          <t>SKELLEFTEÅ</t>
        </is>
      </c>
      <c r="F8182" t="inlineStr">
        <is>
          <t>Sveaskog</t>
        </is>
      </c>
      <c r="G8182" t="n">
        <v>6.1</v>
      </c>
      <c r="H8182" t="n">
        <v>0</v>
      </c>
      <c r="I8182" t="n">
        <v>0</v>
      </c>
      <c r="J8182" t="n">
        <v>0</v>
      </c>
      <c r="K8182" t="n">
        <v>0</v>
      </c>
      <c r="L8182" t="n">
        <v>0</v>
      </c>
      <c r="M8182" t="n">
        <v>0</v>
      </c>
      <c r="N8182" t="n">
        <v>0</v>
      </c>
      <c r="O8182" t="n">
        <v>0</v>
      </c>
      <c r="P8182" t="n">
        <v>0</v>
      </c>
      <c r="Q8182" t="n">
        <v>0</v>
      </c>
      <c r="R8182" s="2" t="inlineStr"/>
    </row>
    <row r="8183" ht="15" customHeight="1">
      <c r="A8183" t="inlineStr">
        <is>
          <t>A 60590-2022</t>
        </is>
      </c>
      <c r="B8183" s="1" t="n">
        <v>44911</v>
      </c>
      <c r="C8183" s="1" t="n">
        <v>45357</v>
      </c>
      <c r="D8183" t="inlineStr">
        <is>
          <t>VÄSTERBOTTENS LÄN</t>
        </is>
      </c>
      <c r="E8183" t="inlineStr">
        <is>
          <t>SKELLEFTEÅ</t>
        </is>
      </c>
      <c r="F8183" t="inlineStr">
        <is>
          <t>Sveaskog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60692-2022</t>
        </is>
      </c>
      <c r="B8184" s="1" t="n">
        <v>44911</v>
      </c>
      <c r="C8184" s="1" t="n">
        <v>45357</v>
      </c>
      <c r="D8184" t="inlineStr">
        <is>
          <t>VÄSTERBOTTENS LÄN</t>
        </is>
      </c>
      <c r="E8184" t="inlineStr">
        <is>
          <t>BJURHOLM</t>
        </is>
      </c>
      <c r="F8184" t="inlineStr">
        <is>
          <t>SCA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61697-2022</t>
        </is>
      </c>
      <c r="B8185" s="1" t="n">
        <v>44911</v>
      </c>
      <c r="C8185" s="1" t="n">
        <v>45357</v>
      </c>
      <c r="D8185" t="inlineStr">
        <is>
          <t>VÄSTERBOTTENS LÄN</t>
        </is>
      </c>
      <c r="E8185" t="inlineStr">
        <is>
          <t>SKELLEFTEÅ</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60689-2022</t>
        </is>
      </c>
      <c r="B8186" s="1" t="n">
        <v>44911</v>
      </c>
      <c r="C8186" s="1" t="n">
        <v>45357</v>
      </c>
      <c r="D8186" t="inlineStr">
        <is>
          <t>VÄSTERBOTTENS LÄN</t>
        </is>
      </c>
      <c r="E8186" t="inlineStr">
        <is>
          <t>BJURHOLM</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60694-2022</t>
        </is>
      </c>
      <c r="B8187" s="1" t="n">
        <v>44911</v>
      </c>
      <c r="C8187" s="1" t="n">
        <v>45357</v>
      </c>
      <c r="D8187" t="inlineStr">
        <is>
          <t>VÄSTERBOTTENS LÄN</t>
        </is>
      </c>
      <c r="E8187" t="inlineStr">
        <is>
          <t>ÅSELE</t>
        </is>
      </c>
      <c r="F8187" t="inlineStr">
        <is>
          <t>SCA</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61700-2022</t>
        </is>
      </c>
      <c r="B8188" s="1" t="n">
        <v>44911</v>
      </c>
      <c r="C8188" s="1" t="n">
        <v>45357</v>
      </c>
      <c r="D8188" t="inlineStr">
        <is>
          <t>VÄSTERBOTTENS LÄN</t>
        </is>
      </c>
      <c r="E8188" t="inlineStr">
        <is>
          <t>SKELLEFTEÅ</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61755-2022</t>
        </is>
      </c>
      <c r="B8189" s="1" t="n">
        <v>44911</v>
      </c>
      <c r="C8189" s="1" t="n">
        <v>45357</v>
      </c>
      <c r="D8189" t="inlineStr">
        <is>
          <t>VÄSTERBOTTENS LÄN</t>
        </is>
      </c>
      <c r="E8189" t="inlineStr">
        <is>
          <t>VÄNNÄS</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61799-2022</t>
        </is>
      </c>
      <c r="B8190" s="1" t="n">
        <v>44911</v>
      </c>
      <c r="C8190" s="1" t="n">
        <v>45357</v>
      </c>
      <c r="D8190" t="inlineStr">
        <is>
          <t>VÄSTERBOTTENS LÄN</t>
        </is>
      </c>
      <c r="E8190" t="inlineStr">
        <is>
          <t>LYCKSELE</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60691-2022</t>
        </is>
      </c>
      <c r="B8191" s="1" t="n">
        <v>44911</v>
      </c>
      <c r="C8191" s="1" t="n">
        <v>45357</v>
      </c>
      <c r="D8191" t="inlineStr">
        <is>
          <t>VÄSTERBOTTENS LÄN</t>
        </is>
      </c>
      <c r="E8191" t="inlineStr">
        <is>
          <t>BJURHOLM</t>
        </is>
      </c>
      <c r="F8191" t="inlineStr">
        <is>
          <t>SCA</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60721-2022</t>
        </is>
      </c>
      <c r="B8192" s="1" t="n">
        <v>44913</v>
      </c>
      <c r="C8192" s="1" t="n">
        <v>45357</v>
      </c>
      <c r="D8192" t="inlineStr">
        <is>
          <t>VÄSTERBOTTENS LÄN</t>
        </is>
      </c>
      <c r="E8192" t="inlineStr">
        <is>
          <t>NORDMALING</t>
        </is>
      </c>
      <c r="F8192" t="inlineStr">
        <is>
          <t>SCA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60714-2022</t>
        </is>
      </c>
      <c r="B8193" s="1" t="n">
        <v>44912</v>
      </c>
      <c r="C8193" s="1" t="n">
        <v>45357</v>
      </c>
      <c r="D8193" t="inlineStr">
        <is>
          <t>VÄSTERBOTTENS LÄN</t>
        </is>
      </c>
      <c r="E8193" t="inlineStr">
        <is>
          <t>LYCKSELE</t>
        </is>
      </c>
      <c r="F8193" t="inlineStr">
        <is>
          <t>Sveaskog</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60720-2022</t>
        </is>
      </c>
      <c r="B8194" s="1" t="n">
        <v>44913</v>
      </c>
      <c r="C8194" s="1" t="n">
        <v>45357</v>
      </c>
      <c r="D8194" t="inlineStr">
        <is>
          <t>VÄSTERBOTTENS LÄN</t>
        </is>
      </c>
      <c r="E8194" t="inlineStr">
        <is>
          <t>NORDMALING</t>
        </is>
      </c>
      <c r="F8194" t="inlineStr">
        <is>
          <t>SCA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60723-2022</t>
        </is>
      </c>
      <c r="B8195" s="1" t="n">
        <v>44913</v>
      </c>
      <c r="C8195" s="1" t="n">
        <v>45357</v>
      </c>
      <c r="D8195" t="inlineStr">
        <is>
          <t>VÄSTERBOTTENS LÄN</t>
        </is>
      </c>
      <c r="E8195" t="inlineStr">
        <is>
          <t>LYCKSELE</t>
        </is>
      </c>
      <c r="G8195" t="n">
        <v>14.9</v>
      </c>
      <c r="H8195" t="n">
        <v>0</v>
      </c>
      <c r="I8195" t="n">
        <v>0</v>
      </c>
      <c r="J8195" t="n">
        <v>0</v>
      </c>
      <c r="K8195" t="n">
        <v>0</v>
      </c>
      <c r="L8195" t="n">
        <v>0</v>
      </c>
      <c r="M8195" t="n">
        <v>0</v>
      </c>
      <c r="N8195" t="n">
        <v>0</v>
      </c>
      <c r="O8195" t="n">
        <v>0</v>
      </c>
      <c r="P8195" t="n">
        <v>0</v>
      </c>
      <c r="Q8195" t="n">
        <v>0</v>
      </c>
      <c r="R8195" s="2" t="inlineStr"/>
    </row>
    <row r="8196" ht="15" customHeight="1">
      <c r="A8196" t="inlineStr">
        <is>
          <t>A 60738-2022</t>
        </is>
      </c>
      <c r="B8196" s="1" t="n">
        <v>44913</v>
      </c>
      <c r="C8196" s="1" t="n">
        <v>45357</v>
      </c>
      <c r="D8196" t="inlineStr">
        <is>
          <t>VÄSTERBOTTENS LÄN</t>
        </is>
      </c>
      <c r="E8196" t="inlineStr">
        <is>
          <t>ROBERTSFORS</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60745-2022</t>
        </is>
      </c>
      <c r="B8197" s="1" t="n">
        <v>44914</v>
      </c>
      <c r="C8197" s="1" t="n">
        <v>45357</v>
      </c>
      <c r="D8197" t="inlineStr">
        <is>
          <t>VÄSTERBOTTENS LÄN</t>
        </is>
      </c>
      <c r="E8197" t="inlineStr">
        <is>
          <t>VINDELN</t>
        </is>
      </c>
      <c r="F8197" t="inlineStr">
        <is>
          <t>Sveaskog</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60787-2022</t>
        </is>
      </c>
      <c r="B8198" s="1" t="n">
        <v>44914</v>
      </c>
      <c r="C8198" s="1" t="n">
        <v>45357</v>
      </c>
      <c r="D8198" t="inlineStr">
        <is>
          <t>VÄSTERBOTTENS LÄN</t>
        </is>
      </c>
      <c r="E8198" t="inlineStr">
        <is>
          <t>SKELLEFTEÅ</t>
        </is>
      </c>
      <c r="F8198" t="inlineStr">
        <is>
          <t>Sveaskog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60853-2022</t>
        </is>
      </c>
      <c r="B8199" s="1" t="n">
        <v>44914</v>
      </c>
      <c r="C8199" s="1" t="n">
        <v>45357</v>
      </c>
      <c r="D8199" t="inlineStr">
        <is>
          <t>VÄSTERBOTTENS LÄN</t>
        </is>
      </c>
      <c r="E8199" t="inlineStr">
        <is>
          <t>SKELLEFTEÅ</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60757-2022</t>
        </is>
      </c>
      <c r="B8200" s="1" t="n">
        <v>44914</v>
      </c>
      <c r="C8200" s="1" t="n">
        <v>45357</v>
      </c>
      <c r="D8200" t="inlineStr">
        <is>
          <t>VÄSTERBOTTENS LÄN</t>
        </is>
      </c>
      <c r="E8200" t="inlineStr">
        <is>
          <t>VINDELN</t>
        </is>
      </c>
      <c r="F8200" t="inlineStr">
        <is>
          <t>Sveaskog</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60858-2022</t>
        </is>
      </c>
      <c r="B8201" s="1" t="n">
        <v>44914</v>
      </c>
      <c r="C8201" s="1" t="n">
        <v>45357</v>
      </c>
      <c r="D8201" t="inlineStr">
        <is>
          <t>VÄSTERBOTTENS LÄN</t>
        </is>
      </c>
      <c r="E8201" t="inlineStr">
        <is>
          <t>SKELLEFTEÅ</t>
        </is>
      </c>
      <c r="F8201" t="inlineStr">
        <is>
          <t>Sveaskog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60784-2022</t>
        </is>
      </c>
      <c r="B8202" s="1" t="n">
        <v>44914</v>
      </c>
      <c r="C8202" s="1" t="n">
        <v>45357</v>
      </c>
      <c r="D8202" t="inlineStr">
        <is>
          <t>VÄSTERBOTTENS LÄN</t>
        </is>
      </c>
      <c r="E8202" t="inlineStr">
        <is>
          <t>VINDELN</t>
        </is>
      </c>
      <c r="F8202" t="inlineStr">
        <is>
          <t>Sveaskog</t>
        </is>
      </c>
      <c r="G8202" t="n">
        <v>11.1</v>
      </c>
      <c r="H8202" t="n">
        <v>0</v>
      </c>
      <c r="I8202" t="n">
        <v>0</v>
      </c>
      <c r="J8202" t="n">
        <v>0</v>
      </c>
      <c r="K8202" t="n">
        <v>0</v>
      </c>
      <c r="L8202" t="n">
        <v>0</v>
      </c>
      <c r="M8202" t="n">
        <v>0</v>
      </c>
      <c r="N8202" t="n">
        <v>0</v>
      </c>
      <c r="O8202" t="n">
        <v>0</v>
      </c>
      <c r="P8202" t="n">
        <v>0</v>
      </c>
      <c r="Q8202" t="n">
        <v>0</v>
      </c>
      <c r="R8202" s="2" t="inlineStr"/>
    </row>
    <row r="8203" ht="15" customHeight="1">
      <c r="A8203" t="inlineStr">
        <is>
          <t>A 61027-2022</t>
        </is>
      </c>
      <c r="B8203" s="1" t="n">
        <v>44914</v>
      </c>
      <c r="C8203" s="1" t="n">
        <v>45357</v>
      </c>
      <c r="D8203" t="inlineStr">
        <is>
          <t>VÄSTERBOTTENS LÄN</t>
        </is>
      </c>
      <c r="E8203" t="inlineStr">
        <is>
          <t>SORSELE</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60789-2022</t>
        </is>
      </c>
      <c r="B8204" s="1" t="n">
        <v>44914</v>
      </c>
      <c r="C8204" s="1" t="n">
        <v>45357</v>
      </c>
      <c r="D8204" t="inlineStr">
        <is>
          <t>VÄSTERBOTTENS LÄN</t>
        </is>
      </c>
      <c r="E8204" t="inlineStr">
        <is>
          <t>SKELLEFTEÅ</t>
        </is>
      </c>
      <c r="F8204" t="inlineStr">
        <is>
          <t>Sveaskog</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60811-2022</t>
        </is>
      </c>
      <c r="B8205" s="1" t="n">
        <v>44914</v>
      </c>
      <c r="C8205" s="1" t="n">
        <v>45357</v>
      </c>
      <c r="D8205" t="inlineStr">
        <is>
          <t>VÄSTERBOTTENS LÄN</t>
        </is>
      </c>
      <c r="E8205" t="inlineStr">
        <is>
          <t>UMEÅ</t>
        </is>
      </c>
      <c r="F8205" t="inlineStr">
        <is>
          <t>Holmen skog AB</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60960-2022</t>
        </is>
      </c>
      <c r="B8206" s="1" t="n">
        <v>44914</v>
      </c>
      <c r="C8206" s="1" t="n">
        <v>45357</v>
      </c>
      <c r="D8206" t="inlineStr">
        <is>
          <t>VÄSTERBOTTENS LÄN</t>
        </is>
      </c>
      <c r="E8206" t="inlineStr">
        <is>
          <t>UMEÅ</t>
        </is>
      </c>
      <c r="F8206" t="inlineStr">
        <is>
          <t>Holmen skog AB</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60991-2022</t>
        </is>
      </c>
      <c r="B8207" s="1" t="n">
        <v>44914</v>
      </c>
      <c r="C8207" s="1" t="n">
        <v>45357</v>
      </c>
      <c r="D8207" t="inlineStr">
        <is>
          <t>VÄSTERBOTTENS LÄN</t>
        </is>
      </c>
      <c r="E8207" t="inlineStr">
        <is>
          <t>NORSJÖ</t>
        </is>
      </c>
      <c r="F8207" t="inlineStr">
        <is>
          <t>Holmen skog AB</t>
        </is>
      </c>
      <c r="G8207" t="n">
        <v>9.300000000000001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61033-2022</t>
        </is>
      </c>
      <c r="B8208" s="1" t="n">
        <v>44914</v>
      </c>
      <c r="C8208" s="1" t="n">
        <v>45357</v>
      </c>
      <c r="D8208" t="inlineStr">
        <is>
          <t>VÄSTERBOTTENS LÄN</t>
        </is>
      </c>
      <c r="E8208" t="inlineStr">
        <is>
          <t>NORSJÖ</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61044-2022</t>
        </is>
      </c>
      <c r="B8209" s="1" t="n">
        <v>44915</v>
      </c>
      <c r="C8209" s="1" t="n">
        <v>45357</v>
      </c>
      <c r="D8209" t="inlineStr">
        <is>
          <t>VÄSTERBOTTENS LÄN</t>
        </is>
      </c>
      <c r="E8209" t="inlineStr">
        <is>
          <t>BJURHOLM</t>
        </is>
      </c>
      <c r="F8209" t="inlineStr">
        <is>
          <t>SCA</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61024-2022</t>
        </is>
      </c>
      <c r="B8210" s="1" t="n">
        <v>44914</v>
      </c>
      <c r="C8210" s="1" t="n">
        <v>45357</v>
      </c>
      <c r="D8210" t="inlineStr">
        <is>
          <t>VÄSTERBOTTENS LÄN</t>
        </is>
      </c>
      <c r="E8210" t="inlineStr">
        <is>
          <t>SORSELE</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61030-2022</t>
        </is>
      </c>
      <c r="B8211" s="1" t="n">
        <v>44914</v>
      </c>
      <c r="C8211" s="1" t="n">
        <v>45357</v>
      </c>
      <c r="D8211" t="inlineStr">
        <is>
          <t>VÄSTERBOTTENS LÄN</t>
        </is>
      </c>
      <c r="E8211" t="inlineStr">
        <is>
          <t>SORSELE</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62028-2022</t>
        </is>
      </c>
      <c r="B8212" s="1" t="n">
        <v>44914</v>
      </c>
      <c r="C8212" s="1" t="n">
        <v>45357</v>
      </c>
      <c r="D8212" t="inlineStr">
        <is>
          <t>VÄSTERBOTTENS LÄN</t>
        </is>
      </c>
      <c r="E8212" t="inlineStr">
        <is>
          <t>SKELLEFTEÅ</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61035-2022</t>
        </is>
      </c>
      <c r="B8213" s="1" t="n">
        <v>44914</v>
      </c>
      <c r="C8213" s="1" t="n">
        <v>45357</v>
      </c>
      <c r="D8213" t="inlineStr">
        <is>
          <t>VÄSTERBOTTENS LÄN</t>
        </is>
      </c>
      <c r="E8213" t="inlineStr">
        <is>
          <t>NORSJÖ</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61048-2022</t>
        </is>
      </c>
      <c r="B8214" s="1" t="n">
        <v>44914</v>
      </c>
      <c r="C8214" s="1" t="n">
        <v>45357</v>
      </c>
      <c r="D8214" t="inlineStr">
        <is>
          <t>VÄSTERBOTTENS LÄN</t>
        </is>
      </c>
      <c r="E8214" t="inlineStr">
        <is>
          <t>VILHELMINA</t>
        </is>
      </c>
      <c r="F8214" t="inlineStr">
        <is>
          <t>SCA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61833-2022</t>
        </is>
      </c>
      <c r="B8215" s="1" t="n">
        <v>44914</v>
      </c>
      <c r="C8215" s="1" t="n">
        <v>45357</v>
      </c>
      <c r="D8215" t="inlineStr">
        <is>
          <t>VÄSTERBOTTENS LÄN</t>
        </is>
      </c>
      <c r="E8215" t="inlineStr">
        <is>
          <t>ROBERTSFORS</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62027-2022</t>
        </is>
      </c>
      <c r="B8216" s="1" t="n">
        <v>44914</v>
      </c>
      <c r="C8216" s="1" t="n">
        <v>45357</v>
      </c>
      <c r="D8216" t="inlineStr">
        <is>
          <t>VÄSTERBOTTENS LÄN</t>
        </is>
      </c>
      <c r="E8216" t="inlineStr">
        <is>
          <t>SKELLEFTEÅ</t>
        </is>
      </c>
      <c r="G8216" t="n">
        <v>8.5</v>
      </c>
      <c r="H8216" t="n">
        <v>0</v>
      </c>
      <c r="I8216" t="n">
        <v>0</v>
      </c>
      <c r="J8216" t="n">
        <v>0</v>
      </c>
      <c r="K8216" t="n">
        <v>0</v>
      </c>
      <c r="L8216" t="n">
        <v>0</v>
      </c>
      <c r="M8216" t="n">
        <v>0</v>
      </c>
      <c r="N8216" t="n">
        <v>0</v>
      </c>
      <c r="O8216" t="n">
        <v>0</v>
      </c>
      <c r="P8216" t="n">
        <v>0</v>
      </c>
      <c r="Q8216" t="n">
        <v>0</v>
      </c>
      <c r="R8216" s="2" t="inlineStr"/>
    </row>
    <row r="8217" ht="15" customHeight="1">
      <c r="A8217" t="inlineStr">
        <is>
          <t>A 61034-2022</t>
        </is>
      </c>
      <c r="B8217" s="1" t="n">
        <v>44914</v>
      </c>
      <c r="C8217" s="1" t="n">
        <v>45357</v>
      </c>
      <c r="D8217" t="inlineStr">
        <is>
          <t>VÄSTERBOTTENS LÄN</t>
        </is>
      </c>
      <c r="E8217" t="inlineStr">
        <is>
          <t>UMEÅ</t>
        </is>
      </c>
      <c r="G8217" t="n">
        <v>16.7</v>
      </c>
      <c r="H8217" t="n">
        <v>0</v>
      </c>
      <c r="I8217" t="n">
        <v>0</v>
      </c>
      <c r="J8217" t="n">
        <v>0</v>
      </c>
      <c r="K8217" t="n">
        <v>0</v>
      </c>
      <c r="L8217" t="n">
        <v>0</v>
      </c>
      <c r="M8217" t="n">
        <v>0</v>
      </c>
      <c r="N8217" t="n">
        <v>0</v>
      </c>
      <c r="O8217" t="n">
        <v>0</v>
      </c>
      <c r="P8217" t="n">
        <v>0</v>
      </c>
      <c r="Q8217" t="n">
        <v>0</v>
      </c>
      <c r="R8217" s="2" t="inlineStr"/>
    </row>
    <row r="8218" ht="15" customHeight="1">
      <c r="A8218" t="inlineStr">
        <is>
          <t>A 62025-2022</t>
        </is>
      </c>
      <c r="B8218" s="1" t="n">
        <v>44914</v>
      </c>
      <c r="C8218" s="1" t="n">
        <v>45357</v>
      </c>
      <c r="D8218" t="inlineStr">
        <is>
          <t>VÄSTERBOTTENS LÄN</t>
        </is>
      </c>
      <c r="E8218" t="inlineStr">
        <is>
          <t>SKELLEFTEÅ</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61131-2022</t>
        </is>
      </c>
      <c r="B8219" s="1" t="n">
        <v>44915</v>
      </c>
      <c r="C8219" s="1" t="n">
        <v>45357</v>
      </c>
      <c r="D8219" t="inlineStr">
        <is>
          <t>VÄSTERBOTTENS LÄN</t>
        </is>
      </c>
      <c r="E8219" t="inlineStr">
        <is>
          <t>LYCKSELE</t>
        </is>
      </c>
      <c r="F8219" t="inlineStr">
        <is>
          <t>Sveaskog</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61075-2022</t>
        </is>
      </c>
      <c r="B8220" s="1" t="n">
        <v>44915</v>
      </c>
      <c r="C8220" s="1" t="n">
        <v>45357</v>
      </c>
      <c r="D8220" t="inlineStr">
        <is>
          <t>VÄSTERBOTTENS LÄN</t>
        </is>
      </c>
      <c r="E8220" t="inlineStr">
        <is>
          <t>VINDELN</t>
        </is>
      </c>
      <c r="F8220" t="inlineStr">
        <is>
          <t>Sveaskog</t>
        </is>
      </c>
      <c r="G8220" t="n">
        <v>21.8</v>
      </c>
      <c r="H8220" t="n">
        <v>0</v>
      </c>
      <c r="I8220" t="n">
        <v>0</v>
      </c>
      <c r="J8220" t="n">
        <v>0</v>
      </c>
      <c r="K8220" t="n">
        <v>0</v>
      </c>
      <c r="L8220" t="n">
        <v>0</v>
      </c>
      <c r="M8220" t="n">
        <v>0</v>
      </c>
      <c r="N8220" t="n">
        <v>0</v>
      </c>
      <c r="O8220" t="n">
        <v>0</v>
      </c>
      <c r="P8220" t="n">
        <v>0</v>
      </c>
      <c r="Q8220" t="n">
        <v>0</v>
      </c>
      <c r="R8220" s="2" t="inlineStr"/>
    </row>
    <row r="8221" ht="15" customHeight="1">
      <c r="A8221" t="inlineStr">
        <is>
          <t>A 61105-2022</t>
        </is>
      </c>
      <c r="B8221" s="1" t="n">
        <v>44915</v>
      </c>
      <c r="C8221" s="1" t="n">
        <v>45357</v>
      </c>
      <c r="D8221" t="inlineStr">
        <is>
          <t>VÄSTERBOTTENS LÄN</t>
        </is>
      </c>
      <c r="E8221" t="inlineStr">
        <is>
          <t>SKELLEFTEÅ</t>
        </is>
      </c>
      <c r="F8221" t="inlineStr">
        <is>
          <t>Sveaskog</t>
        </is>
      </c>
      <c r="G8221" t="n">
        <v>19.5</v>
      </c>
      <c r="H8221" t="n">
        <v>0</v>
      </c>
      <c r="I8221" t="n">
        <v>0</v>
      </c>
      <c r="J8221" t="n">
        <v>0</v>
      </c>
      <c r="K8221" t="n">
        <v>0</v>
      </c>
      <c r="L8221" t="n">
        <v>0</v>
      </c>
      <c r="M8221" t="n">
        <v>0</v>
      </c>
      <c r="N8221" t="n">
        <v>0</v>
      </c>
      <c r="O8221" t="n">
        <v>0</v>
      </c>
      <c r="P8221" t="n">
        <v>0</v>
      </c>
      <c r="Q8221" t="n">
        <v>0</v>
      </c>
      <c r="R8221" s="2" t="inlineStr"/>
    </row>
    <row r="8222" ht="15" customHeight="1">
      <c r="A8222" t="inlineStr">
        <is>
          <t>A 61101-2022</t>
        </is>
      </c>
      <c r="B8222" s="1" t="n">
        <v>44915</v>
      </c>
      <c r="C8222" s="1" t="n">
        <v>45357</v>
      </c>
      <c r="D8222" t="inlineStr">
        <is>
          <t>VÄSTERBOTTENS LÄN</t>
        </is>
      </c>
      <c r="E8222" t="inlineStr">
        <is>
          <t>SKELLEFTEÅ</t>
        </is>
      </c>
      <c r="F8222" t="inlineStr">
        <is>
          <t>Sveaskog</t>
        </is>
      </c>
      <c r="G8222" t="n">
        <v>8</v>
      </c>
      <c r="H8222" t="n">
        <v>0</v>
      </c>
      <c r="I8222" t="n">
        <v>0</v>
      </c>
      <c r="J8222" t="n">
        <v>0</v>
      </c>
      <c r="K8222" t="n">
        <v>0</v>
      </c>
      <c r="L8222" t="n">
        <v>0</v>
      </c>
      <c r="M8222" t="n">
        <v>0</v>
      </c>
      <c r="N8222" t="n">
        <v>0</v>
      </c>
      <c r="O8222" t="n">
        <v>0</v>
      </c>
      <c r="P8222" t="n">
        <v>0</v>
      </c>
      <c r="Q8222" t="n">
        <v>0</v>
      </c>
      <c r="R8222" s="2" t="inlineStr"/>
    </row>
    <row r="8223" ht="15" customHeight="1">
      <c r="A8223" t="inlineStr">
        <is>
          <t>A 61115-2022</t>
        </is>
      </c>
      <c r="B8223" s="1" t="n">
        <v>44915</v>
      </c>
      <c r="C8223" s="1" t="n">
        <v>45357</v>
      </c>
      <c r="D8223" t="inlineStr">
        <is>
          <t>VÄSTERBOTTENS LÄN</t>
        </is>
      </c>
      <c r="E8223" t="inlineStr">
        <is>
          <t>NORSJÖ</t>
        </is>
      </c>
      <c r="F8223" t="inlineStr">
        <is>
          <t>Holmen skog AB</t>
        </is>
      </c>
      <c r="G8223" t="n">
        <v>21.7</v>
      </c>
      <c r="H8223" t="n">
        <v>0</v>
      </c>
      <c r="I8223" t="n">
        <v>0</v>
      </c>
      <c r="J8223" t="n">
        <v>0</v>
      </c>
      <c r="K8223" t="n">
        <v>0</v>
      </c>
      <c r="L8223" t="n">
        <v>0</v>
      </c>
      <c r="M8223" t="n">
        <v>0</v>
      </c>
      <c r="N8223" t="n">
        <v>0</v>
      </c>
      <c r="O8223" t="n">
        <v>0</v>
      </c>
      <c r="P8223" t="n">
        <v>0</v>
      </c>
      <c r="Q8223" t="n">
        <v>0</v>
      </c>
      <c r="R8223" s="2" t="inlineStr"/>
    </row>
    <row r="8224" ht="15" customHeight="1">
      <c r="A8224" t="inlineStr">
        <is>
          <t>A 61132-2022</t>
        </is>
      </c>
      <c r="B8224" s="1" t="n">
        <v>44915</v>
      </c>
      <c r="C8224" s="1" t="n">
        <v>45357</v>
      </c>
      <c r="D8224" t="inlineStr">
        <is>
          <t>VÄSTERBOTTENS LÄN</t>
        </is>
      </c>
      <c r="E8224" t="inlineStr">
        <is>
          <t>SKELLEFTEÅ</t>
        </is>
      </c>
      <c r="F8224" t="inlineStr">
        <is>
          <t>Sveaskog</t>
        </is>
      </c>
      <c r="G8224" t="n">
        <v>14.5</v>
      </c>
      <c r="H8224" t="n">
        <v>0</v>
      </c>
      <c r="I8224" t="n">
        <v>0</v>
      </c>
      <c r="J8224" t="n">
        <v>0</v>
      </c>
      <c r="K8224" t="n">
        <v>0</v>
      </c>
      <c r="L8224" t="n">
        <v>0</v>
      </c>
      <c r="M8224" t="n">
        <v>0</v>
      </c>
      <c r="N8224" t="n">
        <v>0</v>
      </c>
      <c r="O8224" t="n">
        <v>0</v>
      </c>
      <c r="P8224" t="n">
        <v>0</v>
      </c>
      <c r="Q8224" t="n">
        <v>0</v>
      </c>
      <c r="R8224" s="2" t="inlineStr"/>
    </row>
    <row r="8225" ht="15" customHeight="1">
      <c r="A8225" t="inlineStr">
        <is>
          <t>A 61348-2022</t>
        </is>
      </c>
      <c r="B8225" s="1" t="n">
        <v>44915</v>
      </c>
      <c r="C8225" s="1" t="n">
        <v>45357</v>
      </c>
      <c r="D8225" t="inlineStr">
        <is>
          <t>VÄSTERBOTTENS LÄN</t>
        </is>
      </c>
      <c r="E8225" t="inlineStr">
        <is>
          <t>SKELLEFTEÅ</t>
        </is>
      </c>
      <c r="F8225" t="inlineStr">
        <is>
          <t>Sveaskog</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61390-2022</t>
        </is>
      </c>
      <c r="B8226" s="1" t="n">
        <v>44915</v>
      </c>
      <c r="C8226" s="1" t="n">
        <v>45357</v>
      </c>
      <c r="D8226" t="inlineStr">
        <is>
          <t>VÄSTERBOTTENS LÄN</t>
        </is>
      </c>
      <c r="E8226" t="inlineStr">
        <is>
          <t>LYCKSELE</t>
        </is>
      </c>
      <c r="F8226" t="inlineStr">
        <is>
          <t>SCA</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61395-2022</t>
        </is>
      </c>
      <c r="B8227" s="1" t="n">
        <v>44915</v>
      </c>
      <c r="C8227" s="1" t="n">
        <v>45357</v>
      </c>
      <c r="D8227" t="inlineStr">
        <is>
          <t>VÄSTERBOTTENS LÄN</t>
        </is>
      </c>
      <c r="E8227" t="inlineStr">
        <is>
          <t>VINDELN</t>
        </is>
      </c>
      <c r="F8227" t="inlineStr">
        <is>
          <t>SCA</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61152-2022</t>
        </is>
      </c>
      <c r="B8228" s="1" t="n">
        <v>44915</v>
      </c>
      <c r="C8228" s="1" t="n">
        <v>45357</v>
      </c>
      <c r="D8228" t="inlineStr">
        <is>
          <t>VÄSTERBOTTENS LÄN</t>
        </is>
      </c>
      <c r="E8228" t="inlineStr">
        <is>
          <t>NORSJÖ</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61396-2022</t>
        </is>
      </c>
      <c r="B8229" s="1" t="n">
        <v>44915</v>
      </c>
      <c r="C8229" s="1" t="n">
        <v>45357</v>
      </c>
      <c r="D8229" t="inlineStr">
        <is>
          <t>VÄSTERBOTTENS LÄN</t>
        </is>
      </c>
      <c r="E8229" t="inlineStr">
        <is>
          <t>VINDELN</t>
        </is>
      </c>
      <c r="F8229" t="inlineStr">
        <is>
          <t>SCA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61397-2022</t>
        </is>
      </c>
      <c r="B8230" s="1" t="n">
        <v>44915</v>
      </c>
      <c r="C8230" s="1" t="n">
        <v>45357</v>
      </c>
      <c r="D8230" t="inlineStr">
        <is>
          <t>VÄSTERBOTTENS LÄN</t>
        </is>
      </c>
      <c r="E8230" t="inlineStr">
        <is>
          <t>ÅSELE</t>
        </is>
      </c>
      <c r="F8230" t="inlineStr">
        <is>
          <t>SCA</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61393-2022</t>
        </is>
      </c>
      <c r="B8231" s="1" t="n">
        <v>44915</v>
      </c>
      <c r="C8231" s="1" t="n">
        <v>45357</v>
      </c>
      <c r="D8231" t="inlineStr">
        <is>
          <t>VÄSTERBOTTENS LÄN</t>
        </is>
      </c>
      <c r="E8231" t="inlineStr">
        <is>
          <t>DOROTEA</t>
        </is>
      </c>
      <c r="F8231" t="inlineStr">
        <is>
          <t>SCA</t>
        </is>
      </c>
      <c r="G8231" t="n">
        <v>51.9</v>
      </c>
      <c r="H8231" t="n">
        <v>0</v>
      </c>
      <c r="I8231" t="n">
        <v>0</v>
      </c>
      <c r="J8231" t="n">
        <v>0</v>
      </c>
      <c r="K8231" t="n">
        <v>0</v>
      </c>
      <c r="L8231" t="n">
        <v>0</v>
      </c>
      <c r="M8231" t="n">
        <v>0</v>
      </c>
      <c r="N8231" t="n">
        <v>0</v>
      </c>
      <c r="O8231" t="n">
        <v>0</v>
      </c>
      <c r="P8231" t="n">
        <v>0</v>
      </c>
      <c r="Q8231" t="n">
        <v>0</v>
      </c>
      <c r="R8231" s="2" t="inlineStr"/>
    </row>
    <row r="8232" ht="15" customHeight="1">
      <c r="A8232" t="inlineStr">
        <is>
          <t>A 61398-2022</t>
        </is>
      </c>
      <c r="B8232" s="1" t="n">
        <v>44915</v>
      </c>
      <c r="C8232" s="1" t="n">
        <v>45357</v>
      </c>
      <c r="D8232" t="inlineStr">
        <is>
          <t>VÄSTERBOTTENS LÄN</t>
        </is>
      </c>
      <c r="E8232" t="inlineStr">
        <is>
          <t>ÅSELE</t>
        </is>
      </c>
      <c r="F8232" t="inlineStr">
        <is>
          <t>SCA</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61467-2022</t>
        </is>
      </c>
      <c r="B8233" s="1" t="n">
        <v>44916</v>
      </c>
      <c r="C8233" s="1" t="n">
        <v>45357</v>
      </c>
      <c r="D8233" t="inlineStr">
        <is>
          <t>VÄSTERBOTTENS LÄN</t>
        </is>
      </c>
      <c r="E8233" t="inlineStr">
        <is>
          <t>SKELLEFTEÅ</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61554-2022</t>
        </is>
      </c>
      <c r="B8234" s="1" t="n">
        <v>44916</v>
      </c>
      <c r="C8234" s="1" t="n">
        <v>45357</v>
      </c>
      <c r="D8234" t="inlineStr">
        <is>
          <t>VÄSTERBOTTENS LÄN</t>
        </is>
      </c>
      <c r="E8234" t="inlineStr">
        <is>
          <t>SORSELE</t>
        </is>
      </c>
      <c r="F8234" t="inlineStr">
        <is>
          <t>Sveaskog</t>
        </is>
      </c>
      <c r="G8234" t="n">
        <v>32.6</v>
      </c>
      <c r="H8234" t="n">
        <v>0</v>
      </c>
      <c r="I8234" t="n">
        <v>0</v>
      </c>
      <c r="J8234" t="n">
        <v>0</v>
      </c>
      <c r="K8234" t="n">
        <v>0</v>
      </c>
      <c r="L8234" t="n">
        <v>0</v>
      </c>
      <c r="M8234" t="n">
        <v>0</v>
      </c>
      <c r="N8234" t="n">
        <v>0</v>
      </c>
      <c r="O8234" t="n">
        <v>0</v>
      </c>
      <c r="P8234" t="n">
        <v>0</v>
      </c>
      <c r="Q8234" t="n">
        <v>0</v>
      </c>
      <c r="R8234" s="2" t="inlineStr"/>
    </row>
    <row r="8235" ht="15" customHeight="1">
      <c r="A8235" t="inlineStr">
        <is>
          <t>A 61542-2022</t>
        </is>
      </c>
      <c r="B8235" s="1" t="n">
        <v>44916</v>
      </c>
      <c r="C8235" s="1" t="n">
        <v>45357</v>
      </c>
      <c r="D8235" t="inlineStr">
        <is>
          <t>VÄSTERBOTTENS LÄN</t>
        </is>
      </c>
      <c r="E8235" t="inlineStr">
        <is>
          <t>NORSJÖ</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61475-2022</t>
        </is>
      </c>
      <c r="B8236" s="1" t="n">
        <v>44916</v>
      </c>
      <c r="C8236" s="1" t="n">
        <v>45357</v>
      </c>
      <c r="D8236" t="inlineStr">
        <is>
          <t>VÄSTERBOTTENS LÄN</t>
        </is>
      </c>
      <c r="E8236" t="inlineStr">
        <is>
          <t>VINDELN</t>
        </is>
      </c>
      <c r="F8236" t="inlineStr">
        <is>
          <t>Holmen skog AB</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61523-2022</t>
        </is>
      </c>
      <c r="B8237" s="1" t="n">
        <v>44916</v>
      </c>
      <c r="C8237" s="1" t="n">
        <v>45357</v>
      </c>
      <c r="D8237" t="inlineStr">
        <is>
          <t>VÄSTERBOTTENS LÄN</t>
        </is>
      </c>
      <c r="E8237" t="inlineStr">
        <is>
          <t>VINDELN</t>
        </is>
      </c>
      <c r="F8237" t="inlineStr">
        <is>
          <t>Holmen skog AB</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61556-2022</t>
        </is>
      </c>
      <c r="B8238" s="1" t="n">
        <v>44916</v>
      </c>
      <c r="C8238" s="1" t="n">
        <v>45357</v>
      </c>
      <c r="D8238" t="inlineStr">
        <is>
          <t>VÄSTERBOTTENS LÄN</t>
        </is>
      </c>
      <c r="E8238" t="inlineStr">
        <is>
          <t>SORSELE</t>
        </is>
      </c>
      <c r="F8238" t="inlineStr">
        <is>
          <t>Sveaskog</t>
        </is>
      </c>
      <c r="G8238" t="n">
        <v>28.7</v>
      </c>
      <c r="H8238" t="n">
        <v>0</v>
      </c>
      <c r="I8238" t="n">
        <v>0</v>
      </c>
      <c r="J8238" t="n">
        <v>0</v>
      </c>
      <c r="K8238" t="n">
        <v>0</v>
      </c>
      <c r="L8238" t="n">
        <v>0</v>
      </c>
      <c r="M8238" t="n">
        <v>0</v>
      </c>
      <c r="N8238" t="n">
        <v>0</v>
      </c>
      <c r="O8238" t="n">
        <v>0</v>
      </c>
      <c r="P8238" t="n">
        <v>0</v>
      </c>
      <c r="Q8238" t="n">
        <v>0</v>
      </c>
      <c r="R8238" s="2" t="inlineStr"/>
    </row>
    <row r="8239" ht="15" customHeight="1">
      <c r="A8239" t="inlineStr">
        <is>
          <t>A 61635-2022</t>
        </is>
      </c>
      <c r="B8239" s="1" t="n">
        <v>44916</v>
      </c>
      <c r="C8239" s="1" t="n">
        <v>45357</v>
      </c>
      <c r="D8239" t="inlineStr">
        <is>
          <t>VÄSTERBOTTENS LÄN</t>
        </is>
      </c>
      <c r="E8239" t="inlineStr">
        <is>
          <t>SKELLEFTEÅ</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61658-2022</t>
        </is>
      </c>
      <c r="B8240" s="1" t="n">
        <v>44916</v>
      </c>
      <c r="C8240" s="1" t="n">
        <v>45357</v>
      </c>
      <c r="D8240" t="inlineStr">
        <is>
          <t>VÄSTERBOTTENS LÄN</t>
        </is>
      </c>
      <c r="E8240" t="inlineStr">
        <is>
          <t>BJURHOLM</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61634-2022</t>
        </is>
      </c>
      <c r="B8241" s="1" t="n">
        <v>44916</v>
      </c>
      <c r="C8241" s="1" t="n">
        <v>45357</v>
      </c>
      <c r="D8241" t="inlineStr">
        <is>
          <t>VÄSTERBOTTENS LÄN</t>
        </is>
      </c>
      <c r="E8241" t="inlineStr">
        <is>
          <t>SKELLEFTEÅ</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61651-2022</t>
        </is>
      </c>
      <c r="B8242" s="1" t="n">
        <v>44916</v>
      </c>
      <c r="C8242" s="1" t="n">
        <v>45357</v>
      </c>
      <c r="D8242" t="inlineStr">
        <is>
          <t>VÄSTERBOTTENS LÄN</t>
        </is>
      </c>
      <c r="E8242" t="inlineStr">
        <is>
          <t>LYCKSELE</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61657-2022</t>
        </is>
      </c>
      <c r="B8243" s="1" t="n">
        <v>44916</v>
      </c>
      <c r="C8243" s="1" t="n">
        <v>45357</v>
      </c>
      <c r="D8243" t="inlineStr">
        <is>
          <t>VÄSTERBOTTENS LÄN</t>
        </is>
      </c>
      <c r="E8243" t="inlineStr">
        <is>
          <t>NORDMALING</t>
        </is>
      </c>
      <c r="F8243" t="inlineStr">
        <is>
          <t>SCA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61569-2022</t>
        </is>
      </c>
      <c r="B8244" s="1" t="n">
        <v>44916</v>
      </c>
      <c r="C8244" s="1" t="n">
        <v>45357</v>
      </c>
      <c r="D8244" t="inlineStr">
        <is>
          <t>VÄSTERBOTTENS LÄN</t>
        </is>
      </c>
      <c r="E8244" t="inlineStr">
        <is>
          <t>SKELLEFTEÅ</t>
        </is>
      </c>
      <c r="F8244" t="inlineStr">
        <is>
          <t>Holmen skog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61593-2022</t>
        </is>
      </c>
      <c r="B8245" s="1" t="n">
        <v>44916</v>
      </c>
      <c r="C8245" s="1" t="n">
        <v>45357</v>
      </c>
      <c r="D8245" t="inlineStr">
        <is>
          <t>VÄSTERBOTTENS LÄN</t>
        </is>
      </c>
      <c r="E8245" t="inlineStr">
        <is>
          <t>NORSJÖ</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61654-2022</t>
        </is>
      </c>
      <c r="B8246" s="1" t="n">
        <v>44916</v>
      </c>
      <c r="C8246" s="1" t="n">
        <v>45357</v>
      </c>
      <c r="D8246" t="inlineStr">
        <is>
          <t>VÄSTERBOTTENS LÄN</t>
        </is>
      </c>
      <c r="E8246" t="inlineStr">
        <is>
          <t>BJURHOLM</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61631-2022</t>
        </is>
      </c>
      <c r="B8247" s="1" t="n">
        <v>44916</v>
      </c>
      <c r="C8247" s="1" t="n">
        <v>45357</v>
      </c>
      <c r="D8247" t="inlineStr">
        <is>
          <t>VÄSTERBOTTENS LÄN</t>
        </is>
      </c>
      <c r="E8247" t="inlineStr">
        <is>
          <t>SKELLEFTEÅ</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61655-2022</t>
        </is>
      </c>
      <c r="B8248" s="1" t="n">
        <v>44916</v>
      </c>
      <c r="C8248" s="1" t="n">
        <v>45357</v>
      </c>
      <c r="D8248" t="inlineStr">
        <is>
          <t>VÄSTERBOTTENS LÄN</t>
        </is>
      </c>
      <c r="E8248" t="inlineStr">
        <is>
          <t>BJURHOLM</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62325-2022</t>
        </is>
      </c>
      <c r="B8249" s="1" t="n">
        <v>44916</v>
      </c>
      <c r="C8249" s="1" t="n">
        <v>45357</v>
      </c>
      <c r="D8249" t="inlineStr">
        <is>
          <t>VÄSTERBOTTENS LÄN</t>
        </is>
      </c>
      <c r="E8249" t="inlineStr">
        <is>
          <t>SKELLEFTEÅ</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62323-2022</t>
        </is>
      </c>
      <c r="B8250" s="1" t="n">
        <v>44916</v>
      </c>
      <c r="C8250" s="1" t="n">
        <v>45357</v>
      </c>
      <c r="D8250" t="inlineStr">
        <is>
          <t>VÄSTERBOTTENS LÄN</t>
        </is>
      </c>
      <c r="E8250" t="inlineStr">
        <is>
          <t>SKELLEFTEÅ</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62307-2022</t>
        </is>
      </c>
      <c r="B8251" s="1" t="n">
        <v>44916</v>
      </c>
      <c r="C8251" s="1" t="n">
        <v>45357</v>
      </c>
      <c r="D8251" t="inlineStr">
        <is>
          <t>VÄSTERBOTTENS LÄN</t>
        </is>
      </c>
      <c r="E8251" t="inlineStr">
        <is>
          <t>UMEÅ</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61668-2022</t>
        </is>
      </c>
      <c r="B8252" s="1" t="n">
        <v>44917</v>
      </c>
      <c r="C8252" s="1" t="n">
        <v>45357</v>
      </c>
      <c r="D8252" t="inlineStr">
        <is>
          <t>VÄSTERBOTTENS LÄN</t>
        </is>
      </c>
      <c r="E8252" t="inlineStr">
        <is>
          <t>VILHELMINA</t>
        </is>
      </c>
      <c r="F8252" t="inlineStr">
        <is>
          <t>Sveaskog</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61682-2022</t>
        </is>
      </c>
      <c r="B8253" s="1" t="n">
        <v>44917</v>
      </c>
      <c r="C8253" s="1" t="n">
        <v>45357</v>
      </c>
      <c r="D8253" t="inlineStr">
        <is>
          <t>VÄSTERBOTTENS LÄN</t>
        </is>
      </c>
      <c r="E8253" t="inlineStr">
        <is>
          <t>SORSELE</t>
        </is>
      </c>
      <c r="F8253" t="inlineStr">
        <is>
          <t>Sveaskog</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61691-2022</t>
        </is>
      </c>
      <c r="B8254" s="1" t="n">
        <v>44917</v>
      </c>
      <c r="C8254" s="1" t="n">
        <v>45357</v>
      </c>
      <c r="D8254" t="inlineStr">
        <is>
          <t>VÄSTERBOTTENS LÄN</t>
        </is>
      </c>
      <c r="E8254" t="inlineStr">
        <is>
          <t>ÅSELE</t>
        </is>
      </c>
      <c r="F8254" t="inlineStr">
        <is>
          <t>Sveaskog</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61811-2022</t>
        </is>
      </c>
      <c r="B8255" s="1" t="n">
        <v>44917</v>
      </c>
      <c r="C8255" s="1" t="n">
        <v>45357</v>
      </c>
      <c r="D8255" t="inlineStr">
        <is>
          <t>VÄSTERBOTTENS LÄN</t>
        </is>
      </c>
      <c r="E8255" t="inlineStr">
        <is>
          <t>MALÅ</t>
        </is>
      </c>
      <c r="F8255" t="inlineStr">
        <is>
          <t>Sveaskog</t>
        </is>
      </c>
      <c r="G8255" t="n">
        <v>25.7</v>
      </c>
      <c r="H8255" t="n">
        <v>0</v>
      </c>
      <c r="I8255" t="n">
        <v>0</v>
      </c>
      <c r="J8255" t="n">
        <v>0</v>
      </c>
      <c r="K8255" t="n">
        <v>0</v>
      </c>
      <c r="L8255" t="n">
        <v>0</v>
      </c>
      <c r="M8255" t="n">
        <v>0</v>
      </c>
      <c r="N8255" t="n">
        <v>0</v>
      </c>
      <c r="O8255" t="n">
        <v>0</v>
      </c>
      <c r="P8255" t="n">
        <v>0</v>
      </c>
      <c r="Q8255" t="n">
        <v>0</v>
      </c>
      <c r="R8255" s="2" t="inlineStr"/>
    </row>
    <row r="8256" ht="15" customHeight="1">
      <c r="A8256" t="inlineStr">
        <is>
          <t>A 61855-2022</t>
        </is>
      </c>
      <c r="B8256" s="1" t="n">
        <v>44917</v>
      </c>
      <c r="C8256" s="1" t="n">
        <v>45357</v>
      </c>
      <c r="D8256" t="inlineStr">
        <is>
          <t>VÄSTERBOTTENS LÄN</t>
        </is>
      </c>
      <c r="E8256" t="inlineStr">
        <is>
          <t>VINDELN</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61678-2022</t>
        </is>
      </c>
      <c r="B8257" s="1" t="n">
        <v>44917</v>
      </c>
      <c r="C8257" s="1" t="n">
        <v>45357</v>
      </c>
      <c r="D8257" t="inlineStr">
        <is>
          <t>VÄSTERBOTTENS LÄN</t>
        </is>
      </c>
      <c r="E8257" t="inlineStr">
        <is>
          <t>SORSELE</t>
        </is>
      </c>
      <c r="F8257" t="inlineStr">
        <is>
          <t>Sveaskog</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61695-2022</t>
        </is>
      </c>
      <c r="B8258" s="1" t="n">
        <v>44917</v>
      </c>
      <c r="C8258" s="1" t="n">
        <v>45357</v>
      </c>
      <c r="D8258" t="inlineStr">
        <is>
          <t>VÄSTERBOTTENS LÄN</t>
        </is>
      </c>
      <c r="E8258" t="inlineStr">
        <is>
          <t>VILHELMINA</t>
        </is>
      </c>
      <c r="F8258" t="inlineStr">
        <is>
          <t>Sveaskog</t>
        </is>
      </c>
      <c r="G8258" t="n">
        <v>7.9</v>
      </c>
      <c r="H8258" t="n">
        <v>0</v>
      </c>
      <c r="I8258" t="n">
        <v>0</v>
      </c>
      <c r="J8258" t="n">
        <v>0</v>
      </c>
      <c r="K8258" t="n">
        <v>0</v>
      </c>
      <c r="L8258" t="n">
        <v>0</v>
      </c>
      <c r="M8258" t="n">
        <v>0</v>
      </c>
      <c r="N8258" t="n">
        <v>0</v>
      </c>
      <c r="O8258" t="n">
        <v>0</v>
      </c>
      <c r="P8258" t="n">
        <v>0</v>
      </c>
      <c r="Q8258" t="n">
        <v>0</v>
      </c>
      <c r="R8258" s="2" t="inlineStr"/>
    </row>
    <row r="8259" ht="15" customHeight="1">
      <c r="A8259" t="inlineStr">
        <is>
          <t>A 61737-2022</t>
        </is>
      </c>
      <c r="B8259" s="1" t="n">
        <v>44917</v>
      </c>
      <c r="C8259" s="1" t="n">
        <v>45357</v>
      </c>
      <c r="D8259" t="inlineStr">
        <is>
          <t>VÄSTERBOTTENS LÄN</t>
        </is>
      </c>
      <c r="E8259" t="inlineStr">
        <is>
          <t>STORUMAN</t>
        </is>
      </c>
      <c r="F8259" t="inlineStr">
        <is>
          <t>Sveaskog</t>
        </is>
      </c>
      <c r="G8259" t="n">
        <v>17.4</v>
      </c>
      <c r="H8259" t="n">
        <v>0</v>
      </c>
      <c r="I8259" t="n">
        <v>0</v>
      </c>
      <c r="J8259" t="n">
        <v>0</v>
      </c>
      <c r="K8259" t="n">
        <v>0</v>
      </c>
      <c r="L8259" t="n">
        <v>0</v>
      </c>
      <c r="M8259" t="n">
        <v>0</v>
      </c>
      <c r="N8259" t="n">
        <v>0</v>
      </c>
      <c r="O8259" t="n">
        <v>0</v>
      </c>
      <c r="P8259" t="n">
        <v>0</v>
      </c>
      <c r="Q8259" t="n">
        <v>0</v>
      </c>
      <c r="R8259" s="2" t="inlineStr"/>
    </row>
    <row r="8260" ht="15" customHeight="1">
      <c r="A8260" t="inlineStr">
        <is>
          <t>A 61761-2022</t>
        </is>
      </c>
      <c r="B8260" s="1" t="n">
        <v>44917</v>
      </c>
      <c r="C8260" s="1" t="n">
        <v>45357</v>
      </c>
      <c r="D8260" t="inlineStr">
        <is>
          <t>VÄSTERBOTTENS LÄN</t>
        </is>
      </c>
      <c r="E8260" t="inlineStr">
        <is>
          <t>ROBERTSFORS</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61689-2022</t>
        </is>
      </c>
      <c r="B8261" s="1" t="n">
        <v>44917</v>
      </c>
      <c r="C8261" s="1" t="n">
        <v>45357</v>
      </c>
      <c r="D8261" t="inlineStr">
        <is>
          <t>VÄSTERBOTTENS LÄN</t>
        </is>
      </c>
      <c r="E8261" t="inlineStr">
        <is>
          <t>ÅSELE</t>
        </is>
      </c>
      <c r="F8261" t="inlineStr">
        <is>
          <t>Sveaskog</t>
        </is>
      </c>
      <c r="G8261" t="n">
        <v>9.6</v>
      </c>
      <c r="H8261" t="n">
        <v>0</v>
      </c>
      <c r="I8261" t="n">
        <v>0</v>
      </c>
      <c r="J8261" t="n">
        <v>0</v>
      </c>
      <c r="K8261" t="n">
        <v>0</v>
      </c>
      <c r="L8261" t="n">
        <v>0</v>
      </c>
      <c r="M8261" t="n">
        <v>0</v>
      </c>
      <c r="N8261" t="n">
        <v>0</v>
      </c>
      <c r="O8261" t="n">
        <v>0</v>
      </c>
      <c r="P8261" t="n">
        <v>0</v>
      </c>
      <c r="Q8261" t="n">
        <v>0</v>
      </c>
      <c r="R8261" s="2" t="inlineStr"/>
    </row>
    <row r="8262" ht="15" customHeight="1">
      <c r="A8262" t="inlineStr">
        <is>
          <t>A 61839-2022</t>
        </is>
      </c>
      <c r="B8262" s="1" t="n">
        <v>44917</v>
      </c>
      <c r="C8262" s="1" t="n">
        <v>45357</v>
      </c>
      <c r="D8262" t="inlineStr">
        <is>
          <t>VÄSTERBOTTENS LÄN</t>
        </is>
      </c>
      <c r="E8262" t="inlineStr">
        <is>
          <t>VINDELN</t>
        </is>
      </c>
      <c r="G8262" t="n">
        <v>10.7</v>
      </c>
      <c r="H8262" t="n">
        <v>0</v>
      </c>
      <c r="I8262" t="n">
        <v>0</v>
      </c>
      <c r="J8262" t="n">
        <v>0</v>
      </c>
      <c r="K8262" t="n">
        <v>0</v>
      </c>
      <c r="L8262" t="n">
        <v>0</v>
      </c>
      <c r="M8262" t="n">
        <v>0</v>
      </c>
      <c r="N8262" t="n">
        <v>0</v>
      </c>
      <c r="O8262" t="n">
        <v>0</v>
      </c>
      <c r="P8262" t="n">
        <v>0</v>
      </c>
      <c r="Q8262" t="n">
        <v>0</v>
      </c>
      <c r="R8262" s="2" t="inlineStr"/>
    </row>
    <row r="8263" ht="15" customHeight="1">
      <c r="A8263" t="inlineStr">
        <is>
          <t>A 61850-2022</t>
        </is>
      </c>
      <c r="B8263" s="1" t="n">
        <v>44917</v>
      </c>
      <c r="C8263" s="1" t="n">
        <v>45357</v>
      </c>
      <c r="D8263" t="inlineStr">
        <is>
          <t>VÄSTERBOTTENS LÄN</t>
        </is>
      </c>
      <c r="E8263" t="inlineStr">
        <is>
          <t>STORUMAN</t>
        </is>
      </c>
      <c r="F8263" t="inlineStr">
        <is>
          <t>Sveaskog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61856-2022</t>
        </is>
      </c>
      <c r="B8264" s="1" t="n">
        <v>44917</v>
      </c>
      <c r="C8264" s="1" t="n">
        <v>45357</v>
      </c>
      <c r="D8264" t="inlineStr">
        <is>
          <t>VÄSTERBOTTENS LÄN</t>
        </is>
      </c>
      <c r="E8264" t="inlineStr">
        <is>
          <t>VINDELN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61792-2022</t>
        </is>
      </c>
      <c r="B8265" s="1" t="n">
        <v>44917</v>
      </c>
      <c r="C8265" s="1" t="n">
        <v>45357</v>
      </c>
      <c r="D8265" t="inlineStr">
        <is>
          <t>VÄSTERBOTTENS LÄN</t>
        </is>
      </c>
      <c r="E8265" t="inlineStr">
        <is>
          <t>SORSELE</t>
        </is>
      </c>
      <c r="F8265" t="inlineStr">
        <is>
          <t>Sveaskog</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61829-2022</t>
        </is>
      </c>
      <c r="B8266" s="1" t="n">
        <v>44917</v>
      </c>
      <c r="C8266" s="1" t="n">
        <v>45357</v>
      </c>
      <c r="D8266" t="inlineStr">
        <is>
          <t>VÄSTERBOTTENS LÄN</t>
        </is>
      </c>
      <c r="E8266" t="inlineStr">
        <is>
          <t>LYCKSELE</t>
        </is>
      </c>
      <c r="F8266" t="inlineStr">
        <is>
          <t>Sveaskog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61836-2022</t>
        </is>
      </c>
      <c r="B8267" s="1" t="n">
        <v>44917</v>
      </c>
      <c r="C8267" s="1" t="n">
        <v>45357</v>
      </c>
      <c r="D8267" t="inlineStr">
        <is>
          <t>VÄSTERBOTTENS LÄN</t>
        </is>
      </c>
      <c r="E8267" t="inlineStr">
        <is>
          <t>VINDELN</t>
        </is>
      </c>
      <c r="G8267" t="n">
        <v>8.4</v>
      </c>
      <c r="H8267" t="n">
        <v>0</v>
      </c>
      <c r="I8267" t="n">
        <v>0</v>
      </c>
      <c r="J8267" t="n">
        <v>0</v>
      </c>
      <c r="K8267" t="n">
        <v>0</v>
      </c>
      <c r="L8267" t="n">
        <v>0</v>
      </c>
      <c r="M8267" t="n">
        <v>0</v>
      </c>
      <c r="N8267" t="n">
        <v>0</v>
      </c>
      <c r="O8267" t="n">
        <v>0</v>
      </c>
      <c r="P8267" t="n">
        <v>0</v>
      </c>
      <c r="Q8267" t="n">
        <v>0</v>
      </c>
      <c r="R8267" s="2" t="inlineStr"/>
    </row>
    <row r="8268" ht="15" customHeight="1">
      <c r="A8268" t="inlineStr">
        <is>
          <t>A 61846-2022</t>
        </is>
      </c>
      <c r="B8268" s="1" t="n">
        <v>44917</v>
      </c>
      <c r="C8268" s="1" t="n">
        <v>45357</v>
      </c>
      <c r="D8268" t="inlineStr">
        <is>
          <t>VÄSTERBOTTENS LÄN</t>
        </is>
      </c>
      <c r="E8268" t="inlineStr">
        <is>
          <t>STORUMAN</t>
        </is>
      </c>
      <c r="F8268" t="inlineStr">
        <is>
          <t>Sveaskog</t>
        </is>
      </c>
      <c r="G8268" t="n">
        <v>11.2</v>
      </c>
      <c r="H8268" t="n">
        <v>0</v>
      </c>
      <c r="I8268" t="n">
        <v>0</v>
      </c>
      <c r="J8268" t="n">
        <v>0</v>
      </c>
      <c r="K8268" t="n">
        <v>0</v>
      </c>
      <c r="L8268" t="n">
        <v>0</v>
      </c>
      <c r="M8268" t="n">
        <v>0</v>
      </c>
      <c r="N8268" t="n">
        <v>0</v>
      </c>
      <c r="O8268" t="n">
        <v>0</v>
      </c>
      <c r="P8268" t="n">
        <v>0</v>
      </c>
      <c r="Q8268" t="n">
        <v>0</v>
      </c>
      <c r="R8268" s="2" t="inlineStr"/>
    </row>
    <row r="8269" ht="15" customHeight="1">
      <c r="A8269" t="inlineStr">
        <is>
          <t>A 61852-2022</t>
        </is>
      </c>
      <c r="B8269" s="1" t="n">
        <v>44917</v>
      </c>
      <c r="C8269" s="1" t="n">
        <v>45357</v>
      </c>
      <c r="D8269" t="inlineStr">
        <is>
          <t>VÄSTERBOTTENS LÄN</t>
        </is>
      </c>
      <c r="E8269" t="inlineStr">
        <is>
          <t>STORUMAN</t>
        </is>
      </c>
      <c r="F8269" t="inlineStr">
        <is>
          <t>Sveaskog</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61858-2022</t>
        </is>
      </c>
      <c r="B8270" s="1" t="n">
        <v>44917</v>
      </c>
      <c r="C8270" s="1" t="n">
        <v>45357</v>
      </c>
      <c r="D8270" t="inlineStr">
        <is>
          <t>VÄSTERBOTTENS LÄN</t>
        </is>
      </c>
      <c r="E8270" t="inlineStr">
        <is>
          <t>VINDELN</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61837-2022</t>
        </is>
      </c>
      <c r="B8271" s="1" t="n">
        <v>44917</v>
      </c>
      <c r="C8271" s="1" t="n">
        <v>45357</v>
      </c>
      <c r="D8271" t="inlineStr">
        <is>
          <t>VÄSTERBOTTENS LÄN</t>
        </is>
      </c>
      <c r="E8271" t="inlineStr">
        <is>
          <t>LYCKSELE</t>
        </is>
      </c>
      <c r="F8271" t="inlineStr">
        <is>
          <t>Sveaskog</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62540-2022</t>
        </is>
      </c>
      <c r="B8272" s="1" t="n">
        <v>44917</v>
      </c>
      <c r="C8272" s="1" t="n">
        <v>45357</v>
      </c>
      <c r="D8272" t="inlineStr">
        <is>
          <t>VÄSTERBOTTENS LÄN</t>
        </is>
      </c>
      <c r="E8272" t="inlineStr">
        <is>
          <t>UMEÅ</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62536-2022</t>
        </is>
      </c>
      <c r="B8273" s="1" t="n">
        <v>44917</v>
      </c>
      <c r="C8273" s="1" t="n">
        <v>45357</v>
      </c>
      <c r="D8273" t="inlineStr">
        <is>
          <t>VÄSTERBOTTENS LÄN</t>
        </is>
      </c>
      <c r="E8273" t="inlineStr">
        <is>
          <t>SKELLEFTEÅ</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62630-2022</t>
        </is>
      </c>
      <c r="B8274" s="1" t="n">
        <v>44917</v>
      </c>
      <c r="C8274" s="1" t="n">
        <v>45357</v>
      </c>
      <c r="D8274" t="inlineStr">
        <is>
          <t>VÄSTERBOTTENS LÄN</t>
        </is>
      </c>
      <c r="E8274" t="inlineStr">
        <is>
          <t>VILHELMINA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62543-2022</t>
        </is>
      </c>
      <c r="B8275" s="1" t="n">
        <v>44917</v>
      </c>
      <c r="C8275" s="1" t="n">
        <v>45357</v>
      </c>
      <c r="D8275" t="inlineStr">
        <is>
          <t>VÄSTERBOTTENS LÄN</t>
        </is>
      </c>
      <c r="E8275" t="inlineStr">
        <is>
          <t>VILHELMINA</t>
        </is>
      </c>
      <c r="G8275" t="n">
        <v>8.1</v>
      </c>
      <c r="H8275" t="n">
        <v>0</v>
      </c>
      <c r="I8275" t="n">
        <v>0</v>
      </c>
      <c r="J8275" t="n">
        <v>0</v>
      </c>
      <c r="K8275" t="n">
        <v>0</v>
      </c>
      <c r="L8275" t="n">
        <v>0</v>
      </c>
      <c r="M8275" t="n">
        <v>0</v>
      </c>
      <c r="N8275" t="n">
        <v>0</v>
      </c>
      <c r="O8275" t="n">
        <v>0</v>
      </c>
      <c r="P8275" t="n">
        <v>0</v>
      </c>
      <c r="Q8275" t="n">
        <v>0</v>
      </c>
      <c r="R8275" s="2" t="inlineStr"/>
    </row>
    <row r="8276" ht="15" customHeight="1">
      <c r="A8276" t="inlineStr">
        <is>
          <t>A 62656-2022</t>
        </is>
      </c>
      <c r="B8276" s="1" t="n">
        <v>44917</v>
      </c>
      <c r="C8276" s="1" t="n">
        <v>45357</v>
      </c>
      <c r="D8276" t="inlineStr">
        <is>
          <t>VÄSTERBOTTENS LÄN</t>
        </is>
      </c>
      <c r="E8276" t="inlineStr">
        <is>
          <t>NORSJÖ</t>
        </is>
      </c>
      <c r="G8276" t="n">
        <v>10.5</v>
      </c>
      <c r="H8276" t="n">
        <v>0</v>
      </c>
      <c r="I8276" t="n">
        <v>0</v>
      </c>
      <c r="J8276" t="n">
        <v>0</v>
      </c>
      <c r="K8276" t="n">
        <v>0</v>
      </c>
      <c r="L8276" t="n">
        <v>0</v>
      </c>
      <c r="M8276" t="n">
        <v>0</v>
      </c>
      <c r="N8276" t="n">
        <v>0</v>
      </c>
      <c r="O8276" t="n">
        <v>0</v>
      </c>
      <c r="P8276" t="n">
        <v>0</v>
      </c>
      <c r="Q8276" t="n">
        <v>0</v>
      </c>
      <c r="R8276" s="2" t="inlineStr"/>
    </row>
    <row r="8277" ht="15" customHeight="1">
      <c r="A8277" t="inlineStr">
        <is>
          <t>A 62678-2022</t>
        </is>
      </c>
      <c r="B8277" s="1" t="n">
        <v>44917</v>
      </c>
      <c r="C8277" s="1" t="n">
        <v>45357</v>
      </c>
      <c r="D8277" t="inlineStr">
        <is>
          <t>VÄSTERBOTTENS LÄN</t>
        </is>
      </c>
      <c r="E8277" t="inlineStr">
        <is>
          <t>LYCKSELE</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61981-2022</t>
        </is>
      </c>
      <c r="B8278" s="1" t="n">
        <v>44918</v>
      </c>
      <c r="C8278" s="1" t="n">
        <v>45357</v>
      </c>
      <c r="D8278" t="inlineStr">
        <is>
          <t>VÄSTERBOTTENS LÄN</t>
        </is>
      </c>
      <c r="E8278" t="inlineStr">
        <is>
          <t>VINDELN</t>
        </is>
      </c>
      <c r="F8278" t="inlineStr">
        <is>
          <t>Holmen skog AB</t>
        </is>
      </c>
      <c r="G8278" t="n">
        <v>7.3</v>
      </c>
      <c r="H8278" t="n">
        <v>0</v>
      </c>
      <c r="I8278" t="n">
        <v>0</v>
      </c>
      <c r="J8278" t="n">
        <v>0</v>
      </c>
      <c r="K8278" t="n">
        <v>0</v>
      </c>
      <c r="L8278" t="n">
        <v>0</v>
      </c>
      <c r="M8278" t="n">
        <v>0</v>
      </c>
      <c r="N8278" t="n">
        <v>0</v>
      </c>
      <c r="O8278" t="n">
        <v>0</v>
      </c>
      <c r="P8278" t="n">
        <v>0</v>
      </c>
      <c r="Q8278" t="n">
        <v>0</v>
      </c>
      <c r="R8278" s="2" t="inlineStr"/>
    </row>
    <row r="8279" ht="15" customHeight="1">
      <c r="A8279" t="inlineStr">
        <is>
          <t>A 61967-2022</t>
        </is>
      </c>
      <c r="B8279" s="1" t="n">
        <v>44918</v>
      </c>
      <c r="C8279" s="1" t="n">
        <v>45357</v>
      </c>
      <c r="D8279" t="inlineStr">
        <is>
          <t>VÄSTERBOTTENS LÄN</t>
        </is>
      </c>
      <c r="E8279" t="inlineStr">
        <is>
          <t>SORSELE</t>
        </is>
      </c>
      <c r="F8279" t="inlineStr">
        <is>
          <t>Sveaskog</t>
        </is>
      </c>
      <c r="G8279" t="n">
        <v>17.5</v>
      </c>
      <c r="H8279" t="n">
        <v>0</v>
      </c>
      <c r="I8279" t="n">
        <v>0</v>
      </c>
      <c r="J8279" t="n">
        <v>0</v>
      </c>
      <c r="K8279" t="n">
        <v>0</v>
      </c>
      <c r="L8279" t="n">
        <v>0</v>
      </c>
      <c r="M8279" t="n">
        <v>0</v>
      </c>
      <c r="N8279" t="n">
        <v>0</v>
      </c>
      <c r="O8279" t="n">
        <v>0</v>
      </c>
      <c r="P8279" t="n">
        <v>0</v>
      </c>
      <c r="Q8279" t="n">
        <v>0</v>
      </c>
      <c r="R8279" s="2" t="inlineStr"/>
    </row>
    <row r="8280" ht="15" customHeight="1">
      <c r="A8280" t="inlineStr">
        <is>
          <t>A 62082-2022</t>
        </is>
      </c>
      <c r="B8280" s="1" t="n">
        <v>44918</v>
      </c>
      <c r="C8280" s="1" t="n">
        <v>45357</v>
      </c>
      <c r="D8280" t="inlineStr">
        <is>
          <t>VÄSTERBOTTENS LÄN</t>
        </is>
      </c>
      <c r="E8280" t="inlineStr">
        <is>
          <t>BJURHOLM</t>
        </is>
      </c>
      <c r="F8280" t="inlineStr">
        <is>
          <t>SCA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121-2023</t>
        </is>
      </c>
      <c r="B8281" s="1" t="n">
        <v>44918</v>
      </c>
      <c r="C8281" s="1" t="n">
        <v>45357</v>
      </c>
      <c r="D8281" t="inlineStr">
        <is>
          <t>VÄSTERBOTTENS LÄN</t>
        </is>
      </c>
      <c r="E8281" t="inlineStr">
        <is>
          <t>SKELLEFTEÅ</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62087-2022</t>
        </is>
      </c>
      <c r="B8282" s="1" t="n">
        <v>44919</v>
      </c>
      <c r="C8282" s="1" t="n">
        <v>45357</v>
      </c>
      <c r="D8282" t="inlineStr">
        <is>
          <t>VÄSTERBOTTENS LÄN</t>
        </is>
      </c>
      <c r="E8282" t="inlineStr">
        <is>
          <t>BJURHOLM</t>
        </is>
      </c>
      <c r="G8282" t="n">
        <v>6.9</v>
      </c>
      <c r="H8282" t="n">
        <v>0</v>
      </c>
      <c r="I8282" t="n">
        <v>0</v>
      </c>
      <c r="J8282" t="n">
        <v>0</v>
      </c>
      <c r="K8282" t="n">
        <v>0</v>
      </c>
      <c r="L8282" t="n">
        <v>0</v>
      </c>
      <c r="M8282" t="n">
        <v>0</v>
      </c>
      <c r="N8282" t="n">
        <v>0</v>
      </c>
      <c r="O8282" t="n">
        <v>0</v>
      </c>
      <c r="P8282" t="n">
        <v>0</v>
      </c>
      <c r="Q8282" t="n">
        <v>0</v>
      </c>
      <c r="R8282" s="2" t="inlineStr"/>
    </row>
    <row r="8283" ht="15" customHeight="1">
      <c r="A8283" t="inlineStr">
        <is>
          <t>A 62084-2022</t>
        </is>
      </c>
      <c r="B8283" s="1" t="n">
        <v>44919</v>
      </c>
      <c r="C8283" s="1" t="n">
        <v>45357</v>
      </c>
      <c r="D8283" t="inlineStr">
        <is>
          <t>VÄSTERBOTTENS LÄN</t>
        </is>
      </c>
      <c r="E8283" t="inlineStr">
        <is>
          <t>ROBERTSFORS</t>
        </is>
      </c>
      <c r="G8283" t="n">
        <v>64.7</v>
      </c>
      <c r="H8283" t="n">
        <v>0</v>
      </c>
      <c r="I8283" t="n">
        <v>0</v>
      </c>
      <c r="J8283" t="n">
        <v>0</v>
      </c>
      <c r="K8283" t="n">
        <v>0</v>
      </c>
      <c r="L8283" t="n">
        <v>0</v>
      </c>
      <c r="M8283" t="n">
        <v>0</v>
      </c>
      <c r="N8283" t="n">
        <v>0</v>
      </c>
      <c r="O8283" t="n">
        <v>0</v>
      </c>
      <c r="P8283" t="n">
        <v>0</v>
      </c>
      <c r="Q8283" t="n">
        <v>0</v>
      </c>
      <c r="R8283" s="2" t="inlineStr"/>
    </row>
    <row r="8284" ht="15" customHeight="1">
      <c r="A8284" t="inlineStr">
        <is>
          <t>A 62088-2022</t>
        </is>
      </c>
      <c r="B8284" s="1" t="n">
        <v>44919</v>
      </c>
      <c r="C8284" s="1" t="n">
        <v>45357</v>
      </c>
      <c r="D8284" t="inlineStr">
        <is>
          <t>VÄSTERBOTTENS LÄN</t>
        </is>
      </c>
      <c r="E8284" t="inlineStr">
        <is>
          <t>BJURHOLM</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62106-2022</t>
        </is>
      </c>
      <c r="B8285" s="1" t="n">
        <v>44920</v>
      </c>
      <c r="C8285" s="1" t="n">
        <v>45357</v>
      </c>
      <c r="D8285" t="inlineStr">
        <is>
          <t>VÄSTERBOTTENS LÄN</t>
        </is>
      </c>
      <c r="E8285" t="inlineStr">
        <is>
          <t>UMEÅ</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62110-2022</t>
        </is>
      </c>
      <c r="B8286" s="1" t="n">
        <v>44920</v>
      </c>
      <c r="C8286" s="1" t="n">
        <v>45357</v>
      </c>
      <c r="D8286" t="inlineStr">
        <is>
          <t>VÄSTERBOTTENS LÄN</t>
        </is>
      </c>
      <c r="E8286" t="inlineStr">
        <is>
          <t>VILHELMINA</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62119-2022</t>
        </is>
      </c>
      <c r="B8287" s="1" t="n">
        <v>44921</v>
      </c>
      <c r="C8287" s="1" t="n">
        <v>45357</v>
      </c>
      <c r="D8287" t="inlineStr">
        <is>
          <t>VÄSTERBOTTENS LÄN</t>
        </is>
      </c>
      <c r="E8287" t="inlineStr">
        <is>
          <t>NORDMALING</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155-2023</t>
        </is>
      </c>
      <c r="B8288" s="1" t="n">
        <v>44921</v>
      </c>
      <c r="C8288" s="1" t="n">
        <v>45357</v>
      </c>
      <c r="D8288" t="inlineStr">
        <is>
          <t>VÄSTERBOTTENS LÄN</t>
        </is>
      </c>
      <c r="E8288" t="inlineStr">
        <is>
          <t>LYCKSELE</t>
        </is>
      </c>
      <c r="G8288" t="n">
        <v>27.3</v>
      </c>
      <c r="H8288" t="n">
        <v>0</v>
      </c>
      <c r="I8288" t="n">
        <v>0</v>
      </c>
      <c r="J8288" t="n">
        <v>0</v>
      </c>
      <c r="K8288" t="n">
        <v>0</v>
      </c>
      <c r="L8288" t="n">
        <v>0</v>
      </c>
      <c r="M8288" t="n">
        <v>0</v>
      </c>
      <c r="N8288" t="n">
        <v>0</v>
      </c>
      <c r="O8288" t="n">
        <v>0</v>
      </c>
      <c r="P8288" t="n">
        <v>0</v>
      </c>
      <c r="Q8288" t="n">
        <v>0</v>
      </c>
      <c r="R8288" s="2" t="inlineStr"/>
    </row>
    <row r="8289" ht="15" customHeight="1">
      <c r="A8289" t="inlineStr">
        <is>
          <t>A 161-2023</t>
        </is>
      </c>
      <c r="B8289" s="1" t="n">
        <v>44921</v>
      </c>
      <c r="C8289" s="1" t="n">
        <v>45357</v>
      </c>
      <c r="D8289" t="inlineStr">
        <is>
          <t>VÄSTERBOTTENS LÄN</t>
        </is>
      </c>
      <c r="E8289" t="inlineStr">
        <is>
          <t>LYCKSELE</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62259-2022</t>
        </is>
      </c>
      <c r="B8290" s="1" t="n">
        <v>44922</v>
      </c>
      <c r="C8290" s="1" t="n">
        <v>45357</v>
      </c>
      <c r="D8290" t="inlineStr">
        <is>
          <t>VÄSTERBOTTENS LÄN</t>
        </is>
      </c>
      <c r="E8290" t="inlineStr">
        <is>
          <t>ÅSELE</t>
        </is>
      </c>
      <c r="F8290" t="inlineStr">
        <is>
          <t>SCA</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62203-2022</t>
        </is>
      </c>
      <c r="B8291" s="1" t="n">
        <v>44922</v>
      </c>
      <c r="C8291" s="1" t="n">
        <v>45357</v>
      </c>
      <c r="D8291" t="inlineStr">
        <is>
          <t>VÄSTERBOTTENS LÄN</t>
        </is>
      </c>
      <c r="E8291" t="inlineStr">
        <is>
          <t>NORDMALING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62249-2022</t>
        </is>
      </c>
      <c r="B8292" s="1" t="n">
        <v>44922</v>
      </c>
      <c r="C8292" s="1" t="n">
        <v>45357</v>
      </c>
      <c r="D8292" t="inlineStr">
        <is>
          <t>VÄSTERBOTTENS LÄN</t>
        </is>
      </c>
      <c r="E8292" t="inlineStr">
        <is>
          <t>SKELLEFTEÅ</t>
        </is>
      </c>
      <c r="G8292" t="n">
        <v>18.2</v>
      </c>
      <c r="H8292" t="n">
        <v>0</v>
      </c>
      <c r="I8292" t="n">
        <v>0</v>
      </c>
      <c r="J8292" t="n">
        <v>0</v>
      </c>
      <c r="K8292" t="n">
        <v>0</v>
      </c>
      <c r="L8292" t="n">
        <v>0</v>
      </c>
      <c r="M8292" t="n">
        <v>0</v>
      </c>
      <c r="N8292" t="n">
        <v>0</v>
      </c>
      <c r="O8292" t="n">
        <v>0</v>
      </c>
      <c r="P8292" t="n">
        <v>0</v>
      </c>
      <c r="Q8292" t="n">
        <v>0</v>
      </c>
      <c r="R8292" s="2" t="inlineStr"/>
    </row>
    <row r="8293" ht="15" customHeight="1">
      <c r="A8293" t="inlineStr">
        <is>
          <t>A 62159-2022</t>
        </is>
      </c>
      <c r="B8293" s="1" t="n">
        <v>44922</v>
      </c>
      <c r="C8293" s="1" t="n">
        <v>45357</v>
      </c>
      <c r="D8293" t="inlineStr">
        <is>
          <t>VÄSTERBOTTENS LÄN</t>
        </is>
      </c>
      <c r="E8293" t="inlineStr">
        <is>
          <t>NORDMALING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62279-2022</t>
        </is>
      </c>
      <c r="B8294" s="1" t="n">
        <v>44923</v>
      </c>
      <c r="C8294" s="1" t="n">
        <v>45357</v>
      </c>
      <c r="D8294" t="inlineStr">
        <is>
          <t>VÄSTERBOTTENS LÄN</t>
        </is>
      </c>
      <c r="E8294" t="inlineStr">
        <is>
          <t>SKELLEFTEÅ</t>
        </is>
      </c>
      <c r="F8294" t="inlineStr">
        <is>
          <t>Sveaskog</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62284-2022</t>
        </is>
      </c>
      <c r="B8295" s="1" t="n">
        <v>44923</v>
      </c>
      <c r="C8295" s="1" t="n">
        <v>45357</v>
      </c>
      <c r="D8295" t="inlineStr">
        <is>
          <t>VÄSTERBOTTENS LÄN</t>
        </is>
      </c>
      <c r="E8295" t="inlineStr">
        <is>
          <t>SKELLEFTEÅ</t>
        </is>
      </c>
      <c r="F8295" t="inlineStr">
        <is>
          <t>Sveaskog</t>
        </is>
      </c>
      <c r="G8295" t="n">
        <v>13.4</v>
      </c>
      <c r="H8295" t="n">
        <v>0</v>
      </c>
      <c r="I8295" t="n">
        <v>0</v>
      </c>
      <c r="J8295" t="n">
        <v>0</v>
      </c>
      <c r="K8295" t="n">
        <v>0</v>
      </c>
      <c r="L8295" t="n">
        <v>0</v>
      </c>
      <c r="M8295" t="n">
        <v>0</v>
      </c>
      <c r="N8295" t="n">
        <v>0</v>
      </c>
      <c r="O8295" t="n">
        <v>0</v>
      </c>
      <c r="P8295" t="n">
        <v>0</v>
      </c>
      <c r="Q8295" t="n">
        <v>0</v>
      </c>
      <c r="R8295" s="2" t="inlineStr"/>
    </row>
    <row r="8296" ht="15" customHeight="1">
      <c r="A8296" t="inlineStr">
        <is>
          <t>A 62308-2022</t>
        </is>
      </c>
      <c r="B8296" s="1" t="n">
        <v>44923</v>
      </c>
      <c r="C8296" s="1" t="n">
        <v>45357</v>
      </c>
      <c r="D8296" t="inlineStr">
        <is>
          <t>VÄSTERBOTTENS LÄN</t>
        </is>
      </c>
      <c r="E8296" t="inlineStr">
        <is>
          <t>SKELLEFTEÅ</t>
        </is>
      </c>
      <c r="F8296" t="inlineStr">
        <is>
          <t>Sveaskog</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62319-2022</t>
        </is>
      </c>
      <c r="B8297" s="1" t="n">
        <v>44923</v>
      </c>
      <c r="C8297" s="1" t="n">
        <v>45357</v>
      </c>
      <c r="D8297" t="inlineStr">
        <is>
          <t>VÄSTERBOTTENS LÄN</t>
        </is>
      </c>
      <c r="E8297" t="inlineStr">
        <is>
          <t>SKELLEFTEÅ</t>
        </is>
      </c>
      <c r="F8297" t="inlineStr">
        <is>
          <t>Sveaskog</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62404-2022</t>
        </is>
      </c>
      <c r="B8298" s="1" t="n">
        <v>44923</v>
      </c>
      <c r="C8298" s="1" t="n">
        <v>45357</v>
      </c>
      <c r="D8298" t="inlineStr">
        <is>
          <t>VÄSTERBOTTENS LÄN</t>
        </is>
      </c>
      <c r="E8298" t="inlineStr">
        <is>
          <t>VILHELMINA</t>
        </is>
      </c>
      <c r="F8298" t="inlineStr">
        <is>
          <t>SCA</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62405-2022</t>
        </is>
      </c>
      <c r="B8299" s="1" t="n">
        <v>44923</v>
      </c>
      <c r="C8299" s="1" t="n">
        <v>45357</v>
      </c>
      <c r="D8299" t="inlineStr">
        <is>
          <t>VÄSTERBOTTENS LÄN</t>
        </is>
      </c>
      <c r="E8299" t="inlineStr">
        <is>
          <t>VILHELMINA</t>
        </is>
      </c>
      <c r="F8299" t="inlineStr">
        <is>
          <t>SCA</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402-2023</t>
        </is>
      </c>
      <c r="B8300" s="1" t="n">
        <v>44923</v>
      </c>
      <c r="C8300" s="1" t="n">
        <v>45357</v>
      </c>
      <c r="D8300" t="inlineStr">
        <is>
          <t>VÄSTERBOTTENS LÄN</t>
        </is>
      </c>
      <c r="E8300" t="inlineStr">
        <is>
          <t>VILHELMINA</t>
        </is>
      </c>
      <c r="G8300" t="n">
        <v>14.7</v>
      </c>
      <c r="H8300" t="n">
        <v>0</v>
      </c>
      <c r="I8300" t="n">
        <v>0</v>
      </c>
      <c r="J8300" t="n">
        <v>0</v>
      </c>
      <c r="K8300" t="n">
        <v>0</v>
      </c>
      <c r="L8300" t="n">
        <v>0</v>
      </c>
      <c r="M8300" t="n">
        <v>0</v>
      </c>
      <c r="N8300" t="n">
        <v>0</v>
      </c>
      <c r="O8300" t="n">
        <v>0</v>
      </c>
      <c r="P8300" t="n">
        <v>0</v>
      </c>
      <c r="Q8300" t="n">
        <v>0</v>
      </c>
      <c r="R8300" s="2" t="inlineStr"/>
    </row>
    <row r="8301" ht="15" customHeight="1">
      <c r="A8301" t="inlineStr">
        <is>
          <t>A 333-2023</t>
        </is>
      </c>
      <c r="B8301" s="1" t="n">
        <v>44923</v>
      </c>
      <c r="C8301" s="1" t="n">
        <v>45357</v>
      </c>
      <c r="D8301" t="inlineStr">
        <is>
          <t>VÄSTERBOTTENS LÄN</t>
        </is>
      </c>
      <c r="E8301" t="inlineStr">
        <is>
          <t>VINDELN</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62461-2022</t>
        </is>
      </c>
      <c r="B8302" s="1" t="n">
        <v>44924</v>
      </c>
      <c r="C8302" s="1" t="n">
        <v>45357</v>
      </c>
      <c r="D8302" t="inlineStr">
        <is>
          <t>VÄSTERBOTTENS LÄN</t>
        </is>
      </c>
      <c r="E8302" t="inlineStr">
        <is>
          <t>VINDELN</t>
        </is>
      </c>
      <c r="F8302" t="inlineStr">
        <is>
          <t>Holmen skog AB</t>
        </is>
      </c>
      <c r="G8302" t="n">
        <v>9</v>
      </c>
      <c r="H8302" t="n">
        <v>0</v>
      </c>
      <c r="I8302" t="n">
        <v>0</v>
      </c>
      <c r="J8302" t="n">
        <v>0</v>
      </c>
      <c r="K8302" t="n">
        <v>0</v>
      </c>
      <c r="L8302" t="n">
        <v>0</v>
      </c>
      <c r="M8302" t="n">
        <v>0</v>
      </c>
      <c r="N8302" t="n">
        <v>0</v>
      </c>
      <c r="O8302" t="n">
        <v>0</v>
      </c>
      <c r="P8302" t="n">
        <v>0</v>
      </c>
      <c r="Q8302" t="n">
        <v>0</v>
      </c>
      <c r="R8302" s="2" t="inlineStr"/>
    </row>
    <row r="8303" ht="15" customHeight="1">
      <c r="A8303" t="inlineStr">
        <is>
          <t>A 62547-2022</t>
        </is>
      </c>
      <c r="B8303" s="1" t="n">
        <v>44924</v>
      </c>
      <c r="C8303" s="1" t="n">
        <v>45357</v>
      </c>
      <c r="D8303" t="inlineStr">
        <is>
          <t>VÄSTERBOTTENS LÄN</t>
        </is>
      </c>
      <c r="E8303" t="inlineStr">
        <is>
          <t>LYCKSELE</t>
        </is>
      </c>
      <c r="F8303" t="inlineStr">
        <is>
          <t>Sveaskog</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62491-2022</t>
        </is>
      </c>
      <c r="B8304" s="1" t="n">
        <v>44924</v>
      </c>
      <c r="C8304" s="1" t="n">
        <v>45357</v>
      </c>
      <c r="D8304" t="inlineStr">
        <is>
          <t>VÄSTERBOTTENS LÄN</t>
        </is>
      </c>
      <c r="E8304" t="inlineStr">
        <is>
          <t>VINDELN</t>
        </is>
      </c>
      <c r="F8304" t="inlineStr">
        <is>
          <t>Holmen skog AB</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62483-2022</t>
        </is>
      </c>
      <c r="B8305" s="1" t="n">
        <v>44924</v>
      </c>
      <c r="C8305" s="1" t="n">
        <v>45357</v>
      </c>
      <c r="D8305" t="inlineStr">
        <is>
          <t>VÄSTERBOTTENS LÄN</t>
        </is>
      </c>
      <c r="E8305" t="inlineStr">
        <is>
          <t>SKELLEFTEÅ</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62579-2022</t>
        </is>
      </c>
      <c r="B8306" s="1" t="n">
        <v>44924</v>
      </c>
      <c r="C8306" s="1" t="n">
        <v>45357</v>
      </c>
      <c r="D8306" t="inlineStr">
        <is>
          <t>VÄSTERBOTTENS LÄN</t>
        </is>
      </c>
      <c r="E8306" t="inlineStr">
        <is>
          <t>ROBERTSFORS</t>
        </is>
      </c>
      <c r="G8306" t="n">
        <v>15.6</v>
      </c>
      <c r="H8306" t="n">
        <v>0</v>
      </c>
      <c r="I8306" t="n">
        <v>0</v>
      </c>
      <c r="J8306" t="n">
        <v>0</v>
      </c>
      <c r="K8306" t="n">
        <v>0</v>
      </c>
      <c r="L8306" t="n">
        <v>0</v>
      </c>
      <c r="M8306" t="n">
        <v>0</v>
      </c>
      <c r="N8306" t="n">
        <v>0</v>
      </c>
      <c r="O8306" t="n">
        <v>0</v>
      </c>
      <c r="P8306" t="n">
        <v>0</v>
      </c>
      <c r="Q8306" t="n">
        <v>0</v>
      </c>
      <c r="R8306" s="2" t="inlineStr"/>
    </row>
    <row r="8307" ht="15" customHeight="1">
      <c r="A8307" t="inlineStr">
        <is>
          <t>A 62583-2022</t>
        </is>
      </c>
      <c r="B8307" s="1" t="n">
        <v>44924</v>
      </c>
      <c r="C8307" s="1" t="n">
        <v>45357</v>
      </c>
      <c r="D8307" t="inlineStr">
        <is>
          <t>VÄSTERBOTTENS LÄN</t>
        </is>
      </c>
      <c r="E8307" t="inlineStr">
        <is>
          <t>VINDELN</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408-2023</t>
        </is>
      </c>
      <c r="B8308" s="1" t="n">
        <v>44924</v>
      </c>
      <c r="C8308" s="1" t="n">
        <v>45357</v>
      </c>
      <c r="D8308" t="inlineStr">
        <is>
          <t>VÄSTERBOTTENS LÄN</t>
        </is>
      </c>
      <c r="E8308" t="inlineStr">
        <is>
          <t>LYCKSELE</t>
        </is>
      </c>
      <c r="G8308" t="n">
        <v>11.9</v>
      </c>
      <c r="H8308" t="n">
        <v>0</v>
      </c>
      <c r="I8308" t="n">
        <v>0</v>
      </c>
      <c r="J8308" t="n">
        <v>0</v>
      </c>
      <c r="K8308" t="n">
        <v>0</v>
      </c>
      <c r="L8308" t="n">
        <v>0</v>
      </c>
      <c r="M8308" t="n">
        <v>0</v>
      </c>
      <c r="N8308" t="n">
        <v>0</v>
      </c>
      <c r="O8308" t="n">
        <v>0</v>
      </c>
      <c r="P8308" t="n">
        <v>0</v>
      </c>
      <c r="Q8308" t="n">
        <v>0</v>
      </c>
      <c r="R8308" s="2" t="inlineStr"/>
    </row>
    <row r="8309" ht="15" customHeight="1">
      <c r="A8309" t="inlineStr">
        <is>
          <t>A 62577-2022</t>
        </is>
      </c>
      <c r="B8309" s="1" t="n">
        <v>44924</v>
      </c>
      <c r="C8309" s="1" t="n">
        <v>45357</v>
      </c>
      <c r="D8309" t="inlineStr">
        <is>
          <t>VÄSTERBOTTENS LÄN</t>
        </is>
      </c>
      <c r="E8309" t="inlineStr">
        <is>
          <t>SKELLEFTEÅ</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62581-2022</t>
        </is>
      </c>
      <c r="B8310" s="1" t="n">
        <v>44924</v>
      </c>
      <c r="C8310" s="1" t="n">
        <v>45357</v>
      </c>
      <c r="D8310" t="inlineStr">
        <is>
          <t>VÄSTERBOTTENS LÄN</t>
        </is>
      </c>
      <c r="E8310" t="inlineStr">
        <is>
          <t>BJURHOLM</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62585-2022</t>
        </is>
      </c>
      <c r="B8311" s="1" t="n">
        <v>44924</v>
      </c>
      <c r="C8311" s="1" t="n">
        <v>45357</v>
      </c>
      <c r="D8311" t="inlineStr">
        <is>
          <t>VÄSTERBOTTENS LÄN</t>
        </is>
      </c>
      <c r="E8311" t="inlineStr">
        <is>
          <t>VINDELN</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62576-2022</t>
        </is>
      </c>
      <c r="B8312" s="1" t="n">
        <v>44924</v>
      </c>
      <c r="C8312" s="1" t="n">
        <v>45357</v>
      </c>
      <c r="D8312" t="inlineStr">
        <is>
          <t>VÄSTERBOTTENS LÄN</t>
        </is>
      </c>
      <c r="E8312" t="inlineStr">
        <is>
          <t>ROBERTSFORS</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62584-2022</t>
        </is>
      </c>
      <c r="B8313" s="1" t="n">
        <v>44924</v>
      </c>
      <c r="C8313" s="1" t="n">
        <v>45357</v>
      </c>
      <c r="D8313" t="inlineStr">
        <is>
          <t>VÄSTERBOTTENS LÄN</t>
        </is>
      </c>
      <c r="E8313" t="inlineStr">
        <is>
          <t>LYCKSELE</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62586-2022</t>
        </is>
      </c>
      <c r="B8314" s="1" t="n">
        <v>44924</v>
      </c>
      <c r="C8314" s="1" t="n">
        <v>45357</v>
      </c>
      <c r="D8314" t="inlineStr">
        <is>
          <t>VÄSTERBOTTENS LÄN</t>
        </is>
      </c>
      <c r="E8314" t="inlineStr">
        <is>
          <t>LYCKSELE</t>
        </is>
      </c>
      <c r="F8314" t="inlineStr">
        <is>
          <t>SCA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62657-2022</t>
        </is>
      </c>
      <c r="B8315" s="1" t="n">
        <v>44925</v>
      </c>
      <c r="C8315" s="1" t="n">
        <v>45357</v>
      </c>
      <c r="D8315" t="inlineStr">
        <is>
          <t>VÄSTERBOTTENS LÄN</t>
        </is>
      </c>
      <c r="E8315" t="inlineStr">
        <is>
          <t>DOROTEA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62714-2022</t>
        </is>
      </c>
      <c r="B8316" s="1" t="n">
        <v>44925</v>
      </c>
      <c r="C8316" s="1" t="n">
        <v>45357</v>
      </c>
      <c r="D8316" t="inlineStr">
        <is>
          <t>VÄSTERBOTTENS LÄN</t>
        </is>
      </c>
      <c r="E8316" t="inlineStr">
        <is>
          <t>VINDELN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62728-2022</t>
        </is>
      </c>
      <c r="B8317" s="1" t="n">
        <v>44925</v>
      </c>
      <c r="C8317" s="1" t="n">
        <v>45357</v>
      </c>
      <c r="D8317" t="inlineStr">
        <is>
          <t>VÄSTERBOTTENS LÄN</t>
        </is>
      </c>
      <c r="E8317" t="inlineStr">
        <is>
          <t>VINDELN</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62700-2022</t>
        </is>
      </c>
      <c r="B8318" s="1" t="n">
        <v>44925</v>
      </c>
      <c r="C8318" s="1" t="n">
        <v>45357</v>
      </c>
      <c r="D8318" t="inlineStr">
        <is>
          <t>VÄSTERBOTTENS LÄN</t>
        </is>
      </c>
      <c r="E8318" t="inlineStr">
        <is>
          <t>VINDELN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62642-2022</t>
        </is>
      </c>
      <c r="B8319" s="1" t="n">
        <v>44925</v>
      </c>
      <c r="C8319" s="1" t="n">
        <v>45357</v>
      </c>
      <c r="D8319" t="inlineStr">
        <is>
          <t>VÄSTERBOTTENS LÄN</t>
        </is>
      </c>
      <c r="E8319" t="inlineStr">
        <is>
          <t>SKELLEFTEÅ</t>
        </is>
      </c>
      <c r="F8319" t="inlineStr">
        <is>
          <t>Holmen skog AB</t>
        </is>
      </c>
      <c r="G8319" t="n">
        <v>5.7</v>
      </c>
      <c r="H8319" t="n">
        <v>0</v>
      </c>
      <c r="I8319" t="n">
        <v>0</v>
      </c>
      <c r="J8319" t="n">
        <v>0</v>
      </c>
      <c r="K8319" t="n">
        <v>0</v>
      </c>
      <c r="L8319" t="n">
        <v>0</v>
      </c>
      <c r="M8319" t="n">
        <v>0</v>
      </c>
      <c r="N8319" t="n">
        <v>0</v>
      </c>
      <c r="O8319" t="n">
        <v>0</v>
      </c>
      <c r="P8319" t="n">
        <v>0</v>
      </c>
      <c r="Q8319" t="n">
        <v>0</v>
      </c>
      <c r="R8319" s="2" t="inlineStr"/>
    </row>
    <row r="8320" ht="15" customHeight="1">
      <c r="A8320" t="inlineStr">
        <is>
          <t>A 62711-2022</t>
        </is>
      </c>
      <c r="B8320" s="1" t="n">
        <v>44925</v>
      </c>
      <c r="C8320" s="1" t="n">
        <v>45357</v>
      </c>
      <c r="D8320" t="inlineStr">
        <is>
          <t>VÄSTERBOTTENS LÄN</t>
        </is>
      </c>
      <c r="E8320" t="inlineStr">
        <is>
          <t>VINDELN</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62726-2022</t>
        </is>
      </c>
      <c r="B8321" s="1" t="n">
        <v>44925</v>
      </c>
      <c r="C8321" s="1" t="n">
        <v>45357</v>
      </c>
      <c r="D8321" t="inlineStr">
        <is>
          <t>VÄSTERBOTTENS LÄN</t>
        </is>
      </c>
      <c r="E8321" t="inlineStr">
        <is>
          <t>VINDELN</t>
        </is>
      </c>
      <c r="G8321" t="n">
        <v>10.5</v>
      </c>
      <c r="H8321" t="n">
        <v>0</v>
      </c>
      <c r="I8321" t="n">
        <v>0</v>
      </c>
      <c r="J8321" t="n">
        <v>0</v>
      </c>
      <c r="K8321" t="n">
        <v>0</v>
      </c>
      <c r="L8321" t="n">
        <v>0</v>
      </c>
      <c r="M8321" t="n">
        <v>0</v>
      </c>
      <c r="N8321" t="n">
        <v>0</v>
      </c>
      <c r="O8321" t="n">
        <v>0</v>
      </c>
      <c r="P8321" t="n">
        <v>0</v>
      </c>
      <c r="Q8321" t="n">
        <v>0</v>
      </c>
      <c r="R8321" s="2" t="inlineStr"/>
    </row>
    <row r="8322" ht="15" customHeight="1">
      <c r="A8322" t="inlineStr">
        <is>
          <t>A 62712-2022</t>
        </is>
      </c>
      <c r="B8322" s="1" t="n">
        <v>44925</v>
      </c>
      <c r="C8322" s="1" t="n">
        <v>45357</v>
      </c>
      <c r="D8322" t="inlineStr">
        <is>
          <t>VÄSTERBOTTENS LÄN</t>
        </is>
      </c>
      <c r="E8322" t="inlineStr">
        <is>
          <t>VINDELN</t>
        </is>
      </c>
      <c r="G8322" t="n">
        <v>8</v>
      </c>
      <c r="H8322" t="n">
        <v>0</v>
      </c>
      <c r="I8322" t="n">
        <v>0</v>
      </c>
      <c r="J8322" t="n">
        <v>0</v>
      </c>
      <c r="K8322" t="n">
        <v>0</v>
      </c>
      <c r="L8322" t="n">
        <v>0</v>
      </c>
      <c r="M8322" t="n">
        <v>0</v>
      </c>
      <c r="N8322" t="n">
        <v>0</v>
      </c>
      <c r="O8322" t="n">
        <v>0</v>
      </c>
      <c r="P8322" t="n">
        <v>0</v>
      </c>
      <c r="Q8322" t="n">
        <v>0</v>
      </c>
      <c r="R8322" s="2" t="inlineStr"/>
    </row>
    <row r="8323" ht="15" customHeight="1">
      <c r="A8323" t="inlineStr">
        <is>
          <t>A 62718-2022</t>
        </is>
      </c>
      <c r="B8323" s="1" t="n">
        <v>44925</v>
      </c>
      <c r="C8323" s="1" t="n">
        <v>45357</v>
      </c>
      <c r="D8323" t="inlineStr">
        <is>
          <t>VÄSTERBOTTENS LÄN</t>
        </is>
      </c>
      <c r="E8323" t="inlineStr">
        <is>
          <t>VINDELN</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62722-2022</t>
        </is>
      </c>
      <c r="B8324" s="1" t="n">
        <v>44925</v>
      </c>
      <c r="C8324" s="1" t="n">
        <v>45357</v>
      </c>
      <c r="D8324" t="inlineStr">
        <is>
          <t>VÄSTERBOTTENS LÄN</t>
        </is>
      </c>
      <c r="E8324" t="inlineStr">
        <is>
          <t>VINDELN</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62727-2022</t>
        </is>
      </c>
      <c r="B8325" s="1" t="n">
        <v>44925</v>
      </c>
      <c r="C8325" s="1" t="n">
        <v>45357</v>
      </c>
      <c r="D8325" t="inlineStr">
        <is>
          <t>VÄSTERBOTTENS LÄN</t>
        </is>
      </c>
      <c r="E8325" t="inlineStr">
        <is>
          <t>VINDELN</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62732-2022</t>
        </is>
      </c>
      <c r="B8326" s="1" t="n">
        <v>44925</v>
      </c>
      <c r="C8326" s="1" t="n">
        <v>45357</v>
      </c>
      <c r="D8326" t="inlineStr">
        <is>
          <t>VÄSTERBOTTENS LÄN</t>
        </is>
      </c>
      <c r="E8326" t="inlineStr">
        <is>
          <t>VINDELN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531-2023</t>
        </is>
      </c>
      <c r="B8327" s="1" t="n">
        <v>44925</v>
      </c>
      <c r="C8327" s="1" t="n">
        <v>45357</v>
      </c>
      <c r="D8327" t="inlineStr">
        <is>
          <t>VÄSTERBOTTENS LÄN</t>
        </is>
      </c>
      <c r="E8327" t="inlineStr">
        <is>
          <t>SKELLEFTEÅ</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62703-2022</t>
        </is>
      </c>
      <c r="B8328" s="1" t="n">
        <v>44925</v>
      </c>
      <c r="C8328" s="1" t="n">
        <v>45357</v>
      </c>
      <c r="D8328" t="inlineStr">
        <is>
          <t>VÄSTERBOTTENS LÄN</t>
        </is>
      </c>
      <c r="E8328" t="inlineStr">
        <is>
          <t>VINDELN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62715-2022</t>
        </is>
      </c>
      <c r="B8329" s="1" t="n">
        <v>44925</v>
      </c>
      <c r="C8329" s="1" t="n">
        <v>45357</v>
      </c>
      <c r="D8329" t="inlineStr">
        <is>
          <t>VÄSTERBOTTENS LÄN</t>
        </is>
      </c>
      <c r="E8329" t="inlineStr">
        <is>
          <t>LYCKSELE</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62720-2022</t>
        </is>
      </c>
      <c r="B8330" s="1" t="n">
        <v>44925</v>
      </c>
      <c r="C8330" s="1" t="n">
        <v>45357</v>
      </c>
      <c r="D8330" t="inlineStr">
        <is>
          <t>VÄSTERBOTTENS LÄN</t>
        </is>
      </c>
      <c r="E8330" t="inlineStr">
        <is>
          <t>VINDELN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62725-2022</t>
        </is>
      </c>
      <c r="B8331" s="1" t="n">
        <v>44925</v>
      </c>
      <c r="C8331" s="1" t="n">
        <v>45357</v>
      </c>
      <c r="D8331" t="inlineStr">
        <is>
          <t>VÄSTERBOTTENS LÄN</t>
        </is>
      </c>
      <c r="E8331" t="inlineStr">
        <is>
          <t>VINDELN</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62729-2022</t>
        </is>
      </c>
      <c r="B8332" s="1" t="n">
        <v>44925</v>
      </c>
      <c r="C8332" s="1" t="n">
        <v>45357</v>
      </c>
      <c r="D8332" t="inlineStr">
        <is>
          <t>VÄSTERBOTTENS LÄN</t>
        </is>
      </c>
      <c r="E8332" t="inlineStr">
        <is>
          <t>VINDELN</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62736-2022</t>
        </is>
      </c>
      <c r="B8333" s="1" t="n">
        <v>44925</v>
      </c>
      <c r="C8333" s="1" t="n">
        <v>45357</v>
      </c>
      <c r="D8333" t="inlineStr">
        <is>
          <t>VÄSTERBOTTENS LÄN</t>
        </is>
      </c>
      <c r="E8333" t="inlineStr">
        <is>
          <t>VINDELN</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62748-2022</t>
        </is>
      </c>
      <c r="B8334" s="1" t="n">
        <v>44925</v>
      </c>
      <c r="C8334" s="1" t="n">
        <v>45357</v>
      </c>
      <c r="D8334" t="inlineStr">
        <is>
          <t>VÄSTERBOTTENS LÄN</t>
        </is>
      </c>
      <c r="E8334" t="inlineStr">
        <is>
          <t>ÅSELE</t>
        </is>
      </c>
      <c r="F8334" t="inlineStr">
        <is>
          <t>SCA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62747-2022</t>
        </is>
      </c>
      <c r="B8335" s="1" t="n">
        <v>44925</v>
      </c>
      <c r="C8335" s="1" t="n">
        <v>45357</v>
      </c>
      <c r="D8335" t="inlineStr">
        <is>
          <t>VÄSTERBOTTENS LÄN</t>
        </is>
      </c>
      <c r="E8335" t="inlineStr">
        <is>
          <t>ÅSELE</t>
        </is>
      </c>
      <c r="F8335" t="inlineStr">
        <is>
          <t>SCA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62749-2022</t>
        </is>
      </c>
      <c r="B8336" s="1" t="n">
        <v>44925</v>
      </c>
      <c r="C8336" s="1" t="n">
        <v>45357</v>
      </c>
      <c r="D8336" t="inlineStr">
        <is>
          <t>VÄSTERBOTTENS LÄN</t>
        </is>
      </c>
      <c r="E8336" t="inlineStr">
        <is>
          <t>VINDELN</t>
        </is>
      </c>
      <c r="F8336" t="inlineStr">
        <is>
          <t>SCA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62753-2022</t>
        </is>
      </c>
      <c r="B8337" s="1" t="n">
        <v>44925</v>
      </c>
      <c r="C8337" s="1" t="n">
        <v>45357</v>
      </c>
      <c r="D8337" t="inlineStr">
        <is>
          <t>VÄSTERBOTTENS LÄN</t>
        </is>
      </c>
      <c r="E8337" t="inlineStr">
        <is>
          <t>VINDELN</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62752-2022</t>
        </is>
      </c>
      <c r="B8338" s="1" t="n">
        <v>44925</v>
      </c>
      <c r="C8338" s="1" t="n">
        <v>45357</v>
      </c>
      <c r="D8338" t="inlineStr">
        <is>
          <t>VÄSTERBOTTENS LÄN</t>
        </is>
      </c>
      <c r="E8338" t="inlineStr">
        <is>
          <t>SORSELE</t>
        </is>
      </c>
      <c r="F8338" t="inlineStr">
        <is>
          <t>SCA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579-2023</t>
        </is>
      </c>
      <c r="B8339" s="1" t="n">
        <v>44925</v>
      </c>
      <c r="C8339" s="1" t="n">
        <v>45357</v>
      </c>
      <c r="D8339" t="inlineStr">
        <is>
          <t>VÄSTERBOTTENS LÄN</t>
        </is>
      </c>
      <c r="E8339" t="inlineStr">
        <is>
          <t>VINDELN</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10-2023</t>
        </is>
      </c>
      <c r="B8340" s="1" t="n">
        <v>44927</v>
      </c>
      <c r="C8340" s="1" t="n">
        <v>45357</v>
      </c>
      <c r="D8340" t="inlineStr">
        <is>
          <t>VÄSTERBOTTENS LÄN</t>
        </is>
      </c>
      <c r="E8340" t="inlineStr">
        <is>
          <t>VINDELN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18-2023</t>
        </is>
      </c>
      <c r="B8341" s="1" t="n">
        <v>44928</v>
      </c>
      <c r="C8341" s="1" t="n">
        <v>45357</v>
      </c>
      <c r="D8341" t="inlineStr">
        <is>
          <t>VÄSTERBOTTENS LÄN</t>
        </is>
      </c>
      <c r="E8341" t="inlineStr">
        <is>
          <t>ROBERTSFORS</t>
        </is>
      </c>
      <c r="F8341" t="inlineStr">
        <is>
          <t>Holmen skog AB</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280-2023</t>
        </is>
      </c>
      <c r="B8342" s="1" t="n">
        <v>44928</v>
      </c>
      <c r="C8342" s="1" t="n">
        <v>45357</v>
      </c>
      <c r="D8342" t="inlineStr">
        <is>
          <t>VÄSTERBOTTENS LÄN</t>
        </is>
      </c>
      <c r="E8342" t="inlineStr">
        <is>
          <t>MALÅ</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289-2023</t>
        </is>
      </c>
      <c r="B8343" s="1" t="n">
        <v>44928</v>
      </c>
      <c r="C8343" s="1" t="n">
        <v>45357</v>
      </c>
      <c r="D8343" t="inlineStr">
        <is>
          <t>VÄSTERBOTTENS LÄN</t>
        </is>
      </c>
      <c r="E8343" t="inlineStr">
        <is>
          <t>ÅSELE</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281-2023</t>
        </is>
      </c>
      <c r="B8344" s="1" t="n">
        <v>44928</v>
      </c>
      <c r="C8344" s="1" t="n">
        <v>45357</v>
      </c>
      <c r="D8344" t="inlineStr">
        <is>
          <t>VÄSTERBOTTENS LÄN</t>
        </is>
      </c>
      <c r="E8344" t="inlineStr">
        <is>
          <t>MALÅ</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639-2023</t>
        </is>
      </c>
      <c r="B8345" s="1" t="n">
        <v>44928</v>
      </c>
      <c r="C8345" s="1" t="n">
        <v>45357</v>
      </c>
      <c r="D8345" t="inlineStr">
        <is>
          <t>VÄSTERBOTTENS LÄN</t>
        </is>
      </c>
      <c r="E8345" t="inlineStr">
        <is>
          <t>SKELLEFTEÅ</t>
        </is>
      </c>
      <c r="G8345" t="n">
        <v>8.800000000000001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288-2023</t>
        </is>
      </c>
      <c r="B8346" s="1" t="n">
        <v>44928</v>
      </c>
      <c r="C8346" s="1" t="n">
        <v>45357</v>
      </c>
      <c r="D8346" t="inlineStr">
        <is>
          <t>VÄSTERBOTTENS LÄN</t>
        </is>
      </c>
      <c r="E8346" t="inlineStr">
        <is>
          <t>VILHELMINA</t>
        </is>
      </c>
      <c r="F8346" t="inlineStr">
        <is>
          <t>SCA</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640-2023</t>
        </is>
      </c>
      <c r="B8347" s="1" t="n">
        <v>44928</v>
      </c>
      <c r="C8347" s="1" t="n">
        <v>45357</v>
      </c>
      <c r="D8347" t="inlineStr">
        <is>
          <t>VÄSTERBOTTENS LÄN</t>
        </is>
      </c>
      <c r="E8347" t="inlineStr">
        <is>
          <t>SKELLEFTEÅ</t>
        </is>
      </c>
      <c r="G8347" t="n">
        <v>9.4</v>
      </c>
      <c r="H8347" t="n">
        <v>0</v>
      </c>
      <c r="I8347" t="n">
        <v>0</v>
      </c>
      <c r="J8347" t="n">
        <v>0</v>
      </c>
      <c r="K8347" t="n">
        <v>0</v>
      </c>
      <c r="L8347" t="n">
        <v>0</v>
      </c>
      <c r="M8347" t="n">
        <v>0</v>
      </c>
      <c r="N8347" t="n">
        <v>0</v>
      </c>
      <c r="O8347" t="n">
        <v>0</v>
      </c>
      <c r="P8347" t="n">
        <v>0</v>
      </c>
      <c r="Q8347" t="n">
        <v>0</v>
      </c>
      <c r="R8347" s="2" t="inlineStr"/>
    </row>
    <row r="8348" ht="15" customHeight="1">
      <c r="A8348" t="inlineStr">
        <is>
          <t>A 388-2023</t>
        </is>
      </c>
      <c r="B8348" s="1" t="n">
        <v>44929</v>
      </c>
      <c r="C8348" s="1" t="n">
        <v>45357</v>
      </c>
      <c r="D8348" t="inlineStr">
        <is>
          <t>VÄSTERBOTTENS LÄN</t>
        </is>
      </c>
      <c r="E8348" t="inlineStr">
        <is>
          <t>UMEÅ</t>
        </is>
      </c>
      <c r="F8348" t="inlineStr">
        <is>
          <t>Holmen skog AB</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326-2023</t>
        </is>
      </c>
      <c r="B8349" s="1" t="n">
        <v>44929</v>
      </c>
      <c r="C8349" s="1" t="n">
        <v>45357</v>
      </c>
      <c r="D8349" t="inlineStr">
        <is>
          <t>VÄSTERBOTTENS LÄN</t>
        </is>
      </c>
      <c r="E8349" t="inlineStr">
        <is>
          <t>LYCKSELE</t>
        </is>
      </c>
      <c r="F8349" t="inlineStr">
        <is>
          <t>Sveaskog</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366-2023</t>
        </is>
      </c>
      <c r="B8350" s="1" t="n">
        <v>44929</v>
      </c>
      <c r="C8350" s="1" t="n">
        <v>45357</v>
      </c>
      <c r="D8350" t="inlineStr">
        <is>
          <t>VÄSTERBOTTENS LÄN</t>
        </is>
      </c>
      <c r="E8350" t="inlineStr">
        <is>
          <t>BJURHOLM</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479-2023</t>
        </is>
      </c>
      <c r="B8351" s="1" t="n">
        <v>44929</v>
      </c>
      <c r="C8351" s="1" t="n">
        <v>45357</v>
      </c>
      <c r="D8351" t="inlineStr">
        <is>
          <t>VÄSTERBOTTENS LÄN</t>
        </is>
      </c>
      <c r="E8351" t="inlineStr">
        <is>
          <t>ÅSELE</t>
        </is>
      </c>
      <c r="F8351" t="inlineStr">
        <is>
          <t>SCA</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436-2023</t>
        </is>
      </c>
      <c r="B8352" s="1" t="n">
        <v>44929</v>
      </c>
      <c r="C8352" s="1" t="n">
        <v>45357</v>
      </c>
      <c r="D8352" t="inlineStr">
        <is>
          <t>VÄSTERBOTTENS LÄN</t>
        </is>
      </c>
      <c r="E8352" t="inlineStr">
        <is>
          <t>NORDMALING</t>
        </is>
      </c>
      <c r="G8352" t="n">
        <v>14.6</v>
      </c>
      <c r="H8352" t="n">
        <v>0</v>
      </c>
      <c r="I8352" t="n">
        <v>0</v>
      </c>
      <c r="J8352" t="n">
        <v>0</v>
      </c>
      <c r="K8352" t="n">
        <v>0</v>
      </c>
      <c r="L8352" t="n">
        <v>0</v>
      </c>
      <c r="M8352" t="n">
        <v>0</v>
      </c>
      <c r="N8352" t="n">
        <v>0</v>
      </c>
      <c r="O8352" t="n">
        <v>0</v>
      </c>
      <c r="P8352" t="n">
        <v>0</v>
      </c>
      <c r="Q8352" t="n">
        <v>0</v>
      </c>
      <c r="R8352" s="2" t="inlineStr"/>
    </row>
    <row r="8353" ht="15" customHeight="1">
      <c r="A8353" t="inlineStr">
        <is>
          <t>A 471-2023</t>
        </is>
      </c>
      <c r="B8353" s="1" t="n">
        <v>44929</v>
      </c>
      <c r="C8353" s="1" t="n">
        <v>45357</v>
      </c>
      <c r="D8353" t="inlineStr">
        <is>
          <t>VÄSTERBOTTENS LÄN</t>
        </is>
      </c>
      <c r="E8353" t="inlineStr">
        <is>
          <t>NORSJÖ</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478-2023</t>
        </is>
      </c>
      <c r="B8354" s="1" t="n">
        <v>44929</v>
      </c>
      <c r="C8354" s="1" t="n">
        <v>45357</v>
      </c>
      <c r="D8354" t="inlineStr">
        <is>
          <t>VÄSTERBOTTENS LÄN</t>
        </is>
      </c>
      <c r="E8354" t="inlineStr">
        <is>
          <t>UMEÅ</t>
        </is>
      </c>
      <c r="G8354" t="n">
        <v>5.1</v>
      </c>
      <c r="H8354" t="n">
        <v>0</v>
      </c>
      <c r="I8354" t="n">
        <v>0</v>
      </c>
      <c r="J8354" t="n">
        <v>0</v>
      </c>
      <c r="K8354" t="n">
        <v>0</v>
      </c>
      <c r="L8354" t="n">
        <v>0</v>
      </c>
      <c r="M8354" t="n">
        <v>0</v>
      </c>
      <c r="N8354" t="n">
        <v>0</v>
      </c>
      <c r="O8354" t="n">
        <v>0</v>
      </c>
      <c r="P8354" t="n">
        <v>0</v>
      </c>
      <c r="Q8354" t="n">
        <v>0</v>
      </c>
      <c r="R8354" s="2" t="inlineStr"/>
    </row>
    <row r="8355" ht="15" customHeight="1">
      <c r="A8355" t="inlineStr">
        <is>
          <t>A 470-2023</t>
        </is>
      </c>
      <c r="B8355" s="1" t="n">
        <v>44929</v>
      </c>
      <c r="C8355" s="1" t="n">
        <v>45357</v>
      </c>
      <c r="D8355" t="inlineStr">
        <is>
          <t>VÄSTERBOTTENS LÄN</t>
        </is>
      </c>
      <c r="E8355" t="inlineStr">
        <is>
          <t>NORSJÖ</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1058-2023</t>
        </is>
      </c>
      <c r="B8356" s="1" t="n">
        <v>44929</v>
      </c>
      <c r="C8356" s="1" t="n">
        <v>45357</v>
      </c>
      <c r="D8356" t="inlineStr">
        <is>
          <t>VÄSTERBOTTENS LÄN</t>
        </is>
      </c>
      <c r="E8356" t="inlineStr">
        <is>
          <t>VÄNNÄS</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1076-2023</t>
        </is>
      </c>
      <c r="B8357" s="1" t="n">
        <v>44929</v>
      </c>
      <c r="C8357" s="1" t="n">
        <v>45357</v>
      </c>
      <c r="D8357" t="inlineStr">
        <is>
          <t>VÄSTERBOTTENS LÄN</t>
        </is>
      </c>
      <c r="E8357" t="inlineStr">
        <is>
          <t>SKELLEFTEÅ</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701-2023</t>
        </is>
      </c>
      <c r="B8358" s="1" t="n">
        <v>44930</v>
      </c>
      <c r="C8358" s="1" t="n">
        <v>45357</v>
      </c>
      <c r="D8358" t="inlineStr">
        <is>
          <t>VÄSTERBOTTENS LÄN</t>
        </is>
      </c>
      <c r="E8358" t="inlineStr">
        <is>
          <t>VILHELMINA</t>
        </is>
      </c>
      <c r="G8358" t="n">
        <v>11.5</v>
      </c>
      <c r="H8358" t="n">
        <v>0</v>
      </c>
      <c r="I8358" t="n">
        <v>0</v>
      </c>
      <c r="J8358" t="n">
        <v>0</v>
      </c>
      <c r="K8358" t="n">
        <v>0</v>
      </c>
      <c r="L8358" t="n">
        <v>0</v>
      </c>
      <c r="M8358" t="n">
        <v>0</v>
      </c>
      <c r="N8358" t="n">
        <v>0</v>
      </c>
      <c r="O8358" t="n">
        <v>0</v>
      </c>
      <c r="P8358" t="n">
        <v>0</v>
      </c>
      <c r="Q8358" t="n">
        <v>0</v>
      </c>
      <c r="R8358" s="2" t="inlineStr"/>
    </row>
    <row r="8359" ht="15" customHeight="1">
      <c r="A8359" t="inlineStr">
        <is>
          <t>A 705-2023</t>
        </is>
      </c>
      <c r="B8359" s="1" t="n">
        <v>44930</v>
      </c>
      <c r="C8359" s="1" t="n">
        <v>45357</v>
      </c>
      <c r="D8359" t="inlineStr">
        <is>
          <t>VÄSTERBOTTENS LÄN</t>
        </is>
      </c>
      <c r="E8359" t="inlineStr">
        <is>
          <t>LYCKSELE</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542-2023</t>
        </is>
      </c>
      <c r="B8360" s="1" t="n">
        <v>44930</v>
      </c>
      <c r="C8360" s="1" t="n">
        <v>45357</v>
      </c>
      <c r="D8360" t="inlineStr">
        <is>
          <t>VÄSTERBOTTENS LÄN</t>
        </is>
      </c>
      <c r="E8360" t="inlineStr">
        <is>
          <t>LYCKSELE</t>
        </is>
      </c>
      <c r="F8360" t="inlineStr">
        <is>
          <t>Sveaskog</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503-2023</t>
        </is>
      </c>
      <c r="B8361" s="1" t="n">
        <v>44930</v>
      </c>
      <c r="C8361" s="1" t="n">
        <v>45357</v>
      </c>
      <c r="D8361" t="inlineStr">
        <is>
          <t>VÄSTERBOTTENS LÄN</t>
        </is>
      </c>
      <c r="E8361" t="inlineStr">
        <is>
          <t>ROBERTSFORS</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547-2023</t>
        </is>
      </c>
      <c r="B8362" s="1" t="n">
        <v>44930</v>
      </c>
      <c r="C8362" s="1" t="n">
        <v>45357</v>
      </c>
      <c r="D8362" t="inlineStr">
        <is>
          <t>VÄSTERBOTTENS LÄN</t>
        </is>
      </c>
      <c r="E8362" t="inlineStr">
        <is>
          <t>SKELLEFTEÅ</t>
        </is>
      </c>
      <c r="F8362" t="inlineStr">
        <is>
          <t>Holmen skog AB</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589-2023</t>
        </is>
      </c>
      <c r="B8363" s="1" t="n">
        <v>44930</v>
      </c>
      <c r="C8363" s="1" t="n">
        <v>45357</v>
      </c>
      <c r="D8363" t="inlineStr">
        <is>
          <t>VÄSTERBOTTENS LÄN</t>
        </is>
      </c>
      <c r="E8363" t="inlineStr">
        <is>
          <t>SKELLEFTEÅ</t>
        </is>
      </c>
      <c r="F8363" t="inlineStr">
        <is>
          <t>Holmen skog AB</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605-2023</t>
        </is>
      </c>
      <c r="B8364" s="1" t="n">
        <v>44930</v>
      </c>
      <c r="C8364" s="1" t="n">
        <v>45357</v>
      </c>
      <c r="D8364" t="inlineStr">
        <is>
          <t>VÄSTERBOTTENS LÄN</t>
        </is>
      </c>
      <c r="E8364" t="inlineStr">
        <is>
          <t>LYCKSELE</t>
        </is>
      </c>
      <c r="F8364" t="inlineStr">
        <is>
          <t>Sveaskog</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703-2023</t>
        </is>
      </c>
      <c r="B8365" s="1" t="n">
        <v>44930</v>
      </c>
      <c r="C8365" s="1" t="n">
        <v>45357</v>
      </c>
      <c r="D8365" t="inlineStr">
        <is>
          <t>VÄSTERBOTTENS LÄN</t>
        </is>
      </c>
      <c r="E8365" t="inlineStr">
        <is>
          <t>SKELLEFTEÅ</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707-2023</t>
        </is>
      </c>
      <c r="B8366" s="1" t="n">
        <v>44930</v>
      </c>
      <c r="C8366" s="1" t="n">
        <v>45357</v>
      </c>
      <c r="D8366" t="inlineStr">
        <is>
          <t>VÄSTERBOTTENS LÄN</t>
        </is>
      </c>
      <c r="E8366" t="inlineStr">
        <is>
          <t>SKELLEFTEÅ</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711-2023</t>
        </is>
      </c>
      <c r="B8367" s="1" t="n">
        <v>44930</v>
      </c>
      <c r="C8367" s="1" t="n">
        <v>45357</v>
      </c>
      <c r="D8367" t="inlineStr">
        <is>
          <t>VÄSTERBOTTENS LÄN</t>
        </is>
      </c>
      <c r="E8367" t="inlineStr">
        <is>
          <t>DOROTEA</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729-2023</t>
        </is>
      </c>
      <c r="B8368" s="1" t="n">
        <v>44930</v>
      </c>
      <c r="C8368" s="1" t="n">
        <v>45357</v>
      </c>
      <c r="D8368" t="inlineStr">
        <is>
          <t>VÄSTERBOTTENS LÄN</t>
        </is>
      </c>
      <c r="E8368" t="inlineStr">
        <is>
          <t>BJURHOLM</t>
        </is>
      </c>
      <c r="F8368" t="inlineStr">
        <is>
          <t>SCA</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702-2023</t>
        </is>
      </c>
      <c r="B8369" s="1" t="n">
        <v>44930</v>
      </c>
      <c r="C8369" s="1" t="n">
        <v>45357</v>
      </c>
      <c r="D8369" t="inlineStr">
        <is>
          <t>VÄSTERBOTTENS LÄN</t>
        </is>
      </c>
      <c r="E8369" t="inlineStr">
        <is>
          <t>SKELLEFTEÅ</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706-2023</t>
        </is>
      </c>
      <c r="B8370" s="1" t="n">
        <v>44930</v>
      </c>
      <c r="C8370" s="1" t="n">
        <v>45357</v>
      </c>
      <c r="D8370" t="inlineStr">
        <is>
          <t>VÄSTERBOTTENS LÄN</t>
        </is>
      </c>
      <c r="E8370" t="inlineStr">
        <is>
          <t>SKELLEFTEÅ</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1206-2023</t>
        </is>
      </c>
      <c r="B8371" s="1" t="n">
        <v>44930</v>
      </c>
      <c r="C8371" s="1" t="n">
        <v>45357</v>
      </c>
      <c r="D8371" t="inlineStr">
        <is>
          <t>VÄSTERBOTTENS LÄN</t>
        </is>
      </c>
      <c r="E8371" t="inlineStr">
        <is>
          <t>SKELLEFTEÅ</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751-2023</t>
        </is>
      </c>
      <c r="B8372" s="1" t="n">
        <v>44931</v>
      </c>
      <c r="C8372" s="1" t="n">
        <v>45357</v>
      </c>
      <c r="D8372" t="inlineStr">
        <is>
          <t>VÄSTERBOTTENS LÄN</t>
        </is>
      </c>
      <c r="E8372" t="inlineStr">
        <is>
          <t>UMEÅ</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778-2023</t>
        </is>
      </c>
      <c r="B8373" s="1" t="n">
        <v>44931</v>
      </c>
      <c r="C8373" s="1" t="n">
        <v>45357</v>
      </c>
      <c r="D8373" t="inlineStr">
        <is>
          <t>VÄSTERBOTTENS LÄN</t>
        </is>
      </c>
      <c r="E8373" t="inlineStr">
        <is>
          <t>LYCKSELE</t>
        </is>
      </c>
      <c r="F8373" t="inlineStr">
        <is>
          <t>Sveaskog</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805-2023</t>
        </is>
      </c>
      <c r="B8374" s="1" t="n">
        <v>44931</v>
      </c>
      <c r="C8374" s="1" t="n">
        <v>45357</v>
      </c>
      <c r="D8374" t="inlineStr">
        <is>
          <t>VÄSTERBOTTENS LÄN</t>
        </is>
      </c>
      <c r="E8374" t="inlineStr">
        <is>
          <t>VINDELN</t>
        </is>
      </c>
      <c r="G8374" t="n">
        <v>15.4</v>
      </c>
      <c r="H8374" t="n">
        <v>0</v>
      </c>
      <c r="I8374" t="n">
        <v>0</v>
      </c>
      <c r="J8374" t="n">
        <v>0</v>
      </c>
      <c r="K8374" t="n">
        <v>0</v>
      </c>
      <c r="L8374" t="n">
        <v>0</v>
      </c>
      <c r="M8374" t="n">
        <v>0</v>
      </c>
      <c r="N8374" t="n">
        <v>0</v>
      </c>
      <c r="O8374" t="n">
        <v>0</v>
      </c>
      <c r="P8374" t="n">
        <v>0</v>
      </c>
      <c r="Q8374" t="n">
        <v>0</v>
      </c>
      <c r="R8374" s="2" t="inlineStr"/>
    </row>
    <row r="8375" ht="15" customHeight="1">
      <c r="A8375" t="inlineStr">
        <is>
          <t>A 759-2023</t>
        </is>
      </c>
      <c r="B8375" s="1" t="n">
        <v>44931</v>
      </c>
      <c r="C8375" s="1" t="n">
        <v>45357</v>
      </c>
      <c r="D8375" t="inlineStr">
        <is>
          <t>VÄSTERBOTTENS LÄN</t>
        </is>
      </c>
      <c r="E8375" t="inlineStr">
        <is>
          <t>UMEÅ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779-2023</t>
        </is>
      </c>
      <c r="B8376" s="1" t="n">
        <v>44931</v>
      </c>
      <c r="C8376" s="1" t="n">
        <v>45357</v>
      </c>
      <c r="D8376" t="inlineStr">
        <is>
          <t>VÄSTERBOTTENS LÄN</t>
        </is>
      </c>
      <c r="E8376" t="inlineStr">
        <is>
          <t>BJURHOLM</t>
        </is>
      </c>
      <c r="F8376" t="inlineStr">
        <is>
          <t>Holmen skog AB</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881-2023</t>
        </is>
      </c>
      <c r="B8377" s="1" t="n">
        <v>44931</v>
      </c>
      <c r="C8377" s="1" t="n">
        <v>45357</v>
      </c>
      <c r="D8377" t="inlineStr">
        <is>
          <t>VÄSTERBOTTENS LÄN</t>
        </is>
      </c>
      <c r="E8377" t="inlineStr">
        <is>
          <t>NORSJÖ</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902-2023</t>
        </is>
      </c>
      <c r="B8378" s="1" t="n">
        <v>44931</v>
      </c>
      <c r="C8378" s="1" t="n">
        <v>45357</v>
      </c>
      <c r="D8378" t="inlineStr">
        <is>
          <t>VÄSTERBOTTENS LÄN</t>
        </is>
      </c>
      <c r="E8378" t="inlineStr">
        <is>
          <t>SKELLEFTEÅ</t>
        </is>
      </c>
      <c r="G8378" t="n">
        <v>7.4</v>
      </c>
      <c r="H8378" t="n">
        <v>0</v>
      </c>
      <c r="I8378" t="n">
        <v>0</v>
      </c>
      <c r="J8378" t="n">
        <v>0</v>
      </c>
      <c r="K8378" t="n">
        <v>0</v>
      </c>
      <c r="L8378" t="n">
        <v>0</v>
      </c>
      <c r="M8378" t="n">
        <v>0</v>
      </c>
      <c r="N8378" t="n">
        <v>0</v>
      </c>
      <c r="O8378" t="n">
        <v>0</v>
      </c>
      <c r="P8378" t="n">
        <v>0</v>
      </c>
      <c r="Q8378" t="n">
        <v>0</v>
      </c>
      <c r="R8378" s="2" t="inlineStr"/>
    </row>
    <row r="8379" ht="15" customHeight="1">
      <c r="A8379" t="inlineStr">
        <is>
          <t>A 911-2023</t>
        </is>
      </c>
      <c r="B8379" s="1" t="n">
        <v>44931</v>
      </c>
      <c r="C8379" s="1" t="n">
        <v>45357</v>
      </c>
      <c r="D8379" t="inlineStr">
        <is>
          <t>VÄSTERBOTTENS LÄN</t>
        </is>
      </c>
      <c r="E8379" t="inlineStr">
        <is>
          <t>SKELLEFTEÅ</t>
        </is>
      </c>
      <c r="G8379" t="n">
        <v>18.3</v>
      </c>
      <c r="H8379" t="n">
        <v>0</v>
      </c>
      <c r="I8379" t="n">
        <v>0</v>
      </c>
      <c r="J8379" t="n">
        <v>0</v>
      </c>
      <c r="K8379" t="n">
        <v>0</v>
      </c>
      <c r="L8379" t="n">
        <v>0</v>
      </c>
      <c r="M8379" t="n">
        <v>0</v>
      </c>
      <c r="N8379" t="n">
        <v>0</v>
      </c>
      <c r="O8379" t="n">
        <v>0</v>
      </c>
      <c r="P8379" t="n">
        <v>0</v>
      </c>
      <c r="Q8379" t="n">
        <v>0</v>
      </c>
      <c r="R8379" s="2" t="inlineStr"/>
    </row>
    <row r="8380" ht="15" customHeight="1">
      <c r="A8380" t="inlineStr">
        <is>
          <t>A 900-2023</t>
        </is>
      </c>
      <c r="B8380" s="1" t="n">
        <v>44931</v>
      </c>
      <c r="C8380" s="1" t="n">
        <v>45357</v>
      </c>
      <c r="D8380" t="inlineStr">
        <is>
          <t>VÄSTERBOTTENS LÄN</t>
        </is>
      </c>
      <c r="E8380" t="inlineStr">
        <is>
          <t>SKELLEFTEÅ</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904-2023</t>
        </is>
      </c>
      <c r="B8381" s="1" t="n">
        <v>44931</v>
      </c>
      <c r="C8381" s="1" t="n">
        <v>45357</v>
      </c>
      <c r="D8381" t="inlineStr">
        <is>
          <t>VÄSTERBOTTENS LÄN</t>
        </is>
      </c>
      <c r="E8381" t="inlineStr">
        <is>
          <t>SKELLEFTEÅ</t>
        </is>
      </c>
      <c r="G8381" t="n">
        <v>22.2</v>
      </c>
      <c r="H8381" t="n">
        <v>0</v>
      </c>
      <c r="I8381" t="n">
        <v>0</v>
      </c>
      <c r="J8381" t="n">
        <v>0</v>
      </c>
      <c r="K8381" t="n">
        <v>0</v>
      </c>
      <c r="L8381" t="n">
        <v>0</v>
      </c>
      <c r="M8381" t="n">
        <v>0</v>
      </c>
      <c r="N8381" t="n">
        <v>0</v>
      </c>
      <c r="O8381" t="n">
        <v>0</v>
      </c>
      <c r="P8381" t="n">
        <v>0</v>
      </c>
      <c r="Q8381" t="n">
        <v>0</v>
      </c>
      <c r="R8381" s="2" t="inlineStr"/>
    </row>
    <row r="8382" ht="15" customHeight="1">
      <c r="A8382" t="inlineStr">
        <is>
          <t>A 913-2023</t>
        </is>
      </c>
      <c r="B8382" s="1" t="n">
        <v>44931</v>
      </c>
      <c r="C8382" s="1" t="n">
        <v>45357</v>
      </c>
      <c r="D8382" t="inlineStr">
        <is>
          <t>VÄSTERBOTTENS LÄN</t>
        </is>
      </c>
      <c r="E8382" t="inlineStr">
        <is>
          <t>SKELLEFTEÅ</t>
        </is>
      </c>
      <c r="G8382" t="n">
        <v>8</v>
      </c>
      <c r="H8382" t="n">
        <v>0</v>
      </c>
      <c r="I8382" t="n">
        <v>0</v>
      </c>
      <c r="J8382" t="n">
        <v>0</v>
      </c>
      <c r="K8382" t="n">
        <v>0</v>
      </c>
      <c r="L8382" t="n">
        <v>0</v>
      </c>
      <c r="M8382" t="n">
        <v>0</v>
      </c>
      <c r="N8382" t="n">
        <v>0</v>
      </c>
      <c r="O8382" t="n">
        <v>0</v>
      </c>
      <c r="P8382" t="n">
        <v>0</v>
      </c>
      <c r="Q8382" t="n">
        <v>0</v>
      </c>
      <c r="R8382" s="2" t="inlineStr"/>
    </row>
    <row r="8383" ht="15" customHeight="1">
      <c r="A8383" t="inlineStr">
        <is>
          <t>A 916-2023</t>
        </is>
      </c>
      <c r="B8383" s="1" t="n">
        <v>44931</v>
      </c>
      <c r="C8383" s="1" t="n">
        <v>45357</v>
      </c>
      <c r="D8383" t="inlineStr">
        <is>
          <t>VÄSTERBOTTENS LÄN</t>
        </is>
      </c>
      <c r="E8383" t="inlineStr">
        <is>
          <t>STORUMAN</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901-2023</t>
        </is>
      </c>
      <c r="B8384" s="1" t="n">
        <v>44931</v>
      </c>
      <c r="C8384" s="1" t="n">
        <v>45357</v>
      </c>
      <c r="D8384" t="inlineStr">
        <is>
          <t>VÄSTERBOTTENS LÄN</t>
        </is>
      </c>
      <c r="E8384" t="inlineStr">
        <is>
          <t>SKELLEFTEÅ</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909-2023</t>
        </is>
      </c>
      <c r="B8385" s="1" t="n">
        <v>44931</v>
      </c>
      <c r="C8385" s="1" t="n">
        <v>45357</v>
      </c>
      <c r="D8385" t="inlineStr">
        <is>
          <t>VÄSTERBOTTENS LÄN</t>
        </is>
      </c>
      <c r="E8385" t="inlineStr">
        <is>
          <t>SKELLEFTEÅ</t>
        </is>
      </c>
      <c r="G8385" t="n">
        <v>11.8</v>
      </c>
      <c r="H8385" t="n">
        <v>0</v>
      </c>
      <c r="I8385" t="n">
        <v>0</v>
      </c>
      <c r="J8385" t="n">
        <v>0</v>
      </c>
      <c r="K8385" t="n">
        <v>0</v>
      </c>
      <c r="L8385" t="n">
        <v>0</v>
      </c>
      <c r="M8385" t="n">
        <v>0</v>
      </c>
      <c r="N8385" t="n">
        <v>0</v>
      </c>
      <c r="O8385" t="n">
        <v>0</v>
      </c>
      <c r="P8385" t="n">
        <v>0</v>
      </c>
      <c r="Q8385" t="n">
        <v>0</v>
      </c>
      <c r="R8385" s="2" t="inlineStr"/>
    </row>
    <row r="8386" ht="15" customHeight="1">
      <c r="A8386" t="inlineStr">
        <is>
          <t>A 914-2023</t>
        </is>
      </c>
      <c r="B8386" s="1" t="n">
        <v>44931</v>
      </c>
      <c r="C8386" s="1" t="n">
        <v>45357</v>
      </c>
      <c r="D8386" t="inlineStr">
        <is>
          <t>VÄSTERBOTTENS LÄN</t>
        </is>
      </c>
      <c r="E8386" t="inlineStr">
        <is>
          <t>DOROTEA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903-2023</t>
        </is>
      </c>
      <c r="B8387" s="1" t="n">
        <v>44931</v>
      </c>
      <c r="C8387" s="1" t="n">
        <v>45357</v>
      </c>
      <c r="D8387" t="inlineStr">
        <is>
          <t>VÄSTERBOTTENS LÄN</t>
        </is>
      </c>
      <c r="E8387" t="inlineStr">
        <is>
          <t>SKELLEFTEÅ</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912-2023</t>
        </is>
      </c>
      <c r="B8388" s="1" t="n">
        <v>44931</v>
      </c>
      <c r="C8388" s="1" t="n">
        <v>45357</v>
      </c>
      <c r="D8388" t="inlineStr">
        <is>
          <t>VÄSTERBOTTENS LÄN</t>
        </is>
      </c>
      <c r="E8388" t="inlineStr">
        <is>
          <t>DOROTEA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936-2023</t>
        </is>
      </c>
      <c r="B8389" s="1" t="n">
        <v>44933</v>
      </c>
      <c r="C8389" s="1" t="n">
        <v>45357</v>
      </c>
      <c r="D8389" t="inlineStr">
        <is>
          <t>VÄSTERBOTTENS LÄN</t>
        </is>
      </c>
      <c r="E8389" t="inlineStr">
        <is>
          <t>LYCKSELE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960-2023</t>
        </is>
      </c>
      <c r="B8390" s="1" t="n">
        <v>44934</v>
      </c>
      <c r="C8390" s="1" t="n">
        <v>45357</v>
      </c>
      <c r="D8390" t="inlineStr">
        <is>
          <t>VÄSTERBOTTENS LÄN</t>
        </is>
      </c>
      <c r="E8390" t="inlineStr">
        <is>
          <t>LYCKSELE</t>
        </is>
      </c>
      <c r="F8390" t="inlineStr">
        <is>
          <t>Sveaskog</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957-2023</t>
        </is>
      </c>
      <c r="B8391" s="1" t="n">
        <v>44934</v>
      </c>
      <c r="C8391" s="1" t="n">
        <v>45357</v>
      </c>
      <c r="D8391" t="inlineStr">
        <is>
          <t>VÄSTERBOTTENS LÄN</t>
        </is>
      </c>
      <c r="E8391" t="inlineStr">
        <is>
          <t>LYCKSELE</t>
        </is>
      </c>
      <c r="F8391" t="inlineStr">
        <is>
          <t>Sveaskog</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1013-2023</t>
        </is>
      </c>
      <c r="B8392" s="1" t="n">
        <v>44935</v>
      </c>
      <c r="C8392" s="1" t="n">
        <v>45357</v>
      </c>
      <c r="D8392" t="inlineStr">
        <is>
          <t>VÄSTERBOTTENS LÄN</t>
        </is>
      </c>
      <c r="E8392" t="inlineStr">
        <is>
          <t>SORSELE</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1035-2023</t>
        </is>
      </c>
      <c r="B8393" s="1" t="n">
        <v>44935</v>
      </c>
      <c r="C8393" s="1" t="n">
        <v>45357</v>
      </c>
      <c r="D8393" t="inlineStr">
        <is>
          <t>VÄSTERBOTTENS LÄN</t>
        </is>
      </c>
      <c r="E8393" t="inlineStr">
        <is>
          <t>VILHELMINA</t>
        </is>
      </c>
      <c r="G8393" t="n">
        <v>10.4</v>
      </c>
      <c r="H8393" t="n">
        <v>0</v>
      </c>
      <c r="I8393" t="n">
        <v>0</v>
      </c>
      <c r="J8393" t="n">
        <v>0</v>
      </c>
      <c r="K8393" t="n">
        <v>0</v>
      </c>
      <c r="L8393" t="n">
        <v>0</v>
      </c>
      <c r="M8393" t="n">
        <v>0</v>
      </c>
      <c r="N8393" t="n">
        <v>0</v>
      </c>
      <c r="O8393" t="n">
        <v>0</v>
      </c>
      <c r="P8393" t="n">
        <v>0</v>
      </c>
      <c r="Q8393" t="n">
        <v>0</v>
      </c>
      <c r="R8393" s="2" t="inlineStr"/>
    </row>
    <row r="8394" ht="15" customHeight="1">
      <c r="A8394" t="inlineStr">
        <is>
          <t>A 1000-2023</t>
        </is>
      </c>
      <c r="B8394" s="1" t="n">
        <v>44935</v>
      </c>
      <c r="C8394" s="1" t="n">
        <v>45357</v>
      </c>
      <c r="D8394" t="inlineStr">
        <is>
          <t>VÄSTERBOTTENS LÄN</t>
        </is>
      </c>
      <c r="E8394" t="inlineStr">
        <is>
          <t>VÄNNÄS</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1006-2023</t>
        </is>
      </c>
      <c r="B8395" s="1" t="n">
        <v>44935</v>
      </c>
      <c r="C8395" s="1" t="n">
        <v>45357</v>
      </c>
      <c r="D8395" t="inlineStr">
        <is>
          <t>VÄSTERBOTTENS LÄN</t>
        </is>
      </c>
      <c r="E8395" t="inlineStr">
        <is>
          <t>VÄNNÄS</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992-2023</t>
        </is>
      </c>
      <c r="B8396" s="1" t="n">
        <v>44935</v>
      </c>
      <c r="C8396" s="1" t="n">
        <v>45357</v>
      </c>
      <c r="D8396" t="inlineStr">
        <is>
          <t>VÄSTERBOTTENS LÄN</t>
        </is>
      </c>
      <c r="E8396" t="inlineStr">
        <is>
          <t>VÄNNÄS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1113-2023</t>
        </is>
      </c>
      <c r="B8397" s="1" t="n">
        <v>44935</v>
      </c>
      <c r="C8397" s="1" t="n">
        <v>45357</v>
      </c>
      <c r="D8397" t="inlineStr">
        <is>
          <t>VÄSTERBOTTENS LÄN</t>
        </is>
      </c>
      <c r="E8397" t="inlineStr">
        <is>
          <t>SKELLEFTEÅ</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1134-2023</t>
        </is>
      </c>
      <c r="B8398" s="1" t="n">
        <v>44935</v>
      </c>
      <c r="C8398" s="1" t="n">
        <v>45357</v>
      </c>
      <c r="D8398" t="inlineStr">
        <is>
          <t>VÄSTERBOTTENS LÄN</t>
        </is>
      </c>
      <c r="E8398" t="inlineStr">
        <is>
          <t>SKELLEFTEÅ</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1218-2023</t>
        </is>
      </c>
      <c r="B8399" s="1" t="n">
        <v>44935</v>
      </c>
      <c r="C8399" s="1" t="n">
        <v>45357</v>
      </c>
      <c r="D8399" t="inlineStr">
        <is>
          <t>VÄSTERBOTTENS LÄN</t>
        </is>
      </c>
      <c r="E8399" t="inlineStr">
        <is>
          <t>DOROTEA</t>
        </is>
      </c>
      <c r="G8399" t="n">
        <v>11.6</v>
      </c>
      <c r="H8399" t="n">
        <v>0</v>
      </c>
      <c r="I8399" t="n">
        <v>0</v>
      </c>
      <c r="J8399" t="n">
        <v>0</v>
      </c>
      <c r="K8399" t="n">
        <v>0</v>
      </c>
      <c r="L8399" t="n">
        <v>0</v>
      </c>
      <c r="M8399" t="n">
        <v>0</v>
      </c>
      <c r="N8399" t="n">
        <v>0</v>
      </c>
      <c r="O8399" t="n">
        <v>0</v>
      </c>
      <c r="P8399" t="n">
        <v>0</v>
      </c>
      <c r="Q8399" t="n">
        <v>0</v>
      </c>
      <c r="R8399" s="2" t="inlineStr"/>
    </row>
    <row r="8400" ht="15" customHeight="1">
      <c r="A8400" t="inlineStr">
        <is>
          <t>A 1225-2023</t>
        </is>
      </c>
      <c r="B8400" s="1" t="n">
        <v>44936</v>
      </c>
      <c r="C8400" s="1" t="n">
        <v>45357</v>
      </c>
      <c r="D8400" t="inlineStr">
        <is>
          <t>VÄSTERBOTTENS LÄN</t>
        </is>
      </c>
      <c r="E8400" t="inlineStr">
        <is>
          <t>ÅSELE</t>
        </is>
      </c>
      <c r="F8400" t="inlineStr">
        <is>
          <t>SCA</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1227-2023</t>
        </is>
      </c>
      <c r="B8401" s="1" t="n">
        <v>44936</v>
      </c>
      <c r="C8401" s="1" t="n">
        <v>45357</v>
      </c>
      <c r="D8401" t="inlineStr">
        <is>
          <t>VÄSTERBOTTENS LÄN</t>
        </is>
      </c>
      <c r="E8401" t="inlineStr">
        <is>
          <t>ÅSELE</t>
        </is>
      </c>
      <c r="F8401" t="inlineStr">
        <is>
          <t>SCA</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1232-2023</t>
        </is>
      </c>
      <c r="B8402" s="1" t="n">
        <v>44935</v>
      </c>
      <c r="C8402" s="1" t="n">
        <v>45357</v>
      </c>
      <c r="D8402" t="inlineStr">
        <is>
          <t>VÄSTERBOTTENS LÄN</t>
        </is>
      </c>
      <c r="E8402" t="inlineStr">
        <is>
          <t>VINDELN</t>
        </is>
      </c>
      <c r="F8402" t="inlineStr">
        <is>
          <t>SCA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1228-2023</t>
        </is>
      </c>
      <c r="B8403" s="1" t="n">
        <v>44936</v>
      </c>
      <c r="C8403" s="1" t="n">
        <v>45357</v>
      </c>
      <c r="D8403" t="inlineStr">
        <is>
          <t>VÄSTERBOTTENS LÄN</t>
        </is>
      </c>
      <c r="E8403" t="inlineStr">
        <is>
          <t>ÅSELE</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1233-2023</t>
        </is>
      </c>
      <c r="B8404" s="1" t="n">
        <v>44935</v>
      </c>
      <c r="C8404" s="1" t="n">
        <v>45357</v>
      </c>
      <c r="D8404" t="inlineStr">
        <is>
          <t>VÄSTERBOTTENS LÄN</t>
        </is>
      </c>
      <c r="E8404" t="inlineStr">
        <is>
          <t>VINDELN</t>
        </is>
      </c>
      <c r="F8404" t="inlineStr">
        <is>
          <t>SCA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1111-2023</t>
        </is>
      </c>
      <c r="B8405" s="1" t="n">
        <v>44935</v>
      </c>
      <c r="C8405" s="1" t="n">
        <v>45357</v>
      </c>
      <c r="D8405" t="inlineStr">
        <is>
          <t>VÄSTERBOTTENS LÄN</t>
        </is>
      </c>
      <c r="E8405" t="inlineStr">
        <is>
          <t>SKELLEFTEÅ</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1226-2023</t>
        </is>
      </c>
      <c r="B8406" s="1" t="n">
        <v>44936</v>
      </c>
      <c r="C8406" s="1" t="n">
        <v>45357</v>
      </c>
      <c r="D8406" t="inlineStr">
        <is>
          <t>VÄSTERBOTTENS LÄN</t>
        </is>
      </c>
      <c r="E8406" t="inlineStr">
        <is>
          <t>ÅSELE</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1231-2023</t>
        </is>
      </c>
      <c r="B8407" s="1" t="n">
        <v>44935</v>
      </c>
      <c r="C8407" s="1" t="n">
        <v>45357</v>
      </c>
      <c r="D8407" t="inlineStr">
        <is>
          <t>VÄSTERBOTTENS LÄN</t>
        </is>
      </c>
      <c r="E8407" t="inlineStr">
        <is>
          <t>VINDELN</t>
        </is>
      </c>
      <c r="F8407" t="inlineStr">
        <is>
          <t>SCA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1602-2023</t>
        </is>
      </c>
      <c r="B8408" s="1" t="n">
        <v>44935</v>
      </c>
      <c r="C8408" s="1" t="n">
        <v>45357</v>
      </c>
      <c r="D8408" t="inlineStr">
        <is>
          <t>VÄSTERBOTTENS LÄN</t>
        </is>
      </c>
      <c r="E8408" t="inlineStr">
        <is>
          <t>SKELLEFTEÅ</t>
        </is>
      </c>
      <c r="G8408" t="n">
        <v>12.6</v>
      </c>
      <c r="H8408" t="n">
        <v>0</v>
      </c>
      <c r="I8408" t="n">
        <v>0</v>
      </c>
      <c r="J8408" t="n">
        <v>0</v>
      </c>
      <c r="K8408" t="n">
        <v>0</v>
      </c>
      <c r="L8408" t="n">
        <v>0</v>
      </c>
      <c r="M8408" t="n">
        <v>0</v>
      </c>
      <c r="N8408" t="n">
        <v>0</v>
      </c>
      <c r="O8408" t="n">
        <v>0</v>
      </c>
      <c r="P8408" t="n">
        <v>0</v>
      </c>
      <c r="Q8408" t="n">
        <v>0</v>
      </c>
      <c r="R8408" s="2" t="inlineStr"/>
    </row>
    <row r="8409" ht="15" customHeight="1">
      <c r="A8409" t="inlineStr">
        <is>
          <t>A 1612-2023</t>
        </is>
      </c>
      <c r="B8409" s="1" t="n">
        <v>44935</v>
      </c>
      <c r="C8409" s="1" t="n">
        <v>45357</v>
      </c>
      <c r="D8409" t="inlineStr">
        <is>
          <t>VÄSTERBOTTENS LÄN</t>
        </is>
      </c>
      <c r="E8409" t="inlineStr">
        <is>
          <t>SKELLEFTEÅ</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1533-2023</t>
        </is>
      </c>
      <c r="B8410" s="1" t="n">
        <v>44935</v>
      </c>
      <c r="C8410" s="1" t="n">
        <v>45357</v>
      </c>
      <c r="D8410" t="inlineStr">
        <is>
          <t>VÄSTERBOTTENS LÄN</t>
        </is>
      </c>
      <c r="E8410" t="inlineStr">
        <is>
          <t>SKELLEFTEÅ</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1528-2023</t>
        </is>
      </c>
      <c r="B8411" s="1" t="n">
        <v>44935</v>
      </c>
      <c r="C8411" s="1" t="n">
        <v>45357</v>
      </c>
      <c r="D8411" t="inlineStr">
        <is>
          <t>VÄSTERBOTTENS LÄN</t>
        </is>
      </c>
      <c r="E8411" t="inlineStr">
        <is>
          <t>SKELLEFTEÅ</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1276-2023</t>
        </is>
      </c>
      <c r="B8412" s="1" t="n">
        <v>44936</v>
      </c>
      <c r="C8412" s="1" t="n">
        <v>45357</v>
      </c>
      <c r="D8412" t="inlineStr">
        <is>
          <t>VÄSTERBOTTENS LÄN</t>
        </is>
      </c>
      <c r="E8412" t="inlineStr">
        <is>
          <t>LYCKSELE</t>
        </is>
      </c>
      <c r="F8412" t="inlineStr">
        <is>
          <t>Sveaskog</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1317-2023</t>
        </is>
      </c>
      <c r="B8413" s="1" t="n">
        <v>44936</v>
      </c>
      <c r="C8413" s="1" t="n">
        <v>45357</v>
      </c>
      <c r="D8413" t="inlineStr">
        <is>
          <t>VÄSTERBOTTENS LÄN</t>
        </is>
      </c>
      <c r="E8413" t="inlineStr">
        <is>
          <t>LYCKSELE</t>
        </is>
      </c>
      <c r="F8413" t="inlineStr">
        <is>
          <t>Sveaskog</t>
        </is>
      </c>
      <c r="G8413" t="n">
        <v>12.6</v>
      </c>
      <c r="H8413" t="n">
        <v>0</v>
      </c>
      <c r="I8413" t="n">
        <v>0</v>
      </c>
      <c r="J8413" t="n">
        <v>0</v>
      </c>
      <c r="K8413" t="n">
        <v>0</v>
      </c>
      <c r="L8413" t="n">
        <v>0</v>
      </c>
      <c r="M8413" t="n">
        <v>0</v>
      </c>
      <c r="N8413" t="n">
        <v>0</v>
      </c>
      <c r="O8413" t="n">
        <v>0</v>
      </c>
      <c r="P8413" t="n">
        <v>0</v>
      </c>
      <c r="Q8413" t="n">
        <v>0</v>
      </c>
      <c r="R8413" s="2" t="inlineStr"/>
    </row>
    <row r="8414" ht="15" customHeight="1">
      <c r="A8414" t="inlineStr">
        <is>
          <t>A 1348-2023</t>
        </is>
      </c>
      <c r="B8414" s="1" t="n">
        <v>44936</v>
      </c>
      <c r="C8414" s="1" t="n">
        <v>45357</v>
      </c>
      <c r="D8414" t="inlineStr">
        <is>
          <t>VÄSTERBOTTENS LÄN</t>
        </is>
      </c>
      <c r="E8414" t="inlineStr">
        <is>
          <t>ROBERTSFORS</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1419-2023</t>
        </is>
      </c>
      <c r="B8415" s="1" t="n">
        <v>44936</v>
      </c>
      <c r="C8415" s="1" t="n">
        <v>45357</v>
      </c>
      <c r="D8415" t="inlineStr">
        <is>
          <t>VÄSTERBOTTENS LÄN</t>
        </is>
      </c>
      <c r="E8415" t="inlineStr">
        <is>
          <t>SKELLEFTEÅ</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1711-2023</t>
        </is>
      </c>
      <c r="B8416" s="1" t="n">
        <v>44936</v>
      </c>
      <c r="C8416" s="1" t="n">
        <v>45357</v>
      </c>
      <c r="D8416" t="inlineStr">
        <is>
          <t>VÄSTERBOTTENS LÄN</t>
        </is>
      </c>
      <c r="E8416" t="inlineStr">
        <is>
          <t>NORDMALING</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1776-2023</t>
        </is>
      </c>
      <c r="B8417" s="1" t="n">
        <v>44936</v>
      </c>
      <c r="C8417" s="1" t="n">
        <v>45357</v>
      </c>
      <c r="D8417" t="inlineStr">
        <is>
          <t>VÄSTERBOTTENS LÄN</t>
        </is>
      </c>
      <c r="E8417" t="inlineStr">
        <is>
          <t>VILHELMINA</t>
        </is>
      </c>
      <c r="F8417" t="inlineStr">
        <is>
          <t>Övriga Aktiebolag</t>
        </is>
      </c>
      <c r="G8417" t="n">
        <v>18.4</v>
      </c>
      <c r="H8417" t="n">
        <v>0</v>
      </c>
      <c r="I8417" t="n">
        <v>0</v>
      </c>
      <c r="J8417" t="n">
        <v>0</v>
      </c>
      <c r="K8417" t="n">
        <v>0</v>
      </c>
      <c r="L8417" t="n">
        <v>0</v>
      </c>
      <c r="M8417" t="n">
        <v>0</v>
      </c>
      <c r="N8417" t="n">
        <v>0</v>
      </c>
      <c r="O8417" t="n">
        <v>0</v>
      </c>
      <c r="P8417" t="n">
        <v>0</v>
      </c>
      <c r="Q8417" t="n">
        <v>0</v>
      </c>
      <c r="R8417" s="2" t="inlineStr"/>
    </row>
    <row r="8418" ht="15" customHeight="1">
      <c r="A8418" t="inlineStr">
        <is>
          <t>A 1361-2023</t>
        </is>
      </c>
      <c r="B8418" s="1" t="n">
        <v>44936</v>
      </c>
      <c r="C8418" s="1" t="n">
        <v>45357</v>
      </c>
      <c r="D8418" t="inlineStr">
        <is>
          <t>VÄSTERBOTTENS LÄN</t>
        </is>
      </c>
      <c r="E8418" t="inlineStr">
        <is>
          <t>ROBERTSFORS</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1719-2023</t>
        </is>
      </c>
      <c r="B8419" s="1" t="n">
        <v>44936</v>
      </c>
      <c r="C8419" s="1" t="n">
        <v>45357</v>
      </c>
      <c r="D8419" t="inlineStr">
        <is>
          <t>VÄSTERBOTTENS LÄN</t>
        </is>
      </c>
      <c r="E8419" t="inlineStr">
        <is>
          <t>ÅSELE</t>
        </is>
      </c>
      <c r="G8419" t="n">
        <v>7.4</v>
      </c>
      <c r="H8419" t="n">
        <v>0</v>
      </c>
      <c r="I8419" t="n">
        <v>0</v>
      </c>
      <c r="J8419" t="n">
        <v>0</v>
      </c>
      <c r="K8419" t="n">
        <v>0</v>
      </c>
      <c r="L8419" t="n">
        <v>0</v>
      </c>
      <c r="M8419" t="n">
        <v>0</v>
      </c>
      <c r="N8419" t="n">
        <v>0</v>
      </c>
      <c r="O8419" t="n">
        <v>0</v>
      </c>
      <c r="P8419" t="n">
        <v>0</v>
      </c>
      <c r="Q8419" t="n">
        <v>0</v>
      </c>
      <c r="R8419" s="2" t="inlineStr"/>
    </row>
    <row r="8420" ht="15" customHeight="1">
      <c r="A8420" t="inlineStr">
        <is>
          <t>A 1407-2023</t>
        </is>
      </c>
      <c r="B8420" s="1" t="n">
        <v>44936</v>
      </c>
      <c r="C8420" s="1" t="n">
        <v>45357</v>
      </c>
      <c r="D8420" t="inlineStr">
        <is>
          <t>VÄSTERBOTTENS LÄN</t>
        </is>
      </c>
      <c r="E8420" t="inlineStr">
        <is>
          <t>ÅSELE</t>
        </is>
      </c>
      <c r="G8420" t="n">
        <v>11.5</v>
      </c>
      <c r="H8420" t="n">
        <v>0</v>
      </c>
      <c r="I8420" t="n">
        <v>0</v>
      </c>
      <c r="J8420" t="n">
        <v>0</v>
      </c>
      <c r="K8420" t="n">
        <v>0</v>
      </c>
      <c r="L8420" t="n">
        <v>0</v>
      </c>
      <c r="M8420" t="n">
        <v>0</v>
      </c>
      <c r="N8420" t="n">
        <v>0</v>
      </c>
      <c r="O8420" t="n">
        <v>0</v>
      </c>
      <c r="P8420" t="n">
        <v>0</v>
      </c>
      <c r="Q8420" t="n">
        <v>0</v>
      </c>
      <c r="R8420" s="2" t="inlineStr"/>
    </row>
    <row r="8421" ht="15" customHeight="1">
      <c r="A8421" t="inlineStr">
        <is>
          <t>A 1409-2023</t>
        </is>
      </c>
      <c r="B8421" s="1" t="n">
        <v>44936</v>
      </c>
      <c r="C8421" s="1" t="n">
        <v>45357</v>
      </c>
      <c r="D8421" t="inlineStr">
        <is>
          <t>VÄSTERBOTTENS LÄN</t>
        </is>
      </c>
      <c r="E8421" t="inlineStr">
        <is>
          <t>ÅSELE</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1480-2023</t>
        </is>
      </c>
      <c r="B8422" s="1" t="n">
        <v>44937</v>
      </c>
      <c r="C8422" s="1" t="n">
        <v>45357</v>
      </c>
      <c r="D8422" t="inlineStr">
        <is>
          <t>VÄSTERBOTTENS LÄN</t>
        </is>
      </c>
      <c r="E8422" t="inlineStr">
        <is>
          <t>UMEÅ</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1648-2023</t>
        </is>
      </c>
      <c r="B8423" s="1" t="n">
        <v>44937</v>
      </c>
      <c r="C8423" s="1" t="n">
        <v>45357</v>
      </c>
      <c r="D8423" t="inlineStr">
        <is>
          <t>VÄSTERBOTTENS LÄN</t>
        </is>
      </c>
      <c r="E8423" t="inlineStr">
        <is>
          <t>DOROTEA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1650-2023</t>
        </is>
      </c>
      <c r="B8424" s="1" t="n">
        <v>44937</v>
      </c>
      <c r="C8424" s="1" t="n">
        <v>45357</v>
      </c>
      <c r="D8424" t="inlineStr">
        <is>
          <t>VÄSTERBOTTENS LÄN</t>
        </is>
      </c>
      <c r="E8424" t="inlineStr">
        <is>
          <t>VINDELN</t>
        </is>
      </c>
      <c r="F8424" t="inlineStr">
        <is>
          <t>SCA</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1639-2023</t>
        </is>
      </c>
      <c r="B8425" s="1" t="n">
        <v>44937</v>
      </c>
      <c r="C8425" s="1" t="n">
        <v>45357</v>
      </c>
      <c r="D8425" t="inlineStr">
        <is>
          <t>VÄSTERBOTTENS LÄN</t>
        </is>
      </c>
      <c r="E8425" t="inlineStr">
        <is>
          <t>SKELLEFTEÅ</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1651-2023</t>
        </is>
      </c>
      <c r="B8426" s="1" t="n">
        <v>44937</v>
      </c>
      <c r="C8426" s="1" t="n">
        <v>45357</v>
      </c>
      <c r="D8426" t="inlineStr">
        <is>
          <t>VÄSTERBOTTENS LÄN</t>
        </is>
      </c>
      <c r="E8426" t="inlineStr">
        <is>
          <t>ÅSELE</t>
        </is>
      </c>
      <c r="F8426" t="inlineStr">
        <is>
          <t>SCA</t>
        </is>
      </c>
      <c r="G8426" t="n">
        <v>12.2</v>
      </c>
      <c r="H8426" t="n">
        <v>0</v>
      </c>
      <c r="I8426" t="n">
        <v>0</v>
      </c>
      <c r="J8426" t="n">
        <v>0</v>
      </c>
      <c r="K8426" t="n">
        <v>0</v>
      </c>
      <c r="L8426" t="n">
        <v>0</v>
      </c>
      <c r="M8426" t="n">
        <v>0</v>
      </c>
      <c r="N8426" t="n">
        <v>0</v>
      </c>
      <c r="O8426" t="n">
        <v>0</v>
      </c>
      <c r="P8426" t="n">
        <v>0</v>
      </c>
      <c r="Q8426" t="n">
        <v>0</v>
      </c>
      <c r="R8426" s="2" t="inlineStr"/>
    </row>
    <row r="8427" ht="15" customHeight="1">
      <c r="A8427" t="inlineStr">
        <is>
          <t>A 1640-2023</t>
        </is>
      </c>
      <c r="B8427" s="1" t="n">
        <v>44937</v>
      </c>
      <c r="C8427" s="1" t="n">
        <v>45357</v>
      </c>
      <c r="D8427" t="inlineStr">
        <is>
          <t>VÄSTERBOTTENS LÄN</t>
        </is>
      </c>
      <c r="E8427" t="inlineStr">
        <is>
          <t>SKELLEFTEÅ</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1978-2023</t>
        </is>
      </c>
      <c r="B8428" s="1" t="n">
        <v>44937</v>
      </c>
      <c r="C8428" s="1" t="n">
        <v>45357</v>
      </c>
      <c r="D8428" t="inlineStr">
        <is>
          <t>VÄSTERBOTTENS LÄN</t>
        </is>
      </c>
      <c r="E8428" t="inlineStr">
        <is>
          <t>SKELLEFTEÅ</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1988-2023</t>
        </is>
      </c>
      <c r="B8429" s="1" t="n">
        <v>44937</v>
      </c>
      <c r="C8429" s="1" t="n">
        <v>45357</v>
      </c>
      <c r="D8429" t="inlineStr">
        <is>
          <t>VÄSTERBOTTENS LÄN</t>
        </is>
      </c>
      <c r="E8429" t="inlineStr">
        <is>
          <t>SKELLEFTEÅ</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1659-2023</t>
        </is>
      </c>
      <c r="B8430" s="1" t="n">
        <v>44938</v>
      </c>
      <c r="C8430" s="1" t="n">
        <v>45357</v>
      </c>
      <c r="D8430" t="inlineStr">
        <is>
          <t>VÄSTERBOTTENS LÄN</t>
        </is>
      </c>
      <c r="E8430" t="inlineStr">
        <is>
          <t>ROBERTSFORS</t>
        </is>
      </c>
      <c r="G8430" t="n">
        <v>16.1</v>
      </c>
      <c r="H8430" t="n">
        <v>0</v>
      </c>
      <c r="I8430" t="n">
        <v>0</v>
      </c>
      <c r="J8430" t="n">
        <v>0</v>
      </c>
      <c r="K8430" t="n">
        <v>0</v>
      </c>
      <c r="L8430" t="n">
        <v>0</v>
      </c>
      <c r="M8430" t="n">
        <v>0</v>
      </c>
      <c r="N8430" t="n">
        <v>0</v>
      </c>
      <c r="O8430" t="n">
        <v>0</v>
      </c>
      <c r="P8430" t="n">
        <v>0</v>
      </c>
      <c r="Q8430" t="n">
        <v>0</v>
      </c>
      <c r="R8430" s="2" t="inlineStr"/>
    </row>
    <row r="8431" ht="15" customHeight="1">
      <c r="A8431" t="inlineStr">
        <is>
          <t>A 1666-2023</t>
        </is>
      </c>
      <c r="B8431" s="1" t="n">
        <v>44938</v>
      </c>
      <c r="C8431" s="1" t="n">
        <v>45357</v>
      </c>
      <c r="D8431" t="inlineStr">
        <is>
          <t>VÄSTERBOTTENS LÄN</t>
        </is>
      </c>
      <c r="E8431" t="inlineStr">
        <is>
          <t>SKELLEFTEÅ</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1858-2023</t>
        </is>
      </c>
      <c r="B8432" s="1" t="n">
        <v>44938</v>
      </c>
      <c r="C8432" s="1" t="n">
        <v>45357</v>
      </c>
      <c r="D8432" t="inlineStr">
        <is>
          <t>VÄSTERBOTTENS LÄN</t>
        </is>
      </c>
      <c r="E8432" t="inlineStr">
        <is>
          <t>SKELLEFTEÅ</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1862-2023</t>
        </is>
      </c>
      <c r="B8433" s="1" t="n">
        <v>44938</v>
      </c>
      <c r="C8433" s="1" t="n">
        <v>45357</v>
      </c>
      <c r="D8433" t="inlineStr">
        <is>
          <t>VÄSTERBOTTENS LÄN</t>
        </is>
      </c>
      <c r="E8433" t="inlineStr">
        <is>
          <t>DOROTEA</t>
        </is>
      </c>
      <c r="G8433" t="n">
        <v>15.6</v>
      </c>
      <c r="H8433" t="n">
        <v>0</v>
      </c>
      <c r="I8433" t="n">
        <v>0</v>
      </c>
      <c r="J8433" t="n">
        <v>0</v>
      </c>
      <c r="K8433" t="n">
        <v>0</v>
      </c>
      <c r="L8433" t="n">
        <v>0</v>
      </c>
      <c r="M8433" t="n">
        <v>0</v>
      </c>
      <c r="N8433" t="n">
        <v>0</v>
      </c>
      <c r="O8433" t="n">
        <v>0</v>
      </c>
      <c r="P8433" t="n">
        <v>0</v>
      </c>
      <c r="Q8433" t="n">
        <v>0</v>
      </c>
      <c r="R8433" s="2" t="inlineStr"/>
    </row>
    <row r="8434" ht="15" customHeight="1">
      <c r="A8434" t="inlineStr">
        <is>
          <t>A 1872-2023</t>
        </is>
      </c>
      <c r="B8434" s="1" t="n">
        <v>44938</v>
      </c>
      <c r="C8434" s="1" t="n">
        <v>45357</v>
      </c>
      <c r="D8434" t="inlineStr">
        <is>
          <t>VÄSTERBOTTENS LÄN</t>
        </is>
      </c>
      <c r="E8434" t="inlineStr">
        <is>
          <t>ÅSELE</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1933-2023</t>
        </is>
      </c>
      <c r="B8435" s="1" t="n">
        <v>44938</v>
      </c>
      <c r="C8435" s="1" t="n">
        <v>45357</v>
      </c>
      <c r="D8435" t="inlineStr">
        <is>
          <t>VÄSTERBOTTENS LÄN</t>
        </is>
      </c>
      <c r="E8435" t="inlineStr">
        <is>
          <t>SKELLEFTEÅ</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1763-2023</t>
        </is>
      </c>
      <c r="B8436" s="1" t="n">
        <v>44938</v>
      </c>
      <c r="C8436" s="1" t="n">
        <v>45357</v>
      </c>
      <c r="D8436" t="inlineStr">
        <is>
          <t>VÄSTERBOTTENS LÄN</t>
        </is>
      </c>
      <c r="E8436" t="inlineStr">
        <is>
          <t>VILHELMINA</t>
        </is>
      </c>
      <c r="G8436" t="n">
        <v>69.3</v>
      </c>
      <c r="H8436" t="n">
        <v>0</v>
      </c>
      <c r="I8436" t="n">
        <v>0</v>
      </c>
      <c r="J8436" t="n">
        <v>0</v>
      </c>
      <c r="K8436" t="n">
        <v>0</v>
      </c>
      <c r="L8436" t="n">
        <v>0</v>
      </c>
      <c r="M8436" t="n">
        <v>0</v>
      </c>
      <c r="N8436" t="n">
        <v>0</v>
      </c>
      <c r="O8436" t="n">
        <v>0</v>
      </c>
      <c r="P8436" t="n">
        <v>0</v>
      </c>
      <c r="Q8436" t="n">
        <v>0</v>
      </c>
      <c r="R8436" s="2" t="inlineStr"/>
    </row>
    <row r="8437" ht="15" customHeight="1">
      <c r="A8437" t="inlineStr">
        <is>
          <t>A 1853-2023</t>
        </is>
      </c>
      <c r="B8437" s="1" t="n">
        <v>44938</v>
      </c>
      <c r="C8437" s="1" t="n">
        <v>45357</v>
      </c>
      <c r="D8437" t="inlineStr">
        <is>
          <t>VÄSTERBOTTENS LÄN</t>
        </is>
      </c>
      <c r="E8437" t="inlineStr">
        <is>
          <t>SKELLEFTEÅ</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1859-2023</t>
        </is>
      </c>
      <c r="B8438" s="1" t="n">
        <v>44938</v>
      </c>
      <c r="C8438" s="1" t="n">
        <v>45357</v>
      </c>
      <c r="D8438" t="inlineStr">
        <is>
          <t>VÄSTERBOTTENS LÄN</t>
        </is>
      </c>
      <c r="E8438" t="inlineStr">
        <is>
          <t>SKELLEFTEÅ</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1766-2023</t>
        </is>
      </c>
      <c r="B8439" s="1" t="n">
        <v>44938</v>
      </c>
      <c r="C8439" s="1" t="n">
        <v>45357</v>
      </c>
      <c r="D8439" t="inlineStr">
        <is>
          <t>VÄSTERBOTTENS LÄN</t>
        </is>
      </c>
      <c r="E8439" t="inlineStr">
        <is>
          <t>VILHELMINA</t>
        </is>
      </c>
      <c r="G8439" t="n">
        <v>9.699999999999999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1869-2023</t>
        </is>
      </c>
      <c r="B8440" s="1" t="n">
        <v>44938</v>
      </c>
      <c r="C8440" s="1" t="n">
        <v>45357</v>
      </c>
      <c r="D8440" t="inlineStr">
        <is>
          <t>VÄSTERBOTTENS LÄN</t>
        </is>
      </c>
      <c r="E8440" t="inlineStr">
        <is>
          <t>VINDELN</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1873-2023</t>
        </is>
      </c>
      <c r="B8441" s="1" t="n">
        <v>44938</v>
      </c>
      <c r="C8441" s="1" t="n">
        <v>45357</v>
      </c>
      <c r="D8441" t="inlineStr">
        <is>
          <t>VÄSTERBOTTENS LÄN</t>
        </is>
      </c>
      <c r="E8441" t="inlineStr">
        <is>
          <t>ÅSELE</t>
        </is>
      </c>
      <c r="F8441" t="inlineStr">
        <is>
          <t>SCA</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1854-2023</t>
        </is>
      </c>
      <c r="B8442" s="1" t="n">
        <v>44938</v>
      </c>
      <c r="C8442" s="1" t="n">
        <v>45357</v>
      </c>
      <c r="D8442" t="inlineStr">
        <is>
          <t>VÄSTERBOTTENS LÄN</t>
        </is>
      </c>
      <c r="E8442" t="inlineStr">
        <is>
          <t>SKELLEFTEÅ</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1860-2023</t>
        </is>
      </c>
      <c r="B8443" s="1" t="n">
        <v>44938</v>
      </c>
      <c r="C8443" s="1" t="n">
        <v>45357</v>
      </c>
      <c r="D8443" t="inlineStr">
        <is>
          <t>VÄSTERBOTTENS LÄN</t>
        </is>
      </c>
      <c r="E8443" t="inlineStr">
        <is>
          <t>SKELLEFTEÅ</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1865-2023</t>
        </is>
      </c>
      <c r="B8444" s="1" t="n">
        <v>44938</v>
      </c>
      <c r="C8444" s="1" t="n">
        <v>45357</v>
      </c>
      <c r="D8444" t="inlineStr">
        <is>
          <t>VÄSTERBOTTENS LÄN</t>
        </is>
      </c>
      <c r="E8444" t="inlineStr">
        <is>
          <t>DOROTEA</t>
        </is>
      </c>
      <c r="F8444" t="inlineStr">
        <is>
          <t>SCA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1856-2023</t>
        </is>
      </c>
      <c r="B8445" s="1" t="n">
        <v>44938</v>
      </c>
      <c r="C8445" s="1" t="n">
        <v>45357</v>
      </c>
      <c r="D8445" t="inlineStr">
        <is>
          <t>VÄSTERBOTTENS LÄN</t>
        </is>
      </c>
      <c r="E8445" t="inlineStr">
        <is>
          <t>NORDMALING</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1861-2023</t>
        </is>
      </c>
      <c r="B8446" s="1" t="n">
        <v>44938</v>
      </c>
      <c r="C8446" s="1" t="n">
        <v>45357</v>
      </c>
      <c r="D8446" t="inlineStr">
        <is>
          <t>VÄSTERBOTTENS LÄN</t>
        </is>
      </c>
      <c r="E8446" t="inlineStr">
        <is>
          <t>DOROTEA</t>
        </is>
      </c>
      <c r="G8446" t="n">
        <v>11.6</v>
      </c>
      <c r="H8446" t="n">
        <v>0</v>
      </c>
      <c r="I8446" t="n">
        <v>0</v>
      </c>
      <c r="J8446" t="n">
        <v>0</v>
      </c>
      <c r="K8446" t="n">
        <v>0</v>
      </c>
      <c r="L8446" t="n">
        <v>0</v>
      </c>
      <c r="M8446" t="n">
        <v>0</v>
      </c>
      <c r="N8446" t="n">
        <v>0</v>
      </c>
      <c r="O8446" t="n">
        <v>0</v>
      </c>
      <c r="P8446" t="n">
        <v>0</v>
      </c>
      <c r="Q8446" t="n">
        <v>0</v>
      </c>
      <c r="R8446" s="2" t="inlineStr"/>
    </row>
    <row r="8447" ht="15" customHeight="1">
      <c r="A8447" t="inlineStr">
        <is>
          <t>A 1922-2023</t>
        </is>
      </c>
      <c r="B8447" s="1" t="n">
        <v>44938</v>
      </c>
      <c r="C8447" s="1" t="n">
        <v>45357</v>
      </c>
      <c r="D8447" t="inlineStr">
        <is>
          <t>VÄSTERBOTTENS LÄN</t>
        </is>
      </c>
      <c r="E8447" t="inlineStr">
        <is>
          <t>ROBERTSFORS</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1942-2023</t>
        </is>
      </c>
      <c r="B8448" s="1" t="n">
        <v>44938</v>
      </c>
      <c r="C8448" s="1" t="n">
        <v>45357</v>
      </c>
      <c r="D8448" t="inlineStr">
        <is>
          <t>VÄSTERBOTTENS LÄN</t>
        </is>
      </c>
      <c r="E8448" t="inlineStr">
        <is>
          <t>SKELLEFTEÅ</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2328-2023</t>
        </is>
      </c>
      <c r="B8449" s="1" t="n">
        <v>44938</v>
      </c>
      <c r="C8449" s="1" t="n">
        <v>45357</v>
      </c>
      <c r="D8449" t="inlineStr">
        <is>
          <t>VÄSTERBOTTENS LÄN</t>
        </is>
      </c>
      <c r="E8449" t="inlineStr">
        <is>
          <t>VINDELN</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2031-2023</t>
        </is>
      </c>
      <c r="B8450" s="1" t="n">
        <v>44939</v>
      </c>
      <c r="C8450" s="1" t="n">
        <v>45357</v>
      </c>
      <c r="D8450" t="inlineStr">
        <is>
          <t>VÄSTERBOTTENS LÄN</t>
        </is>
      </c>
      <c r="E8450" t="inlineStr">
        <is>
          <t>VILHELMINA</t>
        </is>
      </c>
      <c r="F8450" t="inlineStr">
        <is>
          <t>Sveaskog</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2074-2023</t>
        </is>
      </c>
      <c r="B8451" s="1" t="n">
        <v>44939</v>
      </c>
      <c r="C8451" s="1" t="n">
        <v>45357</v>
      </c>
      <c r="D8451" t="inlineStr">
        <is>
          <t>VÄSTERBOTTENS LÄN</t>
        </is>
      </c>
      <c r="E8451" t="inlineStr">
        <is>
          <t>VILHELMINA</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2054-2023</t>
        </is>
      </c>
      <c r="B8452" s="1" t="n">
        <v>44939</v>
      </c>
      <c r="C8452" s="1" t="n">
        <v>45357</v>
      </c>
      <c r="D8452" t="inlineStr">
        <is>
          <t>VÄSTERBOTTENS LÄN</t>
        </is>
      </c>
      <c r="E8452" t="inlineStr">
        <is>
          <t>VILHELMINA</t>
        </is>
      </c>
      <c r="F8452" t="inlineStr">
        <is>
          <t>Sveaskog</t>
        </is>
      </c>
      <c r="G8452" t="n">
        <v>19.2</v>
      </c>
      <c r="H8452" t="n">
        <v>0</v>
      </c>
      <c r="I8452" t="n">
        <v>0</v>
      </c>
      <c r="J8452" t="n">
        <v>0</v>
      </c>
      <c r="K8452" t="n">
        <v>0</v>
      </c>
      <c r="L8452" t="n">
        <v>0</v>
      </c>
      <c r="M8452" t="n">
        <v>0</v>
      </c>
      <c r="N8452" t="n">
        <v>0</v>
      </c>
      <c r="O8452" t="n">
        <v>0</v>
      </c>
      <c r="P8452" t="n">
        <v>0</v>
      </c>
      <c r="Q8452" t="n">
        <v>0</v>
      </c>
      <c r="R8452" s="2" t="inlineStr"/>
    </row>
    <row r="8453" ht="15" customHeight="1">
      <c r="A8453" t="inlineStr">
        <is>
          <t>A 2027-2023</t>
        </is>
      </c>
      <c r="B8453" s="1" t="n">
        <v>44939</v>
      </c>
      <c r="C8453" s="1" t="n">
        <v>45357</v>
      </c>
      <c r="D8453" t="inlineStr">
        <is>
          <t>VÄSTERBOTTENS LÄN</t>
        </is>
      </c>
      <c r="E8453" t="inlineStr">
        <is>
          <t>NORDMALING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2034-2023</t>
        </is>
      </c>
      <c r="B8454" s="1" t="n">
        <v>44939</v>
      </c>
      <c r="C8454" s="1" t="n">
        <v>45357</v>
      </c>
      <c r="D8454" t="inlineStr">
        <is>
          <t>VÄSTERBOTTENS LÄN</t>
        </is>
      </c>
      <c r="E8454" t="inlineStr">
        <is>
          <t>VILHELMINA</t>
        </is>
      </c>
      <c r="F8454" t="inlineStr">
        <is>
          <t>Sveaskog</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2040-2023</t>
        </is>
      </c>
      <c r="B8455" s="1" t="n">
        <v>44939</v>
      </c>
      <c r="C8455" s="1" t="n">
        <v>45357</v>
      </c>
      <c r="D8455" t="inlineStr">
        <is>
          <t>VÄSTERBOTTENS LÄN</t>
        </is>
      </c>
      <c r="E8455" t="inlineStr">
        <is>
          <t>NORDMALING</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2048-2023</t>
        </is>
      </c>
      <c r="B8456" s="1" t="n">
        <v>44939</v>
      </c>
      <c r="C8456" s="1" t="n">
        <v>45357</v>
      </c>
      <c r="D8456" t="inlineStr">
        <is>
          <t>VÄSTERBOTTENS LÄN</t>
        </is>
      </c>
      <c r="E8456" t="inlineStr">
        <is>
          <t>UMEÅ</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2125-2023</t>
        </is>
      </c>
      <c r="B8457" s="1" t="n">
        <v>44939</v>
      </c>
      <c r="C8457" s="1" t="n">
        <v>45357</v>
      </c>
      <c r="D8457" t="inlineStr">
        <is>
          <t>VÄSTERBOTTENS LÄN</t>
        </is>
      </c>
      <c r="E8457" t="inlineStr">
        <is>
          <t>VILHELMINA</t>
        </is>
      </c>
      <c r="F8457" t="inlineStr">
        <is>
          <t>SCA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2043-2023</t>
        </is>
      </c>
      <c r="B8458" s="1" t="n">
        <v>44939</v>
      </c>
      <c r="C8458" s="1" t="n">
        <v>45357</v>
      </c>
      <c r="D8458" t="inlineStr">
        <is>
          <t>VÄSTERBOTTENS LÄN</t>
        </is>
      </c>
      <c r="E8458" t="inlineStr">
        <is>
          <t>VILHELMINA</t>
        </is>
      </c>
      <c r="F8458" t="inlineStr">
        <is>
          <t>Sveaskog</t>
        </is>
      </c>
      <c r="G8458" t="n">
        <v>10.5</v>
      </c>
      <c r="H8458" t="n">
        <v>0</v>
      </c>
      <c r="I8458" t="n">
        <v>0</v>
      </c>
      <c r="J8458" t="n">
        <v>0</v>
      </c>
      <c r="K8458" t="n">
        <v>0</v>
      </c>
      <c r="L8458" t="n">
        <v>0</v>
      </c>
      <c r="M8458" t="n">
        <v>0</v>
      </c>
      <c r="N8458" t="n">
        <v>0</v>
      </c>
      <c r="O8458" t="n">
        <v>0</v>
      </c>
      <c r="P8458" t="n">
        <v>0</v>
      </c>
      <c r="Q8458" t="n">
        <v>0</v>
      </c>
      <c r="R8458" s="2" t="inlineStr"/>
    </row>
    <row r="8459" ht="15" customHeight="1">
      <c r="A8459" t="inlineStr">
        <is>
          <t>A 2123-2023</t>
        </is>
      </c>
      <c r="B8459" s="1" t="n">
        <v>44939</v>
      </c>
      <c r="C8459" s="1" t="n">
        <v>45357</v>
      </c>
      <c r="D8459" t="inlineStr">
        <is>
          <t>VÄSTERBOTTENS LÄN</t>
        </is>
      </c>
      <c r="E8459" t="inlineStr">
        <is>
          <t>VILHELMINA</t>
        </is>
      </c>
      <c r="F8459" t="inlineStr">
        <is>
          <t>SCA</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2075-2023</t>
        </is>
      </c>
      <c r="B8460" s="1" t="n">
        <v>44939</v>
      </c>
      <c r="C8460" s="1" t="n">
        <v>45357</v>
      </c>
      <c r="D8460" t="inlineStr">
        <is>
          <t>VÄSTERBOTTENS LÄN</t>
        </is>
      </c>
      <c r="E8460" t="inlineStr">
        <is>
          <t>VILHELMINA</t>
        </is>
      </c>
      <c r="G8460" t="n">
        <v>8</v>
      </c>
      <c r="H8460" t="n">
        <v>0</v>
      </c>
      <c r="I8460" t="n">
        <v>0</v>
      </c>
      <c r="J8460" t="n">
        <v>0</v>
      </c>
      <c r="K8460" t="n">
        <v>0</v>
      </c>
      <c r="L8460" t="n">
        <v>0</v>
      </c>
      <c r="M8460" t="n">
        <v>0</v>
      </c>
      <c r="N8460" t="n">
        <v>0</v>
      </c>
      <c r="O8460" t="n">
        <v>0</v>
      </c>
      <c r="P8460" t="n">
        <v>0</v>
      </c>
      <c r="Q8460" t="n">
        <v>0</v>
      </c>
      <c r="R8460" s="2" t="inlineStr"/>
    </row>
    <row r="8461" ht="15" customHeight="1">
      <c r="A8461" t="inlineStr">
        <is>
          <t>A 2082-2023</t>
        </is>
      </c>
      <c r="B8461" s="1" t="n">
        <v>44939</v>
      </c>
      <c r="C8461" s="1" t="n">
        <v>45357</v>
      </c>
      <c r="D8461" t="inlineStr">
        <is>
          <t>VÄSTERBOTTENS LÄN</t>
        </is>
      </c>
      <c r="E8461" t="inlineStr">
        <is>
          <t>VILHELMINA</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2112-2023</t>
        </is>
      </c>
      <c r="B8462" s="1" t="n">
        <v>44939</v>
      </c>
      <c r="C8462" s="1" t="n">
        <v>45357</v>
      </c>
      <c r="D8462" t="inlineStr">
        <is>
          <t>VÄSTERBOTTENS LÄN</t>
        </is>
      </c>
      <c r="E8462" t="inlineStr">
        <is>
          <t>SKELLEFTEÅ</t>
        </is>
      </c>
      <c r="G8462" t="n">
        <v>14.7</v>
      </c>
      <c r="H8462" t="n">
        <v>0</v>
      </c>
      <c r="I8462" t="n">
        <v>0</v>
      </c>
      <c r="J8462" t="n">
        <v>0</v>
      </c>
      <c r="K8462" t="n">
        <v>0</v>
      </c>
      <c r="L8462" t="n">
        <v>0</v>
      </c>
      <c r="M8462" t="n">
        <v>0</v>
      </c>
      <c r="N8462" t="n">
        <v>0</v>
      </c>
      <c r="O8462" t="n">
        <v>0</v>
      </c>
      <c r="P8462" t="n">
        <v>0</v>
      </c>
      <c r="Q8462" t="n">
        <v>0</v>
      </c>
      <c r="R8462" s="2" t="inlineStr"/>
    </row>
    <row r="8463" ht="15" customHeight="1">
      <c r="A8463" t="inlineStr">
        <is>
          <t>A 2116-2023</t>
        </is>
      </c>
      <c r="B8463" s="1" t="n">
        <v>44939</v>
      </c>
      <c r="C8463" s="1" t="n">
        <v>45357</v>
      </c>
      <c r="D8463" t="inlineStr">
        <is>
          <t>VÄSTERBOTTENS LÄN</t>
        </is>
      </c>
      <c r="E8463" t="inlineStr">
        <is>
          <t>MALÅ</t>
        </is>
      </c>
      <c r="F8463" t="inlineStr">
        <is>
          <t>SCA</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2124-2023</t>
        </is>
      </c>
      <c r="B8464" s="1" t="n">
        <v>44939</v>
      </c>
      <c r="C8464" s="1" t="n">
        <v>45357</v>
      </c>
      <c r="D8464" t="inlineStr">
        <is>
          <t>VÄSTERBOTTENS LÄN</t>
        </is>
      </c>
      <c r="E8464" t="inlineStr">
        <is>
          <t>VILHELMINA</t>
        </is>
      </c>
      <c r="F8464" t="inlineStr">
        <is>
          <t>SCA</t>
        </is>
      </c>
      <c r="G8464" t="n">
        <v>28.8</v>
      </c>
      <c r="H8464" t="n">
        <v>0</v>
      </c>
      <c r="I8464" t="n">
        <v>0</v>
      </c>
      <c r="J8464" t="n">
        <v>0</v>
      </c>
      <c r="K8464" t="n">
        <v>0</v>
      </c>
      <c r="L8464" t="n">
        <v>0</v>
      </c>
      <c r="M8464" t="n">
        <v>0</v>
      </c>
      <c r="N8464" t="n">
        <v>0</v>
      </c>
      <c r="O8464" t="n">
        <v>0</v>
      </c>
      <c r="P8464" t="n">
        <v>0</v>
      </c>
      <c r="Q8464" t="n">
        <v>0</v>
      </c>
      <c r="R8464" s="2" t="inlineStr"/>
    </row>
    <row r="8465" ht="15" customHeight="1">
      <c r="A8465" t="inlineStr">
        <is>
          <t>A 2122-2023</t>
        </is>
      </c>
      <c r="B8465" s="1" t="n">
        <v>44939</v>
      </c>
      <c r="C8465" s="1" t="n">
        <v>45357</v>
      </c>
      <c r="D8465" t="inlineStr">
        <is>
          <t>VÄSTERBOTTENS LÄN</t>
        </is>
      </c>
      <c r="E8465" t="inlineStr">
        <is>
          <t>VILHELMINA</t>
        </is>
      </c>
      <c r="F8465" t="inlineStr">
        <is>
          <t>SCA</t>
        </is>
      </c>
      <c r="G8465" t="n">
        <v>14.6</v>
      </c>
      <c r="H8465" t="n">
        <v>0</v>
      </c>
      <c r="I8465" t="n">
        <v>0</v>
      </c>
      <c r="J8465" t="n">
        <v>0</v>
      </c>
      <c r="K8465" t="n">
        <v>0</v>
      </c>
      <c r="L8465" t="n">
        <v>0</v>
      </c>
      <c r="M8465" t="n">
        <v>0</v>
      </c>
      <c r="N8465" t="n">
        <v>0</v>
      </c>
      <c r="O8465" t="n">
        <v>0</v>
      </c>
      <c r="P8465" t="n">
        <v>0</v>
      </c>
      <c r="Q8465" t="n">
        <v>0</v>
      </c>
      <c r="R8465" s="2" t="inlineStr"/>
    </row>
    <row r="8466" ht="15" customHeight="1">
      <c r="A8466" t="inlineStr">
        <is>
          <t>A 2126-2023</t>
        </is>
      </c>
      <c r="B8466" s="1" t="n">
        <v>44939</v>
      </c>
      <c r="C8466" s="1" t="n">
        <v>45357</v>
      </c>
      <c r="D8466" t="inlineStr">
        <is>
          <t>VÄSTERBOTTENS LÄN</t>
        </is>
      </c>
      <c r="E8466" t="inlineStr">
        <is>
          <t>VILHELMINA</t>
        </is>
      </c>
      <c r="F8466" t="inlineStr">
        <is>
          <t>SCA</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2163-2023</t>
        </is>
      </c>
      <c r="B8467" s="1" t="n">
        <v>44941</v>
      </c>
      <c r="C8467" s="1" t="n">
        <v>45357</v>
      </c>
      <c r="D8467" t="inlineStr">
        <is>
          <t>VÄSTERBOTTENS LÄN</t>
        </is>
      </c>
      <c r="E8467" t="inlineStr">
        <is>
          <t>STORUMAN</t>
        </is>
      </c>
      <c r="G8467" t="n">
        <v>15.4</v>
      </c>
      <c r="H8467" t="n">
        <v>0</v>
      </c>
      <c r="I8467" t="n">
        <v>0</v>
      </c>
      <c r="J8467" t="n">
        <v>0</v>
      </c>
      <c r="K8467" t="n">
        <v>0</v>
      </c>
      <c r="L8467" t="n">
        <v>0</v>
      </c>
      <c r="M8467" t="n">
        <v>0</v>
      </c>
      <c r="N8467" t="n">
        <v>0</v>
      </c>
      <c r="O8467" t="n">
        <v>0</v>
      </c>
      <c r="P8467" t="n">
        <v>0</v>
      </c>
      <c r="Q8467" t="n">
        <v>0</v>
      </c>
      <c r="R8467" s="2" t="inlineStr"/>
    </row>
    <row r="8468" ht="15" customHeight="1">
      <c r="A8468" t="inlineStr">
        <is>
          <t>A 2177-2023</t>
        </is>
      </c>
      <c r="B8468" s="1" t="n">
        <v>44942</v>
      </c>
      <c r="C8468" s="1" t="n">
        <v>45357</v>
      </c>
      <c r="D8468" t="inlineStr">
        <is>
          <t>VÄSTERBOTTENS LÄN</t>
        </is>
      </c>
      <c r="E8468" t="inlineStr">
        <is>
          <t>SKELLEFTEÅ</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2189-2023</t>
        </is>
      </c>
      <c r="B8469" s="1" t="n">
        <v>44942</v>
      </c>
      <c r="C8469" s="1" t="n">
        <v>45357</v>
      </c>
      <c r="D8469" t="inlineStr">
        <is>
          <t>VÄSTERBOTTENS LÄN</t>
        </is>
      </c>
      <c r="E8469" t="inlineStr">
        <is>
          <t>VINDELN</t>
        </is>
      </c>
      <c r="G8469" t="n">
        <v>9.199999999999999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2206-2023</t>
        </is>
      </c>
      <c r="B8470" s="1" t="n">
        <v>44942</v>
      </c>
      <c r="C8470" s="1" t="n">
        <v>45357</v>
      </c>
      <c r="D8470" t="inlineStr">
        <is>
          <t>VÄSTERBOTTENS LÄN</t>
        </is>
      </c>
      <c r="E8470" t="inlineStr">
        <is>
          <t>VINDELN</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2191-2023</t>
        </is>
      </c>
      <c r="B8471" s="1" t="n">
        <v>44942</v>
      </c>
      <c r="C8471" s="1" t="n">
        <v>45357</v>
      </c>
      <c r="D8471" t="inlineStr">
        <is>
          <t>VÄSTERBOTTENS LÄN</t>
        </is>
      </c>
      <c r="E8471" t="inlineStr">
        <is>
          <t>LYCKSELE</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2193-2023</t>
        </is>
      </c>
      <c r="B8472" s="1" t="n">
        <v>44942</v>
      </c>
      <c r="C8472" s="1" t="n">
        <v>45357</v>
      </c>
      <c r="D8472" t="inlineStr">
        <is>
          <t>VÄSTERBOTTENS LÄN</t>
        </is>
      </c>
      <c r="E8472" t="inlineStr">
        <is>
          <t>LYCKSELE</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2299-2023</t>
        </is>
      </c>
      <c r="B8473" s="1" t="n">
        <v>44942</v>
      </c>
      <c r="C8473" s="1" t="n">
        <v>45357</v>
      </c>
      <c r="D8473" t="inlineStr">
        <is>
          <t>VÄSTERBOTTENS LÄN</t>
        </is>
      </c>
      <c r="E8473" t="inlineStr">
        <is>
          <t>VÄNNÄS</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2382-2023</t>
        </is>
      </c>
      <c r="B8474" s="1" t="n">
        <v>44942</v>
      </c>
      <c r="C8474" s="1" t="n">
        <v>45357</v>
      </c>
      <c r="D8474" t="inlineStr">
        <is>
          <t>VÄSTERBOTTENS LÄN</t>
        </is>
      </c>
      <c r="E8474" t="inlineStr">
        <is>
          <t>VILHELMINA</t>
        </is>
      </c>
      <c r="G8474" t="n">
        <v>29.7</v>
      </c>
      <c r="H8474" t="n">
        <v>0</v>
      </c>
      <c r="I8474" t="n">
        <v>0</v>
      </c>
      <c r="J8474" t="n">
        <v>0</v>
      </c>
      <c r="K8474" t="n">
        <v>0</v>
      </c>
      <c r="L8474" t="n">
        <v>0</v>
      </c>
      <c r="M8474" t="n">
        <v>0</v>
      </c>
      <c r="N8474" t="n">
        <v>0</v>
      </c>
      <c r="O8474" t="n">
        <v>0</v>
      </c>
      <c r="P8474" t="n">
        <v>0</v>
      </c>
      <c r="Q8474" t="n">
        <v>0</v>
      </c>
      <c r="R8474" s="2" t="inlineStr"/>
    </row>
    <row r="8475" ht="15" customHeight="1">
      <c r="A8475" t="inlineStr">
        <is>
          <t>A 2394-2023</t>
        </is>
      </c>
      <c r="B8475" s="1" t="n">
        <v>44942</v>
      </c>
      <c r="C8475" s="1" t="n">
        <v>45357</v>
      </c>
      <c r="D8475" t="inlineStr">
        <is>
          <t>VÄSTERBOTTENS LÄN</t>
        </is>
      </c>
      <c r="E8475" t="inlineStr">
        <is>
          <t>NORSJÖ</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2336-2023</t>
        </is>
      </c>
      <c r="B8476" s="1" t="n">
        <v>44942</v>
      </c>
      <c r="C8476" s="1" t="n">
        <v>45357</v>
      </c>
      <c r="D8476" t="inlineStr">
        <is>
          <t>VÄSTERBOTTENS LÄN</t>
        </is>
      </c>
      <c r="E8476" t="inlineStr">
        <is>
          <t>SKELLEFTEÅ</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2360-2023</t>
        </is>
      </c>
      <c r="B8477" s="1" t="n">
        <v>44942</v>
      </c>
      <c r="C8477" s="1" t="n">
        <v>45357</v>
      </c>
      <c r="D8477" t="inlineStr">
        <is>
          <t>VÄSTERBOTTENS LÄN</t>
        </is>
      </c>
      <c r="E8477" t="inlineStr">
        <is>
          <t>VILHELMINA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2395-2023</t>
        </is>
      </c>
      <c r="B8478" s="1" t="n">
        <v>44942</v>
      </c>
      <c r="C8478" s="1" t="n">
        <v>45357</v>
      </c>
      <c r="D8478" t="inlineStr">
        <is>
          <t>VÄSTERBOTTENS LÄN</t>
        </is>
      </c>
      <c r="E8478" t="inlineStr">
        <is>
          <t>SKELLEFTEÅ</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2272-2023</t>
        </is>
      </c>
      <c r="B8479" s="1" t="n">
        <v>44942</v>
      </c>
      <c r="C8479" s="1" t="n">
        <v>45357</v>
      </c>
      <c r="D8479" t="inlineStr">
        <is>
          <t>VÄSTERBOTTENS LÄN</t>
        </is>
      </c>
      <c r="E8479" t="inlineStr">
        <is>
          <t>NORDMALING</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2393-2023</t>
        </is>
      </c>
      <c r="B8480" s="1" t="n">
        <v>44942</v>
      </c>
      <c r="C8480" s="1" t="n">
        <v>45357</v>
      </c>
      <c r="D8480" t="inlineStr">
        <is>
          <t>VÄSTERBOTTENS LÄN</t>
        </is>
      </c>
      <c r="E8480" t="inlineStr">
        <is>
          <t>SKELLEFTEÅ</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2403-2023</t>
        </is>
      </c>
      <c r="B8481" s="1" t="n">
        <v>44942</v>
      </c>
      <c r="C8481" s="1" t="n">
        <v>45357</v>
      </c>
      <c r="D8481" t="inlineStr">
        <is>
          <t>VÄSTERBOTTENS LÄN</t>
        </is>
      </c>
      <c r="E8481" t="inlineStr">
        <is>
          <t>VILHELMINA</t>
        </is>
      </c>
      <c r="G8481" t="n">
        <v>14.5</v>
      </c>
      <c r="H8481" t="n">
        <v>0</v>
      </c>
      <c r="I8481" t="n">
        <v>0</v>
      </c>
      <c r="J8481" t="n">
        <v>0</v>
      </c>
      <c r="K8481" t="n">
        <v>0</v>
      </c>
      <c r="L8481" t="n">
        <v>0</v>
      </c>
      <c r="M8481" t="n">
        <v>0</v>
      </c>
      <c r="N8481" t="n">
        <v>0</v>
      </c>
      <c r="O8481" t="n">
        <v>0</v>
      </c>
      <c r="P8481" t="n">
        <v>0</v>
      </c>
      <c r="Q8481" t="n">
        <v>0</v>
      </c>
      <c r="R8481" s="2" t="inlineStr"/>
    </row>
    <row r="8482" ht="15" customHeight="1">
      <c r="A8482" t="inlineStr">
        <is>
          <t>A 2439-2023</t>
        </is>
      </c>
      <c r="B8482" s="1" t="n">
        <v>44942</v>
      </c>
      <c r="C8482" s="1" t="n">
        <v>45357</v>
      </c>
      <c r="D8482" t="inlineStr">
        <is>
          <t>VÄSTERBOTTENS LÄN</t>
        </is>
      </c>
      <c r="E8482" t="inlineStr">
        <is>
          <t>SKELLEFTEÅ</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2410-2023</t>
        </is>
      </c>
      <c r="B8483" s="1" t="n">
        <v>44942</v>
      </c>
      <c r="C8483" s="1" t="n">
        <v>45357</v>
      </c>
      <c r="D8483" t="inlineStr">
        <is>
          <t>VÄSTERBOTTENS LÄN</t>
        </is>
      </c>
      <c r="E8483" t="inlineStr">
        <is>
          <t>VINDELN</t>
        </is>
      </c>
      <c r="F8483" t="inlineStr">
        <is>
          <t>SCA</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2665-2023</t>
        </is>
      </c>
      <c r="B8484" s="1" t="n">
        <v>44942</v>
      </c>
      <c r="C8484" s="1" t="n">
        <v>45357</v>
      </c>
      <c r="D8484" t="inlineStr">
        <is>
          <t>VÄSTERBOTTENS LÄN</t>
        </is>
      </c>
      <c r="E8484" t="inlineStr">
        <is>
          <t>DOROTEA</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2683-2023</t>
        </is>
      </c>
      <c r="B8485" s="1" t="n">
        <v>44942</v>
      </c>
      <c r="C8485" s="1" t="n">
        <v>45357</v>
      </c>
      <c r="D8485" t="inlineStr">
        <is>
          <t>VÄSTERBOTTENS LÄN</t>
        </is>
      </c>
      <c r="E8485" t="inlineStr">
        <is>
          <t>DOROTEA</t>
        </is>
      </c>
      <c r="G8485" t="n">
        <v>22.7</v>
      </c>
      <c r="H8485" t="n">
        <v>0</v>
      </c>
      <c r="I8485" t="n">
        <v>0</v>
      </c>
      <c r="J8485" t="n">
        <v>0</v>
      </c>
      <c r="K8485" t="n">
        <v>0</v>
      </c>
      <c r="L8485" t="n">
        <v>0</v>
      </c>
      <c r="M8485" t="n">
        <v>0</v>
      </c>
      <c r="N8485" t="n">
        <v>0</v>
      </c>
      <c r="O8485" t="n">
        <v>0</v>
      </c>
      <c r="P8485" t="n">
        <v>0</v>
      </c>
      <c r="Q8485" t="n">
        <v>0</v>
      </c>
      <c r="R8485" s="2" t="inlineStr"/>
    </row>
    <row r="8486" ht="15" customHeight="1">
      <c r="A8486" t="inlineStr">
        <is>
          <t>A 2718-2023</t>
        </is>
      </c>
      <c r="B8486" s="1" t="n">
        <v>44942</v>
      </c>
      <c r="C8486" s="1" t="n">
        <v>45357</v>
      </c>
      <c r="D8486" t="inlineStr">
        <is>
          <t>VÄSTERBOTTENS LÄN</t>
        </is>
      </c>
      <c r="E8486" t="inlineStr">
        <is>
          <t>SKELLEFTEÅ</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2485-2023</t>
        </is>
      </c>
      <c r="B8487" s="1" t="n">
        <v>44943</v>
      </c>
      <c r="C8487" s="1" t="n">
        <v>45357</v>
      </c>
      <c r="D8487" t="inlineStr">
        <is>
          <t>VÄSTERBOTTENS LÄN</t>
        </is>
      </c>
      <c r="E8487" t="inlineStr">
        <is>
          <t>ÅSELE</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2489-2023</t>
        </is>
      </c>
      <c r="B8488" s="1" t="n">
        <v>44943</v>
      </c>
      <c r="C8488" s="1" t="n">
        <v>45357</v>
      </c>
      <c r="D8488" t="inlineStr">
        <is>
          <t>VÄSTERBOTTENS LÄN</t>
        </is>
      </c>
      <c r="E8488" t="inlineStr">
        <is>
          <t>VINDELN</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2488-2023</t>
        </is>
      </c>
      <c r="B8489" s="1" t="n">
        <v>44943</v>
      </c>
      <c r="C8489" s="1" t="n">
        <v>45357</v>
      </c>
      <c r="D8489" t="inlineStr">
        <is>
          <t>VÄSTERBOTTENS LÄN</t>
        </is>
      </c>
      <c r="E8489" t="inlineStr">
        <is>
          <t>VILHELMINA</t>
        </is>
      </c>
      <c r="G8489" t="n">
        <v>69.3</v>
      </c>
      <c r="H8489" t="n">
        <v>0</v>
      </c>
      <c r="I8489" t="n">
        <v>0</v>
      </c>
      <c r="J8489" t="n">
        <v>0</v>
      </c>
      <c r="K8489" t="n">
        <v>0</v>
      </c>
      <c r="L8489" t="n">
        <v>0</v>
      </c>
      <c r="M8489" t="n">
        <v>0</v>
      </c>
      <c r="N8489" t="n">
        <v>0</v>
      </c>
      <c r="O8489" t="n">
        <v>0</v>
      </c>
      <c r="P8489" t="n">
        <v>0</v>
      </c>
      <c r="Q8489" t="n">
        <v>0</v>
      </c>
      <c r="R8489" s="2" t="inlineStr"/>
    </row>
    <row r="8490" ht="15" customHeight="1">
      <c r="A8490" t="inlineStr">
        <is>
          <t>A 2496-2023</t>
        </is>
      </c>
      <c r="B8490" s="1" t="n">
        <v>44943</v>
      </c>
      <c r="C8490" s="1" t="n">
        <v>45357</v>
      </c>
      <c r="D8490" t="inlineStr">
        <is>
          <t>VÄSTERBOTTENS LÄN</t>
        </is>
      </c>
      <c r="E8490" t="inlineStr">
        <is>
          <t>SKELLEFTEÅ</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2444-2023</t>
        </is>
      </c>
      <c r="B8491" s="1" t="n">
        <v>44943</v>
      </c>
      <c r="C8491" s="1" t="n">
        <v>45357</v>
      </c>
      <c r="D8491" t="inlineStr">
        <is>
          <t>VÄSTERBOTTENS LÄN</t>
        </is>
      </c>
      <c r="E8491" t="inlineStr">
        <is>
          <t>SKELLEFTEÅ</t>
        </is>
      </c>
      <c r="G8491" t="n">
        <v>7.6</v>
      </c>
      <c r="H8491" t="n">
        <v>0</v>
      </c>
      <c r="I8491" t="n">
        <v>0</v>
      </c>
      <c r="J8491" t="n">
        <v>0</v>
      </c>
      <c r="K8491" t="n">
        <v>0</v>
      </c>
      <c r="L8491" t="n">
        <v>0</v>
      </c>
      <c r="M8491" t="n">
        <v>0</v>
      </c>
      <c r="N8491" t="n">
        <v>0</v>
      </c>
      <c r="O8491" t="n">
        <v>0</v>
      </c>
      <c r="P8491" t="n">
        <v>0</v>
      </c>
      <c r="Q8491" t="n">
        <v>0</v>
      </c>
      <c r="R8491" s="2" t="inlineStr"/>
    </row>
    <row r="8492" ht="15" customHeight="1">
      <c r="A8492" t="inlineStr">
        <is>
          <t>A 2475-2023</t>
        </is>
      </c>
      <c r="B8492" s="1" t="n">
        <v>44943</v>
      </c>
      <c r="C8492" s="1" t="n">
        <v>45357</v>
      </c>
      <c r="D8492" t="inlineStr">
        <is>
          <t>VÄSTERBOTTENS LÄN</t>
        </is>
      </c>
      <c r="E8492" t="inlineStr">
        <is>
          <t>ÅSELE</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2469-2023</t>
        </is>
      </c>
      <c r="B8493" s="1" t="n">
        <v>44943</v>
      </c>
      <c r="C8493" s="1" t="n">
        <v>45357</v>
      </c>
      <c r="D8493" t="inlineStr">
        <is>
          <t>VÄSTERBOTTENS LÄN</t>
        </is>
      </c>
      <c r="E8493" t="inlineStr">
        <is>
          <t>ÅSELE</t>
        </is>
      </c>
      <c r="G8493" t="n">
        <v>13.3</v>
      </c>
      <c r="H8493" t="n">
        <v>0</v>
      </c>
      <c r="I8493" t="n">
        <v>0</v>
      </c>
      <c r="J8493" t="n">
        <v>0</v>
      </c>
      <c r="K8493" t="n">
        <v>0</v>
      </c>
      <c r="L8493" t="n">
        <v>0</v>
      </c>
      <c r="M8493" t="n">
        <v>0</v>
      </c>
      <c r="N8493" t="n">
        <v>0</v>
      </c>
      <c r="O8493" t="n">
        <v>0</v>
      </c>
      <c r="P8493" t="n">
        <v>0</v>
      </c>
      <c r="Q8493" t="n">
        <v>0</v>
      </c>
      <c r="R8493" s="2" t="inlineStr"/>
    </row>
    <row r="8494" ht="15" customHeight="1">
      <c r="A8494" t="inlineStr">
        <is>
          <t>A 2593-2023</t>
        </is>
      </c>
      <c r="B8494" s="1" t="n">
        <v>44943</v>
      </c>
      <c r="C8494" s="1" t="n">
        <v>45357</v>
      </c>
      <c r="D8494" t="inlineStr">
        <is>
          <t>VÄSTERBOTTENS LÄN</t>
        </is>
      </c>
      <c r="E8494" t="inlineStr">
        <is>
          <t>ÅSELE</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2645-2023</t>
        </is>
      </c>
      <c r="B8495" s="1" t="n">
        <v>44943</v>
      </c>
      <c r="C8495" s="1" t="n">
        <v>45357</v>
      </c>
      <c r="D8495" t="inlineStr">
        <is>
          <t>VÄSTERBOTTENS LÄN</t>
        </is>
      </c>
      <c r="E8495" t="inlineStr">
        <is>
          <t>NORDMALING</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2742-2023</t>
        </is>
      </c>
      <c r="B8496" s="1" t="n">
        <v>44943</v>
      </c>
      <c r="C8496" s="1" t="n">
        <v>45357</v>
      </c>
      <c r="D8496" t="inlineStr">
        <is>
          <t>VÄSTERBOTTENS LÄN</t>
        </is>
      </c>
      <c r="E8496" t="inlineStr">
        <is>
          <t>VILHELMINA</t>
        </is>
      </c>
      <c r="G8496" t="n">
        <v>34.8</v>
      </c>
      <c r="H8496" t="n">
        <v>0</v>
      </c>
      <c r="I8496" t="n">
        <v>0</v>
      </c>
      <c r="J8496" t="n">
        <v>0</v>
      </c>
      <c r="K8496" t="n">
        <v>0</v>
      </c>
      <c r="L8496" t="n">
        <v>0</v>
      </c>
      <c r="M8496" t="n">
        <v>0</v>
      </c>
      <c r="N8496" t="n">
        <v>0</v>
      </c>
      <c r="O8496" t="n">
        <v>0</v>
      </c>
      <c r="P8496" t="n">
        <v>0</v>
      </c>
      <c r="Q8496" t="n">
        <v>0</v>
      </c>
      <c r="R8496" s="2" t="inlineStr"/>
    </row>
    <row r="8497" ht="15" customHeight="1">
      <c r="A8497" t="inlineStr">
        <is>
          <t>A 2758-2023</t>
        </is>
      </c>
      <c r="B8497" s="1" t="n">
        <v>44943</v>
      </c>
      <c r="C8497" s="1" t="n">
        <v>45357</v>
      </c>
      <c r="D8497" t="inlineStr">
        <is>
          <t>VÄSTERBOTTENS LÄN</t>
        </is>
      </c>
      <c r="E8497" t="inlineStr">
        <is>
          <t>LYCKSELE</t>
        </is>
      </c>
      <c r="G8497" t="n">
        <v>0.1</v>
      </c>
      <c r="H8497" t="n">
        <v>0</v>
      </c>
      <c r="I8497" t="n">
        <v>0</v>
      </c>
      <c r="J8497" t="n">
        <v>0</v>
      </c>
      <c r="K8497" t="n">
        <v>0</v>
      </c>
      <c r="L8497" t="n">
        <v>0</v>
      </c>
      <c r="M8497" t="n">
        <v>0</v>
      </c>
      <c r="N8497" t="n">
        <v>0</v>
      </c>
      <c r="O8497" t="n">
        <v>0</v>
      </c>
      <c r="P8497" t="n">
        <v>0</v>
      </c>
      <c r="Q8497" t="n">
        <v>0</v>
      </c>
      <c r="R8497" s="2" t="inlineStr"/>
    </row>
    <row r="8498" ht="15" customHeight="1">
      <c r="A8498" t="inlineStr">
        <is>
          <t>A 2749-2023</t>
        </is>
      </c>
      <c r="B8498" s="1" t="n">
        <v>44943</v>
      </c>
      <c r="C8498" s="1" t="n">
        <v>45357</v>
      </c>
      <c r="D8498" t="inlineStr">
        <is>
          <t>VÄSTERBOTTENS LÄN</t>
        </is>
      </c>
      <c r="E8498" t="inlineStr">
        <is>
          <t>NORSJÖ</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2604-2023</t>
        </is>
      </c>
      <c r="B8499" s="1" t="n">
        <v>44944</v>
      </c>
      <c r="C8499" s="1" t="n">
        <v>45357</v>
      </c>
      <c r="D8499" t="inlineStr">
        <is>
          <t>VÄSTERBOTTENS LÄN</t>
        </is>
      </c>
      <c r="E8499" t="inlineStr">
        <is>
          <t>VILHELMINA</t>
        </is>
      </c>
      <c r="G8499" t="n">
        <v>15.4</v>
      </c>
      <c r="H8499" t="n">
        <v>0</v>
      </c>
      <c r="I8499" t="n">
        <v>0</v>
      </c>
      <c r="J8499" t="n">
        <v>0</v>
      </c>
      <c r="K8499" t="n">
        <v>0</v>
      </c>
      <c r="L8499" t="n">
        <v>0</v>
      </c>
      <c r="M8499" t="n">
        <v>0</v>
      </c>
      <c r="N8499" t="n">
        <v>0</v>
      </c>
      <c r="O8499" t="n">
        <v>0</v>
      </c>
      <c r="P8499" t="n">
        <v>0</v>
      </c>
      <c r="Q8499" t="n">
        <v>0</v>
      </c>
      <c r="R8499" s="2" t="inlineStr"/>
    </row>
    <row r="8500" ht="15" customHeight="1">
      <c r="A8500" t="inlineStr">
        <is>
          <t>A 2680-2023</t>
        </is>
      </c>
      <c r="B8500" s="1" t="n">
        <v>44944</v>
      </c>
      <c r="C8500" s="1" t="n">
        <v>45357</v>
      </c>
      <c r="D8500" t="inlineStr">
        <is>
          <t>VÄSTERBOTTENS LÄN</t>
        </is>
      </c>
      <c r="E8500" t="inlineStr">
        <is>
          <t>VINDELN</t>
        </is>
      </c>
      <c r="F8500" t="inlineStr">
        <is>
          <t>Sveaskog</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2695-2023</t>
        </is>
      </c>
      <c r="B8501" s="1" t="n">
        <v>44944</v>
      </c>
      <c r="C8501" s="1" t="n">
        <v>45357</v>
      </c>
      <c r="D8501" t="inlineStr">
        <is>
          <t>VÄSTERBOTTENS LÄN</t>
        </is>
      </c>
      <c r="E8501" t="inlineStr">
        <is>
          <t>UMEÅ</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2705-2023</t>
        </is>
      </c>
      <c r="B8502" s="1" t="n">
        <v>44944</v>
      </c>
      <c r="C8502" s="1" t="n">
        <v>45357</v>
      </c>
      <c r="D8502" t="inlineStr">
        <is>
          <t>VÄSTERBOTTENS LÄN</t>
        </is>
      </c>
      <c r="E8502" t="inlineStr">
        <is>
          <t>NORSJÖ</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2720-2023</t>
        </is>
      </c>
      <c r="B8503" s="1" t="n">
        <v>44944</v>
      </c>
      <c r="C8503" s="1" t="n">
        <v>45357</v>
      </c>
      <c r="D8503" t="inlineStr">
        <is>
          <t>VÄSTERBOTTENS LÄN</t>
        </is>
      </c>
      <c r="E8503" t="inlineStr">
        <is>
          <t>SKELLEFTEÅ</t>
        </is>
      </c>
      <c r="G8503" t="n">
        <v>31.7</v>
      </c>
      <c r="H8503" t="n">
        <v>0</v>
      </c>
      <c r="I8503" t="n">
        <v>0</v>
      </c>
      <c r="J8503" t="n">
        <v>0</v>
      </c>
      <c r="K8503" t="n">
        <v>0</v>
      </c>
      <c r="L8503" t="n">
        <v>0</v>
      </c>
      <c r="M8503" t="n">
        <v>0</v>
      </c>
      <c r="N8503" t="n">
        <v>0</v>
      </c>
      <c r="O8503" t="n">
        <v>0</v>
      </c>
      <c r="P8503" t="n">
        <v>0</v>
      </c>
      <c r="Q8503" t="n">
        <v>0</v>
      </c>
      <c r="R8503" s="2" t="inlineStr"/>
    </row>
    <row r="8504" ht="15" customHeight="1">
      <c r="A8504" t="inlineStr">
        <is>
          <t>A 2605-2023</t>
        </is>
      </c>
      <c r="B8504" s="1" t="n">
        <v>44944</v>
      </c>
      <c r="C8504" s="1" t="n">
        <v>45357</v>
      </c>
      <c r="D8504" t="inlineStr">
        <is>
          <t>VÄSTERBOTTENS LÄN</t>
        </is>
      </c>
      <c r="E8504" t="inlineStr">
        <is>
          <t>VILHELMINA</t>
        </is>
      </c>
      <c r="G8504" t="n">
        <v>10.7</v>
      </c>
      <c r="H8504" t="n">
        <v>0</v>
      </c>
      <c r="I8504" t="n">
        <v>0</v>
      </c>
      <c r="J8504" t="n">
        <v>0</v>
      </c>
      <c r="K8504" t="n">
        <v>0</v>
      </c>
      <c r="L8504" t="n">
        <v>0</v>
      </c>
      <c r="M8504" t="n">
        <v>0</v>
      </c>
      <c r="N8504" t="n">
        <v>0</v>
      </c>
      <c r="O8504" t="n">
        <v>0</v>
      </c>
      <c r="P8504" t="n">
        <v>0</v>
      </c>
      <c r="Q8504" t="n">
        <v>0</v>
      </c>
      <c r="R8504" s="2" t="inlineStr"/>
    </row>
    <row r="8505" ht="15" customHeight="1">
      <c r="A8505" t="inlineStr">
        <is>
          <t>A 2659-2023</t>
        </is>
      </c>
      <c r="B8505" s="1" t="n">
        <v>44944</v>
      </c>
      <c r="C8505" s="1" t="n">
        <v>45357</v>
      </c>
      <c r="D8505" t="inlineStr">
        <is>
          <t>VÄSTERBOTTENS LÄN</t>
        </is>
      </c>
      <c r="E8505" t="inlineStr">
        <is>
          <t>UMEÅ</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2748-2023</t>
        </is>
      </c>
      <c r="B8506" s="1" t="n">
        <v>44944</v>
      </c>
      <c r="C8506" s="1" t="n">
        <v>45357</v>
      </c>
      <c r="D8506" t="inlineStr">
        <is>
          <t>VÄSTERBOTTENS LÄN</t>
        </is>
      </c>
      <c r="E8506" t="inlineStr">
        <is>
          <t>UMEÅ</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2610-2023</t>
        </is>
      </c>
      <c r="B8507" s="1" t="n">
        <v>44944</v>
      </c>
      <c r="C8507" s="1" t="n">
        <v>45357</v>
      </c>
      <c r="D8507" t="inlineStr">
        <is>
          <t>VÄSTERBOTTENS LÄN</t>
        </is>
      </c>
      <c r="E8507" t="inlineStr">
        <is>
          <t>LYCKSELE</t>
        </is>
      </c>
      <c r="G8507" t="n">
        <v>18.6</v>
      </c>
      <c r="H8507" t="n">
        <v>0</v>
      </c>
      <c r="I8507" t="n">
        <v>0</v>
      </c>
      <c r="J8507" t="n">
        <v>0</v>
      </c>
      <c r="K8507" t="n">
        <v>0</v>
      </c>
      <c r="L8507" t="n">
        <v>0</v>
      </c>
      <c r="M8507" t="n">
        <v>0</v>
      </c>
      <c r="N8507" t="n">
        <v>0</v>
      </c>
      <c r="O8507" t="n">
        <v>0</v>
      </c>
      <c r="P8507" t="n">
        <v>0</v>
      </c>
      <c r="Q8507" t="n">
        <v>0</v>
      </c>
      <c r="R8507" s="2" t="inlineStr"/>
    </row>
    <row r="8508" ht="15" customHeight="1">
      <c r="A8508" t="inlineStr">
        <is>
          <t>A 2632-2023</t>
        </is>
      </c>
      <c r="B8508" s="1" t="n">
        <v>44944</v>
      </c>
      <c r="C8508" s="1" t="n">
        <v>45357</v>
      </c>
      <c r="D8508" t="inlineStr">
        <is>
          <t>VÄSTERBOTTENS LÄN</t>
        </is>
      </c>
      <c r="E8508" t="inlineStr">
        <is>
          <t>UMEÅ</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2642-2023</t>
        </is>
      </c>
      <c r="B8509" s="1" t="n">
        <v>44944</v>
      </c>
      <c r="C8509" s="1" t="n">
        <v>45357</v>
      </c>
      <c r="D8509" t="inlineStr">
        <is>
          <t>VÄSTERBOTTENS LÄN</t>
        </is>
      </c>
      <c r="E8509" t="inlineStr">
        <is>
          <t>NORSJÖ</t>
        </is>
      </c>
      <c r="G8509" t="n">
        <v>6.2</v>
      </c>
      <c r="H8509" t="n">
        <v>0</v>
      </c>
      <c r="I8509" t="n">
        <v>0</v>
      </c>
      <c r="J8509" t="n">
        <v>0</v>
      </c>
      <c r="K8509" t="n">
        <v>0</v>
      </c>
      <c r="L8509" t="n">
        <v>0</v>
      </c>
      <c r="M8509" t="n">
        <v>0</v>
      </c>
      <c r="N8509" t="n">
        <v>0</v>
      </c>
      <c r="O8509" t="n">
        <v>0</v>
      </c>
      <c r="P8509" t="n">
        <v>0</v>
      </c>
      <c r="Q8509" t="n">
        <v>0</v>
      </c>
      <c r="R8509" s="2" t="inlineStr"/>
    </row>
    <row r="8510" ht="15" customHeight="1">
      <c r="A8510" t="inlineStr">
        <is>
          <t>A 2634-2023</t>
        </is>
      </c>
      <c r="B8510" s="1" t="n">
        <v>44944</v>
      </c>
      <c r="C8510" s="1" t="n">
        <v>45357</v>
      </c>
      <c r="D8510" t="inlineStr">
        <is>
          <t>VÄSTERBOTTENS LÄN</t>
        </is>
      </c>
      <c r="E8510" t="inlineStr">
        <is>
          <t>UMEÅ</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2684-2023</t>
        </is>
      </c>
      <c r="B8511" s="1" t="n">
        <v>44944</v>
      </c>
      <c r="C8511" s="1" t="n">
        <v>45357</v>
      </c>
      <c r="D8511" t="inlineStr">
        <is>
          <t>VÄSTERBOTTENS LÄN</t>
        </is>
      </c>
      <c r="E8511" t="inlineStr">
        <is>
          <t>VINDELN</t>
        </is>
      </c>
      <c r="F8511" t="inlineStr">
        <is>
          <t>Sveaskog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2737-2023</t>
        </is>
      </c>
      <c r="B8512" s="1" t="n">
        <v>44944</v>
      </c>
      <c r="C8512" s="1" t="n">
        <v>45357</v>
      </c>
      <c r="D8512" t="inlineStr">
        <is>
          <t>VÄSTERBOTTENS LÄN</t>
        </is>
      </c>
      <c r="E8512" t="inlineStr">
        <is>
          <t>UMEÅ</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2816-2023</t>
        </is>
      </c>
      <c r="B8513" s="1" t="n">
        <v>44944</v>
      </c>
      <c r="C8513" s="1" t="n">
        <v>45357</v>
      </c>
      <c r="D8513" t="inlineStr">
        <is>
          <t>VÄSTERBOTTENS LÄN</t>
        </is>
      </c>
      <c r="E8513" t="inlineStr">
        <is>
          <t>MALÅ</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3125-2023</t>
        </is>
      </c>
      <c r="B8514" s="1" t="n">
        <v>44944</v>
      </c>
      <c r="C8514" s="1" t="n">
        <v>45357</v>
      </c>
      <c r="D8514" t="inlineStr">
        <is>
          <t>VÄSTERBOTTENS LÄN</t>
        </is>
      </c>
      <c r="E8514" t="inlineStr">
        <is>
          <t>NORDMALING</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2820-2023</t>
        </is>
      </c>
      <c r="B8515" s="1" t="n">
        <v>44944</v>
      </c>
      <c r="C8515" s="1" t="n">
        <v>45357</v>
      </c>
      <c r="D8515" t="inlineStr">
        <is>
          <t>VÄSTERBOTTENS LÄN</t>
        </is>
      </c>
      <c r="E8515" t="inlineStr">
        <is>
          <t>VILHELMINA</t>
        </is>
      </c>
      <c r="F8515" t="inlineStr">
        <is>
          <t>SCA</t>
        </is>
      </c>
      <c r="G8515" t="n">
        <v>11.9</v>
      </c>
      <c r="H8515" t="n">
        <v>0</v>
      </c>
      <c r="I8515" t="n">
        <v>0</v>
      </c>
      <c r="J8515" t="n">
        <v>0</v>
      </c>
      <c r="K8515" t="n">
        <v>0</v>
      </c>
      <c r="L8515" t="n">
        <v>0</v>
      </c>
      <c r="M8515" t="n">
        <v>0</v>
      </c>
      <c r="N8515" t="n">
        <v>0</v>
      </c>
      <c r="O8515" t="n">
        <v>0</v>
      </c>
      <c r="P8515" t="n">
        <v>0</v>
      </c>
      <c r="Q8515" t="n">
        <v>0</v>
      </c>
      <c r="R8515" s="2" t="inlineStr"/>
    </row>
    <row r="8516" ht="15" customHeight="1">
      <c r="A8516" t="inlineStr">
        <is>
          <t>A 2940-2023</t>
        </is>
      </c>
      <c r="B8516" s="1" t="n">
        <v>44944</v>
      </c>
      <c r="C8516" s="1" t="n">
        <v>45357</v>
      </c>
      <c r="D8516" t="inlineStr">
        <is>
          <t>VÄSTERBOTTENS LÄN</t>
        </is>
      </c>
      <c r="E8516" t="inlineStr">
        <is>
          <t>NORDMALING</t>
        </is>
      </c>
      <c r="G8516" t="n">
        <v>8.1</v>
      </c>
      <c r="H8516" t="n">
        <v>0</v>
      </c>
      <c r="I8516" t="n">
        <v>0</v>
      </c>
      <c r="J8516" t="n">
        <v>0</v>
      </c>
      <c r="K8516" t="n">
        <v>0</v>
      </c>
      <c r="L8516" t="n">
        <v>0</v>
      </c>
      <c r="M8516" t="n">
        <v>0</v>
      </c>
      <c r="N8516" t="n">
        <v>0</v>
      </c>
      <c r="O8516" t="n">
        <v>0</v>
      </c>
      <c r="P8516" t="n">
        <v>0</v>
      </c>
      <c r="Q8516" t="n">
        <v>0</v>
      </c>
      <c r="R8516" s="2" t="inlineStr"/>
    </row>
    <row r="8517" ht="15" customHeight="1">
      <c r="A8517" t="inlineStr">
        <is>
          <t>A 2909-2023</t>
        </is>
      </c>
      <c r="B8517" s="1" t="n">
        <v>44945</v>
      </c>
      <c r="C8517" s="1" t="n">
        <v>45357</v>
      </c>
      <c r="D8517" t="inlineStr">
        <is>
          <t>VÄSTERBOTTENS LÄN</t>
        </is>
      </c>
      <c r="E8517" t="inlineStr">
        <is>
          <t>NORSJÖ</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2859-2023</t>
        </is>
      </c>
      <c r="B8518" s="1" t="n">
        <v>44945</v>
      </c>
      <c r="C8518" s="1" t="n">
        <v>45357</v>
      </c>
      <c r="D8518" t="inlineStr">
        <is>
          <t>VÄSTERBOTTENS LÄN</t>
        </is>
      </c>
      <c r="E8518" t="inlineStr">
        <is>
          <t>LYCKSELE</t>
        </is>
      </c>
      <c r="F8518" t="inlineStr">
        <is>
          <t>Kyrkan</t>
        </is>
      </c>
      <c r="G8518" t="n">
        <v>9.1</v>
      </c>
      <c r="H8518" t="n">
        <v>0</v>
      </c>
      <c r="I8518" t="n">
        <v>0</v>
      </c>
      <c r="J8518" t="n">
        <v>0</v>
      </c>
      <c r="K8518" t="n">
        <v>0</v>
      </c>
      <c r="L8518" t="n">
        <v>0</v>
      </c>
      <c r="M8518" t="n">
        <v>0</v>
      </c>
      <c r="N8518" t="n">
        <v>0</v>
      </c>
      <c r="O8518" t="n">
        <v>0</v>
      </c>
      <c r="P8518" t="n">
        <v>0</v>
      </c>
      <c r="Q8518" t="n">
        <v>0</v>
      </c>
      <c r="R8518" s="2" t="inlineStr"/>
    </row>
    <row r="8519" ht="15" customHeight="1">
      <c r="A8519" t="inlineStr">
        <is>
          <t>A 2895-2023</t>
        </is>
      </c>
      <c r="B8519" s="1" t="n">
        <v>44945</v>
      </c>
      <c r="C8519" s="1" t="n">
        <v>45357</v>
      </c>
      <c r="D8519" t="inlineStr">
        <is>
          <t>VÄSTERBOTTENS LÄN</t>
        </is>
      </c>
      <c r="E8519" t="inlineStr">
        <is>
          <t>SKELLEFTEÅ</t>
        </is>
      </c>
      <c r="F8519" t="inlineStr">
        <is>
          <t>Sveaskog</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3018-2023</t>
        </is>
      </c>
      <c r="B8520" s="1" t="n">
        <v>44945</v>
      </c>
      <c r="C8520" s="1" t="n">
        <v>45357</v>
      </c>
      <c r="D8520" t="inlineStr">
        <is>
          <t>VÄSTERBOTTENS LÄN</t>
        </is>
      </c>
      <c r="E8520" t="inlineStr">
        <is>
          <t>ROBERTSFORS</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3277-2023</t>
        </is>
      </c>
      <c r="B8521" s="1" t="n">
        <v>44945</v>
      </c>
      <c r="C8521" s="1" t="n">
        <v>45357</v>
      </c>
      <c r="D8521" t="inlineStr">
        <is>
          <t>VÄSTERBOTTENS LÄN</t>
        </is>
      </c>
      <c r="E8521" t="inlineStr">
        <is>
          <t>SKELLEFTEÅ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3393-2023</t>
        </is>
      </c>
      <c r="B8522" s="1" t="n">
        <v>44945</v>
      </c>
      <c r="C8522" s="1" t="n">
        <v>45357</v>
      </c>
      <c r="D8522" t="inlineStr">
        <is>
          <t>VÄSTERBOTTENS LÄN</t>
        </is>
      </c>
      <c r="E8522" t="inlineStr">
        <is>
          <t>VILHELMINA</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3050-2023</t>
        </is>
      </c>
      <c r="B8523" s="1" t="n">
        <v>44946</v>
      </c>
      <c r="C8523" s="1" t="n">
        <v>45357</v>
      </c>
      <c r="D8523" t="inlineStr">
        <is>
          <t>VÄSTERBOTTENS LÄN</t>
        </is>
      </c>
      <c r="E8523" t="inlineStr">
        <is>
          <t>UMEÅ</t>
        </is>
      </c>
      <c r="G8523" t="n">
        <v>7</v>
      </c>
      <c r="H8523" t="n">
        <v>0</v>
      </c>
      <c r="I8523" t="n">
        <v>0</v>
      </c>
      <c r="J8523" t="n">
        <v>0</v>
      </c>
      <c r="K8523" t="n">
        <v>0</v>
      </c>
      <c r="L8523" t="n">
        <v>0</v>
      </c>
      <c r="M8523" t="n">
        <v>0</v>
      </c>
      <c r="N8523" t="n">
        <v>0</v>
      </c>
      <c r="O8523" t="n">
        <v>0</v>
      </c>
      <c r="P8523" t="n">
        <v>0</v>
      </c>
      <c r="Q8523" t="n">
        <v>0</v>
      </c>
      <c r="R8523" s="2" t="inlineStr"/>
    </row>
    <row r="8524" ht="15" customHeight="1">
      <c r="A8524" t="inlineStr">
        <is>
          <t>A 3603-2023</t>
        </is>
      </c>
      <c r="B8524" s="1" t="n">
        <v>44946</v>
      </c>
      <c r="C8524" s="1" t="n">
        <v>45357</v>
      </c>
      <c r="D8524" t="inlineStr">
        <is>
          <t>VÄSTERBOTTENS LÄN</t>
        </is>
      </c>
      <c r="E8524" t="inlineStr">
        <is>
          <t>SKELLEFTEÅ</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3612-2023</t>
        </is>
      </c>
      <c r="B8525" s="1" t="n">
        <v>44946</v>
      </c>
      <c r="C8525" s="1" t="n">
        <v>45357</v>
      </c>
      <c r="D8525" t="inlineStr">
        <is>
          <t>VÄSTERBOTTENS LÄN</t>
        </is>
      </c>
      <c r="E8525" t="inlineStr">
        <is>
          <t>NORSJÖ</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3600-2023</t>
        </is>
      </c>
      <c r="B8526" s="1" t="n">
        <v>44946</v>
      </c>
      <c r="C8526" s="1" t="n">
        <v>45357</v>
      </c>
      <c r="D8526" t="inlineStr">
        <is>
          <t>VÄSTERBOTTENS LÄN</t>
        </is>
      </c>
      <c r="E8526" t="inlineStr">
        <is>
          <t>SKELLEFTEÅ</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3255-2023</t>
        </is>
      </c>
      <c r="B8527" s="1" t="n">
        <v>44948</v>
      </c>
      <c r="C8527" s="1" t="n">
        <v>45357</v>
      </c>
      <c r="D8527" t="inlineStr">
        <is>
          <t>VÄSTERBOTTENS LÄN</t>
        </is>
      </c>
      <c r="E8527" t="inlineStr">
        <is>
          <t>NORDMALING</t>
        </is>
      </c>
      <c r="G8527" t="n">
        <v>8.4</v>
      </c>
      <c r="H8527" t="n">
        <v>0</v>
      </c>
      <c r="I8527" t="n">
        <v>0</v>
      </c>
      <c r="J8527" t="n">
        <v>0</v>
      </c>
      <c r="K8527" t="n">
        <v>0</v>
      </c>
      <c r="L8527" t="n">
        <v>0</v>
      </c>
      <c r="M8527" t="n">
        <v>0</v>
      </c>
      <c r="N8527" t="n">
        <v>0</v>
      </c>
      <c r="O8527" t="n">
        <v>0</v>
      </c>
      <c r="P8527" t="n">
        <v>0</v>
      </c>
      <c r="Q8527" t="n">
        <v>0</v>
      </c>
      <c r="R8527" s="2" t="inlineStr"/>
    </row>
    <row r="8528" ht="15" customHeight="1">
      <c r="A8528" t="inlineStr">
        <is>
          <t>A 3411-2023</t>
        </is>
      </c>
      <c r="B8528" s="1" t="n">
        <v>44949</v>
      </c>
      <c r="C8528" s="1" t="n">
        <v>45357</v>
      </c>
      <c r="D8528" t="inlineStr">
        <is>
          <t>VÄSTERBOTTENS LÄN</t>
        </is>
      </c>
      <c r="E8528" t="inlineStr">
        <is>
          <t>UMEÅ</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3431-2023</t>
        </is>
      </c>
      <c r="B8529" s="1" t="n">
        <v>44949</v>
      </c>
      <c r="C8529" s="1" t="n">
        <v>45357</v>
      </c>
      <c r="D8529" t="inlineStr">
        <is>
          <t>VÄSTERBOTTENS LÄN</t>
        </is>
      </c>
      <c r="E8529" t="inlineStr">
        <is>
          <t>VINDELN</t>
        </is>
      </c>
      <c r="F8529" t="inlineStr">
        <is>
          <t>Sveaskog</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3449-2023</t>
        </is>
      </c>
      <c r="B8530" s="1" t="n">
        <v>44949</v>
      </c>
      <c r="C8530" s="1" t="n">
        <v>45357</v>
      </c>
      <c r="D8530" t="inlineStr">
        <is>
          <t>VÄSTERBOTTENS LÄN</t>
        </is>
      </c>
      <c r="E8530" t="inlineStr">
        <is>
          <t>NORDMALING</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3456-2023</t>
        </is>
      </c>
      <c r="B8531" s="1" t="n">
        <v>44949</v>
      </c>
      <c r="C8531" s="1" t="n">
        <v>45357</v>
      </c>
      <c r="D8531" t="inlineStr">
        <is>
          <t>VÄSTERBOTTENS LÄN</t>
        </is>
      </c>
      <c r="E8531" t="inlineStr">
        <is>
          <t>NORDMALING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3493-2023</t>
        </is>
      </c>
      <c r="B8532" s="1" t="n">
        <v>44949</v>
      </c>
      <c r="C8532" s="1" t="n">
        <v>45357</v>
      </c>
      <c r="D8532" t="inlineStr">
        <is>
          <t>VÄSTERBOTTENS LÄN</t>
        </is>
      </c>
      <c r="E8532" t="inlineStr">
        <is>
          <t>BJURHOLM</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3745-2023</t>
        </is>
      </c>
      <c r="B8533" s="1" t="n">
        <v>44949</v>
      </c>
      <c r="C8533" s="1" t="n">
        <v>45357</v>
      </c>
      <c r="D8533" t="inlineStr">
        <is>
          <t>VÄSTERBOTTENS LÄN</t>
        </is>
      </c>
      <c r="E8533" t="inlineStr">
        <is>
          <t>VILHELMINA</t>
        </is>
      </c>
      <c r="G8533" t="n">
        <v>36.6</v>
      </c>
      <c r="H8533" t="n">
        <v>0</v>
      </c>
      <c r="I8533" t="n">
        <v>0</v>
      </c>
      <c r="J8533" t="n">
        <v>0</v>
      </c>
      <c r="K8533" t="n">
        <v>0</v>
      </c>
      <c r="L8533" t="n">
        <v>0</v>
      </c>
      <c r="M8533" t="n">
        <v>0</v>
      </c>
      <c r="N8533" t="n">
        <v>0</v>
      </c>
      <c r="O8533" t="n">
        <v>0</v>
      </c>
      <c r="P8533" t="n">
        <v>0</v>
      </c>
      <c r="Q8533" t="n">
        <v>0</v>
      </c>
      <c r="R8533" s="2" t="inlineStr"/>
    </row>
    <row r="8534" ht="15" customHeight="1">
      <c r="A8534" t="inlineStr">
        <is>
          <t>A 3614-2023</t>
        </is>
      </c>
      <c r="B8534" s="1" t="n">
        <v>44950</v>
      </c>
      <c r="C8534" s="1" t="n">
        <v>45357</v>
      </c>
      <c r="D8534" t="inlineStr">
        <is>
          <t>VÄSTERBOTTENS LÄN</t>
        </is>
      </c>
      <c r="E8534" t="inlineStr">
        <is>
          <t>LYCKSELE</t>
        </is>
      </c>
      <c r="F8534" t="inlineStr">
        <is>
          <t>Sveaskog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3540-2023</t>
        </is>
      </c>
      <c r="B8535" s="1" t="n">
        <v>44950</v>
      </c>
      <c r="C8535" s="1" t="n">
        <v>45357</v>
      </c>
      <c r="D8535" t="inlineStr">
        <is>
          <t>VÄSTERBOTTENS LÄN</t>
        </is>
      </c>
      <c r="E8535" t="inlineStr">
        <is>
          <t>LYCKSELE</t>
        </is>
      </c>
      <c r="F8535" t="inlineStr">
        <is>
          <t>Sveaskog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3701-2023</t>
        </is>
      </c>
      <c r="B8536" s="1" t="n">
        <v>44950</v>
      </c>
      <c r="C8536" s="1" t="n">
        <v>45357</v>
      </c>
      <c r="D8536" t="inlineStr">
        <is>
          <t>VÄSTERBOTTENS LÄN</t>
        </is>
      </c>
      <c r="E8536" t="inlineStr">
        <is>
          <t>ÅSELE</t>
        </is>
      </c>
      <c r="F8536" t="inlineStr">
        <is>
          <t>SCA</t>
        </is>
      </c>
      <c r="G8536" t="n">
        <v>15.5</v>
      </c>
      <c r="H8536" t="n">
        <v>0</v>
      </c>
      <c r="I8536" t="n">
        <v>0</v>
      </c>
      <c r="J8536" t="n">
        <v>0</v>
      </c>
      <c r="K8536" t="n">
        <v>0</v>
      </c>
      <c r="L8536" t="n">
        <v>0</v>
      </c>
      <c r="M8536" t="n">
        <v>0</v>
      </c>
      <c r="N8536" t="n">
        <v>0</v>
      </c>
      <c r="O8536" t="n">
        <v>0</v>
      </c>
      <c r="P8536" t="n">
        <v>0</v>
      </c>
      <c r="Q8536" t="n">
        <v>0</v>
      </c>
      <c r="R8536" s="2" t="inlineStr"/>
    </row>
    <row r="8537" ht="15" customHeight="1">
      <c r="A8537" t="inlineStr">
        <is>
          <t>A 3852-2023</t>
        </is>
      </c>
      <c r="B8537" s="1" t="n">
        <v>44950</v>
      </c>
      <c r="C8537" s="1" t="n">
        <v>45357</v>
      </c>
      <c r="D8537" t="inlineStr">
        <is>
          <t>VÄSTERBOTTENS LÄN</t>
        </is>
      </c>
      <c r="E8537" t="inlineStr">
        <is>
          <t>SKELLEFTEÅ</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3700-2023</t>
        </is>
      </c>
      <c r="B8538" s="1" t="n">
        <v>44950</v>
      </c>
      <c r="C8538" s="1" t="n">
        <v>45357</v>
      </c>
      <c r="D8538" t="inlineStr">
        <is>
          <t>VÄSTERBOTTENS LÄN</t>
        </is>
      </c>
      <c r="E8538" t="inlineStr">
        <is>
          <t>ÅSELE</t>
        </is>
      </c>
      <c r="F8538" t="inlineStr">
        <is>
          <t>SCA</t>
        </is>
      </c>
      <c r="G8538" t="n">
        <v>7.3</v>
      </c>
      <c r="H8538" t="n">
        <v>0</v>
      </c>
      <c r="I8538" t="n">
        <v>0</v>
      </c>
      <c r="J8538" t="n">
        <v>0</v>
      </c>
      <c r="K8538" t="n">
        <v>0</v>
      </c>
      <c r="L8538" t="n">
        <v>0</v>
      </c>
      <c r="M8538" t="n">
        <v>0</v>
      </c>
      <c r="N8538" t="n">
        <v>0</v>
      </c>
      <c r="O8538" t="n">
        <v>0</v>
      </c>
      <c r="P8538" t="n">
        <v>0</v>
      </c>
      <c r="Q8538" t="n">
        <v>0</v>
      </c>
      <c r="R8538" s="2" t="inlineStr"/>
    </row>
    <row r="8539" ht="15" customHeight="1">
      <c r="A8539" t="inlineStr">
        <is>
          <t>A 3705-2023</t>
        </is>
      </c>
      <c r="B8539" s="1" t="n">
        <v>44950</v>
      </c>
      <c r="C8539" s="1" t="n">
        <v>45357</v>
      </c>
      <c r="D8539" t="inlineStr">
        <is>
          <t>VÄSTERBOTTENS LÄN</t>
        </is>
      </c>
      <c r="E8539" t="inlineStr">
        <is>
          <t>BJURHOLM</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3848-2023</t>
        </is>
      </c>
      <c r="B8540" s="1" t="n">
        <v>44950</v>
      </c>
      <c r="C8540" s="1" t="n">
        <v>45357</v>
      </c>
      <c r="D8540" t="inlineStr">
        <is>
          <t>VÄSTERBOTTENS LÄN</t>
        </is>
      </c>
      <c r="E8540" t="inlineStr">
        <is>
          <t>SKELLEFTEÅ</t>
        </is>
      </c>
      <c r="G8540" t="n">
        <v>14.4</v>
      </c>
      <c r="H8540" t="n">
        <v>0</v>
      </c>
      <c r="I8540" t="n">
        <v>0</v>
      </c>
      <c r="J8540" t="n">
        <v>0</v>
      </c>
      <c r="K8540" t="n">
        <v>0</v>
      </c>
      <c r="L8540" t="n">
        <v>0</v>
      </c>
      <c r="M8540" t="n">
        <v>0</v>
      </c>
      <c r="N8540" t="n">
        <v>0</v>
      </c>
      <c r="O8540" t="n">
        <v>0</v>
      </c>
      <c r="P8540" t="n">
        <v>0</v>
      </c>
      <c r="Q8540" t="n">
        <v>0</v>
      </c>
      <c r="R8540" s="2" t="inlineStr"/>
    </row>
    <row r="8541" ht="15" customHeight="1">
      <c r="A8541" t="inlineStr">
        <is>
          <t>A 3744-2023</t>
        </is>
      </c>
      <c r="B8541" s="1" t="n">
        <v>44951</v>
      </c>
      <c r="C8541" s="1" t="n">
        <v>45357</v>
      </c>
      <c r="D8541" t="inlineStr">
        <is>
          <t>VÄSTERBOTTENS LÄN</t>
        </is>
      </c>
      <c r="E8541" t="inlineStr">
        <is>
          <t>SKELLEFTEÅ</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3771-2023</t>
        </is>
      </c>
      <c r="B8542" s="1" t="n">
        <v>44951</v>
      </c>
      <c r="C8542" s="1" t="n">
        <v>45357</v>
      </c>
      <c r="D8542" t="inlineStr">
        <is>
          <t>VÄSTERBOTTENS LÄN</t>
        </is>
      </c>
      <c r="E8542" t="inlineStr">
        <is>
          <t>VÄNNÄS</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3900-2023</t>
        </is>
      </c>
      <c r="B8543" s="1" t="n">
        <v>44951</v>
      </c>
      <c r="C8543" s="1" t="n">
        <v>45357</v>
      </c>
      <c r="D8543" t="inlineStr">
        <is>
          <t>VÄSTERBOTTENS LÄN</t>
        </is>
      </c>
      <c r="E8543" t="inlineStr">
        <is>
          <t>ROBERTSFORS</t>
        </is>
      </c>
      <c r="F8543" t="inlineStr">
        <is>
          <t>SCA</t>
        </is>
      </c>
      <c r="G8543" t="n">
        <v>9.4</v>
      </c>
      <c r="H8543" t="n">
        <v>0</v>
      </c>
      <c r="I8543" t="n">
        <v>0</v>
      </c>
      <c r="J8543" t="n">
        <v>0</v>
      </c>
      <c r="K8543" t="n">
        <v>0</v>
      </c>
      <c r="L8543" t="n">
        <v>0</v>
      </c>
      <c r="M8543" t="n">
        <v>0</v>
      </c>
      <c r="N8543" t="n">
        <v>0</v>
      </c>
      <c r="O8543" t="n">
        <v>0</v>
      </c>
      <c r="P8543" t="n">
        <v>0</v>
      </c>
      <c r="Q8543" t="n">
        <v>0</v>
      </c>
      <c r="R8543" s="2" t="inlineStr"/>
    </row>
    <row r="8544" ht="15" customHeight="1">
      <c r="A8544" t="inlineStr">
        <is>
          <t>A 4179-2023</t>
        </is>
      </c>
      <c r="B8544" s="1" t="n">
        <v>44951</v>
      </c>
      <c r="C8544" s="1" t="n">
        <v>45357</v>
      </c>
      <c r="D8544" t="inlineStr">
        <is>
          <t>VÄSTERBOTTENS LÄN</t>
        </is>
      </c>
      <c r="E8544" t="inlineStr">
        <is>
          <t>LYCKSELE</t>
        </is>
      </c>
      <c r="G8544" t="n">
        <v>9.1</v>
      </c>
      <c r="H8544" t="n">
        <v>0</v>
      </c>
      <c r="I8544" t="n">
        <v>0</v>
      </c>
      <c r="J8544" t="n">
        <v>0</v>
      </c>
      <c r="K8544" t="n">
        <v>0</v>
      </c>
      <c r="L8544" t="n">
        <v>0</v>
      </c>
      <c r="M8544" t="n">
        <v>0</v>
      </c>
      <c r="N8544" t="n">
        <v>0</v>
      </c>
      <c r="O8544" t="n">
        <v>0</v>
      </c>
      <c r="P8544" t="n">
        <v>0</v>
      </c>
      <c r="Q8544" t="n">
        <v>0</v>
      </c>
      <c r="R8544" s="2" t="inlineStr"/>
    </row>
    <row r="8545" ht="15" customHeight="1">
      <c r="A8545" t="inlineStr">
        <is>
          <t>A 3899-2023</t>
        </is>
      </c>
      <c r="B8545" s="1" t="n">
        <v>44951</v>
      </c>
      <c r="C8545" s="1" t="n">
        <v>45357</v>
      </c>
      <c r="D8545" t="inlineStr">
        <is>
          <t>VÄSTERBOTTENS LÄN</t>
        </is>
      </c>
      <c r="E8545" t="inlineStr">
        <is>
          <t>ROBERTSFORS</t>
        </is>
      </c>
      <c r="F8545" t="inlineStr">
        <is>
          <t>SCA</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4447-2023</t>
        </is>
      </c>
      <c r="B8546" s="1" t="n">
        <v>44951</v>
      </c>
      <c r="C8546" s="1" t="n">
        <v>45357</v>
      </c>
      <c r="D8546" t="inlineStr">
        <is>
          <t>VÄSTERBOTTENS LÄN</t>
        </is>
      </c>
      <c r="E8546" t="inlineStr">
        <is>
          <t>SKELLEFTEÅ</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3898-2023</t>
        </is>
      </c>
      <c r="B8547" s="1" t="n">
        <v>44951</v>
      </c>
      <c r="C8547" s="1" t="n">
        <v>45357</v>
      </c>
      <c r="D8547" t="inlineStr">
        <is>
          <t>VÄSTERBOTTENS LÄN</t>
        </is>
      </c>
      <c r="E8547" t="inlineStr">
        <is>
          <t>ÅSELE</t>
        </is>
      </c>
      <c r="F8547" t="inlineStr">
        <is>
          <t>SCA</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4104-2023</t>
        </is>
      </c>
      <c r="B8548" s="1" t="n">
        <v>44952</v>
      </c>
      <c r="C8548" s="1" t="n">
        <v>45357</v>
      </c>
      <c r="D8548" t="inlineStr">
        <is>
          <t>VÄSTERBOTTENS LÄN</t>
        </is>
      </c>
      <c r="E8548" t="inlineStr">
        <is>
          <t>SKELLEFTEÅ</t>
        </is>
      </c>
      <c r="F8548" t="inlineStr">
        <is>
          <t>Sveaskog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3970-2023</t>
        </is>
      </c>
      <c r="B8549" s="1" t="n">
        <v>44952</v>
      </c>
      <c r="C8549" s="1" t="n">
        <v>45357</v>
      </c>
      <c r="D8549" t="inlineStr">
        <is>
          <t>VÄSTERBOTTENS LÄN</t>
        </is>
      </c>
      <c r="E8549" t="inlineStr">
        <is>
          <t>VINDELN</t>
        </is>
      </c>
      <c r="F8549" t="inlineStr">
        <is>
          <t>Holmen skog AB</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4031-2023</t>
        </is>
      </c>
      <c r="B8550" s="1" t="n">
        <v>44952</v>
      </c>
      <c r="C8550" s="1" t="n">
        <v>45357</v>
      </c>
      <c r="D8550" t="inlineStr">
        <is>
          <t>VÄSTERBOTTENS LÄN</t>
        </is>
      </c>
      <c r="E8550" t="inlineStr">
        <is>
          <t>SKELLEFTEÅ</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3947-2023</t>
        </is>
      </c>
      <c r="B8551" s="1" t="n">
        <v>44952</v>
      </c>
      <c r="C8551" s="1" t="n">
        <v>45357</v>
      </c>
      <c r="D8551" t="inlineStr">
        <is>
          <t>VÄSTERBOTTENS LÄN</t>
        </is>
      </c>
      <c r="E8551" t="inlineStr">
        <is>
          <t>LYCKSELE</t>
        </is>
      </c>
      <c r="F8551" t="inlineStr">
        <is>
          <t>Sveaskog</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4086-2023</t>
        </is>
      </c>
      <c r="B8552" s="1" t="n">
        <v>44952</v>
      </c>
      <c r="C8552" s="1" t="n">
        <v>45357</v>
      </c>
      <c r="D8552" t="inlineStr">
        <is>
          <t>VÄSTERBOTTENS LÄN</t>
        </is>
      </c>
      <c r="E8552" t="inlineStr">
        <is>
          <t>ÅSELE</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4102-2023</t>
        </is>
      </c>
      <c r="B8553" s="1" t="n">
        <v>44952</v>
      </c>
      <c r="C8553" s="1" t="n">
        <v>45357</v>
      </c>
      <c r="D8553" t="inlineStr">
        <is>
          <t>VÄSTERBOTTENS LÄN</t>
        </is>
      </c>
      <c r="E8553" t="inlineStr">
        <is>
          <t>SKELLEFTEÅ</t>
        </is>
      </c>
      <c r="F8553" t="inlineStr">
        <is>
          <t>Sveaskog</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4016-2023</t>
        </is>
      </c>
      <c r="B8554" s="1" t="n">
        <v>44952</v>
      </c>
      <c r="C8554" s="1" t="n">
        <v>45357</v>
      </c>
      <c r="D8554" t="inlineStr">
        <is>
          <t>VÄSTERBOTTENS LÄN</t>
        </is>
      </c>
      <c r="E8554" t="inlineStr">
        <is>
          <t>ROBERTSFORS</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4458-2023</t>
        </is>
      </c>
      <c r="B8555" s="1" t="n">
        <v>44952</v>
      </c>
      <c r="C8555" s="1" t="n">
        <v>45357</v>
      </c>
      <c r="D8555" t="inlineStr">
        <is>
          <t>VÄSTERBOTTENS LÄN</t>
        </is>
      </c>
      <c r="E8555" t="inlineStr">
        <is>
          <t>SKELLEFTEÅ</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4478-2023</t>
        </is>
      </c>
      <c r="B8556" s="1" t="n">
        <v>44952</v>
      </c>
      <c r="C8556" s="1" t="n">
        <v>45357</v>
      </c>
      <c r="D8556" t="inlineStr">
        <is>
          <t>VÄSTERBOTTENS LÄN</t>
        </is>
      </c>
      <c r="E8556" t="inlineStr">
        <is>
          <t>ROBERTSFORS</t>
        </is>
      </c>
      <c r="G8556" t="n">
        <v>16.1</v>
      </c>
      <c r="H8556" t="n">
        <v>0</v>
      </c>
      <c r="I8556" t="n">
        <v>0</v>
      </c>
      <c r="J8556" t="n">
        <v>0</v>
      </c>
      <c r="K8556" t="n">
        <v>0</v>
      </c>
      <c r="L8556" t="n">
        <v>0</v>
      </c>
      <c r="M8556" t="n">
        <v>0</v>
      </c>
      <c r="N8556" t="n">
        <v>0</v>
      </c>
      <c r="O8556" t="n">
        <v>0</v>
      </c>
      <c r="P8556" t="n">
        <v>0</v>
      </c>
      <c r="Q8556" t="n">
        <v>0</v>
      </c>
      <c r="R8556" s="2" t="inlineStr"/>
    </row>
    <row r="8557" ht="15" customHeight="1">
      <c r="A8557" t="inlineStr">
        <is>
          <t>A 4462-2023</t>
        </is>
      </c>
      <c r="B8557" s="1" t="n">
        <v>44952</v>
      </c>
      <c r="C8557" s="1" t="n">
        <v>45357</v>
      </c>
      <c r="D8557" t="inlineStr">
        <is>
          <t>VÄSTERBOTTENS LÄN</t>
        </is>
      </c>
      <c r="E8557" t="inlineStr">
        <is>
          <t>ÅSELE</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4664-2023</t>
        </is>
      </c>
      <c r="B8558" s="1" t="n">
        <v>44952</v>
      </c>
      <c r="C8558" s="1" t="n">
        <v>45357</v>
      </c>
      <c r="D8558" t="inlineStr">
        <is>
          <t>VÄSTERBOTTENS LÄN</t>
        </is>
      </c>
      <c r="E8558" t="inlineStr">
        <is>
          <t>LYCKSELE</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4056-2023</t>
        </is>
      </c>
      <c r="B8559" s="1" t="n">
        <v>44952</v>
      </c>
      <c r="C8559" s="1" t="n">
        <v>45357</v>
      </c>
      <c r="D8559" t="inlineStr">
        <is>
          <t>VÄSTERBOTTENS LÄN</t>
        </is>
      </c>
      <c r="E8559" t="inlineStr">
        <is>
          <t>LYCKSELE</t>
        </is>
      </c>
      <c r="F8559" t="inlineStr">
        <is>
          <t>Sveaskog</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4084-2023</t>
        </is>
      </c>
      <c r="B8560" s="1" t="n">
        <v>44952</v>
      </c>
      <c r="C8560" s="1" t="n">
        <v>45357</v>
      </c>
      <c r="D8560" t="inlineStr">
        <is>
          <t>VÄSTERBOTTENS LÄN</t>
        </is>
      </c>
      <c r="E8560" t="inlineStr">
        <is>
          <t>ÅSELE</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4093-2023</t>
        </is>
      </c>
      <c r="B8561" s="1" t="n">
        <v>44952</v>
      </c>
      <c r="C8561" s="1" t="n">
        <v>45357</v>
      </c>
      <c r="D8561" t="inlineStr">
        <is>
          <t>VÄSTERBOTTENS LÄN</t>
        </is>
      </c>
      <c r="E8561" t="inlineStr">
        <is>
          <t>ÅSELE</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4464-2023</t>
        </is>
      </c>
      <c r="B8562" s="1" t="n">
        <v>44952</v>
      </c>
      <c r="C8562" s="1" t="n">
        <v>45357</v>
      </c>
      <c r="D8562" t="inlineStr">
        <is>
          <t>VÄSTERBOTTENS LÄN</t>
        </is>
      </c>
      <c r="E8562" t="inlineStr">
        <is>
          <t>ÅSELE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4673-2023</t>
        </is>
      </c>
      <c r="B8563" s="1" t="n">
        <v>44952</v>
      </c>
      <c r="C8563" s="1" t="n">
        <v>45357</v>
      </c>
      <c r="D8563" t="inlineStr">
        <is>
          <t>VÄSTERBOTTENS LÄN</t>
        </is>
      </c>
      <c r="E8563" t="inlineStr">
        <is>
          <t>LYCKSELE</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4465-2023</t>
        </is>
      </c>
      <c r="B8564" s="1" t="n">
        <v>44952</v>
      </c>
      <c r="C8564" s="1" t="n">
        <v>45357</v>
      </c>
      <c r="D8564" t="inlineStr">
        <is>
          <t>VÄSTERBOTTENS LÄN</t>
        </is>
      </c>
      <c r="E8564" t="inlineStr">
        <is>
          <t>ÅSELE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4227-2023</t>
        </is>
      </c>
      <c r="B8565" s="1" t="n">
        <v>44953</v>
      </c>
      <c r="C8565" s="1" t="n">
        <v>45357</v>
      </c>
      <c r="D8565" t="inlineStr">
        <is>
          <t>VÄSTERBOTTENS LÄN</t>
        </is>
      </c>
      <c r="E8565" t="inlineStr">
        <is>
          <t>ROBERTSFORS</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4244-2023</t>
        </is>
      </c>
      <c r="B8566" s="1" t="n">
        <v>44953</v>
      </c>
      <c r="C8566" s="1" t="n">
        <v>45357</v>
      </c>
      <c r="D8566" t="inlineStr">
        <is>
          <t>VÄSTERBOTTENS LÄN</t>
        </is>
      </c>
      <c r="E8566" t="inlineStr">
        <is>
          <t>VINDELN</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4243-2023</t>
        </is>
      </c>
      <c r="B8567" s="1" t="n">
        <v>44953</v>
      </c>
      <c r="C8567" s="1" t="n">
        <v>45357</v>
      </c>
      <c r="D8567" t="inlineStr">
        <is>
          <t>VÄSTERBOTTENS LÄN</t>
        </is>
      </c>
      <c r="E8567" t="inlineStr">
        <is>
          <t>VINDELN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4261-2023</t>
        </is>
      </c>
      <c r="B8568" s="1" t="n">
        <v>44953</v>
      </c>
      <c r="C8568" s="1" t="n">
        <v>45357</v>
      </c>
      <c r="D8568" t="inlineStr">
        <is>
          <t>VÄSTERBOTTENS LÄN</t>
        </is>
      </c>
      <c r="E8568" t="inlineStr">
        <is>
          <t>VINDELN</t>
        </is>
      </c>
      <c r="F8568" t="inlineStr">
        <is>
          <t>Sveaskog</t>
        </is>
      </c>
      <c r="G8568" t="n">
        <v>13.3</v>
      </c>
      <c r="H8568" t="n">
        <v>0</v>
      </c>
      <c r="I8568" t="n">
        <v>0</v>
      </c>
      <c r="J8568" t="n">
        <v>0</v>
      </c>
      <c r="K8568" t="n">
        <v>0</v>
      </c>
      <c r="L8568" t="n">
        <v>0</v>
      </c>
      <c r="M8568" t="n">
        <v>0</v>
      </c>
      <c r="N8568" t="n">
        <v>0</v>
      </c>
      <c r="O8568" t="n">
        <v>0</v>
      </c>
      <c r="P8568" t="n">
        <v>0</v>
      </c>
      <c r="Q8568" t="n">
        <v>0</v>
      </c>
      <c r="R8568" s="2" t="inlineStr"/>
    </row>
    <row r="8569" ht="15" customHeight="1">
      <c r="A8569" t="inlineStr">
        <is>
          <t>A 4297-2023</t>
        </is>
      </c>
      <c r="B8569" s="1" t="n">
        <v>44953</v>
      </c>
      <c r="C8569" s="1" t="n">
        <v>45357</v>
      </c>
      <c r="D8569" t="inlineStr">
        <is>
          <t>VÄSTERBOTTENS LÄN</t>
        </is>
      </c>
      <c r="E8569" t="inlineStr">
        <is>
          <t>NORSJÖ</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4342-2023</t>
        </is>
      </c>
      <c r="B8570" s="1" t="n">
        <v>44954</v>
      </c>
      <c r="C8570" s="1" t="n">
        <v>45357</v>
      </c>
      <c r="D8570" t="inlineStr">
        <is>
          <t>VÄSTERBOTTENS LÄN</t>
        </is>
      </c>
      <c r="E8570" t="inlineStr">
        <is>
          <t>ÅSELE</t>
        </is>
      </c>
      <c r="F8570" t="inlineStr">
        <is>
          <t>SCA</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4725-2023</t>
        </is>
      </c>
      <c r="B8571" s="1" t="n">
        <v>44953</v>
      </c>
      <c r="C8571" s="1" t="n">
        <v>45357</v>
      </c>
      <c r="D8571" t="inlineStr">
        <is>
          <t>VÄSTERBOTTENS LÄN</t>
        </is>
      </c>
      <c r="E8571" t="inlineStr">
        <is>
          <t>UMEÅ</t>
        </is>
      </c>
      <c r="F8571" t="inlineStr">
        <is>
          <t>Övriga statliga verk och myndigheter</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4344-2023</t>
        </is>
      </c>
      <c r="B8572" s="1" t="n">
        <v>44954</v>
      </c>
      <c r="C8572" s="1" t="n">
        <v>45357</v>
      </c>
      <c r="D8572" t="inlineStr">
        <is>
          <t>VÄSTERBOTTENS LÄN</t>
        </is>
      </c>
      <c r="E8572" t="inlineStr">
        <is>
          <t>VILHELMINA</t>
        </is>
      </c>
      <c r="F8572" t="inlineStr">
        <is>
          <t>SCA</t>
        </is>
      </c>
      <c r="G8572" t="n">
        <v>20.9</v>
      </c>
      <c r="H8572" t="n">
        <v>0</v>
      </c>
      <c r="I8572" t="n">
        <v>0</v>
      </c>
      <c r="J8572" t="n">
        <v>0</v>
      </c>
      <c r="K8572" t="n">
        <v>0</v>
      </c>
      <c r="L8572" t="n">
        <v>0</v>
      </c>
      <c r="M8572" t="n">
        <v>0</v>
      </c>
      <c r="N8572" t="n">
        <v>0</v>
      </c>
      <c r="O8572" t="n">
        <v>0</v>
      </c>
      <c r="P8572" t="n">
        <v>0</v>
      </c>
      <c r="Q8572" t="n">
        <v>0</v>
      </c>
      <c r="R8572" s="2" t="inlineStr"/>
    </row>
    <row r="8573" ht="15" customHeight="1">
      <c r="A8573" t="inlineStr">
        <is>
          <t>A 4678-2023</t>
        </is>
      </c>
      <c r="B8573" s="1" t="n">
        <v>44953</v>
      </c>
      <c r="C8573" s="1" t="n">
        <v>45357</v>
      </c>
      <c r="D8573" t="inlineStr">
        <is>
          <t>VÄSTERBOTTENS LÄN</t>
        </is>
      </c>
      <c r="E8573" t="inlineStr">
        <is>
          <t>VÄNNÄS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4666-2023</t>
        </is>
      </c>
      <c r="B8574" s="1" t="n">
        <v>44953</v>
      </c>
      <c r="C8574" s="1" t="n">
        <v>45357</v>
      </c>
      <c r="D8574" t="inlineStr">
        <is>
          <t>VÄSTERBOTTENS LÄN</t>
        </is>
      </c>
      <c r="E8574" t="inlineStr">
        <is>
          <t>LYCKSELE</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4676-2023</t>
        </is>
      </c>
      <c r="B8575" s="1" t="n">
        <v>44953</v>
      </c>
      <c r="C8575" s="1" t="n">
        <v>45357</v>
      </c>
      <c r="D8575" t="inlineStr">
        <is>
          <t>VÄSTERBOTTENS LÄN</t>
        </is>
      </c>
      <c r="E8575" t="inlineStr">
        <is>
          <t>VÄNNÄS</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4786-2023</t>
        </is>
      </c>
      <c r="B8576" s="1" t="n">
        <v>44953</v>
      </c>
      <c r="C8576" s="1" t="n">
        <v>45357</v>
      </c>
      <c r="D8576" t="inlineStr">
        <is>
          <t>VÄSTERBOTTENS LÄN</t>
        </is>
      </c>
      <c r="E8576" t="inlineStr">
        <is>
          <t>ÅSELE</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4373-2023</t>
        </is>
      </c>
      <c r="B8577" s="1" t="n">
        <v>44955</v>
      </c>
      <c r="C8577" s="1" t="n">
        <v>45357</v>
      </c>
      <c r="D8577" t="inlineStr">
        <is>
          <t>VÄSTERBOTTENS LÄN</t>
        </is>
      </c>
      <c r="E8577" t="inlineStr">
        <is>
          <t>VILHELMINA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4503-2023</t>
        </is>
      </c>
      <c r="B8578" s="1" t="n">
        <v>44956</v>
      </c>
      <c r="C8578" s="1" t="n">
        <v>45357</v>
      </c>
      <c r="D8578" t="inlineStr">
        <is>
          <t>VÄSTERBOTTENS LÄN</t>
        </is>
      </c>
      <c r="E8578" t="inlineStr">
        <is>
          <t>VINDELN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4618-2023</t>
        </is>
      </c>
      <c r="B8579" s="1" t="n">
        <v>44956</v>
      </c>
      <c r="C8579" s="1" t="n">
        <v>45357</v>
      </c>
      <c r="D8579" t="inlineStr">
        <is>
          <t>VÄSTERBOTTENS LÄN</t>
        </is>
      </c>
      <c r="E8579" t="inlineStr">
        <is>
          <t>DOROTEA</t>
        </is>
      </c>
      <c r="F8579" t="inlineStr">
        <is>
          <t>SCA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4453-2023</t>
        </is>
      </c>
      <c r="B8580" s="1" t="n">
        <v>44956</v>
      </c>
      <c r="C8580" s="1" t="n">
        <v>45357</v>
      </c>
      <c r="D8580" t="inlineStr">
        <is>
          <t>VÄSTERBOTTENS LÄN</t>
        </is>
      </c>
      <c r="E8580" t="inlineStr">
        <is>
          <t>SKELLEFTEÅ</t>
        </is>
      </c>
      <c r="F8580" t="inlineStr">
        <is>
          <t>Holmen skog AB</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4559-2023</t>
        </is>
      </c>
      <c r="B8581" s="1" t="n">
        <v>44956</v>
      </c>
      <c r="C8581" s="1" t="n">
        <v>45357</v>
      </c>
      <c r="D8581" t="inlineStr">
        <is>
          <t>VÄSTERBOTTENS LÄN</t>
        </is>
      </c>
      <c r="E8581" t="inlineStr">
        <is>
          <t>NORDMALING</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4566-2023</t>
        </is>
      </c>
      <c r="B8582" s="1" t="n">
        <v>44956</v>
      </c>
      <c r="C8582" s="1" t="n">
        <v>45357</v>
      </c>
      <c r="D8582" t="inlineStr">
        <is>
          <t>VÄSTERBOTTENS LÄN</t>
        </is>
      </c>
      <c r="E8582" t="inlineStr">
        <is>
          <t>VINDELN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4616-2023</t>
        </is>
      </c>
      <c r="B8583" s="1" t="n">
        <v>44956</v>
      </c>
      <c r="C8583" s="1" t="n">
        <v>45357</v>
      </c>
      <c r="D8583" t="inlineStr">
        <is>
          <t>VÄSTERBOTTENS LÄN</t>
        </is>
      </c>
      <c r="E8583" t="inlineStr">
        <is>
          <t>DOROTEA</t>
        </is>
      </c>
      <c r="F8583" t="inlineStr">
        <is>
          <t>SCA</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4930-2023</t>
        </is>
      </c>
      <c r="B8584" s="1" t="n">
        <v>44956</v>
      </c>
      <c r="C8584" s="1" t="n">
        <v>45357</v>
      </c>
      <c r="D8584" t="inlineStr">
        <is>
          <t>VÄSTERBOTTENS LÄN</t>
        </is>
      </c>
      <c r="E8584" t="inlineStr">
        <is>
          <t>SKELLEFTEÅ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4567-2023</t>
        </is>
      </c>
      <c r="B8585" s="1" t="n">
        <v>44956</v>
      </c>
      <c r="C8585" s="1" t="n">
        <v>45357</v>
      </c>
      <c r="D8585" t="inlineStr">
        <is>
          <t>VÄSTERBOTTENS LÄN</t>
        </is>
      </c>
      <c r="E8585" t="inlineStr">
        <is>
          <t>VINDELN</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4617-2023</t>
        </is>
      </c>
      <c r="B8586" s="1" t="n">
        <v>44956</v>
      </c>
      <c r="C8586" s="1" t="n">
        <v>45357</v>
      </c>
      <c r="D8586" t="inlineStr">
        <is>
          <t>VÄSTERBOTTENS LÄN</t>
        </is>
      </c>
      <c r="E8586" t="inlineStr">
        <is>
          <t>DOROTEA</t>
        </is>
      </c>
      <c r="F8586" t="inlineStr">
        <is>
          <t>SCA</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4948-2023</t>
        </is>
      </c>
      <c r="B8587" s="1" t="n">
        <v>44956</v>
      </c>
      <c r="C8587" s="1" t="n">
        <v>45357</v>
      </c>
      <c r="D8587" t="inlineStr">
        <is>
          <t>VÄSTERBOTTENS LÄN</t>
        </is>
      </c>
      <c r="E8587" t="inlineStr">
        <is>
          <t>SKELLEFTEÅ</t>
        </is>
      </c>
      <c r="G8587" t="n">
        <v>21.1</v>
      </c>
      <c r="H8587" t="n">
        <v>0</v>
      </c>
      <c r="I8587" t="n">
        <v>0</v>
      </c>
      <c r="J8587" t="n">
        <v>0</v>
      </c>
      <c r="K8587" t="n">
        <v>0</v>
      </c>
      <c r="L8587" t="n">
        <v>0</v>
      </c>
      <c r="M8587" t="n">
        <v>0</v>
      </c>
      <c r="N8587" t="n">
        <v>0</v>
      </c>
      <c r="O8587" t="n">
        <v>0</v>
      </c>
      <c r="P8587" t="n">
        <v>0</v>
      </c>
      <c r="Q8587" t="n">
        <v>0</v>
      </c>
      <c r="R8587" s="2" t="inlineStr"/>
    </row>
    <row r="8588" ht="15" customHeight="1">
      <c r="A8588" t="inlineStr">
        <is>
          <t>A 5262-2023</t>
        </is>
      </c>
      <c r="B8588" s="1" t="n">
        <v>44956</v>
      </c>
      <c r="C8588" s="1" t="n">
        <v>45357</v>
      </c>
      <c r="D8588" t="inlineStr">
        <is>
          <t>VÄSTERBOTTENS LÄN</t>
        </is>
      </c>
      <c r="E8588" t="inlineStr">
        <is>
          <t>NORDMALING</t>
        </is>
      </c>
      <c r="G8588" t="n">
        <v>12.3</v>
      </c>
      <c r="H8588" t="n">
        <v>0</v>
      </c>
      <c r="I8588" t="n">
        <v>0</v>
      </c>
      <c r="J8588" t="n">
        <v>0</v>
      </c>
      <c r="K8588" t="n">
        <v>0</v>
      </c>
      <c r="L8588" t="n">
        <v>0</v>
      </c>
      <c r="M8588" t="n">
        <v>0</v>
      </c>
      <c r="N8588" t="n">
        <v>0</v>
      </c>
      <c r="O8588" t="n">
        <v>0</v>
      </c>
      <c r="P8588" t="n">
        <v>0</v>
      </c>
      <c r="Q8588" t="n">
        <v>0</v>
      </c>
      <c r="R8588" s="2" t="inlineStr"/>
    </row>
    <row r="8589" ht="15" customHeight="1">
      <c r="A8589" t="inlineStr">
        <is>
          <t>A 4938-2023</t>
        </is>
      </c>
      <c r="B8589" s="1" t="n">
        <v>44956</v>
      </c>
      <c r="C8589" s="1" t="n">
        <v>45357</v>
      </c>
      <c r="D8589" t="inlineStr">
        <is>
          <t>VÄSTERBOTTENS LÄN</t>
        </is>
      </c>
      <c r="E8589" t="inlineStr">
        <is>
          <t>SKELLEFTEÅ</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4958-2023</t>
        </is>
      </c>
      <c r="B8590" s="1" t="n">
        <v>44956</v>
      </c>
      <c r="C8590" s="1" t="n">
        <v>45357</v>
      </c>
      <c r="D8590" t="inlineStr">
        <is>
          <t>VÄSTERBOTTENS LÄN</t>
        </is>
      </c>
      <c r="E8590" t="inlineStr">
        <is>
          <t>DOROTEA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4919-2023</t>
        </is>
      </c>
      <c r="B8591" s="1" t="n">
        <v>44956</v>
      </c>
      <c r="C8591" s="1" t="n">
        <v>45357</v>
      </c>
      <c r="D8591" t="inlineStr">
        <is>
          <t>VÄSTERBOTTENS LÄN</t>
        </is>
      </c>
      <c r="E8591" t="inlineStr">
        <is>
          <t>VILHELMINA</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4943-2023</t>
        </is>
      </c>
      <c r="B8592" s="1" t="n">
        <v>44956</v>
      </c>
      <c r="C8592" s="1" t="n">
        <v>45357</v>
      </c>
      <c r="D8592" t="inlineStr">
        <is>
          <t>VÄSTERBOTTENS LÄN</t>
        </is>
      </c>
      <c r="E8592" t="inlineStr">
        <is>
          <t>SKELLEFTEÅ</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5204-2023</t>
        </is>
      </c>
      <c r="B8593" s="1" t="n">
        <v>44956</v>
      </c>
      <c r="C8593" s="1" t="n">
        <v>45357</v>
      </c>
      <c r="D8593" t="inlineStr">
        <is>
          <t>VÄSTERBOTTENS LÄN</t>
        </is>
      </c>
      <c r="E8593" t="inlineStr">
        <is>
          <t>LYCKSELE</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5301-2023</t>
        </is>
      </c>
      <c r="B8594" s="1" t="n">
        <v>44956</v>
      </c>
      <c r="C8594" s="1" t="n">
        <v>45357</v>
      </c>
      <c r="D8594" t="inlineStr">
        <is>
          <t>VÄSTERBOTTENS LÄN</t>
        </is>
      </c>
      <c r="E8594" t="inlineStr">
        <is>
          <t>VILHELMINA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5297-2023</t>
        </is>
      </c>
      <c r="B8595" s="1" t="n">
        <v>44956</v>
      </c>
      <c r="C8595" s="1" t="n">
        <v>45357</v>
      </c>
      <c r="D8595" t="inlineStr">
        <is>
          <t>VÄSTERBOTTENS LÄN</t>
        </is>
      </c>
      <c r="E8595" t="inlineStr">
        <is>
          <t>VILHELMINA</t>
        </is>
      </c>
      <c r="G8595" t="n">
        <v>10.7</v>
      </c>
      <c r="H8595" t="n">
        <v>0</v>
      </c>
      <c r="I8595" t="n">
        <v>0</v>
      </c>
      <c r="J8595" t="n">
        <v>0</v>
      </c>
      <c r="K8595" t="n">
        <v>0</v>
      </c>
      <c r="L8595" t="n">
        <v>0</v>
      </c>
      <c r="M8595" t="n">
        <v>0</v>
      </c>
      <c r="N8595" t="n">
        <v>0</v>
      </c>
      <c r="O8595" t="n">
        <v>0</v>
      </c>
      <c r="P8595" t="n">
        <v>0</v>
      </c>
      <c r="Q8595" t="n">
        <v>0</v>
      </c>
      <c r="R8595" s="2" t="inlineStr"/>
    </row>
    <row r="8596" ht="15" customHeight="1">
      <c r="A8596" t="inlineStr">
        <is>
          <t>A 5361-2023</t>
        </is>
      </c>
      <c r="B8596" s="1" t="n">
        <v>44956</v>
      </c>
      <c r="C8596" s="1" t="n">
        <v>45357</v>
      </c>
      <c r="D8596" t="inlineStr">
        <is>
          <t>VÄSTERBOTTENS LÄN</t>
        </is>
      </c>
      <c r="E8596" t="inlineStr">
        <is>
          <t>LYCKSELE</t>
        </is>
      </c>
      <c r="G8596" t="n">
        <v>21.1</v>
      </c>
      <c r="H8596" t="n">
        <v>0</v>
      </c>
      <c r="I8596" t="n">
        <v>0</v>
      </c>
      <c r="J8596" t="n">
        <v>0</v>
      </c>
      <c r="K8596" t="n">
        <v>0</v>
      </c>
      <c r="L8596" t="n">
        <v>0</v>
      </c>
      <c r="M8596" t="n">
        <v>0</v>
      </c>
      <c r="N8596" t="n">
        <v>0</v>
      </c>
      <c r="O8596" t="n">
        <v>0</v>
      </c>
      <c r="P8596" t="n">
        <v>0</v>
      </c>
      <c r="Q8596" t="n">
        <v>0</v>
      </c>
      <c r="R8596" s="2" t="inlineStr"/>
    </row>
    <row r="8597" ht="15" customHeight="1">
      <c r="A8597" t="inlineStr">
        <is>
          <t>A 4710-2023</t>
        </is>
      </c>
      <c r="B8597" s="1" t="n">
        <v>44957</v>
      </c>
      <c r="C8597" s="1" t="n">
        <v>45357</v>
      </c>
      <c r="D8597" t="inlineStr">
        <is>
          <t>VÄSTERBOTTENS LÄN</t>
        </is>
      </c>
      <c r="E8597" t="inlineStr">
        <is>
          <t>SKELLEFTEÅ</t>
        </is>
      </c>
      <c r="F8597" t="inlineStr">
        <is>
          <t>Holmen skog AB</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4730-2023</t>
        </is>
      </c>
      <c r="B8598" s="1" t="n">
        <v>44957</v>
      </c>
      <c r="C8598" s="1" t="n">
        <v>45357</v>
      </c>
      <c r="D8598" t="inlineStr">
        <is>
          <t>VÄSTERBOTTENS LÄN</t>
        </is>
      </c>
      <c r="E8598" t="inlineStr">
        <is>
          <t>UMEÅ</t>
        </is>
      </c>
      <c r="F8598" t="inlineStr">
        <is>
          <t>Holmen skog AB</t>
        </is>
      </c>
      <c r="G8598" t="n">
        <v>12.2</v>
      </c>
      <c r="H8598" t="n">
        <v>0</v>
      </c>
      <c r="I8598" t="n">
        <v>0</v>
      </c>
      <c r="J8598" t="n">
        <v>0</v>
      </c>
      <c r="K8598" t="n">
        <v>0</v>
      </c>
      <c r="L8598" t="n">
        <v>0</v>
      </c>
      <c r="M8598" t="n">
        <v>0</v>
      </c>
      <c r="N8598" t="n">
        <v>0</v>
      </c>
      <c r="O8598" t="n">
        <v>0</v>
      </c>
      <c r="P8598" t="n">
        <v>0</v>
      </c>
      <c r="Q8598" t="n">
        <v>0</v>
      </c>
      <c r="R8598" s="2" t="inlineStr"/>
    </row>
    <row r="8599" ht="15" customHeight="1">
      <c r="A8599" t="inlineStr">
        <is>
          <t>A 4745-2023</t>
        </is>
      </c>
      <c r="B8599" s="1" t="n">
        <v>44957</v>
      </c>
      <c r="C8599" s="1" t="n">
        <v>45357</v>
      </c>
      <c r="D8599" t="inlineStr">
        <is>
          <t>VÄSTERBOTTENS LÄN</t>
        </is>
      </c>
      <c r="E8599" t="inlineStr">
        <is>
          <t>LYCKSELE</t>
        </is>
      </c>
      <c r="F8599" t="inlineStr">
        <is>
          <t>Sveaskog</t>
        </is>
      </c>
      <c r="G8599" t="n">
        <v>13.6</v>
      </c>
      <c r="H8599" t="n">
        <v>0</v>
      </c>
      <c r="I8599" t="n">
        <v>0</v>
      </c>
      <c r="J8599" t="n">
        <v>0</v>
      </c>
      <c r="K8599" t="n">
        <v>0</v>
      </c>
      <c r="L8599" t="n">
        <v>0</v>
      </c>
      <c r="M8599" t="n">
        <v>0</v>
      </c>
      <c r="N8599" t="n">
        <v>0</v>
      </c>
      <c r="O8599" t="n">
        <v>0</v>
      </c>
      <c r="P8599" t="n">
        <v>0</v>
      </c>
      <c r="Q8599" t="n">
        <v>0</v>
      </c>
      <c r="R8599" s="2" t="inlineStr"/>
    </row>
    <row r="8600" ht="15" customHeight="1">
      <c r="A8600" t="inlineStr">
        <is>
          <t>A 4866-2023</t>
        </is>
      </c>
      <c r="B8600" s="1" t="n">
        <v>44957</v>
      </c>
      <c r="C8600" s="1" t="n">
        <v>45357</v>
      </c>
      <c r="D8600" t="inlineStr">
        <is>
          <t>VÄSTERBOTTENS LÄN</t>
        </is>
      </c>
      <c r="E8600" t="inlineStr">
        <is>
          <t>NORDMALING</t>
        </is>
      </c>
      <c r="F8600" t="inlineStr">
        <is>
          <t>Kommuner</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4869-2023</t>
        </is>
      </c>
      <c r="B8601" s="1" t="n">
        <v>44957</v>
      </c>
      <c r="C8601" s="1" t="n">
        <v>45357</v>
      </c>
      <c r="D8601" t="inlineStr">
        <is>
          <t>VÄSTERBOTTENS LÄN</t>
        </is>
      </c>
      <c r="E8601" t="inlineStr">
        <is>
          <t>VILHELMINA</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5416-2023</t>
        </is>
      </c>
      <c r="B8602" s="1" t="n">
        <v>44957</v>
      </c>
      <c r="C8602" s="1" t="n">
        <v>45357</v>
      </c>
      <c r="D8602" t="inlineStr">
        <is>
          <t>VÄSTERBOTTENS LÄN</t>
        </is>
      </c>
      <c r="E8602" t="inlineStr">
        <is>
          <t>SKELLEFTEÅ</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5481-2023</t>
        </is>
      </c>
      <c r="B8603" s="1" t="n">
        <v>44957</v>
      </c>
      <c r="C8603" s="1" t="n">
        <v>45357</v>
      </c>
      <c r="D8603" t="inlineStr">
        <is>
          <t>VÄSTERBOTTENS LÄN</t>
        </is>
      </c>
      <c r="E8603" t="inlineStr">
        <is>
          <t>SKELLEFTEÅ</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5495-2023</t>
        </is>
      </c>
      <c r="B8604" s="1" t="n">
        <v>44957</v>
      </c>
      <c r="C8604" s="1" t="n">
        <v>45357</v>
      </c>
      <c r="D8604" t="inlineStr">
        <is>
          <t>VÄSTERBOTTENS LÄN</t>
        </is>
      </c>
      <c r="E8604" t="inlineStr">
        <is>
          <t>SKELLEFTEÅ</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5515-2023</t>
        </is>
      </c>
      <c r="B8605" s="1" t="n">
        <v>44957</v>
      </c>
      <c r="C8605" s="1" t="n">
        <v>45357</v>
      </c>
      <c r="D8605" t="inlineStr">
        <is>
          <t>VÄSTERBOTTENS LÄN</t>
        </is>
      </c>
      <c r="E8605" t="inlineStr">
        <is>
          <t>SKELLEFTEÅ</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5490-2023</t>
        </is>
      </c>
      <c r="B8606" s="1" t="n">
        <v>44957</v>
      </c>
      <c r="C8606" s="1" t="n">
        <v>45357</v>
      </c>
      <c r="D8606" t="inlineStr">
        <is>
          <t>VÄSTERBOTTENS LÄN</t>
        </is>
      </c>
      <c r="E8606" t="inlineStr">
        <is>
          <t>SKELLEFTEÅ</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5373-2023</t>
        </is>
      </c>
      <c r="B8607" s="1" t="n">
        <v>44957</v>
      </c>
      <c r="C8607" s="1" t="n">
        <v>45357</v>
      </c>
      <c r="D8607" t="inlineStr">
        <is>
          <t>VÄSTERBOTTENS LÄN</t>
        </is>
      </c>
      <c r="E8607" t="inlineStr">
        <is>
          <t>SKELLEFTEÅ</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4944-2023</t>
        </is>
      </c>
      <c r="B8608" s="1" t="n">
        <v>44958</v>
      </c>
      <c r="C8608" s="1" t="n">
        <v>45357</v>
      </c>
      <c r="D8608" t="inlineStr">
        <is>
          <t>VÄSTERBOTTENS LÄN</t>
        </is>
      </c>
      <c r="E8608" t="inlineStr">
        <is>
          <t>SORSELE</t>
        </is>
      </c>
      <c r="G8608" t="n">
        <v>29.8</v>
      </c>
      <c r="H8608" t="n">
        <v>0</v>
      </c>
      <c r="I8608" t="n">
        <v>0</v>
      </c>
      <c r="J8608" t="n">
        <v>0</v>
      </c>
      <c r="K8608" t="n">
        <v>0</v>
      </c>
      <c r="L8608" t="n">
        <v>0</v>
      </c>
      <c r="M8608" t="n">
        <v>0</v>
      </c>
      <c r="N8608" t="n">
        <v>0</v>
      </c>
      <c r="O8608" t="n">
        <v>0</v>
      </c>
      <c r="P8608" t="n">
        <v>0</v>
      </c>
      <c r="Q8608" t="n">
        <v>0</v>
      </c>
      <c r="R8608" s="2" t="inlineStr"/>
    </row>
    <row r="8609" ht="15" customHeight="1">
      <c r="A8609" t="inlineStr">
        <is>
          <t>A 4998-2023</t>
        </is>
      </c>
      <c r="B8609" s="1" t="n">
        <v>44958</v>
      </c>
      <c r="C8609" s="1" t="n">
        <v>45357</v>
      </c>
      <c r="D8609" t="inlineStr">
        <is>
          <t>VÄSTERBOTTENS LÄN</t>
        </is>
      </c>
      <c r="E8609" t="inlineStr">
        <is>
          <t>VÄNNÄS</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5800-2023</t>
        </is>
      </c>
      <c r="B8610" s="1" t="n">
        <v>44958</v>
      </c>
      <c r="C8610" s="1" t="n">
        <v>45357</v>
      </c>
      <c r="D8610" t="inlineStr">
        <is>
          <t>VÄSTERBOTTENS LÄN</t>
        </is>
      </c>
      <c r="E8610" t="inlineStr">
        <is>
          <t>ÅSELE</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5844-2023</t>
        </is>
      </c>
      <c r="B8611" s="1" t="n">
        <v>44958</v>
      </c>
      <c r="C8611" s="1" t="n">
        <v>45357</v>
      </c>
      <c r="D8611" t="inlineStr">
        <is>
          <t>VÄSTERBOTTENS LÄN</t>
        </is>
      </c>
      <c r="E8611" t="inlineStr">
        <is>
          <t>UMEÅ</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5834-2023</t>
        </is>
      </c>
      <c r="B8612" s="1" t="n">
        <v>44958</v>
      </c>
      <c r="C8612" s="1" t="n">
        <v>45357</v>
      </c>
      <c r="D8612" t="inlineStr">
        <is>
          <t>VÄSTERBOTTENS LÄN</t>
        </is>
      </c>
      <c r="E8612" t="inlineStr">
        <is>
          <t>DOROTEA</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5079-2023</t>
        </is>
      </c>
      <c r="B8613" s="1" t="n">
        <v>44958</v>
      </c>
      <c r="C8613" s="1" t="n">
        <v>45357</v>
      </c>
      <c r="D8613" t="inlineStr">
        <is>
          <t>VÄSTERBOTTENS LÄN</t>
        </is>
      </c>
      <c r="E8613" t="inlineStr">
        <is>
          <t>BJURHOLM</t>
        </is>
      </c>
      <c r="F8613" t="inlineStr">
        <is>
          <t>Sveaskog</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5143-2023</t>
        </is>
      </c>
      <c r="B8614" s="1" t="n">
        <v>44958</v>
      </c>
      <c r="C8614" s="1" t="n">
        <v>45357</v>
      </c>
      <c r="D8614" t="inlineStr">
        <is>
          <t>VÄSTERBOTTENS LÄN</t>
        </is>
      </c>
      <c r="E8614" t="inlineStr">
        <is>
          <t>NORSJÖ</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4985-2023</t>
        </is>
      </c>
      <c r="B8615" s="1" t="n">
        <v>44958</v>
      </c>
      <c r="C8615" s="1" t="n">
        <v>45357</v>
      </c>
      <c r="D8615" t="inlineStr">
        <is>
          <t>VÄSTERBOTTENS LÄN</t>
        </is>
      </c>
      <c r="E8615" t="inlineStr">
        <is>
          <t>VÄNNÄS</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5817-2023</t>
        </is>
      </c>
      <c r="B8616" s="1" t="n">
        <v>44958</v>
      </c>
      <c r="C8616" s="1" t="n">
        <v>45357</v>
      </c>
      <c r="D8616" t="inlineStr">
        <is>
          <t>VÄSTERBOTTENS LÄN</t>
        </is>
      </c>
      <c r="E8616" t="inlineStr">
        <is>
          <t>ROBERTSFORS</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5840-2023</t>
        </is>
      </c>
      <c r="B8617" s="1" t="n">
        <v>44958</v>
      </c>
      <c r="C8617" s="1" t="n">
        <v>45357</v>
      </c>
      <c r="D8617" t="inlineStr">
        <is>
          <t>VÄSTERBOTTENS LÄN</t>
        </is>
      </c>
      <c r="E8617" t="inlineStr">
        <is>
          <t>UMEÅ</t>
        </is>
      </c>
      <c r="G8617" t="n">
        <v>8.6</v>
      </c>
      <c r="H8617" t="n">
        <v>0</v>
      </c>
      <c r="I8617" t="n">
        <v>0</v>
      </c>
      <c r="J8617" t="n">
        <v>0</v>
      </c>
      <c r="K8617" t="n">
        <v>0</v>
      </c>
      <c r="L8617" t="n">
        <v>0</v>
      </c>
      <c r="M8617" t="n">
        <v>0</v>
      </c>
      <c r="N8617" t="n">
        <v>0</v>
      </c>
      <c r="O8617" t="n">
        <v>0</v>
      </c>
      <c r="P8617" t="n">
        <v>0</v>
      </c>
      <c r="Q8617" t="n">
        <v>0</v>
      </c>
      <c r="R8617" s="2" t="inlineStr"/>
    </row>
    <row r="8618" ht="15" customHeight="1">
      <c r="A8618" t="inlineStr">
        <is>
          <t>A 5053-2023</t>
        </is>
      </c>
      <c r="B8618" s="1" t="n">
        <v>44958</v>
      </c>
      <c r="C8618" s="1" t="n">
        <v>45357</v>
      </c>
      <c r="D8618" t="inlineStr">
        <is>
          <t>VÄSTERBOTTENS LÄN</t>
        </is>
      </c>
      <c r="E8618" t="inlineStr">
        <is>
          <t>ROBERTSFORS</t>
        </is>
      </c>
      <c r="F8618" t="inlineStr">
        <is>
          <t>Holmen skog AB</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5098-2023</t>
        </is>
      </c>
      <c r="B8619" s="1" t="n">
        <v>44958</v>
      </c>
      <c r="C8619" s="1" t="n">
        <v>45357</v>
      </c>
      <c r="D8619" t="inlineStr">
        <is>
          <t>VÄSTERBOTTENS LÄN</t>
        </is>
      </c>
      <c r="E8619" t="inlineStr">
        <is>
          <t>BJURHOLM</t>
        </is>
      </c>
      <c r="F8619" t="inlineStr">
        <is>
          <t>Sveaskog</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5144-2023</t>
        </is>
      </c>
      <c r="B8620" s="1" t="n">
        <v>44958</v>
      </c>
      <c r="C8620" s="1" t="n">
        <v>45357</v>
      </c>
      <c r="D8620" t="inlineStr">
        <is>
          <t>VÄSTERBOTTENS LÄN</t>
        </is>
      </c>
      <c r="E8620" t="inlineStr">
        <is>
          <t>NORSJÖ</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5094-2023</t>
        </is>
      </c>
      <c r="B8621" s="1" t="n">
        <v>44958</v>
      </c>
      <c r="C8621" s="1" t="n">
        <v>45357</v>
      </c>
      <c r="D8621" t="inlineStr">
        <is>
          <t>VÄSTERBOTTENS LÄN</t>
        </is>
      </c>
      <c r="E8621" t="inlineStr">
        <is>
          <t>LYCKSELE</t>
        </is>
      </c>
      <c r="F8621" t="inlineStr">
        <is>
          <t>Sveaskog</t>
        </is>
      </c>
      <c r="G8621" t="n">
        <v>15.9</v>
      </c>
      <c r="H8621" t="n">
        <v>0</v>
      </c>
      <c r="I8621" t="n">
        <v>0</v>
      </c>
      <c r="J8621" t="n">
        <v>0</v>
      </c>
      <c r="K8621" t="n">
        <v>0</v>
      </c>
      <c r="L8621" t="n">
        <v>0</v>
      </c>
      <c r="M8621" t="n">
        <v>0</v>
      </c>
      <c r="N8621" t="n">
        <v>0</v>
      </c>
      <c r="O8621" t="n">
        <v>0</v>
      </c>
      <c r="P8621" t="n">
        <v>0</v>
      </c>
      <c r="Q8621" t="n">
        <v>0</v>
      </c>
      <c r="R8621" s="2" t="inlineStr"/>
    </row>
    <row r="8622" ht="15" customHeight="1">
      <c r="A8622" t="inlineStr">
        <is>
          <t>A 5194-2023</t>
        </is>
      </c>
      <c r="B8622" s="1" t="n">
        <v>44959</v>
      </c>
      <c r="C8622" s="1" t="n">
        <v>45357</v>
      </c>
      <c r="D8622" t="inlineStr">
        <is>
          <t>VÄSTERBOTTENS LÄN</t>
        </is>
      </c>
      <c r="E8622" t="inlineStr">
        <is>
          <t>NORDMALING</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5444-2023</t>
        </is>
      </c>
      <c r="B8623" s="1" t="n">
        <v>44959</v>
      </c>
      <c r="C8623" s="1" t="n">
        <v>45357</v>
      </c>
      <c r="D8623" t="inlineStr">
        <is>
          <t>VÄSTERBOTTENS LÄN</t>
        </is>
      </c>
      <c r="E8623" t="inlineStr">
        <is>
          <t>ÅSELE</t>
        </is>
      </c>
      <c r="F8623" t="inlineStr">
        <is>
          <t>SCA</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5973-2023</t>
        </is>
      </c>
      <c r="B8624" s="1" t="n">
        <v>44959</v>
      </c>
      <c r="C8624" s="1" t="n">
        <v>45357</v>
      </c>
      <c r="D8624" t="inlineStr">
        <is>
          <t>VÄSTERBOTTENS LÄN</t>
        </is>
      </c>
      <c r="E8624" t="inlineStr">
        <is>
          <t>SKELLEFTEÅ</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5996-2023</t>
        </is>
      </c>
      <c r="B8625" s="1" t="n">
        <v>44959</v>
      </c>
      <c r="C8625" s="1" t="n">
        <v>45357</v>
      </c>
      <c r="D8625" t="inlineStr">
        <is>
          <t>VÄSTERBOTTENS LÄN</t>
        </is>
      </c>
      <c r="E8625" t="inlineStr">
        <is>
          <t>SKELLEFTEÅ</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6016-2023</t>
        </is>
      </c>
      <c r="B8626" s="1" t="n">
        <v>44959</v>
      </c>
      <c r="C8626" s="1" t="n">
        <v>45357</v>
      </c>
      <c r="D8626" t="inlineStr">
        <is>
          <t>VÄSTERBOTTENS LÄN</t>
        </is>
      </c>
      <c r="E8626" t="inlineStr">
        <is>
          <t>SKELLEFTEÅ</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5986-2023</t>
        </is>
      </c>
      <c r="B8627" s="1" t="n">
        <v>44959</v>
      </c>
      <c r="C8627" s="1" t="n">
        <v>45357</v>
      </c>
      <c r="D8627" t="inlineStr">
        <is>
          <t>VÄSTERBOTTENS LÄN</t>
        </is>
      </c>
      <c r="E8627" t="inlineStr">
        <is>
          <t>SKELLEFTEÅ</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5991-2023</t>
        </is>
      </c>
      <c r="B8628" s="1" t="n">
        <v>44959</v>
      </c>
      <c r="C8628" s="1" t="n">
        <v>45357</v>
      </c>
      <c r="D8628" t="inlineStr">
        <is>
          <t>VÄSTERBOTTENS LÄN</t>
        </is>
      </c>
      <c r="E8628" t="inlineStr">
        <is>
          <t>SKELLEFTEÅ</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6012-2023</t>
        </is>
      </c>
      <c r="B8629" s="1" t="n">
        <v>44959</v>
      </c>
      <c r="C8629" s="1" t="n">
        <v>45357</v>
      </c>
      <c r="D8629" t="inlineStr">
        <is>
          <t>VÄSTERBOTTENS LÄN</t>
        </is>
      </c>
      <c r="E8629" t="inlineStr">
        <is>
          <t>SKELLEFTEÅ</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5689-2023</t>
        </is>
      </c>
      <c r="B8630" s="1" t="n">
        <v>44960</v>
      </c>
      <c r="C8630" s="1" t="n">
        <v>45357</v>
      </c>
      <c r="D8630" t="inlineStr">
        <is>
          <t>VÄSTERBOTTENS LÄN</t>
        </is>
      </c>
      <c r="E8630" t="inlineStr">
        <is>
          <t>ROBERTSFORS</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5713-2023</t>
        </is>
      </c>
      <c r="B8631" s="1" t="n">
        <v>44960</v>
      </c>
      <c r="C8631" s="1" t="n">
        <v>45357</v>
      </c>
      <c r="D8631" t="inlineStr">
        <is>
          <t>VÄSTERBOTTENS LÄN</t>
        </is>
      </c>
      <c r="E8631" t="inlineStr">
        <is>
          <t>VILHELMINA</t>
        </is>
      </c>
      <c r="F8631" t="inlineStr">
        <is>
          <t>SCA</t>
        </is>
      </c>
      <c r="G8631" t="n">
        <v>33.2</v>
      </c>
      <c r="H8631" t="n">
        <v>0</v>
      </c>
      <c r="I8631" t="n">
        <v>0</v>
      </c>
      <c r="J8631" t="n">
        <v>0</v>
      </c>
      <c r="K8631" t="n">
        <v>0</v>
      </c>
      <c r="L8631" t="n">
        <v>0</v>
      </c>
      <c r="M8631" t="n">
        <v>0</v>
      </c>
      <c r="N8631" t="n">
        <v>0</v>
      </c>
      <c r="O8631" t="n">
        <v>0</v>
      </c>
      <c r="P8631" t="n">
        <v>0</v>
      </c>
      <c r="Q8631" t="n">
        <v>0</v>
      </c>
      <c r="R8631" s="2" t="inlineStr"/>
    </row>
    <row r="8632" ht="15" customHeight="1">
      <c r="A8632" t="inlineStr">
        <is>
          <t>A 5690-2023</t>
        </is>
      </c>
      <c r="B8632" s="1" t="n">
        <v>44960</v>
      </c>
      <c r="C8632" s="1" t="n">
        <v>45357</v>
      </c>
      <c r="D8632" t="inlineStr">
        <is>
          <t>VÄSTERBOTTENS LÄN</t>
        </is>
      </c>
      <c r="E8632" t="inlineStr">
        <is>
          <t>ROBERTSFORS</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5696-2023</t>
        </is>
      </c>
      <c r="B8633" s="1" t="n">
        <v>44960</v>
      </c>
      <c r="C8633" s="1" t="n">
        <v>45357</v>
      </c>
      <c r="D8633" t="inlineStr">
        <is>
          <t>VÄSTERBOTTENS LÄN</t>
        </is>
      </c>
      <c r="E8633" t="inlineStr">
        <is>
          <t>ÅSELE</t>
        </is>
      </c>
      <c r="F8633" t="inlineStr">
        <is>
          <t>SCA</t>
        </is>
      </c>
      <c r="G8633" t="n">
        <v>23.2</v>
      </c>
      <c r="H8633" t="n">
        <v>0</v>
      </c>
      <c r="I8633" t="n">
        <v>0</v>
      </c>
      <c r="J8633" t="n">
        <v>0</v>
      </c>
      <c r="K8633" t="n">
        <v>0</v>
      </c>
      <c r="L8633" t="n">
        <v>0</v>
      </c>
      <c r="M8633" t="n">
        <v>0</v>
      </c>
      <c r="N8633" t="n">
        <v>0</v>
      </c>
      <c r="O8633" t="n">
        <v>0</v>
      </c>
      <c r="P8633" t="n">
        <v>0</v>
      </c>
      <c r="Q8633" t="n">
        <v>0</v>
      </c>
      <c r="R8633" s="2" t="inlineStr"/>
    </row>
    <row r="8634" ht="15" customHeight="1">
      <c r="A8634" t="inlineStr">
        <is>
          <t>A 5621-2023</t>
        </is>
      </c>
      <c r="B8634" s="1" t="n">
        <v>44960</v>
      </c>
      <c r="C8634" s="1" t="n">
        <v>45357</v>
      </c>
      <c r="D8634" t="inlineStr">
        <is>
          <t>VÄSTERBOTTENS LÄN</t>
        </is>
      </c>
      <c r="E8634" t="inlineStr">
        <is>
          <t>ÅSELE</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5638-2023</t>
        </is>
      </c>
      <c r="B8635" s="1" t="n">
        <v>44960</v>
      </c>
      <c r="C8635" s="1" t="n">
        <v>45357</v>
      </c>
      <c r="D8635" t="inlineStr">
        <is>
          <t>VÄSTERBOTTENS LÄN</t>
        </is>
      </c>
      <c r="E8635" t="inlineStr">
        <is>
          <t>LYCKSELE</t>
        </is>
      </c>
      <c r="F8635" t="inlineStr">
        <is>
          <t>Sveaskog</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5687-2023</t>
        </is>
      </c>
      <c r="B8636" s="1" t="n">
        <v>44960</v>
      </c>
      <c r="C8636" s="1" t="n">
        <v>45357</v>
      </c>
      <c r="D8636" t="inlineStr">
        <is>
          <t>VÄSTERBOTTENS LÄN</t>
        </is>
      </c>
      <c r="E8636" t="inlineStr">
        <is>
          <t>SKELLEFTEÅ</t>
        </is>
      </c>
      <c r="F8636" t="inlineStr">
        <is>
          <t>Sveaskog</t>
        </is>
      </c>
      <c r="G8636" t="n">
        <v>10.3</v>
      </c>
      <c r="H8636" t="n">
        <v>0</v>
      </c>
      <c r="I8636" t="n">
        <v>0</v>
      </c>
      <c r="J8636" t="n">
        <v>0</v>
      </c>
      <c r="K8636" t="n">
        <v>0</v>
      </c>
      <c r="L8636" t="n">
        <v>0</v>
      </c>
      <c r="M8636" t="n">
        <v>0</v>
      </c>
      <c r="N8636" t="n">
        <v>0</v>
      </c>
      <c r="O8636" t="n">
        <v>0</v>
      </c>
      <c r="P8636" t="n">
        <v>0</v>
      </c>
      <c r="Q8636" t="n">
        <v>0</v>
      </c>
      <c r="R8636" s="2" t="inlineStr"/>
    </row>
    <row r="8637" ht="15" customHeight="1">
      <c r="A8637" t="inlineStr">
        <is>
          <t>A 5691-2023</t>
        </is>
      </c>
      <c r="B8637" s="1" t="n">
        <v>44960</v>
      </c>
      <c r="C8637" s="1" t="n">
        <v>45357</v>
      </c>
      <c r="D8637" t="inlineStr">
        <is>
          <t>VÄSTERBOTTENS LÄN</t>
        </is>
      </c>
      <c r="E8637" t="inlineStr">
        <is>
          <t>ROBERTSFORS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5697-2023</t>
        </is>
      </c>
      <c r="B8638" s="1" t="n">
        <v>44960</v>
      </c>
      <c r="C8638" s="1" t="n">
        <v>45357</v>
      </c>
      <c r="D8638" t="inlineStr">
        <is>
          <t>VÄSTERBOTTENS LÄN</t>
        </is>
      </c>
      <c r="E8638" t="inlineStr">
        <is>
          <t>VILHELMINA</t>
        </is>
      </c>
      <c r="F8638" t="inlineStr">
        <is>
          <t>SCA</t>
        </is>
      </c>
      <c r="G8638" t="n">
        <v>15.9</v>
      </c>
      <c r="H8638" t="n">
        <v>0</v>
      </c>
      <c r="I8638" t="n">
        <v>0</v>
      </c>
      <c r="J8638" t="n">
        <v>0</v>
      </c>
      <c r="K8638" t="n">
        <v>0</v>
      </c>
      <c r="L8638" t="n">
        <v>0</v>
      </c>
      <c r="M8638" t="n">
        <v>0</v>
      </c>
      <c r="N8638" t="n">
        <v>0</v>
      </c>
      <c r="O8638" t="n">
        <v>0</v>
      </c>
      <c r="P8638" t="n">
        <v>0</v>
      </c>
      <c r="Q8638" t="n">
        <v>0</v>
      </c>
      <c r="R8638" s="2" t="inlineStr"/>
    </row>
    <row r="8639" ht="15" customHeight="1">
      <c r="A8639" t="inlineStr">
        <is>
          <t>A 5699-2023</t>
        </is>
      </c>
      <c r="B8639" s="1" t="n">
        <v>44960</v>
      </c>
      <c r="C8639" s="1" t="n">
        <v>45357</v>
      </c>
      <c r="D8639" t="inlineStr">
        <is>
          <t>VÄSTERBOTTENS LÄN</t>
        </is>
      </c>
      <c r="E8639" t="inlineStr">
        <is>
          <t>VILHELMINA</t>
        </is>
      </c>
      <c r="F8639" t="inlineStr">
        <is>
          <t>SCA</t>
        </is>
      </c>
      <c r="G8639" t="n">
        <v>104.8</v>
      </c>
      <c r="H8639" t="n">
        <v>0</v>
      </c>
      <c r="I8639" t="n">
        <v>0</v>
      </c>
      <c r="J8639" t="n">
        <v>0</v>
      </c>
      <c r="K8639" t="n">
        <v>0</v>
      </c>
      <c r="L8639" t="n">
        <v>0</v>
      </c>
      <c r="M8639" t="n">
        <v>0</v>
      </c>
      <c r="N8639" t="n">
        <v>0</v>
      </c>
      <c r="O8639" t="n">
        <v>0</v>
      </c>
      <c r="P8639" t="n">
        <v>0</v>
      </c>
      <c r="Q8639" t="n">
        <v>0</v>
      </c>
      <c r="R8639" s="2" t="inlineStr"/>
    </row>
    <row r="8640" ht="15" customHeight="1">
      <c r="A8640" t="inlineStr">
        <is>
          <t>A 5712-2023</t>
        </is>
      </c>
      <c r="B8640" s="1" t="n">
        <v>44960</v>
      </c>
      <c r="C8640" s="1" t="n">
        <v>45357</v>
      </c>
      <c r="D8640" t="inlineStr">
        <is>
          <t>VÄSTERBOTTENS LÄN</t>
        </is>
      </c>
      <c r="E8640" t="inlineStr">
        <is>
          <t>VILHELMINA</t>
        </is>
      </c>
      <c r="F8640" t="inlineStr">
        <is>
          <t>SCA</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5716-2023</t>
        </is>
      </c>
      <c r="B8641" s="1" t="n">
        <v>44960</v>
      </c>
      <c r="C8641" s="1" t="n">
        <v>45357</v>
      </c>
      <c r="D8641" t="inlineStr">
        <is>
          <t>VÄSTERBOTTENS LÄN</t>
        </is>
      </c>
      <c r="E8641" t="inlineStr">
        <is>
          <t>DOROTEA</t>
        </is>
      </c>
      <c r="F8641" t="inlineStr">
        <is>
          <t>SCA</t>
        </is>
      </c>
      <c r="G8641" t="n">
        <v>15.2</v>
      </c>
      <c r="H8641" t="n">
        <v>0</v>
      </c>
      <c r="I8641" t="n">
        <v>0</v>
      </c>
      <c r="J8641" t="n">
        <v>0</v>
      </c>
      <c r="K8641" t="n">
        <v>0</v>
      </c>
      <c r="L8641" t="n">
        <v>0</v>
      </c>
      <c r="M8641" t="n">
        <v>0</v>
      </c>
      <c r="N8641" t="n">
        <v>0</v>
      </c>
      <c r="O8641" t="n">
        <v>0</v>
      </c>
      <c r="P8641" t="n">
        <v>0</v>
      </c>
      <c r="Q8641" t="n">
        <v>0</v>
      </c>
      <c r="R8641" s="2" t="inlineStr"/>
    </row>
    <row r="8642" ht="15" customHeight="1">
      <c r="A8642" t="inlineStr">
        <is>
          <t>A 6344-2023</t>
        </is>
      </c>
      <c r="B8642" s="1" t="n">
        <v>44960</v>
      </c>
      <c r="C8642" s="1" t="n">
        <v>45357</v>
      </c>
      <c r="D8642" t="inlineStr">
        <is>
          <t>VÄSTERBOTTENS LÄN</t>
        </is>
      </c>
      <c r="E8642" t="inlineStr">
        <is>
          <t>BJURHOLM</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5470-2023</t>
        </is>
      </c>
      <c r="B8643" s="1" t="n">
        <v>44960</v>
      </c>
      <c r="C8643" s="1" t="n">
        <v>45357</v>
      </c>
      <c r="D8643" t="inlineStr">
        <is>
          <t>VÄSTERBOTTENS LÄN</t>
        </is>
      </c>
      <c r="E8643" t="inlineStr">
        <is>
          <t>SKELLEFTEÅ</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5541-2023</t>
        </is>
      </c>
      <c r="B8644" s="1" t="n">
        <v>44960</v>
      </c>
      <c r="C8644" s="1" t="n">
        <v>45357</v>
      </c>
      <c r="D8644" t="inlineStr">
        <is>
          <t>VÄSTERBOTTENS LÄN</t>
        </is>
      </c>
      <c r="E8644" t="inlineStr">
        <is>
          <t>SKELLEFTEÅ</t>
        </is>
      </c>
      <c r="F8644" t="inlineStr">
        <is>
          <t>Sveaskog</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5715-2023</t>
        </is>
      </c>
      <c r="B8645" s="1" t="n">
        <v>44960</v>
      </c>
      <c r="C8645" s="1" t="n">
        <v>45357</v>
      </c>
      <c r="D8645" t="inlineStr">
        <is>
          <t>VÄSTERBOTTENS LÄN</t>
        </is>
      </c>
      <c r="E8645" t="inlineStr">
        <is>
          <t>DOROTEA</t>
        </is>
      </c>
      <c r="F8645" t="inlineStr">
        <is>
          <t>SCA</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5602-2023</t>
        </is>
      </c>
      <c r="B8646" s="1" t="n">
        <v>44960</v>
      </c>
      <c r="C8646" s="1" t="n">
        <v>45357</v>
      </c>
      <c r="D8646" t="inlineStr">
        <is>
          <t>VÄSTERBOTTENS LÄN</t>
        </is>
      </c>
      <c r="E8646" t="inlineStr">
        <is>
          <t>SKELLEFTEÅ</t>
        </is>
      </c>
      <c r="F8646" t="inlineStr">
        <is>
          <t>Sveaskog</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6621-2023</t>
        </is>
      </c>
      <c r="B8647" s="1" t="n">
        <v>44960</v>
      </c>
      <c r="C8647" s="1" t="n">
        <v>45357</v>
      </c>
      <c r="D8647" t="inlineStr">
        <is>
          <t>VÄSTERBOTTENS LÄN</t>
        </is>
      </c>
      <c r="E8647" t="inlineStr">
        <is>
          <t>DOROTEA</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6616-2023</t>
        </is>
      </c>
      <c r="B8648" s="1" t="n">
        <v>44960</v>
      </c>
      <c r="C8648" s="1" t="n">
        <v>45357</v>
      </c>
      <c r="D8648" t="inlineStr">
        <is>
          <t>VÄSTERBOTTENS LÄN</t>
        </is>
      </c>
      <c r="E8648" t="inlineStr">
        <is>
          <t>VILHELMINA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5613-2023</t>
        </is>
      </c>
      <c r="B8649" s="1" t="n">
        <v>44960</v>
      </c>
      <c r="C8649" s="1" t="n">
        <v>45357</v>
      </c>
      <c r="D8649" t="inlineStr">
        <is>
          <t>VÄSTERBOTTENS LÄN</t>
        </is>
      </c>
      <c r="E8649" t="inlineStr">
        <is>
          <t>ÅSELE</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5590-2023</t>
        </is>
      </c>
      <c r="B8650" s="1" t="n">
        <v>44960</v>
      </c>
      <c r="C8650" s="1" t="n">
        <v>45357</v>
      </c>
      <c r="D8650" t="inlineStr">
        <is>
          <t>VÄSTERBOTTENS LÄN</t>
        </is>
      </c>
      <c r="E8650" t="inlineStr">
        <is>
          <t>BJURHOLM</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6610-2023</t>
        </is>
      </c>
      <c r="B8651" s="1" t="n">
        <v>44960</v>
      </c>
      <c r="C8651" s="1" t="n">
        <v>45357</v>
      </c>
      <c r="D8651" t="inlineStr">
        <is>
          <t>VÄSTERBOTTENS LÄN</t>
        </is>
      </c>
      <c r="E8651" t="inlineStr">
        <is>
          <t>VILHELMINA</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5740-2023</t>
        </is>
      </c>
      <c r="B8652" s="1" t="n">
        <v>44962</v>
      </c>
      <c r="C8652" s="1" t="n">
        <v>45357</v>
      </c>
      <c r="D8652" t="inlineStr">
        <is>
          <t>VÄSTERBOTTENS LÄN</t>
        </is>
      </c>
      <c r="E8652" t="inlineStr">
        <is>
          <t>SKELLEFTEÅ</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5731-2023</t>
        </is>
      </c>
      <c r="B8653" s="1" t="n">
        <v>44962</v>
      </c>
      <c r="C8653" s="1" t="n">
        <v>45357</v>
      </c>
      <c r="D8653" t="inlineStr">
        <is>
          <t>VÄSTERBOTTENS LÄN</t>
        </is>
      </c>
      <c r="E8653" t="inlineStr">
        <is>
          <t>VINDELN</t>
        </is>
      </c>
      <c r="G8653" t="n">
        <v>11.9</v>
      </c>
      <c r="H8653" t="n">
        <v>0</v>
      </c>
      <c r="I8653" t="n">
        <v>0</v>
      </c>
      <c r="J8653" t="n">
        <v>0</v>
      </c>
      <c r="K8653" t="n">
        <v>0</v>
      </c>
      <c r="L8653" t="n">
        <v>0</v>
      </c>
      <c r="M8653" t="n">
        <v>0</v>
      </c>
      <c r="N8653" t="n">
        <v>0</v>
      </c>
      <c r="O8653" t="n">
        <v>0</v>
      </c>
      <c r="P8653" t="n">
        <v>0</v>
      </c>
      <c r="Q8653" t="n">
        <v>0</v>
      </c>
      <c r="R8653" s="2" t="inlineStr"/>
    </row>
    <row r="8654" ht="15" customHeight="1">
      <c r="A8654" t="inlineStr">
        <is>
          <t>A 5744-2023</t>
        </is>
      </c>
      <c r="B8654" s="1" t="n">
        <v>44962</v>
      </c>
      <c r="C8654" s="1" t="n">
        <v>45357</v>
      </c>
      <c r="D8654" t="inlineStr">
        <is>
          <t>VÄSTERBOTTENS LÄN</t>
        </is>
      </c>
      <c r="E8654" t="inlineStr">
        <is>
          <t>SKELLEFTEÅ</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5743-2023</t>
        </is>
      </c>
      <c r="B8655" s="1" t="n">
        <v>44962</v>
      </c>
      <c r="C8655" s="1" t="n">
        <v>45357</v>
      </c>
      <c r="D8655" t="inlineStr">
        <is>
          <t>VÄSTERBOTTENS LÄN</t>
        </is>
      </c>
      <c r="E8655" t="inlineStr">
        <is>
          <t>SKELLEFTEÅ</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5733-2023</t>
        </is>
      </c>
      <c r="B8656" s="1" t="n">
        <v>44962</v>
      </c>
      <c r="C8656" s="1" t="n">
        <v>45357</v>
      </c>
      <c r="D8656" t="inlineStr">
        <is>
          <t>VÄSTERBOTTENS LÄN</t>
        </is>
      </c>
      <c r="E8656" t="inlineStr">
        <is>
          <t>DOROTEA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5741-2023</t>
        </is>
      </c>
      <c r="B8657" s="1" t="n">
        <v>44962</v>
      </c>
      <c r="C8657" s="1" t="n">
        <v>45357</v>
      </c>
      <c r="D8657" t="inlineStr">
        <is>
          <t>VÄSTERBOTTENS LÄN</t>
        </is>
      </c>
      <c r="E8657" t="inlineStr">
        <is>
          <t>VINDELN</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5790-2023</t>
        </is>
      </c>
      <c r="B8658" s="1" t="n">
        <v>44963</v>
      </c>
      <c r="C8658" s="1" t="n">
        <v>45357</v>
      </c>
      <c r="D8658" t="inlineStr">
        <is>
          <t>VÄSTERBOTTENS LÄN</t>
        </is>
      </c>
      <c r="E8658" t="inlineStr">
        <is>
          <t>NORSJÖ</t>
        </is>
      </c>
      <c r="G8658" t="n">
        <v>12.1</v>
      </c>
      <c r="H8658" t="n">
        <v>0</v>
      </c>
      <c r="I8658" t="n">
        <v>0</v>
      </c>
      <c r="J8658" t="n">
        <v>0</v>
      </c>
      <c r="K8658" t="n">
        <v>0</v>
      </c>
      <c r="L8658" t="n">
        <v>0</v>
      </c>
      <c r="M8658" t="n">
        <v>0</v>
      </c>
      <c r="N8658" t="n">
        <v>0</v>
      </c>
      <c r="O8658" t="n">
        <v>0</v>
      </c>
      <c r="P8658" t="n">
        <v>0</v>
      </c>
      <c r="Q8658" t="n">
        <v>0</v>
      </c>
      <c r="R8658" s="2" t="inlineStr"/>
    </row>
    <row r="8659" ht="15" customHeight="1">
      <c r="A8659" t="inlineStr">
        <is>
          <t>A 5783-2023</t>
        </is>
      </c>
      <c r="B8659" s="1" t="n">
        <v>44963</v>
      </c>
      <c r="C8659" s="1" t="n">
        <v>45357</v>
      </c>
      <c r="D8659" t="inlineStr">
        <is>
          <t>VÄSTERBOTTENS LÄN</t>
        </is>
      </c>
      <c r="E8659" t="inlineStr">
        <is>
          <t>VINDELN</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5785-2023</t>
        </is>
      </c>
      <c r="B8660" s="1" t="n">
        <v>44963</v>
      </c>
      <c r="C8660" s="1" t="n">
        <v>45357</v>
      </c>
      <c r="D8660" t="inlineStr">
        <is>
          <t>VÄSTERBOTTENS LÄN</t>
        </is>
      </c>
      <c r="E8660" t="inlineStr">
        <is>
          <t>NORSJÖ</t>
        </is>
      </c>
      <c r="G8660" t="n">
        <v>15.4</v>
      </c>
      <c r="H8660" t="n">
        <v>0</v>
      </c>
      <c r="I8660" t="n">
        <v>0</v>
      </c>
      <c r="J8660" t="n">
        <v>0</v>
      </c>
      <c r="K8660" t="n">
        <v>0</v>
      </c>
      <c r="L8660" t="n">
        <v>0</v>
      </c>
      <c r="M8660" t="n">
        <v>0</v>
      </c>
      <c r="N8660" t="n">
        <v>0</v>
      </c>
      <c r="O8660" t="n">
        <v>0</v>
      </c>
      <c r="P8660" t="n">
        <v>0</v>
      </c>
      <c r="Q8660" t="n">
        <v>0</v>
      </c>
      <c r="R8660" s="2" t="inlineStr"/>
    </row>
    <row r="8661" ht="15" customHeight="1">
      <c r="A8661" t="inlineStr">
        <is>
          <t>A 5929-2023</t>
        </is>
      </c>
      <c r="B8661" s="1" t="n">
        <v>44963</v>
      </c>
      <c r="C8661" s="1" t="n">
        <v>45357</v>
      </c>
      <c r="D8661" t="inlineStr">
        <is>
          <t>VÄSTERBOTTENS LÄN</t>
        </is>
      </c>
      <c r="E8661" t="inlineStr">
        <is>
          <t>SKELLEFTEÅ</t>
        </is>
      </c>
      <c r="F8661" t="inlineStr">
        <is>
          <t>Sveaskog</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5959-2023</t>
        </is>
      </c>
      <c r="B8662" s="1" t="n">
        <v>44963</v>
      </c>
      <c r="C8662" s="1" t="n">
        <v>45357</v>
      </c>
      <c r="D8662" t="inlineStr">
        <is>
          <t>VÄSTERBOTTENS LÄN</t>
        </is>
      </c>
      <c r="E8662" t="inlineStr">
        <is>
          <t>SKELLEFTEÅ</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6596-2023</t>
        </is>
      </c>
      <c r="B8663" s="1" t="n">
        <v>44963</v>
      </c>
      <c r="C8663" s="1" t="n">
        <v>45357</v>
      </c>
      <c r="D8663" t="inlineStr">
        <is>
          <t>VÄSTERBOTTENS LÄN</t>
        </is>
      </c>
      <c r="E8663" t="inlineStr">
        <is>
          <t>SKELLEFTEÅ</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5955-2023</t>
        </is>
      </c>
      <c r="B8664" s="1" t="n">
        <v>44963</v>
      </c>
      <c r="C8664" s="1" t="n">
        <v>45357</v>
      </c>
      <c r="D8664" t="inlineStr">
        <is>
          <t>VÄSTERBOTTENS LÄN</t>
        </is>
      </c>
      <c r="E8664" t="inlineStr">
        <is>
          <t>VILHELMINA</t>
        </is>
      </c>
      <c r="F8664" t="inlineStr">
        <is>
          <t>SCA</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6656-2023</t>
        </is>
      </c>
      <c r="B8665" s="1" t="n">
        <v>44963</v>
      </c>
      <c r="C8665" s="1" t="n">
        <v>45357</v>
      </c>
      <c r="D8665" t="inlineStr">
        <is>
          <t>VÄSTERBOTTENS LÄN</t>
        </is>
      </c>
      <c r="E8665" t="inlineStr">
        <is>
          <t>SKELLEFTEÅ</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5947-2023</t>
        </is>
      </c>
      <c r="B8666" s="1" t="n">
        <v>44963</v>
      </c>
      <c r="C8666" s="1" t="n">
        <v>45357</v>
      </c>
      <c r="D8666" t="inlineStr">
        <is>
          <t>VÄSTERBOTTENS LÄN</t>
        </is>
      </c>
      <c r="E8666" t="inlineStr">
        <is>
          <t>VILHELMINA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6578-2023</t>
        </is>
      </c>
      <c r="B8667" s="1" t="n">
        <v>44963</v>
      </c>
      <c r="C8667" s="1" t="n">
        <v>45357</v>
      </c>
      <c r="D8667" t="inlineStr">
        <is>
          <t>VÄSTERBOTTENS LÄN</t>
        </is>
      </c>
      <c r="E8667" t="inlineStr">
        <is>
          <t>SORSELE</t>
        </is>
      </c>
      <c r="G8667" t="n">
        <v>10.3</v>
      </c>
      <c r="H8667" t="n">
        <v>0</v>
      </c>
      <c r="I8667" t="n">
        <v>0</v>
      </c>
      <c r="J8667" t="n">
        <v>0</v>
      </c>
      <c r="K8667" t="n">
        <v>0</v>
      </c>
      <c r="L8667" t="n">
        <v>0</v>
      </c>
      <c r="M8667" t="n">
        <v>0</v>
      </c>
      <c r="N8667" t="n">
        <v>0</v>
      </c>
      <c r="O8667" t="n">
        <v>0</v>
      </c>
      <c r="P8667" t="n">
        <v>0</v>
      </c>
      <c r="Q8667" t="n">
        <v>0</v>
      </c>
      <c r="R8667" s="2" t="inlineStr"/>
    </row>
    <row r="8668" ht="15" customHeight="1">
      <c r="A8668" t="inlineStr">
        <is>
          <t>A 6619-2023</t>
        </is>
      </c>
      <c r="B8668" s="1" t="n">
        <v>44963</v>
      </c>
      <c r="C8668" s="1" t="n">
        <v>45357</v>
      </c>
      <c r="D8668" t="inlineStr">
        <is>
          <t>VÄSTERBOTTENS LÄN</t>
        </is>
      </c>
      <c r="E8668" t="inlineStr">
        <is>
          <t>NORSJÖ</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8045-2023</t>
        </is>
      </c>
      <c r="B8669" s="1" t="n">
        <v>44963</v>
      </c>
      <c r="C8669" s="1" t="n">
        <v>45357</v>
      </c>
      <c r="D8669" t="inlineStr">
        <is>
          <t>VÄSTERBOTTENS LÄN</t>
        </is>
      </c>
      <c r="E8669" t="inlineStr">
        <is>
          <t>NORSJÖ</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6684-2023</t>
        </is>
      </c>
      <c r="B8670" s="1" t="n">
        <v>44963</v>
      </c>
      <c r="C8670" s="1" t="n">
        <v>45357</v>
      </c>
      <c r="D8670" t="inlineStr">
        <is>
          <t>VÄSTERBOTTENS LÄN</t>
        </is>
      </c>
      <c r="E8670" t="inlineStr">
        <is>
          <t>LYCKSELE</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6225-2023</t>
        </is>
      </c>
      <c r="B8671" s="1" t="n">
        <v>44964</v>
      </c>
      <c r="C8671" s="1" t="n">
        <v>45357</v>
      </c>
      <c r="D8671" t="inlineStr">
        <is>
          <t>VÄSTERBOTTENS LÄN</t>
        </is>
      </c>
      <c r="E8671" t="inlineStr">
        <is>
          <t>NORDMALING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6233-2023</t>
        </is>
      </c>
      <c r="B8672" s="1" t="n">
        <v>44964</v>
      </c>
      <c r="C8672" s="1" t="n">
        <v>45357</v>
      </c>
      <c r="D8672" t="inlineStr">
        <is>
          <t>VÄSTERBOTTENS LÄN</t>
        </is>
      </c>
      <c r="E8672" t="inlineStr">
        <is>
          <t>ÅSELE</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5965-2023</t>
        </is>
      </c>
      <c r="B8673" s="1" t="n">
        <v>44964</v>
      </c>
      <c r="C8673" s="1" t="n">
        <v>45357</v>
      </c>
      <c r="D8673" t="inlineStr">
        <is>
          <t>VÄSTERBOTTENS LÄN</t>
        </is>
      </c>
      <c r="E8673" t="inlineStr">
        <is>
          <t>SKELLEFTEÅ</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6910-2023</t>
        </is>
      </c>
      <c r="B8674" s="1" t="n">
        <v>44964</v>
      </c>
      <c r="C8674" s="1" t="n">
        <v>45357</v>
      </c>
      <c r="D8674" t="inlineStr">
        <is>
          <t>VÄSTERBOTTENS LÄN</t>
        </is>
      </c>
      <c r="E8674" t="inlineStr">
        <is>
          <t>MALÅ</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6963-2023</t>
        </is>
      </c>
      <c r="B8675" s="1" t="n">
        <v>44964</v>
      </c>
      <c r="C8675" s="1" t="n">
        <v>45357</v>
      </c>
      <c r="D8675" t="inlineStr">
        <is>
          <t>VÄSTERBOTTENS LÄN</t>
        </is>
      </c>
      <c r="E8675" t="inlineStr">
        <is>
          <t>VILHELMINA</t>
        </is>
      </c>
      <c r="F8675" t="inlineStr">
        <is>
          <t>Allmännings- och besparingsskogar</t>
        </is>
      </c>
      <c r="G8675" t="n">
        <v>8</v>
      </c>
      <c r="H8675" t="n">
        <v>0</v>
      </c>
      <c r="I8675" t="n">
        <v>0</v>
      </c>
      <c r="J8675" t="n">
        <v>0</v>
      </c>
      <c r="K8675" t="n">
        <v>0</v>
      </c>
      <c r="L8675" t="n">
        <v>0</v>
      </c>
      <c r="M8675" t="n">
        <v>0</v>
      </c>
      <c r="N8675" t="n">
        <v>0</v>
      </c>
      <c r="O8675" t="n">
        <v>0</v>
      </c>
      <c r="P8675" t="n">
        <v>0</v>
      </c>
      <c r="Q8675" t="n">
        <v>0</v>
      </c>
      <c r="R8675" s="2" t="inlineStr"/>
    </row>
    <row r="8676" ht="15" customHeight="1">
      <c r="A8676" t="inlineStr">
        <is>
          <t>A 6044-2023</t>
        </is>
      </c>
      <c r="B8676" s="1" t="n">
        <v>44964</v>
      </c>
      <c r="C8676" s="1" t="n">
        <v>45357</v>
      </c>
      <c r="D8676" t="inlineStr">
        <is>
          <t>VÄSTERBOTTENS LÄN</t>
        </is>
      </c>
      <c r="E8676" t="inlineStr">
        <is>
          <t>LYCKSELE</t>
        </is>
      </c>
      <c r="F8676" t="inlineStr">
        <is>
          <t>Sveaskog</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6224-2023</t>
        </is>
      </c>
      <c r="B8677" s="1" t="n">
        <v>44964</v>
      </c>
      <c r="C8677" s="1" t="n">
        <v>45357</v>
      </c>
      <c r="D8677" t="inlineStr">
        <is>
          <t>VÄSTERBOTTENS LÄN</t>
        </is>
      </c>
      <c r="E8677" t="inlineStr">
        <is>
          <t>NORDMALING</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6822-2023</t>
        </is>
      </c>
      <c r="B8678" s="1" t="n">
        <v>44964</v>
      </c>
      <c r="C8678" s="1" t="n">
        <v>45357</v>
      </c>
      <c r="D8678" t="inlineStr">
        <is>
          <t>VÄSTERBOTTENS LÄN</t>
        </is>
      </c>
      <c r="E8678" t="inlineStr">
        <is>
          <t>BJURHOLM</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6872-2023</t>
        </is>
      </c>
      <c r="B8679" s="1" t="n">
        <v>44964</v>
      </c>
      <c r="C8679" s="1" t="n">
        <v>45357</v>
      </c>
      <c r="D8679" t="inlineStr">
        <is>
          <t>VÄSTERBOTTENS LÄN</t>
        </is>
      </c>
      <c r="E8679" t="inlineStr">
        <is>
          <t>MALÅ</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6379-2023</t>
        </is>
      </c>
      <c r="B8680" s="1" t="n">
        <v>44965</v>
      </c>
      <c r="C8680" s="1" t="n">
        <v>45357</v>
      </c>
      <c r="D8680" t="inlineStr">
        <is>
          <t>VÄSTERBOTTENS LÄN</t>
        </is>
      </c>
      <c r="E8680" t="inlineStr">
        <is>
          <t>VINDELN</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6441-2023</t>
        </is>
      </c>
      <c r="B8681" s="1" t="n">
        <v>44965</v>
      </c>
      <c r="C8681" s="1" t="n">
        <v>45357</v>
      </c>
      <c r="D8681" t="inlineStr">
        <is>
          <t>VÄSTERBOTTENS LÄN</t>
        </is>
      </c>
      <c r="E8681" t="inlineStr">
        <is>
          <t>SKELLEFTEÅ</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6443-2023</t>
        </is>
      </c>
      <c r="B8682" s="1" t="n">
        <v>44965</v>
      </c>
      <c r="C8682" s="1" t="n">
        <v>45357</v>
      </c>
      <c r="D8682" t="inlineStr">
        <is>
          <t>VÄSTERBOTTENS LÄN</t>
        </is>
      </c>
      <c r="E8682" t="inlineStr">
        <is>
          <t>SKELLEFTEÅ</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6384-2023</t>
        </is>
      </c>
      <c r="B8683" s="1" t="n">
        <v>44965</v>
      </c>
      <c r="C8683" s="1" t="n">
        <v>45357</v>
      </c>
      <c r="D8683" t="inlineStr">
        <is>
          <t>VÄSTERBOTTENS LÄN</t>
        </is>
      </c>
      <c r="E8683" t="inlineStr">
        <is>
          <t>VINDELN</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6444-2023</t>
        </is>
      </c>
      <c r="B8684" s="1" t="n">
        <v>44965</v>
      </c>
      <c r="C8684" s="1" t="n">
        <v>45357</v>
      </c>
      <c r="D8684" t="inlineStr">
        <is>
          <t>VÄSTERBOTTENS LÄN</t>
        </is>
      </c>
      <c r="E8684" t="inlineStr">
        <is>
          <t>NORSJÖ</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6442-2023</t>
        </is>
      </c>
      <c r="B8685" s="1" t="n">
        <v>44965</v>
      </c>
      <c r="C8685" s="1" t="n">
        <v>45357</v>
      </c>
      <c r="D8685" t="inlineStr">
        <is>
          <t>VÄSTERBOTTENS LÄN</t>
        </is>
      </c>
      <c r="E8685" t="inlineStr">
        <is>
          <t>SKELLEFTEÅ</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6450-2023</t>
        </is>
      </c>
      <c r="B8686" s="1" t="n">
        <v>44965</v>
      </c>
      <c r="C8686" s="1" t="n">
        <v>45357</v>
      </c>
      <c r="D8686" t="inlineStr">
        <is>
          <t>VÄSTERBOTTENS LÄN</t>
        </is>
      </c>
      <c r="E8686" t="inlineStr">
        <is>
          <t>SKELLEFTEÅ</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7112-2023</t>
        </is>
      </c>
      <c r="B8687" s="1" t="n">
        <v>44965</v>
      </c>
      <c r="C8687" s="1" t="n">
        <v>45357</v>
      </c>
      <c r="D8687" t="inlineStr">
        <is>
          <t>VÄSTERBOTTENS LÄN</t>
        </is>
      </c>
      <c r="E8687" t="inlineStr">
        <is>
          <t>VINDELN</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6511-2023</t>
        </is>
      </c>
      <c r="B8688" s="1" t="n">
        <v>44966</v>
      </c>
      <c r="C8688" s="1" t="n">
        <v>45357</v>
      </c>
      <c r="D8688" t="inlineStr">
        <is>
          <t>VÄSTERBOTTENS LÄN</t>
        </is>
      </c>
      <c r="E8688" t="inlineStr">
        <is>
          <t>SKELLEFTEÅ</t>
        </is>
      </c>
      <c r="G8688" t="n">
        <v>7.2</v>
      </c>
      <c r="H8688" t="n">
        <v>0</v>
      </c>
      <c r="I8688" t="n">
        <v>0</v>
      </c>
      <c r="J8688" t="n">
        <v>0</v>
      </c>
      <c r="K8688" t="n">
        <v>0</v>
      </c>
      <c r="L8688" t="n">
        <v>0</v>
      </c>
      <c r="M8688" t="n">
        <v>0</v>
      </c>
      <c r="N8688" t="n">
        <v>0</v>
      </c>
      <c r="O8688" t="n">
        <v>0</v>
      </c>
      <c r="P8688" t="n">
        <v>0</v>
      </c>
      <c r="Q8688" t="n">
        <v>0</v>
      </c>
      <c r="R8688" s="2" t="inlineStr"/>
    </row>
    <row r="8689" ht="15" customHeight="1">
      <c r="A8689" t="inlineStr">
        <is>
          <t>A 6549-2023</t>
        </is>
      </c>
      <c r="B8689" s="1" t="n">
        <v>44966</v>
      </c>
      <c r="C8689" s="1" t="n">
        <v>45357</v>
      </c>
      <c r="D8689" t="inlineStr">
        <is>
          <t>VÄSTERBOTTENS LÄN</t>
        </is>
      </c>
      <c r="E8689" t="inlineStr">
        <is>
          <t>STORUMAN</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6699-2023</t>
        </is>
      </c>
      <c r="B8690" s="1" t="n">
        <v>44966</v>
      </c>
      <c r="C8690" s="1" t="n">
        <v>45357</v>
      </c>
      <c r="D8690" t="inlineStr">
        <is>
          <t>VÄSTERBOTTENS LÄN</t>
        </is>
      </c>
      <c r="E8690" t="inlineStr">
        <is>
          <t>BJURHOLM</t>
        </is>
      </c>
      <c r="F8690" t="inlineStr">
        <is>
          <t>Holmen skog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6748-2023</t>
        </is>
      </c>
      <c r="B8691" s="1" t="n">
        <v>44966</v>
      </c>
      <c r="C8691" s="1" t="n">
        <v>45357</v>
      </c>
      <c r="D8691" t="inlineStr">
        <is>
          <t>VÄSTERBOTTENS LÄN</t>
        </is>
      </c>
      <c r="E8691" t="inlineStr">
        <is>
          <t>VINDELN</t>
        </is>
      </c>
      <c r="F8691" t="inlineStr">
        <is>
          <t>Sveaskog</t>
        </is>
      </c>
      <c r="G8691" t="n">
        <v>6.3</v>
      </c>
      <c r="H8691" t="n">
        <v>0</v>
      </c>
      <c r="I8691" t="n">
        <v>0</v>
      </c>
      <c r="J8691" t="n">
        <v>0</v>
      </c>
      <c r="K8691" t="n">
        <v>0</v>
      </c>
      <c r="L8691" t="n">
        <v>0</v>
      </c>
      <c r="M8691" t="n">
        <v>0</v>
      </c>
      <c r="N8691" t="n">
        <v>0</v>
      </c>
      <c r="O8691" t="n">
        <v>0</v>
      </c>
      <c r="P8691" t="n">
        <v>0</v>
      </c>
      <c r="Q8691" t="n">
        <v>0</v>
      </c>
      <c r="R8691" s="2" t="inlineStr"/>
    </row>
    <row r="8692" ht="15" customHeight="1">
      <c r="A8692" t="inlineStr">
        <is>
          <t>A 6762-2023</t>
        </is>
      </c>
      <c r="B8692" s="1" t="n">
        <v>44966</v>
      </c>
      <c r="C8692" s="1" t="n">
        <v>45357</v>
      </c>
      <c r="D8692" t="inlineStr">
        <is>
          <t>VÄSTERBOTTENS LÄN</t>
        </is>
      </c>
      <c r="E8692" t="inlineStr">
        <is>
          <t>STORUMAN</t>
        </is>
      </c>
      <c r="F8692" t="inlineStr">
        <is>
          <t>Sveaskog</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6760-2023</t>
        </is>
      </c>
      <c r="B8693" s="1" t="n">
        <v>44966</v>
      </c>
      <c r="C8693" s="1" t="n">
        <v>45357</v>
      </c>
      <c r="D8693" t="inlineStr">
        <is>
          <t>VÄSTERBOTTENS LÄN</t>
        </is>
      </c>
      <c r="E8693" t="inlineStr">
        <is>
          <t>STORUMAN</t>
        </is>
      </c>
      <c r="F8693" t="inlineStr">
        <is>
          <t>Sveaskog</t>
        </is>
      </c>
      <c r="G8693" t="n">
        <v>7.1</v>
      </c>
      <c r="H8693" t="n">
        <v>0</v>
      </c>
      <c r="I8693" t="n">
        <v>0</v>
      </c>
      <c r="J8693" t="n">
        <v>0</v>
      </c>
      <c r="K8693" t="n">
        <v>0</v>
      </c>
      <c r="L8693" t="n">
        <v>0</v>
      </c>
      <c r="M8693" t="n">
        <v>0</v>
      </c>
      <c r="N8693" t="n">
        <v>0</v>
      </c>
      <c r="O8693" t="n">
        <v>0</v>
      </c>
      <c r="P8693" t="n">
        <v>0</v>
      </c>
      <c r="Q8693" t="n">
        <v>0</v>
      </c>
      <c r="R8693" s="2" t="inlineStr"/>
    </row>
    <row r="8694" ht="15" customHeight="1">
      <c r="A8694" t="inlineStr">
        <is>
          <t>A 6784-2023</t>
        </is>
      </c>
      <c r="B8694" s="1" t="n">
        <v>44966</v>
      </c>
      <c r="C8694" s="1" t="n">
        <v>45357</v>
      </c>
      <c r="D8694" t="inlineStr">
        <is>
          <t>VÄSTERBOTTENS LÄN</t>
        </is>
      </c>
      <c r="E8694" t="inlineStr">
        <is>
          <t>ÅSELE</t>
        </is>
      </c>
      <c r="F8694" t="inlineStr">
        <is>
          <t>SCA</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6785-2023</t>
        </is>
      </c>
      <c r="B8695" s="1" t="n">
        <v>44966</v>
      </c>
      <c r="C8695" s="1" t="n">
        <v>45357</v>
      </c>
      <c r="D8695" t="inlineStr">
        <is>
          <t>VÄSTERBOTTENS LÄN</t>
        </is>
      </c>
      <c r="E8695" t="inlineStr">
        <is>
          <t>ÅSELE</t>
        </is>
      </c>
      <c r="F8695" t="inlineStr">
        <is>
          <t>SCA</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6758-2023</t>
        </is>
      </c>
      <c r="B8696" s="1" t="n">
        <v>44966</v>
      </c>
      <c r="C8696" s="1" t="n">
        <v>45357</v>
      </c>
      <c r="D8696" t="inlineStr">
        <is>
          <t>VÄSTERBOTTENS LÄN</t>
        </is>
      </c>
      <c r="E8696" t="inlineStr">
        <is>
          <t>STORUMAN</t>
        </is>
      </c>
      <c r="F8696" t="inlineStr">
        <is>
          <t>Sveaskog</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6889-2023</t>
        </is>
      </c>
      <c r="B8697" s="1" t="n">
        <v>44967</v>
      </c>
      <c r="C8697" s="1" t="n">
        <v>45357</v>
      </c>
      <c r="D8697" t="inlineStr">
        <is>
          <t>VÄSTERBOTTENS LÄN</t>
        </is>
      </c>
      <c r="E8697" t="inlineStr">
        <is>
          <t>UMEÅ</t>
        </is>
      </c>
      <c r="F8697" t="inlineStr">
        <is>
          <t>Holmen skog AB</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6906-2023</t>
        </is>
      </c>
      <c r="B8698" s="1" t="n">
        <v>44967</v>
      </c>
      <c r="C8698" s="1" t="n">
        <v>45357</v>
      </c>
      <c r="D8698" t="inlineStr">
        <is>
          <t>VÄSTERBOTTENS LÄN</t>
        </is>
      </c>
      <c r="E8698" t="inlineStr">
        <is>
          <t>LYCKSELE</t>
        </is>
      </c>
      <c r="F8698" t="inlineStr">
        <is>
          <t>Holmen skog AB</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6987-2023</t>
        </is>
      </c>
      <c r="B8699" s="1" t="n">
        <v>44967</v>
      </c>
      <c r="C8699" s="1" t="n">
        <v>45357</v>
      </c>
      <c r="D8699" t="inlineStr">
        <is>
          <t>VÄSTERBOTTENS LÄN</t>
        </is>
      </c>
      <c r="E8699" t="inlineStr">
        <is>
          <t>VINDELN</t>
        </is>
      </c>
      <c r="F8699" t="inlineStr">
        <is>
          <t>Holmen skog AB</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7006-2023</t>
        </is>
      </c>
      <c r="B8700" s="1" t="n">
        <v>44967</v>
      </c>
      <c r="C8700" s="1" t="n">
        <v>45357</v>
      </c>
      <c r="D8700" t="inlineStr">
        <is>
          <t>VÄSTERBOTTENS LÄN</t>
        </is>
      </c>
      <c r="E8700" t="inlineStr">
        <is>
          <t>STORUMAN</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7016-2023</t>
        </is>
      </c>
      <c r="B8701" s="1" t="n">
        <v>44967</v>
      </c>
      <c r="C8701" s="1" t="n">
        <v>45357</v>
      </c>
      <c r="D8701" t="inlineStr">
        <is>
          <t>VÄSTERBOTTENS LÄN</t>
        </is>
      </c>
      <c r="E8701" t="inlineStr">
        <is>
          <t>ÅSELE</t>
        </is>
      </c>
      <c r="F8701" t="inlineStr">
        <is>
          <t>SCA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7023-2023</t>
        </is>
      </c>
      <c r="B8702" s="1" t="n">
        <v>44968</v>
      </c>
      <c r="C8702" s="1" t="n">
        <v>45357</v>
      </c>
      <c r="D8702" t="inlineStr">
        <is>
          <t>VÄSTERBOTTENS LÄN</t>
        </is>
      </c>
      <c r="E8702" t="inlineStr">
        <is>
          <t>SKELLEFTEÅ</t>
        </is>
      </c>
      <c r="F8702" t="inlineStr">
        <is>
          <t>SCA</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7022-2023</t>
        </is>
      </c>
      <c r="B8703" s="1" t="n">
        <v>44968</v>
      </c>
      <c r="C8703" s="1" t="n">
        <v>45357</v>
      </c>
      <c r="D8703" t="inlineStr">
        <is>
          <t>VÄSTERBOTTENS LÄN</t>
        </is>
      </c>
      <c r="E8703" t="inlineStr">
        <is>
          <t>SKELLEFTEÅ</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7875-2023</t>
        </is>
      </c>
      <c r="B8704" s="1" t="n">
        <v>44967</v>
      </c>
      <c r="C8704" s="1" t="n">
        <v>45357</v>
      </c>
      <c r="D8704" t="inlineStr">
        <is>
          <t>VÄSTERBOTTENS LÄN</t>
        </is>
      </c>
      <c r="E8704" t="inlineStr">
        <is>
          <t>SKELLEFTEÅ</t>
        </is>
      </c>
      <c r="G8704" t="n">
        <v>0.1</v>
      </c>
      <c r="H8704" t="n">
        <v>0</v>
      </c>
      <c r="I8704" t="n">
        <v>0</v>
      </c>
      <c r="J8704" t="n">
        <v>0</v>
      </c>
      <c r="K8704" t="n">
        <v>0</v>
      </c>
      <c r="L8704" t="n">
        <v>0</v>
      </c>
      <c r="M8704" t="n">
        <v>0</v>
      </c>
      <c r="N8704" t="n">
        <v>0</v>
      </c>
      <c r="O8704" t="n">
        <v>0</v>
      </c>
      <c r="P8704" t="n">
        <v>0</v>
      </c>
      <c r="Q8704" t="n">
        <v>0</v>
      </c>
      <c r="R8704" s="2" t="inlineStr"/>
    </row>
    <row r="8705" ht="15" customHeight="1">
      <c r="A8705" t="inlineStr">
        <is>
          <t>A 6988-2023</t>
        </is>
      </c>
      <c r="B8705" s="1" t="n">
        <v>44967</v>
      </c>
      <c r="C8705" s="1" t="n">
        <v>45357</v>
      </c>
      <c r="D8705" t="inlineStr">
        <is>
          <t>VÄSTERBOTTENS LÄN</t>
        </is>
      </c>
      <c r="E8705" t="inlineStr">
        <is>
          <t>VINDELN</t>
        </is>
      </c>
      <c r="F8705" t="inlineStr">
        <is>
          <t>Holmen skog AB</t>
        </is>
      </c>
      <c r="G8705" t="n">
        <v>10.8</v>
      </c>
      <c r="H8705" t="n">
        <v>0</v>
      </c>
      <c r="I8705" t="n">
        <v>0</v>
      </c>
      <c r="J8705" t="n">
        <v>0</v>
      </c>
      <c r="K8705" t="n">
        <v>0</v>
      </c>
      <c r="L8705" t="n">
        <v>0</v>
      </c>
      <c r="M8705" t="n">
        <v>0</v>
      </c>
      <c r="N8705" t="n">
        <v>0</v>
      </c>
      <c r="O8705" t="n">
        <v>0</v>
      </c>
      <c r="P8705" t="n">
        <v>0</v>
      </c>
      <c r="Q8705" t="n">
        <v>0</v>
      </c>
      <c r="R8705" s="2" t="inlineStr"/>
    </row>
    <row r="8706" ht="15" customHeight="1">
      <c r="A8706" t="inlineStr">
        <is>
          <t>A 7007-2023</t>
        </is>
      </c>
      <c r="B8706" s="1" t="n">
        <v>44967</v>
      </c>
      <c r="C8706" s="1" t="n">
        <v>45357</v>
      </c>
      <c r="D8706" t="inlineStr">
        <is>
          <t>VÄSTERBOTTENS LÄN</t>
        </is>
      </c>
      <c r="E8706" t="inlineStr">
        <is>
          <t>MALÅ</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7017-2023</t>
        </is>
      </c>
      <c r="B8707" s="1" t="n">
        <v>44967</v>
      </c>
      <c r="C8707" s="1" t="n">
        <v>45357</v>
      </c>
      <c r="D8707" t="inlineStr">
        <is>
          <t>VÄSTERBOTTENS LÄN</t>
        </is>
      </c>
      <c r="E8707" t="inlineStr">
        <is>
          <t>ÅSELE</t>
        </is>
      </c>
      <c r="F8707" t="inlineStr">
        <is>
          <t>SCA</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7048-2023</t>
        </is>
      </c>
      <c r="B8708" s="1" t="n">
        <v>44968</v>
      </c>
      <c r="C8708" s="1" t="n">
        <v>45357</v>
      </c>
      <c r="D8708" t="inlineStr">
        <is>
          <t>VÄSTERBOTTENS LÄN</t>
        </is>
      </c>
      <c r="E8708" t="inlineStr">
        <is>
          <t>NORDMALING</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7709-2023</t>
        </is>
      </c>
      <c r="B8709" s="1" t="n">
        <v>44969</v>
      </c>
      <c r="C8709" s="1" t="n">
        <v>45357</v>
      </c>
      <c r="D8709" t="inlineStr">
        <is>
          <t>VÄSTERBOTTENS LÄN</t>
        </is>
      </c>
      <c r="E8709" t="inlineStr">
        <is>
          <t>SORSELE</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7138-2023</t>
        </is>
      </c>
      <c r="B8710" s="1" t="n">
        <v>44970</v>
      </c>
      <c r="C8710" s="1" t="n">
        <v>45357</v>
      </c>
      <c r="D8710" t="inlineStr">
        <is>
          <t>VÄSTERBOTTENS LÄN</t>
        </is>
      </c>
      <c r="E8710" t="inlineStr">
        <is>
          <t>VINDELN</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7124-2023</t>
        </is>
      </c>
      <c r="B8711" s="1" t="n">
        <v>44970</v>
      </c>
      <c r="C8711" s="1" t="n">
        <v>45357</v>
      </c>
      <c r="D8711" t="inlineStr">
        <is>
          <t>VÄSTERBOTTENS LÄN</t>
        </is>
      </c>
      <c r="E8711" t="inlineStr">
        <is>
          <t>NORDMALING</t>
        </is>
      </c>
      <c r="F8711" t="inlineStr">
        <is>
          <t>Holmen skog AB</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7329-2023</t>
        </is>
      </c>
      <c r="B8712" s="1" t="n">
        <v>44970</v>
      </c>
      <c r="C8712" s="1" t="n">
        <v>45357</v>
      </c>
      <c r="D8712" t="inlineStr">
        <is>
          <t>VÄSTERBOTTENS LÄN</t>
        </is>
      </c>
      <c r="E8712" t="inlineStr">
        <is>
          <t>DOROTEA</t>
        </is>
      </c>
      <c r="F8712" t="inlineStr">
        <is>
          <t>SCA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7318-2023</t>
        </is>
      </c>
      <c r="B8713" s="1" t="n">
        <v>44970</v>
      </c>
      <c r="C8713" s="1" t="n">
        <v>45357</v>
      </c>
      <c r="D8713" t="inlineStr">
        <is>
          <t>VÄSTERBOTTENS LÄN</t>
        </is>
      </c>
      <c r="E8713" t="inlineStr">
        <is>
          <t>LYCKSELE</t>
        </is>
      </c>
      <c r="G8713" t="n">
        <v>7.7</v>
      </c>
      <c r="H8713" t="n">
        <v>0</v>
      </c>
      <c r="I8713" t="n">
        <v>0</v>
      </c>
      <c r="J8713" t="n">
        <v>0</v>
      </c>
      <c r="K8713" t="n">
        <v>0</v>
      </c>
      <c r="L8713" t="n">
        <v>0</v>
      </c>
      <c r="M8713" t="n">
        <v>0</v>
      </c>
      <c r="N8713" t="n">
        <v>0</v>
      </c>
      <c r="O8713" t="n">
        <v>0</v>
      </c>
      <c r="P8713" t="n">
        <v>0</v>
      </c>
      <c r="Q8713" t="n">
        <v>0</v>
      </c>
      <c r="R8713" s="2" t="inlineStr"/>
    </row>
    <row r="8714" ht="15" customHeight="1">
      <c r="A8714" t="inlineStr">
        <is>
          <t>A 7871-2023</t>
        </is>
      </c>
      <c r="B8714" s="1" t="n">
        <v>44970</v>
      </c>
      <c r="C8714" s="1" t="n">
        <v>45357</v>
      </c>
      <c r="D8714" t="inlineStr">
        <is>
          <t>VÄSTERBOTTENS LÄN</t>
        </is>
      </c>
      <c r="E8714" t="inlineStr">
        <is>
          <t>VÄNNÄS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8136-2023</t>
        </is>
      </c>
      <c r="B8715" s="1" t="n">
        <v>44970</v>
      </c>
      <c r="C8715" s="1" t="n">
        <v>45357</v>
      </c>
      <c r="D8715" t="inlineStr">
        <is>
          <t>VÄSTERBOTTENS LÄN</t>
        </is>
      </c>
      <c r="E8715" t="inlineStr">
        <is>
          <t>ÅSELE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8094-2023</t>
        </is>
      </c>
      <c r="B8716" s="1" t="n">
        <v>44970</v>
      </c>
      <c r="C8716" s="1" t="n">
        <v>45357</v>
      </c>
      <c r="D8716" t="inlineStr">
        <is>
          <t>VÄSTERBOTTENS LÄN</t>
        </is>
      </c>
      <c r="E8716" t="inlineStr">
        <is>
          <t>ÅSELE</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8135-2023</t>
        </is>
      </c>
      <c r="B8717" s="1" t="n">
        <v>44970</v>
      </c>
      <c r="C8717" s="1" t="n">
        <v>45357</v>
      </c>
      <c r="D8717" t="inlineStr">
        <is>
          <t>VÄSTERBOTTENS LÄN</t>
        </is>
      </c>
      <c r="E8717" t="inlineStr">
        <is>
          <t>BJURHOLM</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7985-2023</t>
        </is>
      </c>
      <c r="B8718" s="1" t="n">
        <v>44970</v>
      </c>
      <c r="C8718" s="1" t="n">
        <v>45357</v>
      </c>
      <c r="D8718" t="inlineStr">
        <is>
          <t>VÄSTERBOTTENS LÄN</t>
        </is>
      </c>
      <c r="E8718" t="inlineStr">
        <is>
          <t>NORDMALING</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8055-2023</t>
        </is>
      </c>
      <c r="B8719" s="1" t="n">
        <v>44970</v>
      </c>
      <c r="C8719" s="1" t="n">
        <v>45357</v>
      </c>
      <c r="D8719" t="inlineStr">
        <is>
          <t>VÄSTERBOTTENS LÄN</t>
        </is>
      </c>
      <c r="E8719" t="inlineStr">
        <is>
          <t>ÅSELE</t>
        </is>
      </c>
      <c r="G8719" t="n">
        <v>12.7</v>
      </c>
      <c r="H8719" t="n">
        <v>0</v>
      </c>
      <c r="I8719" t="n">
        <v>0</v>
      </c>
      <c r="J8719" t="n">
        <v>0</v>
      </c>
      <c r="K8719" t="n">
        <v>0</v>
      </c>
      <c r="L8719" t="n">
        <v>0</v>
      </c>
      <c r="M8719" t="n">
        <v>0</v>
      </c>
      <c r="N8719" t="n">
        <v>0</v>
      </c>
      <c r="O8719" t="n">
        <v>0</v>
      </c>
      <c r="P8719" t="n">
        <v>0</v>
      </c>
      <c r="Q8719" t="n">
        <v>0</v>
      </c>
      <c r="R8719" s="2" t="inlineStr"/>
    </row>
    <row r="8720" ht="15" customHeight="1">
      <c r="A8720" t="inlineStr">
        <is>
          <t>A 8132-2023</t>
        </is>
      </c>
      <c r="B8720" s="1" t="n">
        <v>44970</v>
      </c>
      <c r="C8720" s="1" t="n">
        <v>45357</v>
      </c>
      <c r="D8720" t="inlineStr">
        <is>
          <t>VÄSTERBOTTENS LÄN</t>
        </is>
      </c>
      <c r="E8720" t="inlineStr">
        <is>
          <t>BJURHOLM</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7364-2023</t>
        </is>
      </c>
      <c r="B8721" s="1" t="n">
        <v>44971</v>
      </c>
      <c r="C8721" s="1" t="n">
        <v>45357</v>
      </c>
      <c r="D8721" t="inlineStr">
        <is>
          <t>VÄSTERBOTTENS LÄN</t>
        </is>
      </c>
      <c r="E8721" t="inlineStr">
        <is>
          <t>SKELLEFTEÅ</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7422-2023</t>
        </is>
      </c>
      <c r="B8722" s="1" t="n">
        <v>44971</v>
      </c>
      <c r="C8722" s="1" t="n">
        <v>45357</v>
      </c>
      <c r="D8722" t="inlineStr">
        <is>
          <t>VÄSTERBOTTENS LÄN</t>
        </is>
      </c>
      <c r="E8722" t="inlineStr">
        <is>
          <t>DOROTEA</t>
        </is>
      </c>
      <c r="F8722" t="inlineStr">
        <is>
          <t>SCA</t>
        </is>
      </c>
      <c r="G8722" t="n">
        <v>0.1</v>
      </c>
      <c r="H8722" t="n">
        <v>0</v>
      </c>
      <c r="I8722" t="n">
        <v>0</v>
      </c>
      <c r="J8722" t="n">
        <v>0</v>
      </c>
      <c r="K8722" t="n">
        <v>0</v>
      </c>
      <c r="L8722" t="n">
        <v>0</v>
      </c>
      <c r="M8722" t="n">
        <v>0</v>
      </c>
      <c r="N8722" t="n">
        <v>0</v>
      </c>
      <c r="O8722" t="n">
        <v>0</v>
      </c>
      <c r="P8722" t="n">
        <v>0</v>
      </c>
      <c r="Q8722" t="n">
        <v>0</v>
      </c>
      <c r="R8722" s="2" t="inlineStr"/>
    </row>
    <row r="8723" ht="15" customHeight="1">
      <c r="A8723" t="inlineStr">
        <is>
          <t>A 7429-2023</t>
        </is>
      </c>
      <c r="B8723" s="1" t="n">
        <v>44971</v>
      </c>
      <c r="C8723" s="1" t="n">
        <v>45357</v>
      </c>
      <c r="D8723" t="inlineStr">
        <is>
          <t>VÄSTERBOTTENS LÄN</t>
        </is>
      </c>
      <c r="E8723" t="inlineStr">
        <is>
          <t>DOROTEA</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7512-2023</t>
        </is>
      </c>
      <c r="B8724" s="1" t="n">
        <v>44971</v>
      </c>
      <c r="C8724" s="1" t="n">
        <v>45357</v>
      </c>
      <c r="D8724" t="inlineStr">
        <is>
          <t>VÄSTERBOTTENS LÄN</t>
        </is>
      </c>
      <c r="E8724" t="inlineStr">
        <is>
          <t>ÅSELE</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7517-2023</t>
        </is>
      </c>
      <c r="B8725" s="1" t="n">
        <v>44971</v>
      </c>
      <c r="C8725" s="1" t="n">
        <v>45357</v>
      </c>
      <c r="D8725" t="inlineStr">
        <is>
          <t>VÄSTERBOTTENS LÄN</t>
        </is>
      </c>
      <c r="E8725" t="inlineStr">
        <is>
          <t>SKELLEFTEÅ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8215-2023</t>
        </is>
      </c>
      <c r="B8726" s="1" t="n">
        <v>44971</v>
      </c>
      <c r="C8726" s="1" t="n">
        <v>45357</v>
      </c>
      <c r="D8726" t="inlineStr">
        <is>
          <t>VÄSTERBOTTENS LÄN</t>
        </is>
      </c>
      <c r="E8726" t="inlineStr">
        <is>
          <t>VILHELMINA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8247-2023</t>
        </is>
      </c>
      <c r="B8727" s="1" t="n">
        <v>44971</v>
      </c>
      <c r="C8727" s="1" t="n">
        <v>45357</v>
      </c>
      <c r="D8727" t="inlineStr">
        <is>
          <t>VÄSTERBOTTENS LÄN</t>
        </is>
      </c>
      <c r="E8727" t="inlineStr">
        <is>
          <t>ÅSELE</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8273-2023</t>
        </is>
      </c>
      <c r="B8728" s="1" t="n">
        <v>44971</v>
      </c>
      <c r="C8728" s="1" t="n">
        <v>45357</v>
      </c>
      <c r="D8728" t="inlineStr">
        <is>
          <t>VÄSTERBOTTENS LÄN</t>
        </is>
      </c>
      <c r="E8728" t="inlineStr">
        <is>
          <t>VINDELN</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7516-2023</t>
        </is>
      </c>
      <c r="B8729" s="1" t="n">
        <v>44971</v>
      </c>
      <c r="C8729" s="1" t="n">
        <v>45357</v>
      </c>
      <c r="D8729" t="inlineStr">
        <is>
          <t>VÄSTERBOTTENS LÄN</t>
        </is>
      </c>
      <c r="E8729" t="inlineStr">
        <is>
          <t>SKELLEFTEÅ</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8190-2023</t>
        </is>
      </c>
      <c r="B8730" s="1" t="n">
        <v>44971</v>
      </c>
      <c r="C8730" s="1" t="n">
        <v>45357</v>
      </c>
      <c r="D8730" t="inlineStr">
        <is>
          <t>VÄSTERBOTTENS LÄN</t>
        </is>
      </c>
      <c r="E8730" t="inlineStr">
        <is>
          <t>ÅSELE</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8206-2023</t>
        </is>
      </c>
      <c r="B8731" s="1" t="n">
        <v>44971</v>
      </c>
      <c r="C8731" s="1" t="n">
        <v>45357</v>
      </c>
      <c r="D8731" t="inlineStr">
        <is>
          <t>VÄSTERBOTTENS LÄN</t>
        </is>
      </c>
      <c r="E8731" t="inlineStr">
        <is>
          <t>SKELLEFTEÅ</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8270-2023</t>
        </is>
      </c>
      <c r="B8732" s="1" t="n">
        <v>44971</v>
      </c>
      <c r="C8732" s="1" t="n">
        <v>45357</v>
      </c>
      <c r="D8732" t="inlineStr">
        <is>
          <t>VÄSTERBOTTENS LÄN</t>
        </is>
      </c>
      <c r="E8732" t="inlineStr">
        <is>
          <t>VINDELN</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8209-2023</t>
        </is>
      </c>
      <c r="B8733" s="1" t="n">
        <v>44971</v>
      </c>
      <c r="C8733" s="1" t="n">
        <v>45357</v>
      </c>
      <c r="D8733" t="inlineStr">
        <is>
          <t>VÄSTERBOTTENS LÄN</t>
        </is>
      </c>
      <c r="E8733" t="inlineStr">
        <is>
          <t>STORUMAN</t>
        </is>
      </c>
      <c r="G8733" t="n">
        <v>13.7</v>
      </c>
      <c r="H8733" t="n">
        <v>0</v>
      </c>
      <c r="I8733" t="n">
        <v>0</v>
      </c>
      <c r="J8733" t="n">
        <v>0</v>
      </c>
      <c r="K8733" t="n">
        <v>0</v>
      </c>
      <c r="L8733" t="n">
        <v>0</v>
      </c>
      <c r="M8733" t="n">
        <v>0</v>
      </c>
      <c r="N8733" t="n">
        <v>0</v>
      </c>
      <c r="O8733" t="n">
        <v>0</v>
      </c>
      <c r="P8733" t="n">
        <v>0</v>
      </c>
      <c r="Q8733" t="n">
        <v>0</v>
      </c>
      <c r="R8733" s="2" t="inlineStr"/>
    </row>
    <row r="8734" ht="15" customHeight="1">
      <c r="A8734" t="inlineStr">
        <is>
          <t>A 7671-2023</t>
        </is>
      </c>
      <c r="B8734" s="1" t="n">
        <v>44972</v>
      </c>
      <c r="C8734" s="1" t="n">
        <v>45357</v>
      </c>
      <c r="D8734" t="inlineStr">
        <is>
          <t>VÄSTERBOTTENS LÄN</t>
        </is>
      </c>
      <c r="E8734" t="inlineStr">
        <is>
          <t>STORUMAN</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8422-2023</t>
        </is>
      </c>
      <c r="B8735" s="1" t="n">
        <v>44972</v>
      </c>
      <c r="C8735" s="1" t="n">
        <v>45357</v>
      </c>
      <c r="D8735" t="inlineStr">
        <is>
          <t>VÄSTERBOTTENS LÄN</t>
        </is>
      </c>
      <c r="E8735" t="inlineStr">
        <is>
          <t>SKELLEFTEÅ</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8477-2023</t>
        </is>
      </c>
      <c r="B8736" s="1" t="n">
        <v>44972</v>
      </c>
      <c r="C8736" s="1" t="n">
        <v>45357</v>
      </c>
      <c r="D8736" t="inlineStr">
        <is>
          <t>VÄSTERBOTTENS LÄN</t>
        </is>
      </c>
      <c r="E8736" t="inlineStr">
        <is>
          <t>SKELLEFTEÅ</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8482-2023</t>
        </is>
      </c>
      <c r="B8737" s="1" t="n">
        <v>44972</v>
      </c>
      <c r="C8737" s="1" t="n">
        <v>45357</v>
      </c>
      <c r="D8737" t="inlineStr">
        <is>
          <t>VÄSTERBOTTENS LÄN</t>
        </is>
      </c>
      <c r="E8737" t="inlineStr">
        <is>
          <t>NORDMALING</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8539-2023</t>
        </is>
      </c>
      <c r="B8738" s="1" t="n">
        <v>44972</v>
      </c>
      <c r="C8738" s="1" t="n">
        <v>45357</v>
      </c>
      <c r="D8738" t="inlineStr">
        <is>
          <t>VÄSTERBOTTENS LÄN</t>
        </is>
      </c>
      <c r="E8738" t="inlineStr">
        <is>
          <t>UMEÅ</t>
        </is>
      </c>
      <c r="G8738" t="n">
        <v>21.8</v>
      </c>
      <c r="H8738" t="n">
        <v>0</v>
      </c>
      <c r="I8738" t="n">
        <v>0</v>
      </c>
      <c r="J8738" t="n">
        <v>0</v>
      </c>
      <c r="K8738" t="n">
        <v>0</v>
      </c>
      <c r="L8738" t="n">
        <v>0</v>
      </c>
      <c r="M8738" t="n">
        <v>0</v>
      </c>
      <c r="N8738" t="n">
        <v>0</v>
      </c>
      <c r="O8738" t="n">
        <v>0</v>
      </c>
      <c r="P8738" t="n">
        <v>0</v>
      </c>
      <c r="Q8738" t="n">
        <v>0</v>
      </c>
      <c r="R8738" s="2" t="inlineStr"/>
    </row>
    <row r="8739" ht="15" customHeight="1">
      <c r="A8739" t="inlineStr">
        <is>
          <t>A 8479-2023</t>
        </is>
      </c>
      <c r="B8739" s="1" t="n">
        <v>44972</v>
      </c>
      <c r="C8739" s="1" t="n">
        <v>45357</v>
      </c>
      <c r="D8739" t="inlineStr">
        <is>
          <t>VÄSTERBOTTENS LÄN</t>
        </is>
      </c>
      <c r="E8739" t="inlineStr">
        <is>
          <t>SKELLEFTEÅ</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8488-2023</t>
        </is>
      </c>
      <c r="B8740" s="1" t="n">
        <v>44972</v>
      </c>
      <c r="C8740" s="1" t="n">
        <v>45357</v>
      </c>
      <c r="D8740" t="inlineStr">
        <is>
          <t>VÄSTERBOTTENS LÄN</t>
        </is>
      </c>
      <c r="E8740" t="inlineStr">
        <is>
          <t>NORDMALING</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8549-2023</t>
        </is>
      </c>
      <c r="B8741" s="1" t="n">
        <v>44972</v>
      </c>
      <c r="C8741" s="1" t="n">
        <v>45357</v>
      </c>
      <c r="D8741" t="inlineStr">
        <is>
          <t>VÄSTERBOTTENS LÄN</t>
        </is>
      </c>
      <c r="E8741" t="inlineStr">
        <is>
          <t>SKELLEFTEÅ</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7710-2023</t>
        </is>
      </c>
      <c r="B8742" s="1" t="n">
        <v>44972</v>
      </c>
      <c r="C8742" s="1" t="n">
        <v>45357</v>
      </c>
      <c r="D8742" t="inlineStr">
        <is>
          <t>VÄSTERBOTTENS LÄN</t>
        </is>
      </c>
      <c r="E8742" t="inlineStr">
        <is>
          <t>STORUMAN</t>
        </is>
      </c>
      <c r="G8742" t="n">
        <v>30.5</v>
      </c>
      <c r="H8742" t="n">
        <v>0</v>
      </c>
      <c r="I8742" t="n">
        <v>0</v>
      </c>
      <c r="J8742" t="n">
        <v>0</v>
      </c>
      <c r="K8742" t="n">
        <v>0</v>
      </c>
      <c r="L8742" t="n">
        <v>0</v>
      </c>
      <c r="M8742" t="n">
        <v>0</v>
      </c>
      <c r="N8742" t="n">
        <v>0</v>
      </c>
      <c r="O8742" t="n">
        <v>0</v>
      </c>
      <c r="P8742" t="n">
        <v>0</v>
      </c>
      <c r="Q8742" t="n">
        <v>0</v>
      </c>
      <c r="R8742" s="2" t="inlineStr"/>
    </row>
    <row r="8743" ht="15" customHeight="1">
      <c r="A8743" t="inlineStr">
        <is>
          <t>A 8480-2023</t>
        </is>
      </c>
      <c r="B8743" s="1" t="n">
        <v>44972</v>
      </c>
      <c r="C8743" s="1" t="n">
        <v>45357</v>
      </c>
      <c r="D8743" t="inlineStr">
        <is>
          <t>VÄSTERBOTTENS LÄN</t>
        </is>
      </c>
      <c r="E8743" t="inlineStr">
        <is>
          <t>SKELLEFTEÅ</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8555-2023</t>
        </is>
      </c>
      <c r="B8744" s="1" t="n">
        <v>44972</v>
      </c>
      <c r="C8744" s="1" t="n">
        <v>45357</v>
      </c>
      <c r="D8744" t="inlineStr">
        <is>
          <t>VÄSTERBOTTENS LÄN</t>
        </is>
      </c>
      <c r="E8744" t="inlineStr">
        <is>
          <t>VILHELMINA</t>
        </is>
      </c>
      <c r="F8744" t="inlineStr">
        <is>
          <t>Allmännings- och besparingsskogar</t>
        </is>
      </c>
      <c r="G8744" t="n">
        <v>37.9</v>
      </c>
      <c r="H8744" t="n">
        <v>0</v>
      </c>
      <c r="I8744" t="n">
        <v>0</v>
      </c>
      <c r="J8744" t="n">
        <v>0</v>
      </c>
      <c r="K8744" t="n">
        <v>0</v>
      </c>
      <c r="L8744" t="n">
        <v>0</v>
      </c>
      <c r="M8744" t="n">
        <v>0</v>
      </c>
      <c r="N8744" t="n">
        <v>0</v>
      </c>
      <c r="O8744" t="n">
        <v>0</v>
      </c>
      <c r="P8744" t="n">
        <v>0</v>
      </c>
      <c r="Q8744" t="n">
        <v>0</v>
      </c>
      <c r="R8744" s="2" t="inlineStr"/>
    </row>
    <row r="8745" ht="15" customHeight="1">
      <c r="A8745" t="inlineStr">
        <is>
          <t>A 8745-2023</t>
        </is>
      </c>
      <c r="B8745" s="1" t="n">
        <v>44972</v>
      </c>
      <c r="C8745" s="1" t="n">
        <v>45357</v>
      </c>
      <c r="D8745" t="inlineStr">
        <is>
          <t>VÄSTERBOTTENS LÄN</t>
        </is>
      </c>
      <c r="E8745" t="inlineStr">
        <is>
          <t>VILHELMINA</t>
        </is>
      </c>
      <c r="F8745" t="inlineStr">
        <is>
          <t>Allmännings- och besparingsskogar</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8759-2023</t>
        </is>
      </c>
      <c r="B8746" s="1" t="n">
        <v>44972</v>
      </c>
      <c r="C8746" s="1" t="n">
        <v>45357</v>
      </c>
      <c r="D8746" t="inlineStr">
        <is>
          <t>VÄSTERBOTTENS LÄN</t>
        </is>
      </c>
      <c r="E8746" t="inlineStr">
        <is>
          <t>VILHELMINA</t>
        </is>
      </c>
      <c r="F8746" t="inlineStr">
        <is>
          <t>Allmännings- och besparingsskogar</t>
        </is>
      </c>
      <c r="G8746" t="n">
        <v>23.4</v>
      </c>
      <c r="H8746" t="n">
        <v>0</v>
      </c>
      <c r="I8746" t="n">
        <v>0</v>
      </c>
      <c r="J8746" t="n">
        <v>0</v>
      </c>
      <c r="K8746" t="n">
        <v>0</v>
      </c>
      <c r="L8746" t="n">
        <v>0</v>
      </c>
      <c r="M8746" t="n">
        <v>0</v>
      </c>
      <c r="N8746" t="n">
        <v>0</v>
      </c>
      <c r="O8746" t="n">
        <v>0</v>
      </c>
      <c r="P8746" t="n">
        <v>0</v>
      </c>
      <c r="Q8746" t="n">
        <v>0</v>
      </c>
      <c r="R8746" s="2" t="inlineStr"/>
    </row>
    <row r="8747" ht="15" customHeight="1">
      <c r="A8747" t="inlineStr">
        <is>
          <t>A 9048-2023</t>
        </is>
      </c>
      <c r="B8747" s="1" t="n">
        <v>44972</v>
      </c>
      <c r="C8747" s="1" t="n">
        <v>45357</v>
      </c>
      <c r="D8747" t="inlineStr">
        <is>
          <t>VÄSTERBOTTENS LÄN</t>
        </is>
      </c>
      <c r="E8747" t="inlineStr">
        <is>
          <t>VILHELMINA</t>
        </is>
      </c>
      <c r="F8747" t="inlineStr">
        <is>
          <t>Allmännings- och besparingsskogar</t>
        </is>
      </c>
      <c r="G8747" t="n">
        <v>271</v>
      </c>
      <c r="H8747" t="n">
        <v>0</v>
      </c>
      <c r="I8747" t="n">
        <v>0</v>
      </c>
      <c r="J8747" t="n">
        <v>0</v>
      </c>
      <c r="K8747" t="n">
        <v>0</v>
      </c>
      <c r="L8747" t="n">
        <v>0</v>
      </c>
      <c r="M8747" t="n">
        <v>0</v>
      </c>
      <c r="N8747" t="n">
        <v>0</v>
      </c>
      <c r="O8747" t="n">
        <v>0</v>
      </c>
      <c r="P8747" t="n">
        <v>0</v>
      </c>
      <c r="Q8747" t="n">
        <v>0</v>
      </c>
      <c r="R8747" s="2" t="inlineStr"/>
    </row>
    <row r="8748" ht="15" customHeight="1">
      <c r="A8748" t="inlineStr">
        <is>
          <t>A 7712-2023</t>
        </is>
      </c>
      <c r="B8748" s="1" t="n">
        <v>44972</v>
      </c>
      <c r="C8748" s="1" t="n">
        <v>45357</v>
      </c>
      <c r="D8748" t="inlineStr">
        <is>
          <t>VÄSTERBOTTENS LÄN</t>
        </is>
      </c>
      <c r="E8748" t="inlineStr">
        <is>
          <t>SKELLEFTEÅ</t>
        </is>
      </c>
      <c r="G8748" t="n">
        <v>11.6</v>
      </c>
      <c r="H8748" t="n">
        <v>0</v>
      </c>
      <c r="I8748" t="n">
        <v>0</v>
      </c>
      <c r="J8748" t="n">
        <v>0</v>
      </c>
      <c r="K8748" t="n">
        <v>0</v>
      </c>
      <c r="L8748" t="n">
        <v>0</v>
      </c>
      <c r="M8748" t="n">
        <v>0</v>
      </c>
      <c r="N8748" t="n">
        <v>0</v>
      </c>
      <c r="O8748" t="n">
        <v>0</v>
      </c>
      <c r="P8748" t="n">
        <v>0</v>
      </c>
      <c r="Q8748" t="n">
        <v>0</v>
      </c>
      <c r="R8748" s="2" t="inlineStr"/>
    </row>
    <row r="8749" ht="15" customHeight="1">
      <c r="A8749" t="inlineStr">
        <is>
          <t>A 7719-2023</t>
        </is>
      </c>
      <c r="B8749" s="1" t="n">
        <v>44972</v>
      </c>
      <c r="C8749" s="1" t="n">
        <v>45357</v>
      </c>
      <c r="D8749" t="inlineStr">
        <is>
          <t>VÄSTERBOTTENS LÄN</t>
        </is>
      </c>
      <c r="E8749" t="inlineStr">
        <is>
          <t>DOROTEA</t>
        </is>
      </c>
      <c r="F8749" t="inlineStr">
        <is>
          <t>SCA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8478-2023</t>
        </is>
      </c>
      <c r="B8750" s="1" t="n">
        <v>44972</v>
      </c>
      <c r="C8750" s="1" t="n">
        <v>45357</v>
      </c>
      <c r="D8750" t="inlineStr">
        <is>
          <t>VÄSTERBOTTENS LÄN</t>
        </is>
      </c>
      <c r="E8750" t="inlineStr">
        <is>
          <t>SKELLEFTEÅ</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8484-2023</t>
        </is>
      </c>
      <c r="B8751" s="1" t="n">
        <v>44972</v>
      </c>
      <c r="C8751" s="1" t="n">
        <v>45357</v>
      </c>
      <c r="D8751" t="inlineStr">
        <is>
          <t>VÄSTERBOTTENS LÄN</t>
        </is>
      </c>
      <c r="E8751" t="inlineStr">
        <is>
          <t>NORDMALING</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8547-2023</t>
        </is>
      </c>
      <c r="B8752" s="1" t="n">
        <v>44972</v>
      </c>
      <c r="C8752" s="1" t="n">
        <v>45357</v>
      </c>
      <c r="D8752" t="inlineStr">
        <is>
          <t>VÄSTERBOTTENS LÄN</t>
        </is>
      </c>
      <c r="E8752" t="inlineStr">
        <is>
          <t>BJURHOLM</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8563-2023</t>
        </is>
      </c>
      <c r="B8753" s="1" t="n">
        <v>44972</v>
      </c>
      <c r="C8753" s="1" t="n">
        <v>45357</v>
      </c>
      <c r="D8753" t="inlineStr">
        <is>
          <t>VÄSTERBOTTENS LÄN</t>
        </is>
      </c>
      <c r="E8753" t="inlineStr">
        <is>
          <t>SKELLEFTEÅ</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8733-2023</t>
        </is>
      </c>
      <c r="B8754" s="1" t="n">
        <v>44972</v>
      </c>
      <c r="C8754" s="1" t="n">
        <v>45357</v>
      </c>
      <c r="D8754" t="inlineStr">
        <is>
          <t>VÄSTERBOTTENS LÄN</t>
        </is>
      </c>
      <c r="E8754" t="inlineStr">
        <is>
          <t>VILHELMINA</t>
        </is>
      </c>
      <c r="F8754" t="inlineStr">
        <is>
          <t>Allmännings- och besparingsskogar</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8726-2023</t>
        </is>
      </c>
      <c r="B8755" s="1" t="n">
        <v>44972</v>
      </c>
      <c r="C8755" s="1" t="n">
        <v>45357</v>
      </c>
      <c r="D8755" t="inlineStr">
        <is>
          <t>VÄSTERBOTTENS LÄN</t>
        </is>
      </c>
      <c r="E8755" t="inlineStr">
        <is>
          <t>VILHELMINA</t>
        </is>
      </c>
      <c r="F8755" t="inlineStr">
        <is>
          <t>Allmännings- och besparingsskogar</t>
        </is>
      </c>
      <c r="G8755" t="n">
        <v>48.5</v>
      </c>
      <c r="H8755" t="n">
        <v>0</v>
      </c>
      <c r="I8755" t="n">
        <v>0</v>
      </c>
      <c r="J8755" t="n">
        <v>0</v>
      </c>
      <c r="K8755" t="n">
        <v>0</v>
      </c>
      <c r="L8755" t="n">
        <v>0</v>
      </c>
      <c r="M8755" t="n">
        <v>0</v>
      </c>
      <c r="N8755" t="n">
        <v>0</v>
      </c>
      <c r="O8755" t="n">
        <v>0</v>
      </c>
      <c r="P8755" t="n">
        <v>0</v>
      </c>
      <c r="Q8755" t="n">
        <v>0</v>
      </c>
      <c r="R8755" s="2" t="inlineStr"/>
    </row>
    <row r="8756" ht="15" customHeight="1">
      <c r="A8756" t="inlineStr">
        <is>
          <t>A 8908-2023</t>
        </is>
      </c>
      <c r="B8756" s="1" t="n">
        <v>44972</v>
      </c>
      <c r="C8756" s="1" t="n">
        <v>45357</v>
      </c>
      <c r="D8756" t="inlineStr">
        <is>
          <t>VÄSTERBOTTENS LÄN</t>
        </is>
      </c>
      <c r="E8756" t="inlineStr">
        <is>
          <t>VILHELMINA</t>
        </is>
      </c>
      <c r="F8756" t="inlineStr">
        <is>
          <t>Allmännings- och besparingsskogar</t>
        </is>
      </c>
      <c r="G8756" t="n">
        <v>22.3</v>
      </c>
      <c r="H8756" t="n">
        <v>0</v>
      </c>
      <c r="I8756" t="n">
        <v>0</v>
      </c>
      <c r="J8756" t="n">
        <v>0</v>
      </c>
      <c r="K8756" t="n">
        <v>0</v>
      </c>
      <c r="L8756" t="n">
        <v>0</v>
      </c>
      <c r="M8756" t="n">
        <v>0</v>
      </c>
      <c r="N8756" t="n">
        <v>0</v>
      </c>
      <c r="O8756" t="n">
        <v>0</v>
      </c>
      <c r="P8756" t="n">
        <v>0</v>
      </c>
      <c r="Q8756" t="n">
        <v>0</v>
      </c>
      <c r="R8756" s="2" t="inlineStr"/>
    </row>
    <row r="8757" ht="15" customHeight="1">
      <c r="A8757" t="inlineStr">
        <is>
          <t>A 9181-2023</t>
        </is>
      </c>
      <c r="B8757" s="1" t="n">
        <v>44972</v>
      </c>
      <c r="C8757" s="1" t="n">
        <v>45357</v>
      </c>
      <c r="D8757" t="inlineStr">
        <is>
          <t>VÄSTERBOTTENS LÄN</t>
        </is>
      </c>
      <c r="E8757" t="inlineStr">
        <is>
          <t>VILHELMINA</t>
        </is>
      </c>
      <c r="F8757" t="inlineStr">
        <is>
          <t>Allmännings- och besparingsskogar</t>
        </is>
      </c>
      <c r="G8757" t="n">
        <v>213.9</v>
      </c>
      <c r="H8757" t="n">
        <v>0</v>
      </c>
      <c r="I8757" t="n">
        <v>0</v>
      </c>
      <c r="J8757" t="n">
        <v>0</v>
      </c>
      <c r="K8757" t="n">
        <v>0</v>
      </c>
      <c r="L8757" t="n">
        <v>0</v>
      </c>
      <c r="M8757" t="n">
        <v>0</v>
      </c>
      <c r="N8757" t="n">
        <v>0</v>
      </c>
      <c r="O8757" t="n">
        <v>0</v>
      </c>
      <c r="P8757" t="n">
        <v>0</v>
      </c>
      <c r="Q8757" t="n">
        <v>0</v>
      </c>
      <c r="R8757" s="2" t="inlineStr"/>
    </row>
    <row r="8758" ht="15" customHeight="1">
      <c r="A8758" t="inlineStr">
        <is>
          <t>A 9166-2023</t>
        </is>
      </c>
      <c r="B8758" s="1" t="n">
        <v>44972</v>
      </c>
      <c r="C8758" s="1" t="n">
        <v>45357</v>
      </c>
      <c r="D8758" t="inlineStr">
        <is>
          <t>VÄSTERBOTTENS LÄN</t>
        </is>
      </c>
      <c r="E8758" t="inlineStr">
        <is>
          <t>VILHELMINA</t>
        </is>
      </c>
      <c r="F8758" t="inlineStr">
        <is>
          <t>Allmännings- och besparingsskogar</t>
        </is>
      </c>
      <c r="G8758" t="n">
        <v>135.4</v>
      </c>
      <c r="H8758" t="n">
        <v>0</v>
      </c>
      <c r="I8758" t="n">
        <v>0</v>
      </c>
      <c r="J8758" t="n">
        <v>0</v>
      </c>
      <c r="K8758" t="n">
        <v>0</v>
      </c>
      <c r="L8758" t="n">
        <v>0</v>
      </c>
      <c r="M8758" t="n">
        <v>0</v>
      </c>
      <c r="N8758" t="n">
        <v>0</v>
      </c>
      <c r="O8758" t="n">
        <v>0</v>
      </c>
      <c r="P8758" t="n">
        <v>0</v>
      </c>
      <c r="Q8758" t="n">
        <v>0</v>
      </c>
      <c r="R8758" s="2" t="inlineStr"/>
    </row>
    <row r="8759" ht="15" customHeight="1">
      <c r="A8759" t="inlineStr">
        <is>
          <t>A 9170-2023</t>
        </is>
      </c>
      <c r="B8759" s="1" t="n">
        <v>44972</v>
      </c>
      <c r="C8759" s="1" t="n">
        <v>45357</v>
      </c>
      <c r="D8759" t="inlineStr">
        <is>
          <t>VÄSTERBOTTENS LÄN</t>
        </is>
      </c>
      <c r="E8759" t="inlineStr">
        <is>
          <t>VILHELMINA</t>
        </is>
      </c>
      <c r="F8759" t="inlineStr">
        <is>
          <t>Allmännings- och besparingsskogar</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8916-2023</t>
        </is>
      </c>
      <c r="B8760" s="1" t="n">
        <v>44972</v>
      </c>
      <c r="C8760" s="1" t="n">
        <v>45357</v>
      </c>
      <c r="D8760" t="inlineStr">
        <is>
          <t>VÄSTERBOTTENS LÄN</t>
        </is>
      </c>
      <c r="E8760" t="inlineStr">
        <is>
          <t>VILHELMINA</t>
        </is>
      </c>
      <c r="F8760" t="inlineStr">
        <is>
          <t>Allmännings- och besparingsskogar</t>
        </is>
      </c>
      <c r="G8760" t="n">
        <v>20.9</v>
      </c>
      <c r="H8760" t="n">
        <v>0</v>
      </c>
      <c r="I8760" t="n">
        <v>0</v>
      </c>
      <c r="J8760" t="n">
        <v>0</v>
      </c>
      <c r="K8760" t="n">
        <v>0</v>
      </c>
      <c r="L8760" t="n">
        <v>0</v>
      </c>
      <c r="M8760" t="n">
        <v>0</v>
      </c>
      <c r="N8760" t="n">
        <v>0</v>
      </c>
      <c r="O8760" t="n">
        <v>0</v>
      </c>
      <c r="P8760" t="n">
        <v>0</v>
      </c>
      <c r="Q8760" t="n">
        <v>0</v>
      </c>
      <c r="R8760" s="2" t="inlineStr"/>
    </row>
    <row r="8761" ht="15" customHeight="1">
      <c r="A8761" t="inlineStr">
        <is>
          <t>A 9185-2023</t>
        </is>
      </c>
      <c r="B8761" s="1" t="n">
        <v>44972</v>
      </c>
      <c r="C8761" s="1" t="n">
        <v>45357</v>
      </c>
      <c r="D8761" t="inlineStr">
        <is>
          <t>VÄSTERBOTTENS LÄN</t>
        </is>
      </c>
      <c r="E8761" t="inlineStr">
        <is>
          <t>VILHELMINA</t>
        </is>
      </c>
      <c r="F8761" t="inlineStr">
        <is>
          <t>Allmännings- och besparingsskogar</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7768-2023</t>
        </is>
      </c>
      <c r="B8762" s="1" t="n">
        <v>44973</v>
      </c>
      <c r="C8762" s="1" t="n">
        <v>45357</v>
      </c>
      <c r="D8762" t="inlineStr">
        <is>
          <t>VÄSTERBOTTENS LÄN</t>
        </is>
      </c>
      <c r="E8762" t="inlineStr">
        <is>
          <t>LYCKSELE</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7822-2023</t>
        </is>
      </c>
      <c r="B8763" s="1" t="n">
        <v>44973</v>
      </c>
      <c r="C8763" s="1" t="n">
        <v>45357</v>
      </c>
      <c r="D8763" t="inlineStr">
        <is>
          <t>VÄSTERBOTTENS LÄN</t>
        </is>
      </c>
      <c r="E8763" t="inlineStr">
        <is>
          <t>LYCKSELE</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7829-2023</t>
        </is>
      </c>
      <c r="B8764" s="1" t="n">
        <v>44973</v>
      </c>
      <c r="C8764" s="1" t="n">
        <v>45357</v>
      </c>
      <c r="D8764" t="inlineStr">
        <is>
          <t>VÄSTERBOTTENS LÄN</t>
        </is>
      </c>
      <c r="E8764" t="inlineStr">
        <is>
          <t>LYCKSELE</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7818-2023</t>
        </is>
      </c>
      <c r="B8765" s="1" t="n">
        <v>44973</v>
      </c>
      <c r="C8765" s="1" t="n">
        <v>45357</v>
      </c>
      <c r="D8765" t="inlineStr">
        <is>
          <t>VÄSTERBOTTENS LÄN</t>
        </is>
      </c>
      <c r="E8765" t="inlineStr">
        <is>
          <t>LYCKSELE</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7825-2023</t>
        </is>
      </c>
      <c r="B8766" s="1" t="n">
        <v>44973</v>
      </c>
      <c r="C8766" s="1" t="n">
        <v>45357</v>
      </c>
      <c r="D8766" t="inlineStr">
        <is>
          <t>VÄSTERBOTTENS LÄN</t>
        </is>
      </c>
      <c r="E8766" t="inlineStr">
        <is>
          <t>LYCKSELE</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7834-2023</t>
        </is>
      </c>
      <c r="B8767" s="1" t="n">
        <v>44973</v>
      </c>
      <c r="C8767" s="1" t="n">
        <v>45357</v>
      </c>
      <c r="D8767" t="inlineStr">
        <is>
          <t>VÄSTERBOTTENS LÄN</t>
        </is>
      </c>
      <c r="E8767" t="inlineStr">
        <is>
          <t>LYCKSELE</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7837-2023</t>
        </is>
      </c>
      <c r="B8768" s="1" t="n">
        <v>44973</v>
      </c>
      <c r="C8768" s="1" t="n">
        <v>45357</v>
      </c>
      <c r="D8768" t="inlineStr">
        <is>
          <t>VÄSTERBOTTENS LÄN</t>
        </is>
      </c>
      <c r="E8768" t="inlineStr">
        <is>
          <t>LYCKSELE</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7873-2023</t>
        </is>
      </c>
      <c r="B8769" s="1" t="n">
        <v>44973</v>
      </c>
      <c r="C8769" s="1" t="n">
        <v>45357</v>
      </c>
      <c r="D8769" t="inlineStr">
        <is>
          <t>VÄSTERBOTTENS LÄN</t>
        </is>
      </c>
      <c r="E8769" t="inlineStr">
        <is>
          <t>ROBERTSFORS</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7991-2023</t>
        </is>
      </c>
      <c r="B8770" s="1" t="n">
        <v>44973</v>
      </c>
      <c r="C8770" s="1" t="n">
        <v>45357</v>
      </c>
      <c r="D8770" t="inlineStr">
        <is>
          <t>VÄSTERBOTTENS LÄN</t>
        </is>
      </c>
      <c r="E8770" t="inlineStr">
        <is>
          <t>ÅSELE</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8027-2023</t>
        </is>
      </c>
      <c r="B8771" s="1" t="n">
        <v>44973</v>
      </c>
      <c r="C8771" s="1" t="n">
        <v>45357</v>
      </c>
      <c r="D8771" t="inlineStr">
        <is>
          <t>VÄSTERBOTTENS LÄN</t>
        </is>
      </c>
      <c r="E8771" t="inlineStr">
        <is>
          <t>VILHELMINA</t>
        </is>
      </c>
      <c r="F8771" t="inlineStr">
        <is>
          <t>SCA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8028-2023</t>
        </is>
      </c>
      <c r="B8772" s="1" t="n">
        <v>44973</v>
      </c>
      <c r="C8772" s="1" t="n">
        <v>45357</v>
      </c>
      <c r="D8772" t="inlineStr">
        <is>
          <t>VÄSTERBOTTENS LÄN</t>
        </is>
      </c>
      <c r="E8772" t="inlineStr">
        <is>
          <t>SKELLEFTEÅ</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7996-2023</t>
        </is>
      </c>
      <c r="B8773" s="1" t="n">
        <v>44973</v>
      </c>
      <c r="C8773" s="1" t="n">
        <v>45357</v>
      </c>
      <c r="D8773" t="inlineStr">
        <is>
          <t>VÄSTERBOTTENS LÄN</t>
        </is>
      </c>
      <c r="E8773" t="inlineStr">
        <is>
          <t>VINDELN</t>
        </is>
      </c>
      <c r="F8773" t="inlineStr">
        <is>
          <t>Holmen skog AB</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8025-2023</t>
        </is>
      </c>
      <c r="B8774" s="1" t="n">
        <v>44973</v>
      </c>
      <c r="C8774" s="1" t="n">
        <v>45357</v>
      </c>
      <c r="D8774" t="inlineStr">
        <is>
          <t>VÄSTERBOTTENS LÄN</t>
        </is>
      </c>
      <c r="E8774" t="inlineStr">
        <is>
          <t>NORDMALING</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8029-2023</t>
        </is>
      </c>
      <c r="B8775" s="1" t="n">
        <v>44973</v>
      </c>
      <c r="C8775" s="1" t="n">
        <v>45357</v>
      </c>
      <c r="D8775" t="inlineStr">
        <is>
          <t>VÄSTERBOTTENS LÄN</t>
        </is>
      </c>
      <c r="E8775" t="inlineStr">
        <is>
          <t>SKELLEFTEÅ</t>
        </is>
      </c>
      <c r="F8775" t="inlineStr">
        <is>
          <t>SCA</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9495-2023</t>
        </is>
      </c>
      <c r="B8776" s="1" t="n">
        <v>44973</v>
      </c>
      <c r="C8776" s="1" t="n">
        <v>45357</v>
      </c>
      <c r="D8776" t="inlineStr">
        <is>
          <t>VÄSTERBOTTENS LÄN</t>
        </is>
      </c>
      <c r="E8776" t="inlineStr">
        <is>
          <t>ÅSELE</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8095-2023</t>
        </is>
      </c>
      <c r="B8777" s="1" t="n">
        <v>44974</v>
      </c>
      <c r="C8777" s="1" t="n">
        <v>45357</v>
      </c>
      <c r="D8777" t="inlineStr">
        <is>
          <t>VÄSTERBOTTENS LÄN</t>
        </is>
      </c>
      <c r="E8777" t="inlineStr">
        <is>
          <t>DOROTEA</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8088-2023</t>
        </is>
      </c>
      <c r="B8778" s="1" t="n">
        <v>44974</v>
      </c>
      <c r="C8778" s="1" t="n">
        <v>45357</v>
      </c>
      <c r="D8778" t="inlineStr">
        <is>
          <t>VÄSTERBOTTENS LÄN</t>
        </is>
      </c>
      <c r="E8778" t="inlineStr">
        <is>
          <t>DOROTEA</t>
        </is>
      </c>
      <c r="G8778" t="n">
        <v>14.8</v>
      </c>
      <c r="H8778" t="n">
        <v>0</v>
      </c>
      <c r="I8778" t="n">
        <v>0</v>
      </c>
      <c r="J8778" t="n">
        <v>0</v>
      </c>
      <c r="K8778" t="n">
        <v>0</v>
      </c>
      <c r="L8778" t="n">
        <v>0</v>
      </c>
      <c r="M8778" t="n">
        <v>0</v>
      </c>
      <c r="N8778" t="n">
        <v>0</v>
      </c>
      <c r="O8778" t="n">
        <v>0</v>
      </c>
      <c r="P8778" t="n">
        <v>0</v>
      </c>
      <c r="Q8778" t="n">
        <v>0</v>
      </c>
      <c r="R8778" s="2" t="inlineStr"/>
    </row>
    <row r="8779" ht="15" customHeight="1">
      <c r="A8779" t="inlineStr">
        <is>
          <t>A 8111-2023</t>
        </is>
      </c>
      <c r="B8779" s="1" t="n">
        <v>44974</v>
      </c>
      <c r="C8779" s="1" t="n">
        <v>45357</v>
      </c>
      <c r="D8779" t="inlineStr">
        <is>
          <t>VÄSTERBOTTENS LÄN</t>
        </is>
      </c>
      <c r="E8779" t="inlineStr">
        <is>
          <t>VINDELN</t>
        </is>
      </c>
      <c r="G8779" t="n">
        <v>52.1</v>
      </c>
      <c r="H8779" t="n">
        <v>0</v>
      </c>
      <c r="I8779" t="n">
        <v>0</v>
      </c>
      <c r="J8779" t="n">
        <v>0</v>
      </c>
      <c r="K8779" t="n">
        <v>0</v>
      </c>
      <c r="L8779" t="n">
        <v>0</v>
      </c>
      <c r="M8779" t="n">
        <v>0</v>
      </c>
      <c r="N8779" t="n">
        <v>0</v>
      </c>
      <c r="O8779" t="n">
        <v>0</v>
      </c>
      <c r="P8779" t="n">
        <v>0</v>
      </c>
      <c r="Q8779" t="n">
        <v>0</v>
      </c>
      <c r="R8779" s="2" t="inlineStr"/>
    </row>
    <row r="8780" ht="15" customHeight="1">
      <c r="A8780" t="inlineStr">
        <is>
          <t>A 8147-2023</t>
        </is>
      </c>
      <c r="B8780" s="1" t="n">
        <v>44974</v>
      </c>
      <c r="C8780" s="1" t="n">
        <v>45357</v>
      </c>
      <c r="D8780" t="inlineStr">
        <is>
          <t>VÄSTERBOTTENS LÄN</t>
        </is>
      </c>
      <c r="E8780" t="inlineStr">
        <is>
          <t>VINDELN</t>
        </is>
      </c>
      <c r="G8780" t="n">
        <v>7.1</v>
      </c>
      <c r="H8780" t="n">
        <v>0</v>
      </c>
      <c r="I8780" t="n">
        <v>0</v>
      </c>
      <c r="J8780" t="n">
        <v>0</v>
      </c>
      <c r="K8780" t="n">
        <v>0</v>
      </c>
      <c r="L8780" t="n">
        <v>0</v>
      </c>
      <c r="M8780" t="n">
        <v>0</v>
      </c>
      <c r="N8780" t="n">
        <v>0</v>
      </c>
      <c r="O8780" t="n">
        <v>0</v>
      </c>
      <c r="P8780" t="n">
        <v>0</v>
      </c>
      <c r="Q8780" t="n">
        <v>0</v>
      </c>
      <c r="R8780" s="2" t="inlineStr"/>
    </row>
    <row r="8781" ht="15" customHeight="1">
      <c r="A8781" t="inlineStr">
        <is>
          <t>A 8092-2023</t>
        </is>
      </c>
      <c r="B8781" s="1" t="n">
        <v>44974</v>
      </c>
      <c r="C8781" s="1" t="n">
        <v>45357</v>
      </c>
      <c r="D8781" t="inlineStr">
        <is>
          <t>VÄSTERBOTTENS LÄN</t>
        </is>
      </c>
      <c r="E8781" t="inlineStr">
        <is>
          <t>DOROTEA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8153-2023</t>
        </is>
      </c>
      <c r="B8782" s="1" t="n">
        <v>44974</v>
      </c>
      <c r="C8782" s="1" t="n">
        <v>45357</v>
      </c>
      <c r="D8782" t="inlineStr">
        <is>
          <t>VÄSTERBOTTENS LÄN</t>
        </is>
      </c>
      <c r="E8782" t="inlineStr">
        <is>
          <t>ROBERTSFORS</t>
        </is>
      </c>
      <c r="F8782" t="inlineStr">
        <is>
          <t>Holmen skog AB</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8328-2023</t>
        </is>
      </c>
      <c r="B8783" s="1" t="n">
        <v>44974</v>
      </c>
      <c r="C8783" s="1" t="n">
        <v>45357</v>
      </c>
      <c r="D8783" t="inlineStr">
        <is>
          <t>VÄSTERBOTTENS LÄN</t>
        </is>
      </c>
      <c r="E8783" t="inlineStr">
        <is>
          <t>SKELLEFTEÅ</t>
        </is>
      </c>
      <c r="G8783" t="n">
        <v>18.5</v>
      </c>
      <c r="H8783" t="n">
        <v>0</v>
      </c>
      <c r="I8783" t="n">
        <v>0</v>
      </c>
      <c r="J8783" t="n">
        <v>0</v>
      </c>
      <c r="K8783" t="n">
        <v>0</v>
      </c>
      <c r="L8783" t="n">
        <v>0</v>
      </c>
      <c r="M8783" t="n">
        <v>0</v>
      </c>
      <c r="N8783" t="n">
        <v>0</v>
      </c>
      <c r="O8783" t="n">
        <v>0</v>
      </c>
      <c r="P8783" t="n">
        <v>0</v>
      </c>
      <c r="Q8783" t="n">
        <v>0</v>
      </c>
      <c r="R8783" s="2" t="inlineStr"/>
    </row>
    <row r="8784" ht="15" customHeight="1">
      <c r="A8784" t="inlineStr">
        <is>
          <t>A 8930-2023</t>
        </is>
      </c>
      <c r="B8784" s="1" t="n">
        <v>44974</v>
      </c>
      <c r="C8784" s="1" t="n">
        <v>45357</v>
      </c>
      <c r="D8784" t="inlineStr">
        <is>
          <t>VÄSTERBOTTENS LÄN</t>
        </is>
      </c>
      <c r="E8784" t="inlineStr">
        <is>
          <t>SKELLEFTEÅ</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8282-2023</t>
        </is>
      </c>
      <c r="B8785" s="1" t="n">
        <v>44974</v>
      </c>
      <c r="C8785" s="1" t="n">
        <v>45357</v>
      </c>
      <c r="D8785" t="inlineStr">
        <is>
          <t>VÄSTERBOTTENS LÄN</t>
        </is>
      </c>
      <c r="E8785" t="inlineStr">
        <is>
          <t>SORSELE</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8954-2023</t>
        </is>
      </c>
      <c r="B8786" s="1" t="n">
        <v>44974</v>
      </c>
      <c r="C8786" s="1" t="n">
        <v>45357</v>
      </c>
      <c r="D8786" t="inlineStr">
        <is>
          <t>VÄSTERBOTTENS LÄN</t>
        </is>
      </c>
      <c r="E8786" t="inlineStr">
        <is>
          <t>VINDELN</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8952-2023</t>
        </is>
      </c>
      <c r="B8787" s="1" t="n">
        <v>44974</v>
      </c>
      <c r="C8787" s="1" t="n">
        <v>45357</v>
      </c>
      <c r="D8787" t="inlineStr">
        <is>
          <t>VÄSTERBOTTENS LÄN</t>
        </is>
      </c>
      <c r="E8787" t="inlineStr">
        <is>
          <t>SKELLEFTEÅ</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8352-2023</t>
        </is>
      </c>
      <c r="B8788" s="1" t="n">
        <v>44977</v>
      </c>
      <c r="C8788" s="1" t="n">
        <v>45357</v>
      </c>
      <c r="D8788" t="inlineStr">
        <is>
          <t>VÄSTERBOTTENS LÄN</t>
        </is>
      </c>
      <c r="E8788" t="inlineStr">
        <is>
          <t>NORSJÖ</t>
        </is>
      </c>
      <c r="G8788" t="n">
        <v>10.6</v>
      </c>
      <c r="H8788" t="n">
        <v>0</v>
      </c>
      <c r="I8788" t="n">
        <v>0</v>
      </c>
      <c r="J8788" t="n">
        <v>0</v>
      </c>
      <c r="K8788" t="n">
        <v>0</v>
      </c>
      <c r="L8788" t="n">
        <v>0</v>
      </c>
      <c r="M8788" t="n">
        <v>0</v>
      </c>
      <c r="N8788" t="n">
        <v>0</v>
      </c>
      <c r="O8788" t="n">
        <v>0</v>
      </c>
      <c r="P8788" t="n">
        <v>0</v>
      </c>
      <c r="Q8788" t="n">
        <v>0</v>
      </c>
      <c r="R8788" s="2" t="inlineStr"/>
    </row>
    <row r="8789" ht="15" customHeight="1">
      <c r="A8789" t="inlineStr">
        <is>
          <t>A 8359-2023</t>
        </is>
      </c>
      <c r="B8789" s="1" t="n">
        <v>44977</v>
      </c>
      <c r="C8789" s="1" t="n">
        <v>45357</v>
      </c>
      <c r="D8789" t="inlineStr">
        <is>
          <t>VÄSTERBOTTENS LÄN</t>
        </is>
      </c>
      <c r="E8789" t="inlineStr">
        <is>
          <t>LYCKSELE</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8375-2023</t>
        </is>
      </c>
      <c r="B8790" s="1" t="n">
        <v>44977</v>
      </c>
      <c r="C8790" s="1" t="n">
        <v>45357</v>
      </c>
      <c r="D8790" t="inlineStr">
        <is>
          <t>VÄSTERBOTTENS LÄN</t>
        </is>
      </c>
      <c r="E8790" t="inlineStr">
        <is>
          <t>ROBERTSFORS</t>
        </is>
      </c>
      <c r="F8790" t="inlineStr">
        <is>
          <t>Holmen skog AB</t>
        </is>
      </c>
      <c r="G8790" t="n">
        <v>15.7</v>
      </c>
      <c r="H8790" t="n">
        <v>0</v>
      </c>
      <c r="I8790" t="n">
        <v>0</v>
      </c>
      <c r="J8790" t="n">
        <v>0</v>
      </c>
      <c r="K8790" t="n">
        <v>0</v>
      </c>
      <c r="L8790" t="n">
        <v>0</v>
      </c>
      <c r="M8790" t="n">
        <v>0</v>
      </c>
      <c r="N8790" t="n">
        <v>0</v>
      </c>
      <c r="O8790" t="n">
        <v>0</v>
      </c>
      <c r="P8790" t="n">
        <v>0</v>
      </c>
      <c r="Q8790" t="n">
        <v>0</v>
      </c>
      <c r="R8790" s="2" t="inlineStr"/>
    </row>
    <row r="8791" ht="15" customHeight="1">
      <c r="A8791" t="inlineStr">
        <is>
          <t>A 8425-2023</t>
        </is>
      </c>
      <c r="B8791" s="1" t="n">
        <v>44977</v>
      </c>
      <c r="C8791" s="1" t="n">
        <v>45357</v>
      </c>
      <c r="D8791" t="inlineStr">
        <is>
          <t>VÄSTERBOTTENS LÄN</t>
        </is>
      </c>
      <c r="E8791" t="inlineStr">
        <is>
          <t>NORDMALING</t>
        </is>
      </c>
      <c r="F8791" t="inlineStr">
        <is>
          <t>Holmen skog AB</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8364-2023</t>
        </is>
      </c>
      <c r="B8792" s="1" t="n">
        <v>44977</v>
      </c>
      <c r="C8792" s="1" t="n">
        <v>45357</v>
      </c>
      <c r="D8792" t="inlineStr">
        <is>
          <t>VÄSTERBOTTENS LÄN</t>
        </is>
      </c>
      <c r="E8792" t="inlineStr">
        <is>
          <t>LYCKSELE</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8644-2023</t>
        </is>
      </c>
      <c r="B8793" s="1" t="n">
        <v>44977</v>
      </c>
      <c r="C8793" s="1" t="n">
        <v>45357</v>
      </c>
      <c r="D8793" t="inlineStr">
        <is>
          <t>VÄSTERBOTTENS LÄN</t>
        </is>
      </c>
      <c r="E8793" t="inlineStr">
        <is>
          <t>BJURHOLM</t>
        </is>
      </c>
      <c r="F8793" t="inlineStr">
        <is>
          <t>SCA</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8652-2023</t>
        </is>
      </c>
      <c r="B8794" s="1" t="n">
        <v>44978</v>
      </c>
      <c r="C8794" s="1" t="n">
        <v>45357</v>
      </c>
      <c r="D8794" t="inlineStr">
        <is>
          <t>VÄSTERBOTTENS LÄN</t>
        </is>
      </c>
      <c r="E8794" t="inlineStr">
        <is>
          <t>VILHELMINA</t>
        </is>
      </c>
      <c r="F8794" t="inlineStr">
        <is>
          <t>SCA</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8532-2023</t>
        </is>
      </c>
      <c r="B8795" s="1" t="n">
        <v>44977</v>
      </c>
      <c r="C8795" s="1" t="n">
        <v>45357</v>
      </c>
      <c r="D8795" t="inlineStr">
        <is>
          <t>VÄSTERBOTTENS LÄN</t>
        </is>
      </c>
      <c r="E8795" t="inlineStr">
        <is>
          <t>ROBERTSFORS</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8641-2023</t>
        </is>
      </c>
      <c r="B8796" s="1" t="n">
        <v>44978</v>
      </c>
      <c r="C8796" s="1" t="n">
        <v>45357</v>
      </c>
      <c r="D8796" t="inlineStr">
        <is>
          <t>VÄSTERBOTTENS LÄN</t>
        </is>
      </c>
      <c r="E8796" t="inlineStr">
        <is>
          <t>NORDMALING</t>
        </is>
      </c>
      <c r="F8796" t="inlineStr">
        <is>
          <t>SCA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8653-2023</t>
        </is>
      </c>
      <c r="B8797" s="1" t="n">
        <v>44977</v>
      </c>
      <c r="C8797" s="1" t="n">
        <v>45357</v>
      </c>
      <c r="D8797" t="inlineStr">
        <is>
          <t>VÄSTERBOTTENS LÄN</t>
        </is>
      </c>
      <c r="E8797" t="inlineStr">
        <is>
          <t>VILHELMINA</t>
        </is>
      </c>
      <c r="F8797" t="inlineStr">
        <is>
          <t>SCA</t>
        </is>
      </c>
      <c r="G8797" t="n">
        <v>7.9</v>
      </c>
      <c r="H8797" t="n">
        <v>0</v>
      </c>
      <c r="I8797" t="n">
        <v>0</v>
      </c>
      <c r="J8797" t="n">
        <v>0</v>
      </c>
      <c r="K8797" t="n">
        <v>0</v>
      </c>
      <c r="L8797" t="n">
        <v>0</v>
      </c>
      <c r="M8797" t="n">
        <v>0</v>
      </c>
      <c r="N8797" t="n">
        <v>0</v>
      </c>
      <c r="O8797" t="n">
        <v>0</v>
      </c>
      <c r="P8797" t="n">
        <v>0</v>
      </c>
      <c r="Q8797" t="n">
        <v>0</v>
      </c>
      <c r="R8797" s="2" t="inlineStr"/>
    </row>
    <row r="8798" ht="15" customHeight="1">
      <c r="A8798" t="inlineStr">
        <is>
          <t>A 8628-2023</t>
        </is>
      </c>
      <c r="B8798" s="1" t="n">
        <v>44977</v>
      </c>
      <c r="C8798" s="1" t="n">
        <v>45357</v>
      </c>
      <c r="D8798" t="inlineStr">
        <is>
          <t>VÄSTERBOTTENS LÄN</t>
        </is>
      </c>
      <c r="E8798" t="inlineStr">
        <is>
          <t>NORDMALING</t>
        </is>
      </c>
      <c r="G8798" t="n">
        <v>8.1</v>
      </c>
      <c r="H8798" t="n">
        <v>0</v>
      </c>
      <c r="I8798" t="n">
        <v>0</v>
      </c>
      <c r="J8798" t="n">
        <v>0</v>
      </c>
      <c r="K8798" t="n">
        <v>0</v>
      </c>
      <c r="L8798" t="n">
        <v>0</v>
      </c>
      <c r="M8798" t="n">
        <v>0</v>
      </c>
      <c r="N8798" t="n">
        <v>0</v>
      </c>
      <c r="O8798" t="n">
        <v>0</v>
      </c>
      <c r="P8798" t="n">
        <v>0</v>
      </c>
      <c r="Q8798" t="n">
        <v>0</v>
      </c>
      <c r="R8798" s="2" t="inlineStr"/>
    </row>
    <row r="8799" ht="15" customHeight="1">
      <c r="A8799" t="inlineStr">
        <is>
          <t>A 8642-2023</t>
        </is>
      </c>
      <c r="B8799" s="1" t="n">
        <v>44977</v>
      </c>
      <c r="C8799" s="1" t="n">
        <v>45357</v>
      </c>
      <c r="D8799" t="inlineStr">
        <is>
          <t>VÄSTERBOTTENS LÄN</t>
        </is>
      </c>
      <c r="E8799" t="inlineStr">
        <is>
          <t>NORDMALING</t>
        </is>
      </c>
      <c r="F8799" t="inlineStr">
        <is>
          <t>SCA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8648-2023</t>
        </is>
      </c>
      <c r="B8800" s="1" t="n">
        <v>44978</v>
      </c>
      <c r="C8800" s="1" t="n">
        <v>45357</v>
      </c>
      <c r="D8800" t="inlineStr">
        <is>
          <t>VÄSTERBOTTENS LÄN</t>
        </is>
      </c>
      <c r="E8800" t="inlineStr">
        <is>
          <t>SKELLEFTEÅ</t>
        </is>
      </c>
      <c r="F8800" t="inlineStr">
        <is>
          <t>SCA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8634-2023</t>
        </is>
      </c>
      <c r="B8801" s="1" t="n">
        <v>44977</v>
      </c>
      <c r="C8801" s="1" t="n">
        <v>45357</v>
      </c>
      <c r="D8801" t="inlineStr">
        <is>
          <t>VÄSTERBOTTENS LÄN</t>
        </is>
      </c>
      <c r="E8801" t="inlineStr">
        <is>
          <t>ÅSELE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8643-2023</t>
        </is>
      </c>
      <c r="B8802" s="1" t="n">
        <v>44978</v>
      </c>
      <c r="C8802" s="1" t="n">
        <v>45357</v>
      </c>
      <c r="D8802" t="inlineStr">
        <is>
          <t>VÄSTERBOTTENS LÄN</t>
        </is>
      </c>
      <c r="E8802" t="inlineStr">
        <is>
          <t>VINDELN</t>
        </is>
      </c>
      <c r="F8802" t="inlineStr">
        <is>
          <t>SCA</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8650-2023</t>
        </is>
      </c>
      <c r="B8803" s="1" t="n">
        <v>44977</v>
      </c>
      <c r="C8803" s="1" t="n">
        <v>45357</v>
      </c>
      <c r="D8803" t="inlineStr">
        <is>
          <t>VÄSTERBOTTENS LÄN</t>
        </is>
      </c>
      <c r="E8803" t="inlineStr">
        <is>
          <t>VILHELMINA</t>
        </is>
      </c>
      <c r="F8803" t="inlineStr">
        <is>
          <t>SCA</t>
        </is>
      </c>
      <c r="G8803" t="n">
        <v>48.9</v>
      </c>
      <c r="H8803" t="n">
        <v>0</v>
      </c>
      <c r="I8803" t="n">
        <v>0</v>
      </c>
      <c r="J8803" t="n">
        <v>0</v>
      </c>
      <c r="K8803" t="n">
        <v>0</v>
      </c>
      <c r="L8803" t="n">
        <v>0</v>
      </c>
      <c r="M8803" t="n">
        <v>0</v>
      </c>
      <c r="N8803" t="n">
        <v>0</v>
      </c>
      <c r="O8803" t="n">
        <v>0</v>
      </c>
      <c r="P8803" t="n">
        <v>0</v>
      </c>
      <c r="Q8803" t="n">
        <v>0</v>
      </c>
      <c r="R8803" s="2" t="inlineStr"/>
    </row>
    <row r="8804" ht="15" customHeight="1">
      <c r="A8804" t="inlineStr">
        <is>
          <t>A 8682-2023</t>
        </is>
      </c>
      <c r="B8804" s="1" t="n">
        <v>44978</v>
      </c>
      <c r="C8804" s="1" t="n">
        <v>45357</v>
      </c>
      <c r="D8804" t="inlineStr">
        <is>
          <t>VÄSTERBOTTENS LÄN</t>
        </is>
      </c>
      <c r="E8804" t="inlineStr">
        <is>
          <t>ÅSELE</t>
        </is>
      </c>
      <c r="F8804" t="inlineStr">
        <is>
          <t>SCA</t>
        </is>
      </c>
      <c r="G8804" t="n">
        <v>5.6</v>
      </c>
      <c r="H8804" t="n">
        <v>0</v>
      </c>
      <c r="I8804" t="n">
        <v>0</v>
      </c>
      <c r="J8804" t="n">
        <v>0</v>
      </c>
      <c r="K8804" t="n">
        <v>0</v>
      </c>
      <c r="L8804" t="n">
        <v>0</v>
      </c>
      <c r="M8804" t="n">
        <v>0</v>
      </c>
      <c r="N8804" t="n">
        <v>0</v>
      </c>
      <c r="O8804" t="n">
        <v>0</v>
      </c>
      <c r="P8804" t="n">
        <v>0</v>
      </c>
      <c r="Q8804" t="n">
        <v>0</v>
      </c>
      <c r="R8804" s="2" t="inlineStr"/>
    </row>
    <row r="8805" ht="15" customHeight="1">
      <c r="A8805" t="inlineStr">
        <is>
          <t>A 8681-2023</t>
        </is>
      </c>
      <c r="B8805" s="1" t="n">
        <v>44978</v>
      </c>
      <c r="C8805" s="1" t="n">
        <v>45357</v>
      </c>
      <c r="D8805" t="inlineStr">
        <is>
          <t>VÄSTERBOTTENS LÄN</t>
        </is>
      </c>
      <c r="E8805" t="inlineStr">
        <is>
          <t>ÅSELE</t>
        </is>
      </c>
      <c r="F8805" t="inlineStr">
        <is>
          <t>SCA</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9197-2023</t>
        </is>
      </c>
      <c r="B8806" s="1" t="n">
        <v>44977</v>
      </c>
      <c r="C8806" s="1" t="n">
        <v>45357</v>
      </c>
      <c r="D8806" t="inlineStr">
        <is>
          <t>VÄSTERBOTTENS LÄN</t>
        </is>
      </c>
      <c r="E8806" t="inlineStr">
        <is>
          <t>VILHELMINA</t>
        </is>
      </c>
      <c r="G8806" t="n">
        <v>8.9</v>
      </c>
      <c r="H8806" t="n">
        <v>0</v>
      </c>
      <c r="I8806" t="n">
        <v>0</v>
      </c>
      <c r="J8806" t="n">
        <v>0</v>
      </c>
      <c r="K8806" t="n">
        <v>0</v>
      </c>
      <c r="L8806" t="n">
        <v>0</v>
      </c>
      <c r="M8806" t="n">
        <v>0</v>
      </c>
      <c r="N8806" t="n">
        <v>0</v>
      </c>
      <c r="O8806" t="n">
        <v>0</v>
      </c>
      <c r="P8806" t="n">
        <v>0</v>
      </c>
      <c r="Q8806" t="n">
        <v>0</v>
      </c>
      <c r="R8806" s="2" t="inlineStr"/>
    </row>
    <row r="8807" ht="15" customHeight="1">
      <c r="A8807" t="inlineStr">
        <is>
          <t>A 9266-2023</t>
        </is>
      </c>
      <c r="B8807" s="1" t="n">
        <v>44977</v>
      </c>
      <c r="C8807" s="1" t="n">
        <v>45357</v>
      </c>
      <c r="D8807" t="inlineStr">
        <is>
          <t>VÄSTERBOTTENS LÄN</t>
        </is>
      </c>
      <c r="E8807" t="inlineStr">
        <is>
          <t>ÅSELE</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9229-2023</t>
        </is>
      </c>
      <c r="B8808" s="1" t="n">
        <v>44977</v>
      </c>
      <c r="C8808" s="1" t="n">
        <v>45357</v>
      </c>
      <c r="D8808" t="inlineStr">
        <is>
          <t>VÄSTERBOTTENS LÄN</t>
        </is>
      </c>
      <c r="E8808" t="inlineStr">
        <is>
          <t>UMEÅ</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9490-2023</t>
        </is>
      </c>
      <c r="B8809" s="1" t="n">
        <v>44977</v>
      </c>
      <c r="C8809" s="1" t="n">
        <v>45357</v>
      </c>
      <c r="D8809" t="inlineStr">
        <is>
          <t>VÄSTERBOTTENS LÄN</t>
        </is>
      </c>
      <c r="E8809" t="inlineStr">
        <is>
          <t>NORDMALING</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8860-2023</t>
        </is>
      </c>
      <c r="B8810" s="1" t="n">
        <v>44978</v>
      </c>
      <c r="C8810" s="1" t="n">
        <v>45357</v>
      </c>
      <c r="D8810" t="inlineStr">
        <is>
          <t>VÄSTERBOTTENS LÄN</t>
        </is>
      </c>
      <c r="E8810" t="inlineStr">
        <is>
          <t>BJURHOLM</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8859-2023</t>
        </is>
      </c>
      <c r="B8811" s="1" t="n">
        <v>44978</v>
      </c>
      <c r="C8811" s="1" t="n">
        <v>45357</v>
      </c>
      <c r="D8811" t="inlineStr">
        <is>
          <t>VÄSTERBOTTENS LÄN</t>
        </is>
      </c>
      <c r="E8811" t="inlineStr">
        <is>
          <t>VILHELMINA</t>
        </is>
      </c>
      <c r="G8811" t="n">
        <v>6.3</v>
      </c>
      <c r="H8811" t="n">
        <v>0</v>
      </c>
      <c r="I8811" t="n">
        <v>0</v>
      </c>
      <c r="J8811" t="n">
        <v>0</v>
      </c>
      <c r="K8811" t="n">
        <v>0</v>
      </c>
      <c r="L8811" t="n">
        <v>0</v>
      </c>
      <c r="M8811" t="n">
        <v>0</v>
      </c>
      <c r="N8811" t="n">
        <v>0</v>
      </c>
      <c r="O8811" t="n">
        <v>0</v>
      </c>
      <c r="P8811" t="n">
        <v>0</v>
      </c>
      <c r="Q8811" t="n">
        <v>0</v>
      </c>
      <c r="R8811" s="2" t="inlineStr"/>
    </row>
    <row r="8812" ht="15" customHeight="1">
      <c r="A8812" t="inlineStr">
        <is>
          <t>A 8863-2023</t>
        </is>
      </c>
      <c r="B8812" s="1" t="n">
        <v>44978</v>
      </c>
      <c r="C8812" s="1" t="n">
        <v>45357</v>
      </c>
      <c r="D8812" t="inlineStr">
        <is>
          <t>VÄSTERBOTTENS LÄN</t>
        </is>
      </c>
      <c r="E8812" t="inlineStr">
        <is>
          <t>BJURHOLM</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9624-2023</t>
        </is>
      </c>
      <c r="B8813" s="1" t="n">
        <v>44978</v>
      </c>
      <c r="C8813" s="1" t="n">
        <v>45357</v>
      </c>
      <c r="D8813" t="inlineStr">
        <is>
          <t>VÄSTERBOTTENS LÄN</t>
        </is>
      </c>
      <c r="E8813" t="inlineStr">
        <is>
          <t>SKELLEFTEÅ</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9827-2023</t>
        </is>
      </c>
      <c r="B8814" s="1" t="n">
        <v>44978</v>
      </c>
      <c r="C8814" s="1" t="n">
        <v>45357</v>
      </c>
      <c r="D8814" t="inlineStr">
        <is>
          <t>VÄSTERBOTTENS LÄN</t>
        </is>
      </c>
      <c r="E8814" t="inlineStr">
        <is>
          <t>SORSELE</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8801-2023</t>
        </is>
      </c>
      <c r="B8815" s="1" t="n">
        <v>44978</v>
      </c>
      <c r="C8815" s="1" t="n">
        <v>45357</v>
      </c>
      <c r="D8815" t="inlineStr">
        <is>
          <t>VÄSTERBOTTENS LÄN</t>
        </is>
      </c>
      <c r="E8815" t="inlineStr">
        <is>
          <t>SKELLEFTEÅ</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8861-2023</t>
        </is>
      </c>
      <c r="B8816" s="1" t="n">
        <v>44978</v>
      </c>
      <c r="C8816" s="1" t="n">
        <v>45357</v>
      </c>
      <c r="D8816" t="inlineStr">
        <is>
          <t>VÄSTERBOTTENS LÄN</t>
        </is>
      </c>
      <c r="E8816" t="inlineStr">
        <is>
          <t>NORSJÖ</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8862-2023</t>
        </is>
      </c>
      <c r="B8817" s="1" t="n">
        <v>44978</v>
      </c>
      <c r="C8817" s="1" t="n">
        <v>45357</v>
      </c>
      <c r="D8817" t="inlineStr">
        <is>
          <t>VÄSTERBOTTENS LÄN</t>
        </is>
      </c>
      <c r="E8817" t="inlineStr">
        <is>
          <t>BJURHOLM</t>
        </is>
      </c>
      <c r="G8817" t="n">
        <v>12.6</v>
      </c>
      <c r="H8817" t="n">
        <v>0</v>
      </c>
      <c r="I8817" t="n">
        <v>0</v>
      </c>
      <c r="J8817" t="n">
        <v>0</v>
      </c>
      <c r="K8817" t="n">
        <v>0</v>
      </c>
      <c r="L8817" t="n">
        <v>0</v>
      </c>
      <c r="M8817" t="n">
        <v>0</v>
      </c>
      <c r="N8817" t="n">
        <v>0</v>
      </c>
      <c r="O8817" t="n">
        <v>0</v>
      </c>
      <c r="P8817" t="n">
        <v>0</v>
      </c>
      <c r="Q8817" t="n">
        <v>0</v>
      </c>
      <c r="R8817" s="2" t="inlineStr"/>
    </row>
    <row r="8818" ht="15" customHeight="1">
      <c r="A8818" t="inlineStr">
        <is>
          <t>A 9619-2023</t>
        </is>
      </c>
      <c r="B8818" s="1" t="n">
        <v>44978</v>
      </c>
      <c r="C8818" s="1" t="n">
        <v>45357</v>
      </c>
      <c r="D8818" t="inlineStr">
        <is>
          <t>VÄSTERBOTTENS LÄN</t>
        </is>
      </c>
      <c r="E8818" t="inlineStr">
        <is>
          <t>SKELLEFTEÅ</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9800-2023</t>
        </is>
      </c>
      <c r="B8819" s="1" t="n">
        <v>44978</v>
      </c>
      <c r="C8819" s="1" t="n">
        <v>45357</v>
      </c>
      <c r="D8819" t="inlineStr">
        <is>
          <t>VÄSTERBOTTENS LÄN</t>
        </is>
      </c>
      <c r="E8819" t="inlineStr">
        <is>
          <t>SORSELE</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9824-2023</t>
        </is>
      </c>
      <c r="B8820" s="1" t="n">
        <v>44978</v>
      </c>
      <c r="C8820" s="1" t="n">
        <v>45357</v>
      </c>
      <c r="D8820" t="inlineStr">
        <is>
          <t>VÄSTERBOTTENS LÄN</t>
        </is>
      </c>
      <c r="E8820" t="inlineStr">
        <is>
          <t>SORSELE</t>
        </is>
      </c>
      <c r="G8820" t="n">
        <v>26.6</v>
      </c>
      <c r="H8820" t="n">
        <v>0</v>
      </c>
      <c r="I8820" t="n">
        <v>0</v>
      </c>
      <c r="J8820" t="n">
        <v>0</v>
      </c>
      <c r="K8820" t="n">
        <v>0</v>
      </c>
      <c r="L8820" t="n">
        <v>0</v>
      </c>
      <c r="M8820" t="n">
        <v>0</v>
      </c>
      <c r="N8820" t="n">
        <v>0</v>
      </c>
      <c r="O8820" t="n">
        <v>0</v>
      </c>
      <c r="P8820" t="n">
        <v>0</v>
      </c>
      <c r="Q8820" t="n">
        <v>0</v>
      </c>
      <c r="R8820" s="2" t="inlineStr"/>
    </row>
    <row r="8821" ht="15" customHeight="1">
      <c r="A8821" t="inlineStr">
        <is>
          <t>A 9816-2023</t>
        </is>
      </c>
      <c r="B8821" s="1" t="n">
        <v>44978</v>
      </c>
      <c r="C8821" s="1" t="n">
        <v>45357</v>
      </c>
      <c r="D8821" t="inlineStr">
        <is>
          <t>VÄSTERBOTTENS LÄN</t>
        </is>
      </c>
      <c r="E8821" t="inlineStr">
        <is>
          <t>SORSELE</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9740-2023</t>
        </is>
      </c>
      <c r="B8822" s="1" t="n">
        <v>44978</v>
      </c>
      <c r="C8822" s="1" t="n">
        <v>45357</v>
      </c>
      <c r="D8822" t="inlineStr">
        <is>
          <t>VÄSTERBOTTENS LÄN</t>
        </is>
      </c>
      <c r="E8822" t="inlineStr">
        <is>
          <t>SKELLEFTEÅ</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9821-2023</t>
        </is>
      </c>
      <c r="B8823" s="1" t="n">
        <v>44978</v>
      </c>
      <c r="C8823" s="1" t="n">
        <v>45357</v>
      </c>
      <c r="D8823" t="inlineStr">
        <is>
          <t>VÄSTERBOTTENS LÄN</t>
        </is>
      </c>
      <c r="E8823" t="inlineStr">
        <is>
          <t>SORSELE</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8917-2023</t>
        </is>
      </c>
      <c r="B8824" s="1" t="n">
        <v>44979</v>
      </c>
      <c r="C8824" s="1" t="n">
        <v>45357</v>
      </c>
      <c r="D8824" t="inlineStr">
        <is>
          <t>VÄSTERBOTTENS LÄN</t>
        </is>
      </c>
      <c r="E8824" t="inlineStr">
        <is>
          <t>LYCKSELE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9027-2023</t>
        </is>
      </c>
      <c r="B8825" s="1" t="n">
        <v>44979</v>
      </c>
      <c r="C8825" s="1" t="n">
        <v>45357</v>
      </c>
      <c r="D8825" t="inlineStr">
        <is>
          <t>VÄSTERBOTTENS LÄN</t>
        </is>
      </c>
      <c r="E8825" t="inlineStr">
        <is>
          <t>SKELLEFTEÅ</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9078-2023</t>
        </is>
      </c>
      <c r="B8826" s="1" t="n">
        <v>44979</v>
      </c>
      <c r="C8826" s="1" t="n">
        <v>45357</v>
      </c>
      <c r="D8826" t="inlineStr">
        <is>
          <t>VÄSTERBOTTENS LÄN</t>
        </is>
      </c>
      <c r="E8826" t="inlineStr">
        <is>
          <t>SKELLEFTEÅ</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9090-2023</t>
        </is>
      </c>
      <c r="B8827" s="1" t="n">
        <v>44979</v>
      </c>
      <c r="C8827" s="1" t="n">
        <v>45357</v>
      </c>
      <c r="D8827" t="inlineStr">
        <is>
          <t>VÄSTERBOTTENS LÄN</t>
        </is>
      </c>
      <c r="E8827" t="inlineStr">
        <is>
          <t>LYCKSELE</t>
        </is>
      </c>
      <c r="F8827" t="inlineStr">
        <is>
          <t>SCA</t>
        </is>
      </c>
      <c r="G8827" t="n">
        <v>10.5</v>
      </c>
      <c r="H8827" t="n">
        <v>0</v>
      </c>
      <c r="I8827" t="n">
        <v>0</v>
      </c>
      <c r="J8827" t="n">
        <v>0</v>
      </c>
      <c r="K8827" t="n">
        <v>0</v>
      </c>
      <c r="L8827" t="n">
        <v>0</v>
      </c>
      <c r="M8827" t="n">
        <v>0</v>
      </c>
      <c r="N8827" t="n">
        <v>0</v>
      </c>
      <c r="O8827" t="n">
        <v>0</v>
      </c>
      <c r="P8827" t="n">
        <v>0</v>
      </c>
      <c r="Q8827" t="n">
        <v>0</v>
      </c>
      <c r="R8827" s="2" t="inlineStr"/>
    </row>
    <row r="8828" ht="15" customHeight="1">
      <c r="A8828" t="inlineStr">
        <is>
          <t>A 9046-2023</t>
        </is>
      </c>
      <c r="B8828" s="1" t="n">
        <v>44979</v>
      </c>
      <c r="C8828" s="1" t="n">
        <v>45357</v>
      </c>
      <c r="D8828" t="inlineStr">
        <is>
          <t>VÄSTERBOTTENS LÄN</t>
        </is>
      </c>
      <c r="E8828" t="inlineStr">
        <is>
          <t>DOROTEA</t>
        </is>
      </c>
      <c r="G8828" t="n">
        <v>35.4</v>
      </c>
      <c r="H8828" t="n">
        <v>0</v>
      </c>
      <c r="I8828" t="n">
        <v>0</v>
      </c>
      <c r="J8828" t="n">
        <v>0</v>
      </c>
      <c r="K8828" t="n">
        <v>0</v>
      </c>
      <c r="L8828" t="n">
        <v>0</v>
      </c>
      <c r="M8828" t="n">
        <v>0</v>
      </c>
      <c r="N8828" t="n">
        <v>0</v>
      </c>
      <c r="O8828" t="n">
        <v>0</v>
      </c>
      <c r="P8828" t="n">
        <v>0</v>
      </c>
      <c r="Q8828" t="n">
        <v>0</v>
      </c>
      <c r="R8828" s="2" t="inlineStr"/>
    </row>
    <row r="8829" ht="15" customHeight="1">
      <c r="A8829" t="inlineStr">
        <is>
          <t>A 9080-2023</t>
        </is>
      </c>
      <c r="B8829" s="1" t="n">
        <v>44979</v>
      </c>
      <c r="C8829" s="1" t="n">
        <v>45357</v>
      </c>
      <c r="D8829" t="inlineStr">
        <is>
          <t>VÄSTERBOTTENS LÄN</t>
        </is>
      </c>
      <c r="E8829" t="inlineStr">
        <is>
          <t>SKELLEFTEÅ</t>
        </is>
      </c>
      <c r="G8829" t="n">
        <v>6.6</v>
      </c>
      <c r="H8829" t="n">
        <v>0</v>
      </c>
      <c r="I8829" t="n">
        <v>0</v>
      </c>
      <c r="J8829" t="n">
        <v>0</v>
      </c>
      <c r="K8829" t="n">
        <v>0</v>
      </c>
      <c r="L8829" t="n">
        <v>0</v>
      </c>
      <c r="M8829" t="n">
        <v>0</v>
      </c>
      <c r="N8829" t="n">
        <v>0</v>
      </c>
      <c r="O8829" t="n">
        <v>0</v>
      </c>
      <c r="P8829" t="n">
        <v>0</v>
      </c>
      <c r="Q8829" t="n">
        <v>0</v>
      </c>
      <c r="R8829" s="2" t="inlineStr"/>
    </row>
    <row r="8830" ht="15" customHeight="1">
      <c r="A8830" t="inlineStr">
        <is>
          <t>A 9086-2023</t>
        </is>
      </c>
      <c r="B8830" s="1" t="n">
        <v>44979</v>
      </c>
      <c r="C8830" s="1" t="n">
        <v>45357</v>
      </c>
      <c r="D8830" t="inlineStr">
        <is>
          <t>VÄSTERBOTTENS LÄN</t>
        </is>
      </c>
      <c r="E8830" t="inlineStr">
        <is>
          <t>VÄNNÄS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9103-2023</t>
        </is>
      </c>
      <c r="B8831" s="1" t="n">
        <v>44979</v>
      </c>
      <c r="C8831" s="1" t="n">
        <v>45357</v>
      </c>
      <c r="D8831" t="inlineStr">
        <is>
          <t>VÄSTERBOTTENS LÄN</t>
        </is>
      </c>
      <c r="E8831" t="inlineStr">
        <is>
          <t>DOROTEA</t>
        </is>
      </c>
      <c r="F8831" t="inlineStr">
        <is>
          <t>SCA</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9968-2023</t>
        </is>
      </c>
      <c r="B8832" s="1" t="n">
        <v>44979</v>
      </c>
      <c r="C8832" s="1" t="n">
        <v>45357</v>
      </c>
      <c r="D8832" t="inlineStr">
        <is>
          <t>VÄSTERBOTTENS LÄN</t>
        </is>
      </c>
      <c r="E8832" t="inlineStr">
        <is>
          <t>VINDELN</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9980-2023</t>
        </is>
      </c>
      <c r="B8833" s="1" t="n">
        <v>44979</v>
      </c>
      <c r="C8833" s="1" t="n">
        <v>45357</v>
      </c>
      <c r="D8833" t="inlineStr">
        <is>
          <t>VÄSTERBOTTENS LÄN</t>
        </is>
      </c>
      <c r="E8833" t="inlineStr">
        <is>
          <t>SKELLEFTEÅ</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9079-2023</t>
        </is>
      </c>
      <c r="B8834" s="1" t="n">
        <v>44979</v>
      </c>
      <c r="C8834" s="1" t="n">
        <v>45357</v>
      </c>
      <c r="D8834" t="inlineStr">
        <is>
          <t>VÄSTERBOTTENS LÄN</t>
        </is>
      </c>
      <c r="E8834" t="inlineStr">
        <is>
          <t>SKELLEFTEÅ</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9085-2023</t>
        </is>
      </c>
      <c r="B8835" s="1" t="n">
        <v>44979</v>
      </c>
      <c r="C8835" s="1" t="n">
        <v>45357</v>
      </c>
      <c r="D8835" t="inlineStr">
        <is>
          <t>VÄSTERBOTTENS LÄN</t>
        </is>
      </c>
      <c r="E8835" t="inlineStr">
        <is>
          <t>VÄNNÄS</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9102-2023</t>
        </is>
      </c>
      <c r="B8836" s="1" t="n">
        <v>44979</v>
      </c>
      <c r="C8836" s="1" t="n">
        <v>45357</v>
      </c>
      <c r="D8836" t="inlineStr">
        <is>
          <t>VÄSTERBOTTENS LÄN</t>
        </is>
      </c>
      <c r="E8836" t="inlineStr">
        <is>
          <t>DOROTEA</t>
        </is>
      </c>
      <c r="F8836" t="inlineStr">
        <is>
          <t>SCA</t>
        </is>
      </c>
      <c r="G8836" t="n">
        <v>9.4</v>
      </c>
      <c r="H8836" t="n">
        <v>0</v>
      </c>
      <c r="I8836" t="n">
        <v>0</v>
      </c>
      <c r="J8836" t="n">
        <v>0</v>
      </c>
      <c r="K8836" t="n">
        <v>0</v>
      </c>
      <c r="L8836" t="n">
        <v>0</v>
      </c>
      <c r="M8836" t="n">
        <v>0</v>
      </c>
      <c r="N8836" t="n">
        <v>0</v>
      </c>
      <c r="O8836" t="n">
        <v>0</v>
      </c>
      <c r="P8836" t="n">
        <v>0</v>
      </c>
      <c r="Q8836" t="n">
        <v>0</v>
      </c>
      <c r="R8836" s="2" t="inlineStr"/>
    </row>
    <row r="8837" ht="15" customHeight="1">
      <c r="A8837" t="inlineStr">
        <is>
          <t>A 9982-2023</t>
        </is>
      </c>
      <c r="B8837" s="1" t="n">
        <v>44979</v>
      </c>
      <c r="C8837" s="1" t="n">
        <v>45357</v>
      </c>
      <c r="D8837" t="inlineStr">
        <is>
          <t>VÄSTERBOTTENS LÄN</t>
        </is>
      </c>
      <c r="E8837" t="inlineStr">
        <is>
          <t>SKELLEFTEÅ</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10172-2023</t>
        </is>
      </c>
      <c r="B8838" s="1" t="n">
        <v>44979</v>
      </c>
      <c r="C8838" s="1" t="n">
        <v>45357</v>
      </c>
      <c r="D8838" t="inlineStr">
        <is>
          <t>VÄSTERBOTTENS LÄN</t>
        </is>
      </c>
      <c r="E8838" t="inlineStr">
        <is>
          <t>SKELLEFTEÅ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9209-2023</t>
        </is>
      </c>
      <c r="B8839" s="1" t="n">
        <v>44980</v>
      </c>
      <c r="C8839" s="1" t="n">
        <v>45357</v>
      </c>
      <c r="D8839" t="inlineStr">
        <is>
          <t>VÄSTERBOTTENS LÄN</t>
        </is>
      </c>
      <c r="E8839" t="inlineStr">
        <is>
          <t>SKELLEFTEÅ</t>
        </is>
      </c>
      <c r="F8839" t="inlineStr">
        <is>
          <t>Holmen skog AB</t>
        </is>
      </c>
      <c r="G8839" t="n">
        <v>6.9</v>
      </c>
      <c r="H8839" t="n">
        <v>0</v>
      </c>
      <c r="I8839" t="n">
        <v>0</v>
      </c>
      <c r="J8839" t="n">
        <v>0</v>
      </c>
      <c r="K8839" t="n">
        <v>0</v>
      </c>
      <c r="L8839" t="n">
        <v>0</v>
      </c>
      <c r="M8839" t="n">
        <v>0</v>
      </c>
      <c r="N8839" t="n">
        <v>0</v>
      </c>
      <c r="O8839" t="n">
        <v>0</v>
      </c>
      <c r="P8839" t="n">
        <v>0</v>
      </c>
      <c r="Q8839" t="n">
        <v>0</v>
      </c>
      <c r="R8839" s="2" t="inlineStr"/>
    </row>
    <row r="8840" ht="15" customHeight="1">
      <c r="A8840" t="inlineStr">
        <is>
          <t>A 9304-2023</t>
        </is>
      </c>
      <c r="B8840" s="1" t="n">
        <v>44980</v>
      </c>
      <c r="C8840" s="1" t="n">
        <v>45357</v>
      </c>
      <c r="D8840" t="inlineStr">
        <is>
          <t>VÄSTERBOTTENS LÄN</t>
        </is>
      </c>
      <c r="E8840" t="inlineStr">
        <is>
          <t>UMEÅ</t>
        </is>
      </c>
      <c r="F8840" t="inlineStr">
        <is>
          <t>Holmen skog AB</t>
        </is>
      </c>
      <c r="G8840" t="n">
        <v>10.3</v>
      </c>
      <c r="H8840" t="n">
        <v>0</v>
      </c>
      <c r="I8840" t="n">
        <v>0</v>
      </c>
      <c r="J8840" t="n">
        <v>0</v>
      </c>
      <c r="K8840" t="n">
        <v>0</v>
      </c>
      <c r="L8840" t="n">
        <v>0</v>
      </c>
      <c r="M8840" t="n">
        <v>0</v>
      </c>
      <c r="N8840" t="n">
        <v>0</v>
      </c>
      <c r="O8840" t="n">
        <v>0</v>
      </c>
      <c r="P8840" t="n">
        <v>0</v>
      </c>
      <c r="Q8840" t="n">
        <v>0</v>
      </c>
      <c r="R8840" s="2" t="inlineStr"/>
    </row>
    <row r="8841" ht="15" customHeight="1">
      <c r="A8841" t="inlineStr">
        <is>
          <t>A 9343-2023</t>
        </is>
      </c>
      <c r="B8841" s="1" t="n">
        <v>44980</v>
      </c>
      <c r="C8841" s="1" t="n">
        <v>45357</v>
      </c>
      <c r="D8841" t="inlineStr">
        <is>
          <t>VÄSTERBOTTENS LÄN</t>
        </is>
      </c>
      <c r="E8841" t="inlineStr">
        <is>
          <t>SKELLEFTEÅ</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9342-2023</t>
        </is>
      </c>
      <c r="B8842" s="1" t="n">
        <v>44980</v>
      </c>
      <c r="C8842" s="1" t="n">
        <v>45357</v>
      </c>
      <c r="D8842" t="inlineStr">
        <is>
          <t>VÄSTERBOTTENS LÄN</t>
        </is>
      </c>
      <c r="E8842" t="inlineStr">
        <is>
          <t>SKELLEFTEÅ</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9305-2023</t>
        </is>
      </c>
      <c r="B8843" s="1" t="n">
        <v>44980</v>
      </c>
      <c r="C8843" s="1" t="n">
        <v>45357</v>
      </c>
      <c r="D8843" t="inlineStr">
        <is>
          <t>VÄSTERBOTTENS LÄN</t>
        </is>
      </c>
      <c r="E8843" t="inlineStr">
        <is>
          <t>ROBERTSFORS</t>
        </is>
      </c>
      <c r="F8843" t="inlineStr">
        <is>
          <t>Holmen skog AB</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9315-2023</t>
        </is>
      </c>
      <c r="B8844" s="1" t="n">
        <v>44980</v>
      </c>
      <c r="C8844" s="1" t="n">
        <v>45357</v>
      </c>
      <c r="D8844" t="inlineStr">
        <is>
          <t>VÄSTERBOTTENS LÄN</t>
        </is>
      </c>
      <c r="E8844" t="inlineStr">
        <is>
          <t>ROBERTSFORS</t>
        </is>
      </c>
      <c r="F8844" t="inlineStr">
        <is>
          <t>Holmen skog AB</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9345-2023</t>
        </is>
      </c>
      <c r="B8845" s="1" t="n">
        <v>44980</v>
      </c>
      <c r="C8845" s="1" t="n">
        <v>45357</v>
      </c>
      <c r="D8845" t="inlineStr">
        <is>
          <t>VÄSTERBOTTENS LÄN</t>
        </is>
      </c>
      <c r="E8845" t="inlineStr">
        <is>
          <t>SKELLEFTEÅ</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9355-2023</t>
        </is>
      </c>
      <c r="B8846" s="1" t="n">
        <v>44980</v>
      </c>
      <c r="C8846" s="1" t="n">
        <v>45357</v>
      </c>
      <c r="D8846" t="inlineStr">
        <is>
          <t>VÄSTERBOTTENS LÄN</t>
        </is>
      </c>
      <c r="E8846" t="inlineStr">
        <is>
          <t>ÅSELE</t>
        </is>
      </c>
      <c r="F8846" t="inlineStr">
        <is>
          <t>SCA</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10188-2023</t>
        </is>
      </c>
      <c r="B8847" s="1" t="n">
        <v>44980</v>
      </c>
      <c r="C8847" s="1" t="n">
        <v>45357</v>
      </c>
      <c r="D8847" t="inlineStr">
        <is>
          <t>VÄSTERBOTTENS LÄN</t>
        </is>
      </c>
      <c r="E8847" t="inlineStr">
        <is>
          <t>ROBERTSFORS</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10331-2023</t>
        </is>
      </c>
      <c r="B8848" s="1" t="n">
        <v>44980</v>
      </c>
      <c r="C8848" s="1" t="n">
        <v>45357</v>
      </c>
      <c r="D8848" t="inlineStr">
        <is>
          <t>VÄSTERBOTTENS LÄN</t>
        </is>
      </c>
      <c r="E8848" t="inlineStr">
        <is>
          <t>LYCKSELE</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10343-2023</t>
        </is>
      </c>
      <c r="B8849" s="1" t="n">
        <v>44980</v>
      </c>
      <c r="C8849" s="1" t="n">
        <v>45357</v>
      </c>
      <c r="D8849" t="inlineStr">
        <is>
          <t>VÄSTERBOTTENS LÄN</t>
        </is>
      </c>
      <c r="E8849" t="inlineStr">
        <is>
          <t>BJURHOLM</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10345-2023</t>
        </is>
      </c>
      <c r="B8850" s="1" t="n">
        <v>44980</v>
      </c>
      <c r="C8850" s="1" t="n">
        <v>45357</v>
      </c>
      <c r="D8850" t="inlineStr">
        <is>
          <t>VÄSTERBOTTENS LÄN</t>
        </is>
      </c>
      <c r="E8850" t="inlineStr">
        <is>
          <t>LYCKSELE</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10360-2023</t>
        </is>
      </c>
      <c r="B8851" s="1" t="n">
        <v>44980</v>
      </c>
      <c r="C8851" s="1" t="n">
        <v>45357</v>
      </c>
      <c r="D8851" t="inlineStr">
        <is>
          <t>VÄSTERBOTTENS LÄN</t>
        </is>
      </c>
      <c r="E8851" t="inlineStr">
        <is>
          <t>DOROTEA</t>
        </is>
      </c>
      <c r="G8851" t="n">
        <v>18.6</v>
      </c>
      <c r="H8851" t="n">
        <v>0</v>
      </c>
      <c r="I8851" t="n">
        <v>0</v>
      </c>
      <c r="J8851" t="n">
        <v>0</v>
      </c>
      <c r="K8851" t="n">
        <v>0</v>
      </c>
      <c r="L8851" t="n">
        <v>0</v>
      </c>
      <c r="M8851" t="n">
        <v>0</v>
      </c>
      <c r="N8851" t="n">
        <v>0</v>
      </c>
      <c r="O8851" t="n">
        <v>0</v>
      </c>
      <c r="P8851" t="n">
        <v>0</v>
      </c>
      <c r="Q8851" t="n">
        <v>0</v>
      </c>
      <c r="R8851" s="2" t="inlineStr"/>
    </row>
    <row r="8852" ht="15" customHeight="1">
      <c r="A8852" t="inlineStr">
        <is>
          <t>A 10357-2023</t>
        </is>
      </c>
      <c r="B8852" s="1" t="n">
        <v>44980</v>
      </c>
      <c r="C8852" s="1" t="n">
        <v>45357</v>
      </c>
      <c r="D8852" t="inlineStr">
        <is>
          <t>VÄSTERBOTTENS LÄN</t>
        </is>
      </c>
      <c r="E8852" t="inlineStr">
        <is>
          <t>UMEÅ</t>
        </is>
      </c>
      <c r="F8852" t="inlineStr">
        <is>
          <t>Kommuner</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10334-2023</t>
        </is>
      </c>
      <c r="B8853" s="1" t="n">
        <v>44980</v>
      </c>
      <c r="C8853" s="1" t="n">
        <v>45357</v>
      </c>
      <c r="D8853" t="inlineStr">
        <is>
          <t>VÄSTERBOTTENS LÄN</t>
        </is>
      </c>
      <c r="E8853" t="inlineStr">
        <is>
          <t>ROBERTSFORS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10341-2023</t>
        </is>
      </c>
      <c r="B8854" s="1" t="n">
        <v>44980</v>
      </c>
      <c r="C8854" s="1" t="n">
        <v>45357</v>
      </c>
      <c r="D8854" t="inlineStr">
        <is>
          <t>VÄSTERBOTTENS LÄN</t>
        </is>
      </c>
      <c r="E8854" t="inlineStr">
        <is>
          <t>LYCKSELE</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10351-2023</t>
        </is>
      </c>
      <c r="B8855" s="1" t="n">
        <v>44980</v>
      </c>
      <c r="C8855" s="1" t="n">
        <v>45357</v>
      </c>
      <c r="D8855" t="inlineStr">
        <is>
          <t>VÄSTERBOTTENS LÄN</t>
        </is>
      </c>
      <c r="E8855" t="inlineStr">
        <is>
          <t>BJURHOLM</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9402-2023</t>
        </is>
      </c>
      <c r="B8856" s="1" t="n">
        <v>44981</v>
      </c>
      <c r="C8856" s="1" t="n">
        <v>45357</v>
      </c>
      <c r="D8856" t="inlineStr">
        <is>
          <t>VÄSTERBOTTENS LÄN</t>
        </is>
      </c>
      <c r="E8856" t="inlineStr">
        <is>
          <t>SKELLEFTEÅ</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9463-2023</t>
        </is>
      </c>
      <c r="B8857" s="1" t="n">
        <v>44981</v>
      </c>
      <c r="C8857" s="1" t="n">
        <v>45357</v>
      </c>
      <c r="D8857" t="inlineStr">
        <is>
          <t>VÄSTERBOTTENS LÄN</t>
        </is>
      </c>
      <c r="E8857" t="inlineStr">
        <is>
          <t>SKELLEFTEÅ</t>
        </is>
      </c>
      <c r="G8857" t="n">
        <v>7.8</v>
      </c>
      <c r="H8857" t="n">
        <v>0</v>
      </c>
      <c r="I8857" t="n">
        <v>0</v>
      </c>
      <c r="J8857" t="n">
        <v>0</v>
      </c>
      <c r="K8857" t="n">
        <v>0</v>
      </c>
      <c r="L8857" t="n">
        <v>0</v>
      </c>
      <c r="M8857" t="n">
        <v>0</v>
      </c>
      <c r="N8857" t="n">
        <v>0</v>
      </c>
      <c r="O8857" t="n">
        <v>0</v>
      </c>
      <c r="P8857" t="n">
        <v>0</v>
      </c>
      <c r="Q8857" t="n">
        <v>0</v>
      </c>
      <c r="R8857" s="2" t="inlineStr"/>
    </row>
    <row r="8858" ht="15" customHeight="1">
      <c r="A8858" t="inlineStr">
        <is>
          <t>A 10386-2023</t>
        </is>
      </c>
      <c r="B8858" s="1" t="n">
        <v>44981</v>
      </c>
      <c r="C8858" s="1" t="n">
        <v>45357</v>
      </c>
      <c r="D8858" t="inlineStr">
        <is>
          <t>VÄSTERBOTTENS LÄN</t>
        </is>
      </c>
      <c r="E8858" t="inlineStr">
        <is>
          <t>LYCKSELE</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10489-2023</t>
        </is>
      </c>
      <c r="B8859" s="1" t="n">
        <v>44981</v>
      </c>
      <c r="C8859" s="1" t="n">
        <v>45357</v>
      </c>
      <c r="D8859" t="inlineStr">
        <is>
          <t>VÄSTERBOTTENS LÄN</t>
        </is>
      </c>
      <c r="E8859" t="inlineStr">
        <is>
          <t>VINDELN</t>
        </is>
      </c>
      <c r="G8859" t="n">
        <v>9</v>
      </c>
      <c r="H8859" t="n">
        <v>0</v>
      </c>
      <c r="I8859" t="n">
        <v>0</v>
      </c>
      <c r="J8859" t="n">
        <v>0</v>
      </c>
      <c r="K8859" t="n">
        <v>0</v>
      </c>
      <c r="L8859" t="n">
        <v>0</v>
      </c>
      <c r="M8859" t="n">
        <v>0</v>
      </c>
      <c r="N8859" t="n">
        <v>0</v>
      </c>
      <c r="O8859" t="n">
        <v>0</v>
      </c>
      <c r="P8859" t="n">
        <v>0</v>
      </c>
      <c r="Q8859" t="n">
        <v>0</v>
      </c>
      <c r="R8859" s="2" t="inlineStr"/>
    </row>
    <row r="8860" ht="15" customHeight="1">
      <c r="A8860" t="inlineStr">
        <is>
          <t>A 10568-2023</t>
        </is>
      </c>
      <c r="B8860" s="1" t="n">
        <v>44981</v>
      </c>
      <c r="C8860" s="1" t="n">
        <v>45357</v>
      </c>
      <c r="D8860" t="inlineStr">
        <is>
          <t>VÄSTERBOTTENS LÄN</t>
        </is>
      </c>
      <c r="E8860" t="inlineStr">
        <is>
          <t>SKELLEFTEÅ</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9493-2023</t>
        </is>
      </c>
      <c r="B8861" s="1" t="n">
        <v>44981</v>
      </c>
      <c r="C8861" s="1" t="n">
        <v>45357</v>
      </c>
      <c r="D8861" t="inlineStr">
        <is>
          <t>VÄSTERBOTTENS LÄN</t>
        </is>
      </c>
      <c r="E8861" t="inlineStr">
        <is>
          <t>UMEÅ</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10390-2023</t>
        </is>
      </c>
      <c r="B8862" s="1" t="n">
        <v>44981</v>
      </c>
      <c r="C8862" s="1" t="n">
        <v>45357</v>
      </c>
      <c r="D8862" t="inlineStr">
        <is>
          <t>VÄSTERBOTTENS LÄN</t>
        </is>
      </c>
      <c r="E8862" t="inlineStr">
        <is>
          <t>NORDMALING</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9531-2023</t>
        </is>
      </c>
      <c r="B8863" s="1" t="n">
        <v>44981</v>
      </c>
      <c r="C8863" s="1" t="n">
        <v>45357</v>
      </c>
      <c r="D8863" t="inlineStr">
        <is>
          <t>VÄSTERBOTTENS LÄN</t>
        </is>
      </c>
      <c r="E8863" t="inlineStr">
        <is>
          <t>UMEÅ</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9541-2023</t>
        </is>
      </c>
      <c r="B8864" s="1" t="n">
        <v>44981</v>
      </c>
      <c r="C8864" s="1" t="n">
        <v>45357</v>
      </c>
      <c r="D8864" t="inlineStr">
        <is>
          <t>VÄSTERBOTTENS LÄN</t>
        </is>
      </c>
      <c r="E8864" t="inlineStr">
        <is>
          <t>NORDMALING</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10485-2023</t>
        </is>
      </c>
      <c r="B8865" s="1" t="n">
        <v>44981</v>
      </c>
      <c r="C8865" s="1" t="n">
        <v>45357</v>
      </c>
      <c r="D8865" t="inlineStr">
        <is>
          <t>VÄSTERBOTTENS LÄN</t>
        </is>
      </c>
      <c r="E8865" t="inlineStr">
        <is>
          <t>LYCKSELE</t>
        </is>
      </c>
      <c r="F8865" t="inlineStr">
        <is>
          <t>Sveaskog</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10487-2023</t>
        </is>
      </c>
      <c r="B8866" s="1" t="n">
        <v>44981</v>
      </c>
      <c r="C8866" s="1" t="n">
        <v>45357</v>
      </c>
      <c r="D8866" t="inlineStr">
        <is>
          <t>VÄSTERBOTTENS LÄN</t>
        </is>
      </c>
      <c r="E8866" t="inlineStr">
        <is>
          <t>UMEÅ</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10567-2023</t>
        </is>
      </c>
      <c r="B8867" s="1" t="n">
        <v>44981</v>
      </c>
      <c r="C8867" s="1" t="n">
        <v>45357</v>
      </c>
      <c r="D8867" t="inlineStr">
        <is>
          <t>VÄSTERBOTTENS LÄN</t>
        </is>
      </c>
      <c r="E8867" t="inlineStr">
        <is>
          <t>SKELLEFTEÅ</t>
        </is>
      </c>
      <c r="G8867" t="n">
        <v>7.8</v>
      </c>
      <c r="H8867" t="n">
        <v>0</v>
      </c>
      <c r="I8867" t="n">
        <v>0</v>
      </c>
      <c r="J8867" t="n">
        <v>0</v>
      </c>
      <c r="K8867" t="n">
        <v>0</v>
      </c>
      <c r="L8867" t="n">
        <v>0</v>
      </c>
      <c r="M8867" t="n">
        <v>0</v>
      </c>
      <c r="N8867" t="n">
        <v>0</v>
      </c>
      <c r="O8867" t="n">
        <v>0</v>
      </c>
      <c r="P8867" t="n">
        <v>0</v>
      </c>
      <c r="Q8867" t="n">
        <v>0</v>
      </c>
      <c r="R8867" s="2" t="inlineStr"/>
    </row>
    <row r="8868" ht="15" customHeight="1">
      <c r="A8868" t="inlineStr">
        <is>
          <t>A 10570-2023</t>
        </is>
      </c>
      <c r="B8868" s="1" t="n">
        <v>44981</v>
      </c>
      <c r="C8868" s="1" t="n">
        <v>45357</v>
      </c>
      <c r="D8868" t="inlineStr">
        <is>
          <t>VÄSTERBOTTENS LÄN</t>
        </is>
      </c>
      <c r="E8868" t="inlineStr">
        <is>
          <t>SKELLEFTEÅ</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9534-2023</t>
        </is>
      </c>
      <c r="B8869" s="1" t="n">
        <v>44981</v>
      </c>
      <c r="C8869" s="1" t="n">
        <v>45357</v>
      </c>
      <c r="D8869" t="inlineStr">
        <is>
          <t>VÄSTERBOTTENS LÄN</t>
        </is>
      </c>
      <c r="E8869" t="inlineStr">
        <is>
          <t>VILHELMINA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9607-2023</t>
        </is>
      </c>
      <c r="B8870" s="1" t="n">
        <v>44983</v>
      </c>
      <c r="C8870" s="1" t="n">
        <v>45357</v>
      </c>
      <c r="D8870" t="inlineStr">
        <is>
          <t>VÄSTERBOTTENS LÄN</t>
        </is>
      </c>
      <c r="E8870" t="inlineStr">
        <is>
          <t>UMEÅ</t>
        </is>
      </c>
      <c r="F8870" t="inlineStr">
        <is>
          <t>Holmen skog AB</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9784-2023</t>
        </is>
      </c>
      <c r="B8871" s="1" t="n">
        <v>44984</v>
      </c>
      <c r="C8871" s="1" t="n">
        <v>45357</v>
      </c>
      <c r="D8871" t="inlineStr">
        <is>
          <t>VÄSTERBOTTENS LÄN</t>
        </is>
      </c>
      <c r="E8871" t="inlineStr">
        <is>
          <t>SORSELE</t>
        </is>
      </c>
      <c r="G8871" t="n">
        <v>9.800000000000001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9856-2023</t>
        </is>
      </c>
      <c r="B8872" s="1" t="n">
        <v>44984</v>
      </c>
      <c r="C8872" s="1" t="n">
        <v>45357</v>
      </c>
      <c r="D8872" t="inlineStr">
        <is>
          <t>VÄSTERBOTTENS LÄN</t>
        </is>
      </c>
      <c r="E8872" t="inlineStr">
        <is>
          <t>ÅSELE</t>
        </is>
      </c>
      <c r="F8872" t="inlineStr">
        <is>
          <t>SCA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10587-2023</t>
        </is>
      </c>
      <c r="B8873" s="1" t="n">
        <v>44984</v>
      </c>
      <c r="C8873" s="1" t="n">
        <v>45357</v>
      </c>
      <c r="D8873" t="inlineStr">
        <is>
          <t>VÄSTERBOTTENS LÄN</t>
        </is>
      </c>
      <c r="E8873" t="inlineStr">
        <is>
          <t>UMEÅ</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9781-2023</t>
        </is>
      </c>
      <c r="B8874" s="1" t="n">
        <v>44984</v>
      </c>
      <c r="C8874" s="1" t="n">
        <v>45357</v>
      </c>
      <c r="D8874" t="inlineStr">
        <is>
          <t>VÄSTERBOTTENS LÄN</t>
        </is>
      </c>
      <c r="E8874" t="inlineStr">
        <is>
          <t>NORDMALING</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9847-2023</t>
        </is>
      </c>
      <c r="B8875" s="1" t="n">
        <v>44984</v>
      </c>
      <c r="C8875" s="1" t="n">
        <v>45357</v>
      </c>
      <c r="D8875" t="inlineStr">
        <is>
          <t>VÄSTERBOTTENS LÄN</t>
        </is>
      </c>
      <c r="E8875" t="inlineStr">
        <is>
          <t>NORDMALING</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9844-2023</t>
        </is>
      </c>
      <c r="B8876" s="1" t="n">
        <v>44984</v>
      </c>
      <c r="C8876" s="1" t="n">
        <v>45357</v>
      </c>
      <c r="D8876" t="inlineStr">
        <is>
          <t>VÄSTERBOTTENS LÄN</t>
        </is>
      </c>
      <c r="E8876" t="inlineStr">
        <is>
          <t>VILHELMINA</t>
        </is>
      </c>
      <c r="G8876" t="n">
        <v>21.8</v>
      </c>
      <c r="H8876" t="n">
        <v>0</v>
      </c>
      <c r="I8876" t="n">
        <v>0</v>
      </c>
      <c r="J8876" t="n">
        <v>0</v>
      </c>
      <c r="K8876" t="n">
        <v>0</v>
      </c>
      <c r="L8876" t="n">
        <v>0</v>
      </c>
      <c r="M8876" t="n">
        <v>0</v>
      </c>
      <c r="N8876" t="n">
        <v>0</v>
      </c>
      <c r="O8876" t="n">
        <v>0</v>
      </c>
      <c r="P8876" t="n">
        <v>0</v>
      </c>
      <c r="Q8876" t="n">
        <v>0</v>
      </c>
      <c r="R8876" s="2" t="inlineStr"/>
    </row>
    <row r="8877" ht="15" customHeight="1">
      <c r="A8877" t="inlineStr">
        <is>
          <t>A 9855-2023</t>
        </is>
      </c>
      <c r="B8877" s="1" t="n">
        <v>44984</v>
      </c>
      <c r="C8877" s="1" t="n">
        <v>45357</v>
      </c>
      <c r="D8877" t="inlineStr">
        <is>
          <t>VÄSTERBOTTENS LÄN</t>
        </is>
      </c>
      <c r="E8877" t="inlineStr">
        <is>
          <t>ÅSELE</t>
        </is>
      </c>
      <c r="F8877" t="inlineStr">
        <is>
          <t>SCA</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10582-2023</t>
        </is>
      </c>
      <c r="B8878" s="1" t="n">
        <v>44984</v>
      </c>
      <c r="C8878" s="1" t="n">
        <v>45357</v>
      </c>
      <c r="D8878" t="inlineStr">
        <is>
          <t>VÄSTERBOTTENS LÄN</t>
        </is>
      </c>
      <c r="E8878" t="inlineStr">
        <is>
          <t>ÅSELE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10696-2023</t>
        </is>
      </c>
      <c r="B8879" s="1" t="n">
        <v>44984</v>
      </c>
      <c r="C8879" s="1" t="n">
        <v>45357</v>
      </c>
      <c r="D8879" t="inlineStr">
        <is>
          <t>VÄSTERBOTTENS LÄN</t>
        </is>
      </c>
      <c r="E8879" t="inlineStr">
        <is>
          <t>SKELLEFTEÅ</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10647-2023</t>
        </is>
      </c>
      <c r="B8880" s="1" t="n">
        <v>44984</v>
      </c>
      <c r="C8880" s="1" t="n">
        <v>45357</v>
      </c>
      <c r="D8880" t="inlineStr">
        <is>
          <t>VÄSTERBOTTENS LÄN</t>
        </is>
      </c>
      <c r="E8880" t="inlineStr">
        <is>
          <t>SKELLEFTEÅ</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10597-2023</t>
        </is>
      </c>
      <c r="B8881" s="1" t="n">
        <v>44984</v>
      </c>
      <c r="C8881" s="1" t="n">
        <v>45357</v>
      </c>
      <c r="D8881" t="inlineStr">
        <is>
          <t>VÄSTERBOTTENS LÄN</t>
        </is>
      </c>
      <c r="E8881" t="inlineStr">
        <is>
          <t>NORDMALING</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10636-2023</t>
        </is>
      </c>
      <c r="B8882" s="1" t="n">
        <v>44984</v>
      </c>
      <c r="C8882" s="1" t="n">
        <v>45357</v>
      </c>
      <c r="D8882" t="inlineStr">
        <is>
          <t>VÄSTERBOTTENS LÄN</t>
        </is>
      </c>
      <c r="E8882" t="inlineStr">
        <is>
          <t>UMEÅ</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10072-2023</t>
        </is>
      </c>
      <c r="B8883" s="1" t="n">
        <v>44985</v>
      </c>
      <c r="C8883" s="1" t="n">
        <v>45357</v>
      </c>
      <c r="D8883" t="inlineStr">
        <is>
          <t>VÄSTERBOTTENS LÄN</t>
        </is>
      </c>
      <c r="E8883" t="inlineStr">
        <is>
          <t>SKELLEFTEÅ</t>
        </is>
      </c>
      <c r="G8883" t="n">
        <v>8.4</v>
      </c>
      <c r="H8883" t="n">
        <v>0</v>
      </c>
      <c r="I8883" t="n">
        <v>0</v>
      </c>
      <c r="J8883" t="n">
        <v>0</v>
      </c>
      <c r="K8883" t="n">
        <v>0</v>
      </c>
      <c r="L8883" t="n">
        <v>0</v>
      </c>
      <c r="M8883" t="n">
        <v>0</v>
      </c>
      <c r="N8883" t="n">
        <v>0</v>
      </c>
      <c r="O8883" t="n">
        <v>0</v>
      </c>
      <c r="P8883" t="n">
        <v>0</v>
      </c>
      <c r="Q8883" t="n">
        <v>0</v>
      </c>
      <c r="R8883" s="2" t="inlineStr"/>
    </row>
    <row r="8884" ht="15" customHeight="1">
      <c r="A8884" t="inlineStr">
        <is>
          <t>A 10080-2023</t>
        </is>
      </c>
      <c r="B8884" s="1" t="n">
        <v>44985</v>
      </c>
      <c r="C8884" s="1" t="n">
        <v>45357</v>
      </c>
      <c r="D8884" t="inlineStr">
        <is>
          <t>VÄSTERBOTTENS LÄN</t>
        </is>
      </c>
      <c r="E8884" t="inlineStr">
        <is>
          <t>ÅSELE</t>
        </is>
      </c>
      <c r="F8884" t="inlineStr">
        <is>
          <t>SCA</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10073-2023</t>
        </is>
      </c>
      <c r="B8885" s="1" t="n">
        <v>44985</v>
      </c>
      <c r="C8885" s="1" t="n">
        <v>45357</v>
      </c>
      <c r="D8885" t="inlineStr">
        <is>
          <t>VÄSTERBOTTENS LÄN</t>
        </is>
      </c>
      <c r="E8885" t="inlineStr">
        <is>
          <t>SKELLEFTEÅ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10941-2023</t>
        </is>
      </c>
      <c r="B8886" s="1" t="n">
        <v>44985</v>
      </c>
      <c r="C8886" s="1" t="n">
        <v>45357</v>
      </c>
      <c r="D8886" t="inlineStr">
        <is>
          <t>VÄSTERBOTTENS LÄN</t>
        </is>
      </c>
      <c r="E8886" t="inlineStr">
        <is>
          <t>VILHELMINA</t>
        </is>
      </c>
      <c r="G8886" t="n">
        <v>16.7</v>
      </c>
      <c r="H8886" t="n">
        <v>0</v>
      </c>
      <c r="I8886" t="n">
        <v>0</v>
      </c>
      <c r="J8886" t="n">
        <v>0</v>
      </c>
      <c r="K8886" t="n">
        <v>0</v>
      </c>
      <c r="L8886" t="n">
        <v>0</v>
      </c>
      <c r="M8886" t="n">
        <v>0</v>
      </c>
      <c r="N8886" t="n">
        <v>0</v>
      </c>
      <c r="O8886" t="n">
        <v>0</v>
      </c>
      <c r="P8886" t="n">
        <v>0</v>
      </c>
      <c r="Q8886" t="n">
        <v>0</v>
      </c>
      <c r="R8886" s="2" t="inlineStr"/>
    </row>
    <row r="8887" ht="15" customHeight="1">
      <c r="A8887" t="inlineStr">
        <is>
          <t>A 10952-2023</t>
        </is>
      </c>
      <c r="B8887" s="1" t="n">
        <v>44985</v>
      </c>
      <c r="C8887" s="1" t="n">
        <v>45357</v>
      </c>
      <c r="D8887" t="inlineStr">
        <is>
          <t>VÄSTERBOTTENS LÄN</t>
        </is>
      </c>
      <c r="E8887" t="inlineStr">
        <is>
          <t>VILHELMINA</t>
        </is>
      </c>
      <c r="G8887" t="n">
        <v>10.6</v>
      </c>
      <c r="H8887" t="n">
        <v>0</v>
      </c>
      <c r="I8887" t="n">
        <v>0</v>
      </c>
      <c r="J8887" t="n">
        <v>0</v>
      </c>
      <c r="K8887" t="n">
        <v>0</v>
      </c>
      <c r="L8887" t="n">
        <v>0</v>
      </c>
      <c r="M8887" t="n">
        <v>0</v>
      </c>
      <c r="N8887" t="n">
        <v>0</v>
      </c>
      <c r="O8887" t="n">
        <v>0</v>
      </c>
      <c r="P8887" t="n">
        <v>0</v>
      </c>
      <c r="Q8887" t="n">
        <v>0</v>
      </c>
      <c r="R8887" s="2" t="inlineStr"/>
    </row>
    <row r="8888" ht="15" customHeight="1">
      <c r="A8888" t="inlineStr">
        <is>
          <t>A 10082-2023</t>
        </is>
      </c>
      <c r="B8888" s="1" t="n">
        <v>44985</v>
      </c>
      <c r="C8888" s="1" t="n">
        <v>45357</v>
      </c>
      <c r="D8888" t="inlineStr">
        <is>
          <t>VÄSTERBOTTENS LÄN</t>
        </is>
      </c>
      <c r="E8888" t="inlineStr">
        <is>
          <t>ÅSELE</t>
        </is>
      </c>
      <c r="F8888" t="inlineStr">
        <is>
          <t>SCA</t>
        </is>
      </c>
      <c r="G8888" t="n">
        <v>8.199999999999999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10840-2023</t>
        </is>
      </c>
      <c r="B8889" s="1" t="n">
        <v>44985</v>
      </c>
      <c r="C8889" s="1" t="n">
        <v>45357</v>
      </c>
      <c r="D8889" t="inlineStr">
        <is>
          <t>VÄSTERBOTTENS LÄN</t>
        </is>
      </c>
      <c r="E8889" t="inlineStr">
        <is>
          <t>SKELLEFTEÅ</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10846-2023</t>
        </is>
      </c>
      <c r="B8890" s="1" t="n">
        <v>44985</v>
      </c>
      <c r="C8890" s="1" t="n">
        <v>45357</v>
      </c>
      <c r="D8890" t="inlineStr">
        <is>
          <t>VÄSTERBOTTENS LÄN</t>
        </is>
      </c>
      <c r="E8890" t="inlineStr">
        <is>
          <t>SKELLEFTEÅ</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10937-2023</t>
        </is>
      </c>
      <c r="B8891" s="1" t="n">
        <v>44985</v>
      </c>
      <c r="C8891" s="1" t="n">
        <v>45357</v>
      </c>
      <c r="D8891" t="inlineStr">
        <is>
          <t>VÄSTERBOTTENS LÄN</t>
        </is>
      </c>
      <c r="E8891" t="inlineStr">
        <is>
          <t>VILHELMINA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10947-2023</t>
        </is>
      </c>
      <c r="B8892" s="1" t="n">
        <v>44985</v>
      </c>
      <c r="C8892" s="1" t="n">
        <v>45357</v>
      </c>
      <c r="D8892" t="inlineStr">
        <is>
          <t>VÄSTERBOTTENS LÄN</t>
        </is>
      </c>
      <c r="E8892" t="inlineStr">
        <is>
          <t>VILHELMINA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10852-2023</t>
        </is>
      </c>
      <c r="B8893" s="1" t="n">
        <v>44985</v>
      </c>
      <c r="C8893" s="1" t="n">
        <v>45357</v>
      </c>
      <c r="D8893" t="inlineStr">
        <is>
          <t>VÄSTERBOTTENS LÄN</t>
        </is>
      </c>
      <c r="E8893" t="inlineStr">
        <is>
          <t>SKELLEFTEÅ</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10956-2023</t>
        </is>
      </c>
      <c r="B8894" s="1" t="n">
        <v>44985</v>
      </c>
      <c r="C8894" s="1" t="n">
        <v>45357</v>
      </c>
      <c r="D8894" t="inlineStr">
        <is>
          <t>VÄSTERBOTTENS LÄN</t>
        </is>
      </c>
      <c r="E8894" t="inlineStr">
        <is>
          <t>VILHELMINA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10977-2023</t>
        </is>
      </c>
      <c r="B8895" s="1" t="n">
        <v>44985</v>
      </c>
      <c r="C8895" s="1" t="n">
        <v>45357</v>
      </c>
      <c r="D8895" t="inlineStr">
        <is>
          <t>VÄSTERBOTTENS LÄN</t>
        </is>
      </c>
      <c r="E8895" t="inlineStr">
        <is>
          <t>MALÅ</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10933-2023</t>
        </is>
      </c>
      <c r="B8896" s="1" t="n">
        <v>44985</v>
      </c>
      <c r="C8896" s="1" t="n">
        <v>45357</v>
      </c>
      <c r="D8896" t="inlineStr">
        <is>
          <t>VÄSTERBOTTENS LÄN</t>
        </is>
      </c>
      <c r="E8896" t="inlineStr">
        <is>
          <t>VILHELMINA</t>
        </is>
      </c>
      <c r="G8896" t="n">
        <v>9.5</v>
      </c>
      <c r="H8896" t="n">
        <v>0</v>
      </c>
      <c r="I8896" t="n">
        <v>0</v>
      </c>
      <c r="J8896" t="n">
        <v>0</v>
      </c>
      <c r="K8896" t="n">
        <v>0</v>
      </c>
      <c r="L8896" t="n">
        <v>0</v>
      </c>
      <c r="M8896" t="n">
        <v>0</v>
      </c>
      <c r="N8896" t="n">
        <v>0</v>
      </c>
      <c r="O8896" t="n">
        <v>0</v>
      </c>
      <c r="P8896" t="n">
        <v>0</v>
      </c>
      <c r="Q8896" t="n">
        <v>0</v>
      </c>
      <c r="R8896" s="2" t="inlineStr"/>
    </row>
    <row r="8897" ht="15" customHeight="1">
      <c r="A8897" t="inlineStr">
        <is>
          <t>A 10953-2023</t>
        </is>
      </c>
      <c r="B8897" s="1" t="n">
        <v>44985</v>
      </c>
      <c r="C8897" s="1" t="n">
        <v>45357</v>
      </c>
      <c r="D8897" t="inlineStr">
        <is>
          <t>VÄSTERBOTTENS LÄN</t>
        </is>
      </c>
      <c r="E8897" t="inlineStr">
        <is>
          <t>LYCKSELE</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10976-2023</t>
        </is>
      </c>
      <c r="B8898" s="1" t="n">
        <v>44985</v>
      </c>
      <c r="C8898" s="1" t="n">
        <v>45357</v>
      </c>
      <c r="D8898" t="inlineStr">
        <is>
          <t>VÄSTERBOTTENS LÄN</t>
        </is>
      </c>
      <c r="E8898" t="inlineStr">
        <is>
          <t>LYCKSELE</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10984-2023</t>
        </is>
      </c>
      <c r="B8899" s="1" t="n">
        <v>44985</v>
      </c>
      <c r="C8899" s="1" t="n">
        <v>45357</v>
      </c>
      <c r="D8899" t="inlineStr">
        <is>
          <t>VÄSTERBOTTENS LÄN</t>
        </is>
      </c>
      <c r="E8899" t="inlineStr">
        <is>
          <t>BJURHOLM</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10981-2023</t>
        </is>
      </c>
      <c r="B8900" s="1" t="n">
        <v>44985</v>
      </c>
      <c r="C8900" s="1" t="n">
        <v>45357</v>
      </c>
      <c r="D8900" t="inlineStr">
        <is>
          <t>VÄSTERBOTTENS LÄN</t>
        </is>
      </c>
      <c r="E8900" t="inlineStr">
        <is>
          <t>MALÅ</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10170-2023</t>
        </is>
      </c>
      <c r="B8901" s="1" t="n">
        <v>44986</v>
      </c>
      <c r="C8901" s="1" t="n">
        <v>45357</v>
      </c>
      <c r="D8901" t="inlineStr">
        <is>
          <t>VÄSTERBOTTENS LÄN</t>
        </is>
      </c>
      <c r="E8901" t="inlineStr">
        <is>
          <t>NORSJÖ</t>
        </is>
      </c>
      <c r="F8901" t="inlineStr">
        <is>
          <t>Holmen skog AB</t>
        </is>
      </c>
      <c r="G8901" t="n">
        <v>31.4</v>
      </c>
      <c r="H8901" t="n">
        <v>0</v>
      </c>
      <c r="I8901" t="n">
        <v>0</v>
      </c>
      <c r="J8901" t="n">
        <v>0</v>
      </c>
      <c r="K8901" t="n">
        <v>0</v>
      </c>
      <c r="L8901" t="n">
        <v>0</v>
      </c>
      <c r="M8901" t="n">
        <v>0</v>
      </c>
      <c r="N8901" t="n">
        <v>0</v>
      </c>
      <c r="O8901" t="n">
        <v>0</v>
      </c>
      <c r="P8901" t="n">
        <v>0</v>
      </c>
      <c r="Q8901" t="n">
        <v>0</v>
      </c>
      <c r="R8901" s="2" t="inlineStr"/>
    </row>
    <row r="8902" ht="15" customHeight="1">
      <c r="A8902" t="inlineStr">
        <is>
          <t>A 10300-2023</t>
        </is>
      </c>
      <c r="B8902" s="1" t="n">
        <v>44986</v>
      </c>
      <c r="C8902" s="1" t="n">
        <v>45357</v>
      </c>
      <c r="D8902" t="inlineStr">
        <is>
          <t>VÄSTERBOTTENS LÄN</t>
        </is>
      </c>
      <c r="E8902" t="inlineStr">
        <is>
          <t>DOROTEA</t>
        </is>
      </c>
      <c r="F8902" t="inlineStr">
        <is>
          <t>SCA</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10302-2023</t>
        </is>
      </c>
      <c r="B8903" s="1" t="n">
        <v>44986</v>
      </c>
      <c r="C8903" s="1" t="n">
        <v>45357</v>
      </c>
      <c r="D8903" t="inlineStr">
        <is>
          <t>VÄSTERBOTTENS LÄN</t>
        </is>
      </c>
      <c r="E8903" t="inlineStr">
        <is>
          <t>ÅSELE</t>
        </is>
      </c>
      <c r="F8903" t="inlineStr">
        <is>
          <t>SCA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10301-2023</t>
        </is>
      </c>
      <c r="B8904" s="1" t="n">
        <v>44986</v>
      </c>
      <c r="C8904" s="1" t="n">
        <v>45357</v>
      </c>
      <c r="D8904" t="inlineStr">
        <is>
          <t>VÄSTERBOTTENS LÄN</t>
        </is>
      </c>
      <c r="E8904" t="inlineStr">
        <is>
          <t>ÅSELE</t>
        </is>
      </c>
      <c r="F8904" t="inlineStr">
        <is>
          <t>SCA</t>
        </is>
      </c>
      <c r="G8904" t="n">
        <v>8.4</v>
      </c>
      <c r="H8904" t="n">
        <v>0</v>
      </c>
      <c r="I8904" t="n">
        <v>0</v>
      </c>
      <c r="J8904" t="n">
        <v>0</v>
      </c>
      <c r="K8904" t="n">
        <v>0</v>
      </c>
      <c r="L8904" t="n">
        <v>0</v>
      </c>
      <c r="M8904" t="n">
        <v>0</v>
      </c>
      <c r="N8904" t="n">
        <v>0</v>
      </c>
      <c r="O8904" t="n">
        <v>0</v>
      </c>
      <c r="P8904" t="n">
        <v>0</v>
      </c>
      <c r="Q8904" t="n">
        <v>0</v>
      </c>
      <c r="R8904" s="2" t="inlineStr"/>
    </row>
    <row r="8905" ht="15" customHeight="1">
      <c r="A8905" t="inlineStr">
        <is>
          <t>A 10291-2023</t>
        </is>
      </c>
      <c r="B8905" s="1" t="n">
        <v>44986</v>
      </c>
      <c r="C8905" s="1" t="n">
        <v>45357</v>
      </c>
      <c r="D8905" t="inlineStr">
        <is>
          <t>VÄSTERBOTTENS LÄN</t>
        </is>
      </c>
      <c r="E8905" t="inlineStr">
        <is>
          <t>SKELLEFTEÅ</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10299-2023</t>
        </is>
      </c>
      <c r="B8906" s="1" t="n">
        <v>44986</v>
      </c>
      <c r="C8906" s="1" t="n">
        <v>45357</v>
      </c>
      <c r="D8906" t="inlineStr">
        <is>
          <t>VÄSTERBOTTENS LÄN</t>
        </is>
      </c>
      <c r="E8906" t="inlineStr">
        <is>
          <t>ÅSELE</t>
        </is>
      </c>
      <c r="F8906" t="inlineStr">
        <is>
          <t>SCA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10317-2023</t>
        </is>
      </c>
      <c r="B8907" s="1" t="n">
        <v>44986</v>
      </c>
      <c r="C8907" s="1" t="n">
        <v>45357</v>
      </c>
      <c r="D8907" t="inlineStr">
        <is>
          <t>VÄSTERBOTTENS LÄN</t>
        </is>
      </c>
      <c r="E8907" t="inlineStr">
        <is>
          <t>DOROTEA</t>
        </is>
      </c>
      <c r="F8907" t="inlineStr">
        <is>
          <t>SCA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10418-2023</t>
        </is>
      </c>
      <c r="B8908" s="1" t="n">
        <v>44987</v>
      </c>
      <c r="C8908" s="1" t="n">
        <v>45357</v>
      </c>
      <c r="D8908" t="inlineStr">
        <is>
          <t>VÄSTERBOTTENS LÄN</t>
        </is>
      </c>
      <c r="E8908" t="inlineStr">
        <is>
          <t>VILHELMINA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10425-2023</t>
        </is>
      </c>
      <c r="B8909" s="1" t="n">
        <v>44987</v>
      </c>
      <c r="C8909" s="1" t="n">
        <v>45357</v>
      </c>
      <c r="D8909" t="inlineStr">
        <is>
          <t>VÄSTERBOTTENS LÄN</t>
        </is>
      </c>
      <c r="E8909" t="inlineStr">
        <is>
          <t>VÄNNÄS</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10440-2023</t>
        </is>
      </c>
      <c r="B8910" s="1" t="n">
        <v>44987</v>
      </c>
      <c r="C8910" s="1" t="n">
        <v>45357</v>
      </c>
      <c r="D8910" t="inlineStr">
        <is>
          <t>VÄSTERBOTTENS LÄN</t>
        </is>
      </c>
      <c r="E8910" t="inlineStr">
        <is>
          <t>VÄNNÄS</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10533-2023</t>
        </is>
      </c>
      <c r="B8911" s="1" t="n">
        <v>44987</v>
      </c>
      <c r="C8911" s="1" t="n">
        <v>45357</v>
      </c>
      <c r="D8911" t="inlineStr">
        <is>
          <t>VÄSTERBOTTENS LÄN</t>
        </is>
      </c>
      <c r="E8911" t="inlineStr">
        <is>
          <t>VÄNNÄS</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10532-2023</t>
        </is>
      </c>
      <c r="B8912" s="1" t="n">
        <v>44987</v>
      </c>
      <c r="C8912" s="1" t="n">
        <v>45357</v>
      </c>
      <c r="D8912" t="inlineStr">
        <is>
          <t>VÄSTERBOTTENS LÄN</t>
        </is>
      </c>
      <c r="E8912" t="inlineStr">
        <is>
          <t>UMEÅ</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10547-2023</t>
        </is>
      </c>
      <c r="B8913" s="1" t="n">
        <v>44987</v>
      </c>
      <c r="C8913" s="1" t="n">
        <v>45357</v>
      </c>
      <c r="D8913" t="inlineStr">
        <is>
          <t>VÄSTERBOTTENS LÄN</t>
        </is>
      </c>
      <c r="E8913" t="inlineStr">
        <is>
          <t>ÅSELE</t>
        </is>
      </c>
      <c r="F8913" t="inlineStr">
        <is>
          <t>SCA</t>
        </is>
      </c>
      <c r="G8913" t="n">
        <v>10.4</v>
      </c>
      <c r="H8913" t="n">
        <v>0</v>
      </c>
      <c r="I8913" t="n">
        <v>0</v>
      </c>
      <c r="J8913" t="n">
        <v>0</v>
      </c>
      <c r="K8913" t="n">
        <v>0</v>
      </c>
      <c r="L8913" t="n">
        <v>0</v>
      </c>
      <c r="M8913" t="n">
        <v>0</v>
      </c>
      <c r="N8913" t="n">
        <v>0</v>
      </c>
      <c r="O8913" t="n">
        <v>0</v>
      </c>
      <c r="P8913" t="n">
        <v>0</v>
      </c>
      <c r="Q8913" t="n">
        <v>0</v>
      </c>
      <c r="R8913" s="2" t="inlineStr"/>
    </row>
    <row r="8914" ht="15" customHeight="1">
      <c r="A8914" t="inlineStr">
        <is>
          <t>A 11189-2023</t>
        </is>
      </c>
      <c r="B8914" s="1" t="n">
        <v>44987</v>
      </c>
      <c r="C8914" s="1" t="n">
        <v>45357</v>
      </c>
      <c r="D8914" t="inlineStr">
        <is>
          <t>VÄSTERBOTTENS LÄN</t>
        </is>
      </c>
      <c r="E8914" t="inlineStr">
        <is>
          <t>LYCKSELE</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10534-2023</t>
        </is>
      </c>
      <c r="B8915" s="1" t="n">
        <v>44987</v>
      </c>
      <c r="C8915" s="1" t="n">
        <v>45357</v>
      </c>
      <c r="D8915" t="inlineStr">
        <is>
          <t>VÄSTERBOTTENS LÄN</t>
        </is>
      </c>
      <c r="E8915" t="inlineStr">
        <is>
          <t>VINDELN</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10592-2023</t>
        </is>
      </c>
      <c r="B8916" s="1" t="n">
        <v>44988</v>
      </c>
      <c r="C8916" s="1" t="n">
        <v>45357</v>
      </c>
      <c r="D8916" t="inlineStr">
        <is>
          <t>VÄSTERBOTTENS LÄN</t>
        </is>
      </c>
      <c r="E8916" t="inlineStr">
        <is>
          <t>VÄNNÄS</t>
        </is>
      </c>
      <c r="F8916" t="inlineStr">
        <is>
          <t>Sveaskog</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10761-2023</t>
        </is>
      </c>
      <c r="B8917" s="1" t="n">
        <v>44988</v>
      </c>
      <c r="C8917" s="1" t="n">
        <v>45357</v>
      </c>
      <c r="D8917" t="inlineStr">
        <is>
          <t>VÄSTERBOTTENS LÄN</t>
        </is>
      </c>
      <c r="E8917" t="inlineStr">
        <is>
          <t>ÅSELE</t>
        </is>
      </c>
      <c r="G8917" t="n">
        <v>0.3</v>
      </c>
      <c r="H8917" t="n">
        <v>0</v>
      </c>
      <c r="I8917" t="n">
        <v>0</v>
      </c>
      <c r="J8917" t="n">
        <v>0</v>
      </c>
      <c r="K8917" t="n">
        <v>0</v>
      </c>
      <c r="L8917" t="n">
        <v>0</v>
      </c>
      <c r="M8917" t="n">
        <v>0</v>
      </c>
      <c r="N8917" t="n">
        <v>0</v>
      </c>
      <c r="O8917" t="n">
        <v>0</v>
      </c>
      <c r="P8917" t="n">
        <v>0</v>
      </c>
      <c r="Q8917" t="n">
        <v>0</v>
      </c>
      <c r="R8917" s="2" t="inlineStr"/>
    </row>
    <row r="8918" ht="15" customHeight="1">
      <c r="A8918" t="inlineStr">
        <is>
          <t>A 10760-2023</t>
        </is>
      </c>
      <c r="B8918" s="1" t="n">
        <v>44988</v>
      </c>
      <c r="C8918" s="1" t="n">
        <v>45357</v>
      </c>
      <c r="D8918" t="inlineStr">
        <is>
          <t>VÄSTERBOTTENS LÄN</t>
        </is>
      </c>
      <c r="E8918" t="inlineStr">
        <is>
          <t>ÅSELE</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10769-2023</t>
        </is>
      </c>
      <c r="B8919" s="1" t="n">
        <v>44988</v>
      </c>
      <c r="C8919" s="1" t="n">
        <v>45357</v>
      </c>
      <c r="D8919" t="inlineStr">
        <is>
          <t>VÄSTERBOTTENS LÄN</t>
        </is>
      </c>
      <c r="E8919" t="inlineStr">
        <is>
          <t>ÅSELE</t>
        </is>
      </c>
      <c r="F8919" t="inlineStr">
        <is>
          <t>SCA</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10762-2023</t>
        </is>
      </c>
      <c r="B8920" s="1" t="n">
        <v>44988</v>
      </c>
      <c r="C8920" s="1" t="n">
        <v>45357</v>
      </c>
      <c r="D8920" t="inlineStr">
        <is>
          <t>VÄSTERBOTTENS LÄN</t>
        </is>
      </c>
      <c r="E8920" t="inlineStr">
        <is>
          <t>VINDELN</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10767-2023</t>
        </is>
      </c>
      <c r="B8921" s="1" t="n">
        <v>44988</v>
      </c>
      <c r="C8921" s="1" t="n">
        <v>45357</v>
      </c>
      <c r="D8921" t="inlineStr">
        <is>
          <t>VÄSTERBOTTENS LÄN</t>
        </is>
      </c>
      <c r="E8921" t="inlineStr">
        <is>
          <t>LYCKSELE</t>
        </is>
      </c>
      <c r="F8921" t="inlineStr">
        <is>
          <t>SCA</t>
        </is>
      </c>
      <c r="G8921" t="n">
        <v>8.9</v>
      </c>
      <c r="H8921" t="n">
        <v>0</v>
      </c>
      <c r="I8921" t="n">
        <v>0</v>
      </c>
      <c r="J8921" t="n">
        <v>0</v>
      </c>
      <c r="K8921" t="n">
        <v>0</v>
      </c>
      <c r="L8921" t="n">
        <v>0</v>
      </c>
      <c r="M8921" t="n">
        <v>0</v>
      </c>
      <c r="N8921" t="n">
        <v>0</v>
      </c>
      <c r="O8921" t="n">
        <v>0</v>
      </c>
      <c r="P8921" t="n">
        <v>0</v>
      </c>
      <c r="Q8921" t="n">
        <v>0</v>
      </c>
      <c r="R8921" s="2" t="inlineStr"/>
    </row>
    <row r="8922" ht="15" customHeight="1">
      <c r="A8922" t="inlineStr">
        <is>
          <t>A 10693-2023</t>
        </is>
      </c>
      <c r="B8922" s="1" t="n">
        <v>44988</v>
      </c>
      <c r="C8922" s="1" t="n">
        <v>45357</v>
      </c>
      <c r="D8922" t="inlineStr">
        <is>
          <t>VÄSTERBOTTENS LÄN</t>
        </is>
      </c>
      <c r="E8922" t="inlineStr">
        <is>
          <t>UMEÅ</t>
        </is>
      </c>
      <c r="G8922" t="n">
        <v>6.1</v>
      </c>
      <c r="H8922" t="n">
        <v>0</v>
      </c>
      <c r="I8922" t="n">
        <v>0</v>
      </c>
      <c r="J8922" t="n">
        <v>0</v>
      </c>
      <c r="K8922" t="n">
        <v>0</v>
      </c>
      <c r="L8922" t="n">
        <v>0</v>
      </c>
      <c r="M8922" t="n">
        <v>0</v>
      </c>
      <c r="N8922" t="n">
        <v>0</v>
      </c>
      <c r="O8922" t="n">
        <v>0</v>
      </c>
      <c r="P8922" t="n">
        <v>0</v>
      </c>
      <c r="Q8922" t="n">
        <v>0</v>
      </c>
      <c r="R8922" s="2" t="inlineStr"/>
    </row>
    <row r="8923" ht="15" customHeight="1">
      <c r="A8923" t="inlineStr">
        <is>
          <t>A 10779-2023</t>
        </is>
      </c>
      <c r="B8923" s="1" t="n">
        <v>44988</v>
      </c>
      <c r="C8923" s="1" t="n">
        <v>45357</v>
      </c>
      <c r="D8923" t="inlineStr">
        <is>
          <t>VÄSTERBOTTENS LÄN</t>
        </is>
      </c>
      <c r="E8923" t="inlineStr">
        <is>
          <t>ÅSELE</t>
        </is>
      </c>
      <c r="F8923" t="inlineStr">
        <is>
          <t>SCA</t>
        </is>
      </c>
      <c r="G8923" t="n">
        <v>25.1</v>
      </c>
      <c r="H8923" t="n">
        <v>0</v>
      </c>
      <c r="I8923" t="n">
        <v>0</v>
      </c>
      <c r="J8923" t="n">
        <v>0</v>
      </c>
      <c r="K8923" t="n">
        <v>0</v>
      </c>
      <c r="L8923" t="n">
        <v>0</v>
      </c>
      <c r="M8923" t="n">
        <v>0</v>
      </c>
      <c r="N8923" t="n">
        <v>0</v>
      </c>
      <c r="O8923" t="n">
        <v>0</v>
      </c>
      <c r="P8923" t="n">
        <v>0</v>
      </c>
      <c r="Q8923" t="n">
        <v>0</v>
      </c>
      <c r="R8923" s="2" t="inlineStr"/>
    </row>
    <row r="8924" ht="15" customHeight="1">
      <c r="A8924" t="inlineStr">
        <is>
          <t>A 10772-2023</t>
        </is>
      </c>
      <c r="B8924" s="1" t="n">
        <v>44988</v>
      </c>
      <c r="C8924" s="1" t="n">
        <v>45357</v>
      </c>
      <c r="D8924" t="inlineStr">
        <is>
          <t>VÄSTERBOTTENS LÄN</t>
        </is>
      </c>
      <c r="E8924" t="inlineStr">
        <is>
          <t>ÅSELE</t>
        </is>
      </c>
      <c r="F8924" t="inlineStr">
        <is>
          <t>SCA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10794-2023</t>
        </is>
      </c>
      <c r="B8925" s="1" t="n">
        <v>44989</v>
      </c>
      <c r="C8925" s="1" t="n">
        <v>45357</v>
      </c>
      <c r="D8925" t="inlineStr">
        <is>
          <t>VÄSTERBOTTENS LÄN</t>
        </is>
      </c>
      <c r="E8925" t="inlineStr">
        <is>
          <t>SORSELE</t>
        </is>
      </c>
      <c r="G8925" t="n">
        <v>12.3</v>
      </c>
      <c r="H8925" t="n">
        <v>0</v>
      </c>
      <c r="I8925" t="n">
        <v>0</v>
      </c>
      <c r="J8925" t="n">
        <v>0</v>
      </c>
      <c r="K8925" t="n">
        <v>0</v>
      </c>
      <c r="L8925" t="n">
        <v>0</v>
      </c>
      <c r="M8925" t="n">
        <v>0</v>
      </c>
      <c r="N8925" t="n">
        <v>0</v>
      </c>
      <c r="O8925" t="n">
        <v>0</v>
      </c>
      <c r="P8925" t="n">
        <v>0</v>
      </c>
      <c r="Q8925" t="n">
        <v>0</v>
      </c>
      <c r="R8925" s="2" t="inlineStr"/>
    </row>
    <row r="8926" ht="15" customHeight="1">
      <c r="A8926" t="inlineStr">
        <is>
          <t>A 10795-2023</t>
        </is>
      </c>
      <c r="B8926" s="1" t="n">
        <v>44989</v>
      </c>
      <c r="C8926" s="1" t="n">
        <v>45357</v>
      </c>
      <c r="D8926" t="inlineStr">
        <is>
          <t>VÄSTERBOTTENS LÄN</t>
        </is>
      </c>
      <c r="E8926" t="inlineStr">
        <is>
          <t>SORSELE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10793-2023</t>
        </is>
      </c>
      <c r="B8927" s="1" t="n">
        <v>44989</v>
      </c>
      <c r="C8927" s="1" t="n">
        <v>45357</v>
      </c>
      <c r="D8927" t="inlineStr">
        <is>
          <t>VÄSTERBOTTENS LÄN</t>
        </is>
      </c>
      <c r="E8927" t="inlineStr">
        <is>
          <t>SORSELE</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10792-2023</t>
        </is>
      </c>
      <c r="B8928" s="1" t="n">
        <v>44989</v>
      </c>
      <c r="C8928" s="1" t="n">
        <v>45357</v>
      </c>
      <c r="D8928" t="inlineStr">
        <is>
          <t>VÄSTERBOTTENS LÄN</t>
        </is>
      </c>
      <c r="E8928" t="inlineStr">
        <is>
          <t>SORSELE</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11030-2023</t>
        </is>
      </c>
      <c r="B8929" s="1" t="n">
        <v>44991</v>
      </c>
      <c r="C8929" s="1" t="n">
        <v>45357</v>
      </c>
      <c r="D8929" t="inlineStr">
        <is>
          <t>VÄSTERBOTTENS LÄN</t>
        </is>
      </c>
      <c r="E8929" t="inlineStr">
        <is>
          <t>SKELLEFTEÅ</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10918-2023</t>
        </is>
      </c>
      <c r="B8930" s="1" t="n">
        <v>44991</v>
      </c>
      <c r="C8930" s="1" t="n">
        <v>45357</v>
      </c>
      <c r="D8930" t="inlineStr">
        <is>
          <t>VÄSTERBOTTENS LÄN</t>
        </is>
      </c>
      <c r="E8930" t="inlineStr">
        <is>
          <t>BJURHOLM</t>
        </is>
      </c>
      <c r="G8930" t="n">
        <v>5.8</v>
      </c>
      <c r="H8930" t="n">
        <v>0</v>
      </c>
      <c r="I8930" t="n">
        <v>0</v>
      </c>
      <c r="J8930" t="n">
        <v>0</v>
      </c>
      <c r="K8930" t="n">
        <v>0</v>
      </c>
      <c r="L8930" t="n">
        <v>0</v>
      </c>
      <c r="M8930" t="n">
        <v>0</v>
      </c>
      <c r="N8930" t="n">
        <v>0</v>
      </c>
      <c r="O8930" t="n">
        <v>0</v>
      </c>
      <c r="P8930" t="n">
        <v>0</v>
      </c>
      <c r="Q8930" t="n">
        <v>0</v>
      </c>
      <c r="R8930" s="2" t="inlineStr"/>
    </row>
    <row r="8931" ht="15" customHeight="1">
      <c r="A8931" t="inlineStr">
        <is>
          <t>A 11028-2023</t>
        </is>
      </c>
      <c r="B8931" s="1" t="n">
        <v>44991</v>
      </c>
      <c r="C8931" s="1" t="n">
        <v>45357</v>
      </c>
      <c r="D8931" t="inlineStr">
        <is>
          <t>VÄSTERBOTTENS LÄN</t>
        </is>
      </c>
      <c r="E8931" t="inlineStr">
        <is>
          <t>SKELLEFTEÅ</t>
        </is>
      </c>
      <c r="G8931" t="n">
        <v>6.9</v>
      </c>
      <c r="H8931" t="n">
        <v>0</v>
      </c>
      <c r="I8931" t="n">
        <v>0</v>
      </c>
      <c r="J8931" t="n">
        <v>0</v>
      </c>
      <c r="K8931" t="n">
        <v>0</v>
      </c>
      <c r="L8931" t="n">
        <v>0</v>
      </c>
      <c r="M8931" t="n">
        <v>0</v>
      </c>
      <c r="N8931" t="n">
        <v>0</v>
      </c>
      <c r="O8931" t="n">
        <v>0</v>
      </c>
      <c r="P8931" t="n">
        <v>0</v>
      </c>
      <c r="Q8931" t="n">
        <v>0</v>
      </c>
      <c r="R8931" s="2" t="inlineStr"/>
    </row>
    <row r="8932" ht="15" customHeight="1">
      <c r="A8932" t="inlineStr">
        <is>
          <t>A 11032-2023</t>
        </is>
      </c>
      <c r="B8932" s="1" t="n">
        <v>44991</v>
      </c>
      <c r="C8932" s="1" t="n">
        <v>45357</v>
      </c>
      <c r="D8932" t="inlineStr">
        <is>
          <t>VÄSTERBOTTENS LÄN</t>
        </is>
      </c>
      <c r="E8932" t="inlineStr">
        <is>
          <t>ROBERTSFORS</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11054-2023</t>
        </is>
      </c>
      <c r="B8933" s="1" t="n">
        <v>44991</v>
      </c>
      <c r="C8933" s="1" t="n">
        <v>45357</v>
      </c>
      <c r="D8933" t="inlineStr">
        <is>
          <t>VÄSTERBOTTENS LÄN</t>
        </is>
      </c>
      <c r="E8933" t="inlineStr">
        <is>
          <t>NORDMALING</t>
        </is>
      </c>
      <c r="F8933" t="inlineStr">
        <is>
          <t>SCA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11031-2023</t>
        </is>
      </c>
      <c r="B8934" s="1" t="n">
        <v>44991</v>
      </c>
      <c r="C8934" s="1" t="n">
        <v>45357</v>
      </c>
      <c r="D8934" t="inlineStr">
        <is>
          <t>VÄSTERBOTTENS LÄN</t>
        </is>
      </c>
      <c r="E8934" t="inlineStr">
        <is>
          <t>SKELLEFTEÅ</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11037-2023</t>
        </is>
      </c>
      <c r="B8935" s="1" t="n">
        <v>44991</v>
      </c>
      <c r="C8935" s="1" t="n">
        <v>45357</v>
      </c>
      <c r="D8935" t="inlineStr">
        <is>
          <t>VÄSTERBOTTENS LÄN</t>
        </is>
      </c>
      <c r="E8935" t="inlineStr">
        <is>
          <t>DOROTEA</t>
        </is>
      </c>
      <c r="F8935" t="inlineStr">
        <is>
          <t>SCA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11049-2023</t>
        </is>
      </c>
      <c r="B8936" s="1" t="n">
        <v>44991</v>
      </c>
      <c r="C8936" s="1" t="n">
        <v>45357</v>
      </c>
      <c r="D8936" t="inlineStr">
        <is>
          <t>VÄSTERBOTTENS LÄN</t>
        </is>
      </c>
      <c r="E8936" t="inlineStr">
        <is>
          <t>LYCKSELE</t>
        </is>
      </c>
      <c r="F8936" t="inlineStr">
        <is>
          <t>SCA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11053-2023</t>
        </is>
      </c>
      <c r="B8937" s="1" t="n">
        <v>44991</v>
      </c>
      <c r="C8937" s="1" t="n">
        <v>45357</v>
      </c>
      <c r="D8937" t="inlineStr">
        <is>
          <t>VÄSTERBOTTENS LÄN</t>
        </is>
      </c>
      <c r="E8937" t="inlineStr">
        <is>
          <t>NORDMALING</t>
        </is>
      </c>
      <c r="F8937" t="inlineStr">
        <is>
          <t>SCA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11057-2023</t>
        </is>
      </c>
      <c r="B8938" s="1" t="n">
        <v>44991</v>
      </c>
      <c r="C8938" s="1" t="n">
        <v>45357</v>
      </c>
      <c r="D8938" t="inlineStr">
        <is>
          <t>VÄSTERBOTTENS LÄN</t>
        </is>
      </c>
      <c r="E8938" t="inlineStr">
        <is>
          <t>NORDMALING</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11029-2023</t>
        </is>
      </c>
      <c r="B8939" s="1" t="n">
        <v>44991</v>
      </c>
      <c r="C8939" s="1" t="n">
        <v>45357</v>
      </c>
      <c r="D8939" t="inlineStr">
        <is>
          <t>VÄSTERBOTTENS LÄN</t>
        </is>
      </c>
      <c r="E8939" t="inlineStr">
        <is>
          <t>SKELLEFTEÅ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11055-2023</t>
        </is>
      </c>
      <c r="B8940" s="1" t="n">
        <v>44991</v>
      </c>
      <c r="C8940" s="1" t="n">
        <v>45357</v>
      </c>
      <c r="D8940" t="inlineStr">
        <is>
          <t>VÄSTERBOTTENS LÄN</t>
        </is>
      </c>
      <c r="E8940" t="inlineStr">
        <is>
          <t>NORDMALING</t>
        </is>
      </c>
      <c r="F8940" t="inlineStr">
        <is>
          <t>SCA</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11291-2023</t>
        </is>
      </c>
      <c r="B8941" s="1" t="n">
        <v>44992</v>
      </c>
      <c r="C8941" s="1" t="n">
        <v>45357</v>
      </c>
      <c r="D8941" t="inlineStr">
        <is>
          <t>VÄSTERBOTTENS LÄN</t>
        </is>
      </c>
      <c r="E8941" t="inlineStr">
        <is>
          <t>ÅSELE</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11298-2023</t>
        </is>
      </c>
      <c r="B8942" s="1" t="n">
        <v>44992</v>
      </c>
      <c r="C8942" s="1" t="n">
        <v>45357</v>
      </c>
      <c r="D8942" t="inlineStr">
        <is>
          <t>VÄSTERBOTTENS LÄN</t>
        </is>
      </c>
      <c r="E8942" t="inlineStr">
        <is>
          <t>LYCKSELE</t>
        </is>
      </c>
      <c r="G8942" t="n">
        <v>9.199999999999999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11297-2023</t>
        </is>
      </c>
      <c r="B8943" s="1" t="n">
        <v>44992</v>
      </c>
      <c r="C8943" s="1" t="n">
        <v>45357</v>
      </c>
      <c r="D8943" t="inlineStr">
        <is>
          <t>VÄSTERBOTTENS LÄN</t>
        </is>
      </c>
      <c r="E8943" t="inlineStr">
        <is>
          <t>LYCKSELE</t>
        </is>
      </c>
      <c r="G8943" t="n">
        <v>10.3</v>
      </c>
      <c r="H8943" t="n">
        <v>0</v>
      </c>
      <c r="I8943" t="n">
        <v>0</v>
      </c>
      <c r="J8943" t="n">
        <v>0</v>
      </c>
      <c r="K8943" t="n">
        <v>0</v>
      </c>
      <c r="L8943" t="n">
        <v>0</v>
      </c>
      <c r="M8943" t="n">
        <v>0</v>
      </c>
      <c r="N8943" t="n">
        <v>0</v>
      </c>
      <c r="O8943" t="n">
        <v>0</v>
      </c>
      <c r="P8943" t="n">
        <v>0</v>
      </c>
      <c r="Q8943" t="n">
        <v>0</v>
      </c>
      <c r="R8943" s="2" t="inlineStr"/>
    </row>
    <row r="8944" ht="15" customHeight="1">
      <c r="A8944" t="inlineStr">
        <is>
          <t>A 11634-2023</t>
        </is>
      </c>
      <c r="B8944" s="1" t="n">
        <v>44992</v>
      </c>
      <c r="C8944" s="1" t="n">
        <v>45357</v>
      </c>
      <c r="D8944" t="inlineStr">
        <is>
          <t>VÄSTERBOTTENS LÄN</t>
        </is>
      </c>
      <c r="E8944" t="inlineStr">
        <is>
          <t>SORSELE</t>
        </is>
      </c>
      <c r="G8944" t="n">
        <v>12.4</v>
      </c>
      <c r="H8944" t="n">
        <v>0</v>
      </c>
      <c r="I8944" t="n">
        <v>0</v>
      </c>
      <c r="J8944" t="n">
        <v>0</v>
      </c>
      <c r="K8944" t="n">
        <v>0</v>
      </c>
      <c r="L8944" t="n">
        <v>0</v>
      </c>
      <c r="M8944" t="n">
        <v>0</v>
      </c>
      <c r="N8944" t="n">
        <v>0</v>
      </c>
      <c r="O8944" t="n">
        <v>0</v>
      </c>
      <c r="P8944" t="n">
        <v>0</v>
      </c>
      <c r="Q8944" t="n">
        <v>0</v>
      </c>
      <c r="R8944" s="2" t="inlineStr"/>
    </row>
    <row r="8945" ht="15" customHeight="1">
      <c r="A8945" t="inlineStr">
        <is>
          <t>A 11707-2023</t>
        </is>
      </c>
      <c r="B8945" s="1" t="n">
        <v>44992</v>
      </c>
      <c r="C8945" s="1" t="n">
        <v>45357</v>
      </c>
      <c r="D8945" t="inlineStr">
        <is>
          <t>VÄSTERBOTTENS LÄN</t>
        </is>
      </c>
      <c r="E8945" t="inlineStr">
        <is>
          <t>SKELLEFTEÅ</t>
        </is>
      </c>
      <c r="G8945" t="n">
        <v>7.2</v>
      </c>
      <c r="H8945" t="n">
        <v>0</v>
      </c>
      <c r="I8945" t="n">
        <v>0</v>
      </c>
      <c r="J8945" t="n">
        <v>0</v>
      </c>
      <c r="K8945" t="n">
        <v>0</v>
      </c>
      <c r="L8945" t="n">
        <v>0</v>
      </c>
      <c r="M8945" t="n">
        <v>0</v>
      </c>
      <c r="N8945" t="n">
        <v>0</v>
      </c>
      <c r="O8945" t="n">
        <v>0</v>
      </c>
      <c r="P8945" t="n">
        <v>0</v>
      </c>
      <c r="Q8945" t="n">
        <v>0</v>
      </c>
      <c r="R8945" s="2" t="inlineStr"/>
    </row>
    <row r="8946" ht="15" customHeight="1">
      <c r="A8946" t="inlineStr">
        <is>
          <t>A 11646-2023</t>
        </is>
      </c>
      <c r="B8946" s="1" t="n">
        <v>44992</v>
      </c>
      <c r="C8946" s="1" t="n">
        <v>45357</v>
      </c>
      <c r="D8946" t="inlineStr">
        <is>
          <t>VÄSTERBOTTENS LÄN</t>
        </is>
      </c>
      <c r="E8946" t="inlineStr">
        <is>
          <t>SORSELE</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11304-2023</t>
        </is>
      </c>
      <c r="B8947" s="1" t="n">
        <v>44993</v>
      </c>
      <c r="C8947" s="1" t="n">
        <v>45357</v>
      </c>
      <c r="D8947" t="inlineStr">
        <is>
          <t>VÄSTERBOTTENS LÄN</t>
        </is>
      </c>
      <c r="E8947" t="inlineStr">
        <is>
          <t>DOROTEA</t>
        </is>
      </c>
      <c r="F8947" t="inlineStr">
        <is>
          <t>SCA</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11323-2023</t>
        </is>
      </c>
      <c r="B8948" s="1" t="n">
        <v>44993</v>
      </c>
      <c r="C8948" s="1" t="n">
        <v>45357</v>
      </c>
      <c r="D8948" t="inlineStr">
        <is>
          <t>VÄSTERBOTTENS LÄN</t>
        </is>
      </c>
      <c r="E8948" t="inlineStr">
        <is>
          <t>VILHELMINA</t>
        </is>
      </c>
      <c r="F8948" t="inlineStr">
        <is>
          <t>SCA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11369-2023</t>
        </is>
      </c>
      <c r="B8949" s="1" t="n">
        <v>44993</v>
      </c>
      <c r="C8949" s="1" t="n">
        <v>45357</v>
      </c>
      <c r="D8949" t="inlineStr">
        <is>
          <t>VÄSTERBOTTENS LÄN</t>
        </is>
      </c>
      <c r="E8949" t="inlineStr">
        <is>
          <t>NORDMALING</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11544-2023</t>
        </is>
      </c>
      <c r="B8950" s="1" t="n">
        <v>44993</v>
      </c>
      <c r="C8950" s="1" t="n">
        <v>45357</v>
      </c>
      <c r="D8950" t="inlineStr">
        <is>
          <t>VÄSTERBOTTENS LÄN</t>
        </is>
      </c>
      <c r="E8950" t="inlineStr">
        <is>
          <t>VILHELMINA</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11561-2023</t>
        </is>
      </c>
      <c r="B8951" s="1" t="n">
        <v>44993</v>
      </c>
      <c r="C8951" s="1" t="n">
        <v>45357</v>
      </c>
      <c r="D8951" t="inlineStr">
        <is>
          <t>VÄSTERBOTTENS LÄN</t>
        </is>
      </c>
      <c r="E8951" t="inlineStr">
        <is>
          <t>NORDMALING</t>
        </is>
      </c>
      <c r="F8951" t="inlineStr">
        <is>
          <t>SCA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11314-2023</t>
        </is>
      </c>
      <c r="B8952" s="1" t="n">
        <v>44993</v>
      </c>
      <c r="C8952" s="1" t="n">
        <v>45357</v>
      </c>
      <c r="D8952" t="inlineStr">
        <is>
          <t>VÄSTERBOTTENS LÄN</t>
        </is>
      </c>
      <c r="E8952" t="inlineStr">
        <is>
          <t>LYCKSELE</t>
        </is>
      </c>
      <c r="F8952" t="inlineStr">
        <is>
          <t>SCA</t>
        </is>
      </c>
      <c r="G8952" t="n">
        <v>31.4</v>
      </c>
      <c r="H8952" t="n">
        <v>0</v>
      </c>
      <c r="I8952" t="n">
        <v>0</v>
      </c>
      <c r="J8952" t="n">
        <v>0</v>
      </c>
      <c r="K8952" t="n">
        <v>0</v>
      </c>
      <c r="L8952" t="n">
        <v>0</v>
      </c>
      <c r="M8952" t="n">
        <v>0</v>
      </c>
      <c r="N8952" t="n">
        <v>0</v>
      </c>
      <c r="O8952" t="n">
        <v>0</v>
      </c>
      <c r="P8952" t="n">
        <v>0</v>
      </c>
      <c r="Q8952" t="n">
        <v>0</v>
      </c>
      <c r="R8952" s="2" t="inlineStr"/>
    </row>
    <row r="8953" ht="15" customHeight="1">
      <c r="A8953" t="inlineStr">
        <is>
          <t>A 11311-2023</t>
        </is>
      </c>
      <c r="B8953" s="1" t="n">
        <v>44993</v>
      </c>
      <c r="C8953" s="1" t="n">
        <v>45357</v>
      </c>
      <c r="D8953" t="inlineStr">
        <is>
          <t>VÄSTERBOTTENS LÄN</t>
        </is>
      </c>
      <c r="E8953" t="inlineStr">
        <is>
          <t>VILHELMINA</t>
        </is>
      </c>
      <c r="F8953" t="inlineStr">
        <is>
          <t>SCA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11321-2023</t>
        </is>
      </c>
      <c r="B8954" s="1" t="n">
        <v>44993</v>
      </c>
      <c r="C8954" s="1" t="n">
        <v>45357</v>
      </c>
      <c r="D8954" t="inlineStr">
        <is>
          <t>VÄSTERBOTTENS LÄN</t>
        </is>
      </c>
      <c r="E8954" t="inlineStr">
        <is>
          <t>ÅSELE</t>
        </is>
      </c>
      <c r="F8954" t="inlineStr">
        <is>
          <t>SCA</t>
        </is>
      </c>
      <c r="G8954" t="n">
        <v>7.1</v>
      </c>
      <c r="H8954" t="n">
        <v>0</v>
      </c>
      <c r="I8954" t="n">
        <v>0</v>
      </c>
      <c r="J8954" t="n">
        <v>0</v>
      </c>
      <c r="K8954" t="n">
        <v>0</v>
      </c>
      <c r="L8954" t="n">
        <v>0</v>
      </c>
      <c r="M8954" t="n">
        <v>0</v>
      </c>
      <c r="N8954" t="n">
        <v>0</v>
      </c>
      <c r="O8954" t="n">
        <v>0</v>
      </c>
      <c r="P8954" t="n">
        <v>0</v>
      </c>
      <c r="Q8954" t="n">
        <v>0</v>
      </c>
      <c r="R8954" s="2" t="inlineStr"/>
    </row>
    <row r="8955" ht="15" customHeight="1">
      <c r="A8955" t="inlineStr">
        <is>
          <t>A 11320-2023</t>
        </is>
      </c>
      <c r="B8955" s="1" t="n">
        <v>44993</v>
      </c>
      <c r="C8955" s="1" t="n">
        <v>45357</v>
      </c>
      <c r="D8955" t="inlineStr">
        <is>
          <t>VÄSTERBOTTENS LÄN</t>
        </is>
      </c>
      <c r="E8955" t="inlineStr">
        <is>
          <t>ÅSELE</t>
        </is>
      </c>
      <c r="F8955" t="inlineStr">
        <is>
          <t>SCA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11377-2023</t>
        </is>
      </c>
      <c r="B8956" s="1" t="n">
        <v>44993</v>
      </c>
      <c r="C8956" s="1" t="n">
        <v>45357</v>
      </c>
      <c r="D8956" t="inlineStr">
        <is>
          <t>VÄSTERBOTTENS LÄN</t>
        </is>
      </c>
      <c r="E8956" t="inlineStr">
        <is>
          <t>SKELLEFTEÅ</t>
        </is>
      </c>
      <c r="G8956" t="n">
        <v>10.8</v>
      </c>
      <c r="H8956" t="n">
        <v>0</v>
      </c>
      <c r="I8956" t="n">
        <v>0</v>
      </c>
      <c r="J8956" t="n">
        <v>0</v>
      </c>
      <c r="K8956" t="n">
        <v>0</v>
      </c>
      <c r="L8956" t="n">
        <v>0</v>
      </c>
      <c r="M8956" t="n">
        <v>0</v>
      </c>
      <c r="N8956" t="n">
        <v>0</v>
      </c>
      <c r="O8956" t="n">
        <v>0</v>
      </c>
      <c r="P8956" t="n">
        <v>0</v>
      </c>
      <c r="Q8956" t="n">
        <v>0</v>
      </c>
      <c r="R8956" s="2" t="inlineStr"/>
    </row>
    <row r="8957" ht="15" customHeight="1">
      <c r="A8957" t="inlineStr">
        <is>
          <t>A 11339-2023</t>
        </is>
      </c>
      <c r="B8957" s="1" t="n">
        <v>44993</v>
      </c>
      <c r="C8957" s="1" t="n">
        <v>45357</v>
      </c>
      <c r="D8957" t="inlineStr">
        <is>
          <t>VÄSTERBOTTENS LÄN</t>
        </is>
      </c>
      <c r="E8957" t="inlineStr">
        <is>
          <t>SKELLEFTEÅ</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11765-2023</t>
        </is>
      </c>
      <c r="B8958" s="1" t="n">
        <v>44993</v>
      </c>
      <c r="C8958" s="1" t="n">
        <v>45357</v>
      </c>
      <c r="D8958" t="inlineStr">
        <is>
          <t>VÄSTERBOTTENS LÄN</t>
        </is>
      </c>
      <c r="E8958" t="inlineStr">
        <is>
          <t>NORSJÖ</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11560-2023</t>
        </is>
      </c>
      <c r="B8959" s="1" t="n">
        <v>44993</v>
      </c>
      <c r="C8959" s="1" t="n">
        <v>45357</v>
      </c>
      <c r="D8959" t="inlineStr">
        <is>
          <t>VÄSTERBOTTENS LÄN</t>
        </is>
      </c>
      <c r="E8959" t="inlineStr">
        <is>
          <t>NORDMALING</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11624-2023</t>
        </is>
      </c>
      <c r="B8960" s="1" t="n">
        <v>44994</v>
      </c>
      <c r="C8960" s="1" t="n">
        <v>45357</v>
      </c>
      <c r="D8960" t="inlineStr">
        <is>
          <t>VÄSTERBOTTENS LÄN</t>
        </is>
      </c>
      <c r="E8960" t="inlineStr">
        <is>
          <t>SKELLEFTEÅ</t>
        </is>
      </c>
      <c r="G8960" t="n">
        <v>47.6</v>
      </c>
      <c r="H8960" t="n">
        <v>0</v>
      </c>
      <c r="I8960" t="n">
        <v>0</v>
      </c>
      <c r="J8960" t="n">
        <v>0</v>
      </c>
      <c r="K8960" t="n">
        <v>0</v>
      </c>
      <c r="L8960" t="n">
        <v>0</v>
      </c>
      <c r="M8960" t="n">
        <v>0</v>
      </c>
      <c r="N8960" t="n">
        <v>0</v>
      </c>
      <c r="O8960" t="n">
        <v>0</v>
      </c>
      <c r="P8960" t="n">
        <v>0</v>
      </c>
      <c r="Q8960" t="n">
        <v>0</v>
      </c>
      <c r="R8960" s="2" t="inlineStr"/>
    </row>
    <row r="8961" ht="15" customHeight="1">
      <c r="A8961" t="inlineStr">
        <is>
          <t>A 11629-2023</t>
        </is>
      </c>
      <c r="B8961" s="1" t="n">
        <v>44994</v>
      </c>
      <c r="C8961" s="1" t="n">
        <v>45357</v>
      </c>
      <c r="D8961" t="inlineStr">
        <is>
          <t>VÄSTERBOTTENS LÄN</t>
        </is>
      </c>
      <c r="E8961" t="inlineStr">
        <is>
          <t>SKELLEFTEÅ</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11638-2023</t>
        </is>
      </c>
      <c r="B8962" s="1" t="n">
        <v>44994</v>
      </c>
      <c r="C8962" s="1" t="n">
        <v>45357</v>
      </c>
      <c r="D8962" t="inlineStr">
        <is>
          <t>VÄSTERBOTTENS LÄN</t>
        </is>
      </c>
      <c r="E8962" t="inlineStr">
        <is>
          <t>SKELLEFTEÅ</t>
        </is>
      </c>
      <c r="G8962" t="n">
        <v>19.8</v>
      </c>
      <c r="H8962" t="n">
        <v>0</v>
      </c>
      <c r="I8962" t="n">
        <v>0</v>
      </c>
      <c r="J8962" t="n">
        <v>0</v>
      </c>
      <c r="K8962" t="n">
        <v>0</v>
      </c>
      <c r="L8962" t="n">
        <v>0</v>
      </c>
      <c r="M8962" t="n">
        <v>0</v>
      </c>
      <c r="N8962" t="n">
        <v>0</v>
      </c>
      <c r="O8962" t="n">
        <v>0</v>
      </c>
      <c r="P8962" t="n">
        <v>0</v>
      </c>
      <c r="Q8962" t="n">
        <v>0</v>
      </c>
      <c r="R8962" s="2" t="inlineStr"/>
    </row>
    <row r="8963" ht="15" customHeight="1">
      <c r="A8963" t="inlineStr">
        <is>
          <t>A 11596-2023</t>
        </is>
      </c>
      <c r="B8963" s="1" t="n">
        <v>44994</v>
      </c>
      <c r="C8963" s="1" t="n">
        <v>45357</v>
      </c>
      <c r="D8963" t="inlineStr">
        <is>
          <t>VÄSTERBOTTENS LÄN</t>
        </is>
      </c>
      <c r="E8963" t="inlineStr">
        <is>
          <t>VINDELN</t>
        </is>
      </c>
      <c r="F8963" t="inlineStr">
        <is>
          <t>Holmen skog AB</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11675-2023</t>
        </is>
      </c>
      <c r="B8964" s="1" t="n">
        <v>44994</v>
      </c>
      <c r="C8964" s="1" t="n">
        <v>45357</v>
      </c>
      <c r="D8964" t="inlineStr">
        <is>
          <t>VÄSTERBOTTENS LÄN</t>
        </is>
      </c>
      <c r="E8964" t="inlineStr">
        <is>
          <t>SORSELE</t>
        </is>
      </c>
      <c r="G8964" t="n">
        <v>8.699999999999999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11642-2023</t>
        </is>
      </c>
      <c r="B8965" s="1" t="n">
        <v>44994</v>
      </c>
      <c r="C8965" s="1" t="n">
        <v>45357</v>
      </c>
      <c r="D8965" t="inlineStr">
        <is>
          <t>VÄSTERBOTTENS LÄN</t>
        </is>
      </c>
      <c r="E8965" t="inlineStr">
        <is>
          <t>SKELLEFTEÅ</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11604-2023</t>
        </is>
      </c>
      <c r="B8966" s="1" t="n">
        <v>44994</v>
      </c>
      <c r="C8966" s="1" t="n">
        <v>45357</v>
      </c>
      <c r="D8966" t="inlineStr">
        <is>
          <t>VÄSTERBOTTENS LÄN</t>
        </is>
      </c>
      <c r="E8966" t="inlineStr">
        <is>
          <t>LYCKSELE</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11820-2023</t>
        </is>
      </c>
      <c r="B8967" s="1" t="n">
        <v>44994</v>
      </c>
      <c r="C8967" s="1" t="n">
        <v>45357</v>
      </c>
      <c r="D8967" t="inlineStr">
        <is>
          <t>VÄSTERBOTTENS LÄN</t>
        </is>
      </c>
      <c r="E8967" t="inlineStr">
        <is>
          <t>NORDMALING</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11771-2023</t>
        </is>
      </c>
      <c r="B8968" s="1" t="n">
        <v>44994</v>
      </c>
      <c r="C8968" s="1" t="n">
        <v>45357</v>
      </c>
      <c r="D8968" t="inlineStr">
        <is>
          <t>VÄSTERBOTTENS LÄN</t>
        </is>
      </c>
      <c r="E8968" t="inlineStr">
        <is>
          <t>SKELLEFTEÅ</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11823-2023</t>
        </is>
      </c>
      <c r="B8969" s="1" t="n">
        <v>44994</v>
      </c>
      <c r="C8969" s="1" t="n">
        <v>45357</v>
      </c>
      <c r="D8969" t="inlineStr">
        <is>
          <t>VÄSTERBOTTENS LÄN</t>
        </is>
      </c>
      <c r="E8969" t="inlineStr">
        <is>
          <t>SORSELE</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11825-2023</t>
        </is>
      </c>
      <c r="B8970" s="1" t="n">
        <v>44994</v>
      </c>
      <c r="C8970" s="1" t="n">
        <v>45357</v>
      </c>
      <c r="D8970" t="inlineStr">
        <is>
          <t>VÄSTERBOTTENS LÄN</t>
        </is>
      </c>
      <c r="E8970" t="inlineStr">
        <is>
          <t>VILHELMINA</t>
        </is>
      </c>
      <c r="F8970" t="inlineStr">
        <is>
          <t>SCA</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11833-2023</t>
        </is>
      </c>
      <c r="B8971" s="1" t="n">
        <v>44994</v>
      </c>
      <c r="C8971" s="1" t="n">
        <v>45357</v>
      </c>
      <c r="D8971" t="inlineStr">
        <is>
          <t>VÄSTERBOTTENS LÄN</t>
        </is>
      </c>
      <c r="E8971" t="inlineStr">
        <is>
          <t>VILHELMINA</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11973-2023</t>
        </is>
      </c>
      <c r="B8972" s="1" t="n">
        <v>44994</v>
      </c>
      <c r="C8972" s="1" t="n">
        <v>45357</v>
      </c>
      <c r="D8972" t="inlineStr">
        <is>
          <t>VÄSTERBOTTENS LÄN</t>
        </is>
      </c>
      <c r="E8972" t="inlineStr">
        <is>
          <t>SKELLEFTEÅ</t>
        </is>
      </c>
      <c r="G8972" t="n">
        <v>7</v>
      </c>
      <c r="H8972" t="n">
        <v>0</v>
      </c>
      <c r="I8972" t="n">
        <v>0</v>
      </c>
      <c r="J8972" t="n">
        <v>0</v>
      </c>
      <c r="K8972" t="n">
        <v>0</v>
      </c>
      <c r="L8972" t="n">
        <v>0</v>
      </c>
      <c r="M8972" t="n">
        <v>0</v>
      </c>
      <c r="N8972" t="n">
        <v>0</v>
      </c>
      <c r="O8972" t="n">
        <v>0</v>
      </c>
      <c r="P8972" t="n">
        <v>0</v>
      </c>
      <c r="Q8972" t="n">
        <v>0</v>
      </c>
      <c r="R8972" s="2" t="inlineStr"/>
    </row>
    <row r="8973" ht="15" customHeight="1">
      <c r="A8973" t="inlineStr">
        <is>
          <t>A 12005-2023</t>
        </is>
      </c>
      <c r="B8973" s="1" t="n">
        <v>44994</v>
      </c>
      <c r="C8973" s="1" t="n">
        <v>45357</v>
      </c>
      <c r="D8973" t="inlineStr">
        <is>
          <t>VÄSTERBOTTENS LÄN</t>
        </is>
      </c>
      <c r="E8973" t="inlineStr">
        <is>
          <t>DOROTEA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11743-2023</t>
        </is>
      </c>
      <c r="B8974" s="1" t="n">
        <v>44994</v>
      </c>
      <c r="C8974" s="1" t="n">
        <v>45357</v>
      </c>
      <c r="D8974" t="inlineStr">
        <is>
          <t>VÄSTERBOTTENS LÄN</t>
        </is>
      </c>
      <c r="E8974" t="inlineStr">
        <is>
          <t>LYCKSELE</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11822-2023</t>
        </is>
      </c>
      <c r="B8975" s="1" t="n">
        <v>44994</v>
      </c>
      <c r="C8975" s="1" t="n">
        <v>45357</v>
      </c>
      <c r="D8975" t="inlineStr">
        <is>
          <t>VÄSTERBOTTENS LÄN</t>
        </is>
      </c>
      <c r="E8975" t="inlineStr">
        <is>
          <t>LYCKSELE</t>
        </is>
      </c>
      <c r="F8975" t="inlineStr">
        <is>
          <t>SCA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11824-2023</t>
        </is>
      </c>
      <c r="B8976" s="1" t="n">
        <v>44994</v>
      </c>
      <c r="C8976" s="1" t="n">
        <v>45357</v>
      </c>
      <c r="D8976" t="inlineStr">
        <is>
          <t>VÄSTERBOTTENS LÄN</t>
        </is>
      </c>
      <c r="E8976" t="inlineStr">
        <is>
          <t>MALÅ</t>
        </is>
      </c>
      <c r="G8976" t="n">
        <v>7.7</v>
      </c>
      <c r="H8976" t="n">
        <v>0</v>
      </c>
      <c r="I8976" t="n">
        <v>0</v>
      </c>
      <c r="J8976" t="n">
        <v>0</v>
      </c>
      <c r="K8976" t="n">
        <v>0</v>
      </c>
      <c r="L8976" t="n">
        <v>0</v>
      </c>
      <c r="M8976" t="n">
        <v>0</v>
      </c>
      <c r="N8976" t="n">
        <v>0</v>
      </c>
      <c r="O8976" t="n">
        <v>0</v>
      </c>
      <c r="P8976" t="n">
        <v>0</v>
      </c>
      <c r="Q8976" t="n">
        <v>0</v>
      </c>
      <c r="R8976" s="2" t="inlineStr"/>
    </row>
    <row r="8977" ht="15" customHeight="1">
      <c r="A8977" t="inlineStr">
        <is>
          <t>A 11830-2023</t>
        </is>
      </c>
      <c r="B8977" s="1" t="n">
        <v>44994</v>
      </c>
      <c r="C8977" s="1" t="n">
        <v>45357</v>
      </c>
      <c r="D8977" t="inlineStr">
        <is>
          <t>VÄSTERBOTTENS LÄN</t>
        </is>
      </c>
      <c r="E8977" t="inlineStr">
        <is>
          <t>ÅSELE</t>
        </is>
      </c>
      <c r="F8977" t="inlineStr">
        <is>
          <t>SCA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11963-2023</t>
        </is>
      </c>
      <c r="B8978" s="1" t="n">
        <v>44994</v>
      </c>
      <c r="C8978" s="1" t="n">
        <v>45357</v>
      </c>
      <c r="D8978" t="inlineStr">
        <is>
          <t>VÄSTERBOTTENS LÄN</t>
        </is>
      </c>
      <c r="E8978" t="inlineStr">
        <is>
          <t>SKELLEFTEÅ</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11989-2023</t>
        </is>
      </c>
      <c r="B8979" s="1" t="n">
        <v>44994</v>
      </c>
      <c r="C8979" s="1" t="n">
        <v>45357</v>
      </c>
      <c r="D8979" t="inlineStr">
        <is>
          <t>VÄSTERBOTTENS LÄN</t>
        </is>
      </c>
      <c r="E8979" t="inlineStr">
        <is>
          <t>SKELLEFTEÅ</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11927-2023</t>
        </is>
      </c>
      <c r="B8980" s="1" t="n">
        <v>44994</v>
      </c>
      <c r="C8980" s="1" t="n">
        <v>45357</v>
      </c>
      <c r="D8980" t="inlineStr">
        <is>
          <t>VÄSTERBOTTENS LÄN</t>
        </is>
      </c>
      <c r="E8980" t="inlineStr">
        <is>
          <t>BJURHOLM</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11995-2023</t>
        </is>
      </c>
      <c r="B8981" s="1" t="n">
        <v>44994</v>
      </c>
      <c r="C8981" s="1" t="n">
        <v>45357</v>
      </c>
      <c r="D8981" t="inlineStr">
        <is>
          <t>VÄSTERBOTTENS LÄN</t>
        </is>
      </c>
      <c r="E8981" t="inlineStr">
        <is>
          <t>SKELLEFTEÅ</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11860-2023</t>
        </is>
      </c>
      <c r="B8982" s="1" t="n">
        <v>44995</v>
      </c>
      <c r="C8982" s="1" t="n">
        <v>45357</v>
      </c>
      <c r="D8982" t="inlineStr">
        <is>
          <t>VÄSTERBOTTENS LÄN</t>
        </is>
      </c>
      <c r="E8982" t="inlineStr">
        <is>
          <t>BJURHOLM</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11942-2023</t>
        </is>
      </c>
      <c r="B8983" s="1" t="n">
        <v>44995</v>
      </c>
      <c r="C8983" s="1" t="n">
        <v>45357</v>
      </c>
      <c r="D8983" t="inlineStr">
        <is>
          <t>VÄSTERBOTTENS LÄN</t>
        </is>
      </c>
      <c r="E8983" t="inlineStr">
        <is>
          <t>SKELLEFTEÅ</t>
        </is>
      </c>
      <c r="F8983" t="inlineStr">
        <is>
          <t>Sveaskog</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12017-2023</t>
        </is>
      </c>
      <c r="B8984" s="1" t="n">
        <v>44995</v>
      </c>
      <c r="C8984" s="1" t="n">
        <v>45357</v>
      </c>
      <c r="D8984" t="inlineStr">
        <is>
          <t>VÄSTERBOTTENS LÄN</t>
        </is>
      </c>
      <c r="E8984" t="inlineStr">
        <is>
          <t>SKELLEFTEÅ</t>
        </is>
      </c>
      <c r="F8984" t="inlineStr">
        <is>
          <t>Sveaskog</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12127-2023</t>
        </is>
      </c>
      <c r="B8985" s="1" t="n">
        <v>44995</v>
      </c>
      <c r="C8985" s="1" t="n">
        <v>45357</v>
      </c>
      <c r="D8985" t="inlineStr">
        <is>
          <t>VÄSTERBOTTENS LÄN</t>
        </is>
      </c>
      <c r="E8985" t="inlineStr">
        <is>
          <t>VINDELN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11945-2023</t>
        </is>
      </c>
      <c r="B8986" s="1" t="n">
        <v>44995</v>
      </c>
      <c r="C8986" s="1" t="n">
        <v>45357</v>
      </c>
      <c r="D8986" t="inlineStr">
        <is>
          <t>VÄSTERBOTTENS LÄN</t>
        </is>
      </c>
      <c r="E8986" t="inlineStr">
        <is>
          <t>SKELLEFTEÅ</t>
        </is>
      </c>
      <c r="F8986" t="inlineStr">
        <is>
          <t>Sveaskog</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12137-2023</t>
        </is>
      </c>
      <c r="B8987" s="1" t="n">
        <v>44995</v>
      </c>
      <c r="C8987" s="1" t="n">
        <v>45357</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12019-2023</t>
        </is>
      </c>
      <c r="B8988" s="1" t="n">
        <v>44995</v>
      </c>
      <c r="C8988" s="1" t="n">
        <v>45357</v>
      </c>
      <c r="D8988" t="inlineStr">
        <is>
          <t>VÄSTERBOTTENS LÄN</t>
        </is>
      </c>
      <c r="E8988" t="inlineStr">
        <is>
          <t>SKELLEFTEÅ</t>
        </is>
      </c>
      <c r="F8988" t="inlineStr">
        <is>
          <t>Sveaskog</t>
        </is>
      </c>
      <c r="G8988" t="n">
        <v>12.6</v>
      </c>
      <c r="H8988" t="n">
        <v>0</v>
      </c>
      <c r="I8988" t="n">
        <v>0</v>
      </c>
      <c r="J8988" t="n">
        <v>0</v>
      </c>
      <c r="K8988" t="n">
        <v>0</v>
      </c>
      <c r="L8988" t="n">
        <v>0</v>
      </c>
      <c r="M8988" t="n">
        <v>0</v>
      </c>
      <c r="N8988" t="n">
        <v>0</v>
      </c>
      <c r="O8988" t="n">
        <v>0</v>
      </c>
      <c r="P8988" t="n">
        <v>0</v>
      </c>
      <c r="Q8988" t="n">
        <v>0</v>
      </c>
      <c r="R8988" s="2" t="inlineStr"/>
    </row>
    <row r="8989" ht="15" customHeight="1">
      <c r="A8989" t="inlineStr">
        <is>
          <t>A 12043-2023</t>
        </is>
      </c>
      <c r="B8989" s="1" t="n">
        <v>44995</v>
      </c>
      <c r="C8989" s="1" t="n">
        <v>45357</v>
      </c>
      <c r="D8989" t="inlineStr">
        <is>
          <t>VÄSTERBOTTENS LÄN</t>
        </is>
      </c>
      <c r="E8989" t="inlineStr">
        <is>
          <t>VILHELMINA</t>
        </is>
      </c>
      <c r="F8989" t="inlineStr">
        <is>
          <t>SCA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12052-2023</t>
        </is>
      </c>
      <c r="B8990" s="1" t="n">
        <v>44995</v>
      </c>
      <c r="C8990" s="1" t="n">
        <v>45357</v>
      </c>
      <c r="D8990" t="inlineStr">
        <is>
          <t>VÄSTERBOTTENS LÄN</t>
        </is>
      </c>
      <c r="E8990" t="inlineStr">
        <is>
          <t>LYCKSELE</t>
        </is>
      </c>
      <c r="F8990" t="inlineStr">
        <is>
          <t>SCA</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12033-2023</t>
        </is>
      </c>
      <c r="B8991" s="1" t="n">
        <v>44995</v>
      </c>
      <c r="C8991" s="1" t="n">
        <v>45357</v>
      </c>
      <c r="D8991" t="inlineStr">
        <is>
          <t>VÄSTERBOTTENS LÄN</t>
        </is>
      </c>
      <c r="E8991" t="inlineStr">
        <is>
          <t>SKELLEFTEÅ</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12032-2023</t>
        </is>
      </c>
      <c r="B8992" s="1" t="n">
        <v>44995</v>
      </c>
      <c r="C8992" s="1" t="n">
        <v>45357</v>
      </c>
      <c r="D8992" t="inlineStr">
        <is>
          <t>VÄSTERBOTTENS LÄN</t>
        </is>
      </c>
      <c r="E8992" t="inlineStr">
        <is>
          <t>SKELLEFTEÅ</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12359-2023</t>
        </is>
      </c>
      <c r="B8993" s="1" t="n">
        <v>44995</v>
      </c>
      <c r="C8993" s="1" t="n">
        <v>45357</v>
      </c>
      <c r="D8993" t="inlineStr">
        <is>
          <t>VÄSTERBOTTENS LÄN</t>
        </is>
      </c>
      <c r="E8993" t="inlineStr">
        <is>
          <t>STORUMAN</t>
        </is>
      </c>
      <c r="F8993" t="inlineStr">
        <is>
          <t>Allmännings- och besparingsskogar</t>
        </is>
      </c>
      <c r="G8993" t="n">
        <v>449.5</v>
      </c>
      <c r="H8993" t="n">
        <v>0</v>
      </c>
      <c r="I8993" t="n">
        <v>0</v>
      </c>
      <c r="J8993" t="n">
        <v>0</v>
      </c>
      <c r="K8993" t="n">
        <v>0</v>
      </c>
      <c r="L8993" t="n">
        <v>0</v>
      </c>
      <c r="M8993" t="n">
        <v>0</v>
      </c>
      <c r="N8993" t="n">
        <v>0</v>
      </c>
      <c r="O8993" t="n">
        <v>0</v>
      </c>
      <c r="P8993" t="n">
        <v>0</v>
      </c>
      <c r="Q8993" t="n">
        <v>0</v>
      </c>
      <c r="R8993" s="2" t="inlineStr"/>
    </row>
    <row r="8994" ht="15" customHeight="1">
      <c r="A8994" t="inlineStr">
        <is>
          <t>A 12081-2023</t>
        </is>
      </c>
      <c r="B8994" s="1" t="n">
        <v>44997</v>
      </c>
      <c r="C8994" s="1" t="n">
        <v>45357</v>
      </c>
      <c r="D8994" t="inlineStr">
        <is>
          <t>VÄSTERBOTTENS LÄN</t>
        </is>
      </c>
      <c r="E8994" t="inlineStr">
        <is>
          <t>STORUMAN</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12197-2023</t>
        </is>
      </c>
      <c r="B8995" s="1" t="n">
        <v>44998</v>
      </c>
      <c r="C8995" s="1" t="n">
        <v>45357</v>
      </c>
      <c r="D8995" t="inlineStr">
        <is>
          <t>VÄSTERBOTTENS LÄN</t>
        </is>
      </c>
      <c r="E8995" t="inlineStr">
        <is>
          <t>BJURHOLM</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12366-2023</t>
        </is>
      </c>
      <c r="B8996" s="1" t="n">
        <v>44998</v>
      </c>
      <c r="C8996" s="1" t="n">
        <v>45357</v>
      </c>
      <c r="D8996" t="inlineStr">
        <is>
          <t>VÄSTERBOTTENS LÄN</t>
        </is>
      </c>
      <c r="E8996" t="inlineStr">
        <is>
          <t>SKELLEFTEÅ</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12382-2023</t>
        </is>
      </c>
      <c r="B8997" s="1" t="n">
        <v>44998</v>
      </c>
      <c r="C8997" s="1" t="n">
        <v>45357</v>
      </c>
      <c r="D8997" t="inlineStr">
        <is>
          <t>VÄSTERBOTTENS LÄN</t>
        </is>
      </c>
      <c r="E8997" t="inlineStr">
        <is>
          <t>VINDELN</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12222-2023</t>
        </is>
      </c>
      <c r="B8998" s="1" t="n">
        <v>44998</v>
      </c>
      <c r="C8998" s="1" t="n">
        <v>45357</v>
      </c>
      <c r="D8998" t="inlineStr">
        <is>
          <t>VÄSTERBOTTENS LÄN</t>
        </is>
      </c>
      <c r="E8998" t="inlineStr">
        <is>
          <t>NORSJÖ</t>
        </is>
      </c>
      <c r="F8998" t="inlineStr">
        <is>
          <t>Holmen skog AB</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12368-2023</t>
        </is>
      </c>
      <c r="B8999" s="1" t="n">
        <v>44998</v>
      </c>
      <c r="C8999" s="1" t="n">
        <v>45357</v>
      </c>
      <c r="D8999" t="inlineStr">
        <is>
          <t>VÄSTERBOTTENS LÄN</t>
        </is>
      </c>
      <c r="E8999" t="inlineStr">
        <is>
          <t>LYCKSELE</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12392-2023</t>
        </is>
      </c>
      <c r="B9000" s="1" t="n">
        <v>44998</v>
      </c>
      <c r="C9000" s="1" t="n">
        <v>45357</v>
      </c>
      <c r="D9000" t="inlineStr">
        <is>
          <t>VÄSTERBOTTENS LÄN</t>
        </is>
      </c>
      <c r="E9000" t="inlineStr">
        <is>
          <t>SKELLEFTEÅ</t>
        </is>
      </c>
      <c r="G9000" t="n">
        <v>9.4</v>
      </c>
      <c r="H9000" t="n">
        <v>0</v>
      </c>
      <c r="I9000" t="n">
        <v>0</v>
      </c>
      <c r="J9000" t="n">
        <v>0</v>
      </c>
      <c r="K9000" t="n">
        <v>0</v>
      </c>
      <c r="L9000" t="n">
        <v>0</v>
      </c>
      <c r="M9000" t="n">
        <v>0</v>
      </c>
      <c r="N9000" t="n">
        <v>0</v>
      </c>
      <c r="O9000" t="n">
        <v>0</v>
      </c>
      <c r="P9000" t="n">
        <v>0</v>
      </c>
      <c r="Q9000" t="n">
        <v>0</v>
      </c>
      <c r="R9000" s="2" t="inlineStr"/>
    </row>
    <row r="9001" ht="15" customHeight="1">
      <c r="A9001" t="inlineStr">
        <is>
          <t>A 12278-2023</t>
        </is>
      </c>
      <c r="B9001" s="1" t="n">
        <v>44998</v>
      </c>
      <c r="C9001" s="1" t="n">
        <v>45357</v>
      </c>
      <c r="D9001" t="inlineStr">
        <is>
          <t>VÄSTERBOTTENS LÄN</t>
        </is>
      </c>
      <c r="E9001" t="inlineStr">
        <is>
          <t>DOROTEA</t>
        </is>
      </c>
      <c r="G9001" t="n">
        <v>12.5</v>
      </c>
      <c r="H9001" t="n">
        <v>0</v>
      </c>
      <c r="I9001" t="n">
        <v>0</v>
      </c>
      <c r="J9001" t="n">
        <v>0</v>
      </c>
      <c r="K9001" t="n">
        <v>0</v>
      </c>
      <c r="L9001" t="n">
        <v>0</v>
      </c>
      <c r="M9001" t="n">
        <v>0</v>
      </c>
      <c r="N9001" t="n">
        <v>0</v>
      </c>
      <c r="O9001" t="n">
        <v>0</v>
      </c>
      <c r="P9001" t="n">
        <v>0</v>
      </c>
      <c r="Q9001" t="n">
        <v>0</v>
      </c>
      <c r="R9001" s="2" t="inlineStr"/>
    </row>
    <row r="9002" ht="15" customHeight="1">
      <c r="A9002" t="inlineStr">
        <is>
          <t>A 12561-2023</t>
        </is>
      </c>
      <c r="B9002" s="1" t="n">
        <v>44998</v>
      </c>
      <c r="C9002" s="1" t="n">
        <v>45357</v>
      </c>
      <c r="D9002" t="inlineStr">
        <is>
          <t>VÄSTERBOTTENS LÄN</t>
        </is>
      </c>
      <c r="E9002" t="inlineStr">
        <is>
          <t>STORUMAN</t>
        </is>
      </c>
      <c r="F9002" t="inlineStr">
        <is>
          <t>Övriga statliga verk och myndigheter</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12550-2023</t>
        </is>
      </c>
      <c r="B9003" s="1" t="n">
        <v>44998</v>
      </c>
      <c r="C9003" s="1" t="n">
        <v>45357</v>
      </c>
      <c r="D9003" t="inlineStr">
        <is>
          <t>VÄSTERBOTTENS LÄN</t>
        </is>
      </c>
      <c r="E9003" t="inlineStr">
        <is>
          <t>STORUMAN</t>
        </is>
      </c>
      <c r="F9003" t="inlineStr">
        <is>
          <t>Övriga statliga verk och myndigheter</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12378-2023</t>
        </is>
      </c>
      <c r="B9004" s="1" t="n">
        <v>44998</v>
      </c>
      <c r="C9004" s="1" t="n">
        <v>45357</v>
      </c>
      <c r="D9004" t="inlineStr">
        <is>
          <t>VÄSTERBOTTENS LÄN</t>
        </is>
      </c>
      <c r="E9004" t="inlineStr">
        <is>
          <t>VINDELN</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12436-2023</t>
        </is>
      </c>
      <c r="B9005" s="1" t="n">
        <v>44998</v>
      </c>
      <c r="C9005" s="1" t="n">
        <v>45357</v>
      </c>
      <c r="D9005" t="inlineStr">
        <is>
          <t>VÄSTERBOTTENS LÄN</t>
        </is>
      </c>
      <c r="E9005" t="inlineStr">
        <is>
          <t>STORUMAN</t>
        </is>
      </c>
      <c r="G9005" t="n">
        <v>16.5</v>
      </c>
      <c r="H9005" t="n">
        <v>0</v>
      </c>
      <c r="I9005" t="n">
        <v>0</v>
      </c>
      <c r="J9005" t="n">
        <v>0</v>
      </c>
      <c r="K9005" t="n">
        <v>0</v>
      </c>
      <c r="L9005" t="n">
        <v>0</v>
      </c>
      <c r="M9005" t="n">
        <v>0</v>
      </c>
      <c r="N9005" t="n">
        <v>0</v>
      </c>
      <c r="O9005" t="n">
        <v>0</v>
      </c>
      <c r="P9005" t="n">
        <v>0</v>
      </c>
      <c r="Q9005" t="n">
        <v>0</v>
      </c>
      <c r="R9005" s="2" t="inlineStr"/>
    </row>
    <row r="9006" ht="15" customHeight="1">
      <c r="A9006" t="inlineStr">
        <is>
          <t>A 12556-2023</t>
        </is>
      </c>
      <c r="B9006" s="1" t="n">
        <v>44998</v>
      </c>
      <c r="C9006" s="1" t="n">
        <v>45357</v>
      </c>
      <c r="D9006" t="inlineStr">
        <is>
          <t>VÄSTERBOTTENS LÄN</t>
        </is>
      </c>
      <c r="E9006" t="inlineStr">
        <is>
          <t>STORUMAN</t>
        </is>
      </c>
      <c r="F9006" t="inlineStr">
        <is>
          <t>Övriga statliga verk och myndigheter</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12329-2023</t>
        </is>
      </c>
      <c r="B9007" s="1" t="n">
        <v>44999</v>
      </c>
      <c r="C9007" s="1" t="n">
        <v>45357</v>
      </c>
      <c r="D9007" t="inlineStr">
        <is>
          <t>VÄSTERBOTTENS LÄN</t>
        </is>
      </c>
      <c r="E9007" t="inlineStr">
        <is>
          <t>VINDELN</t>
        </is>
      </c>
      <c r="F9007" t="inlineStr">
        <is>
          <t>Holmen skog AB</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12337-2023</t>
        </is>
      </c>
      <c r="B9008" s="1" t="n">
        <v>44999</v>
      </c>
      <c r="C9008" s="1" t="n">
        <v>45357</v>
      </c>
      <c r="D9008" t="inlineStr">
        <is>
          <t>VÄSTERBOTTENS LÄN</t>
        </is>
      </c>
      <c r="E9008" t="inlineStr">
        <is>
          <t>LYCKSELE</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12506-2023</t>
        </is>
      </c>
      <c r="B9009" s="1" t="n">
        <v>44999</v>
      </c>
      <c r="C9009" s="1" t="n">
        <v>45357</v>
      </c>
      <c r="D9009" t="inlineStr">
        <is>
          <t>VÄSTERBOTTENS LÄN</t>
        </is>
      </c>
      <c r="E9009" t="inlineStr">
        <is>
          <t>SORSELE</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12582-2023</t>
        </is>
      </c>
      <c r="B9010" s="1" t="n">
        <v>44999</v>
      </c>
      <c r="C9010" s="1" t="n">
        <v>45357</v>
      </c>
      <c r="D9010" t="inlineStr">
        <is>
          <t>VÄSTERBOTTENS LÄN</t>
        </is>
      </c>
      <c r="E9010" t="inlineStr">
        <is>
          <t>LYCKSELE</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12657-2023</t>
        </is>
      </c>
      <c r="B9011" s="1" t="n">
        <v>44999</v>
      </c>
      <c r="C9011" s="1" t="n">
        <v>45357</v>
      </c>
      <c r="D9011" t="inlineStr">
        <is>
          <t>VÄSTERBOTTENS LÄN</t>
        </is>
      </c>
      <c r="E9011" t="inlineStr">
        <is>
          <t>NORSJÖ</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12765-2023</t>
        </is>
      </c>
      <c r="B9012" s="1" t="n">
        <v>44999</v>
      </c>
      <c r="C9012" s="1" t="n">
        <v>45357</v>
      </c>
      <c r="D9012" t="inlineStr">
        <is>
          <t>VÄSTERBOTTENS LÄN</t>
        </is>
      </c>
      <c r="E9012" t="inlineStr">
        <is>
          <t>NORSJÖ</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12507-2023</t>
        </is>
      </c>
      <c r="B9013" s="1" t="n">
        <v>44999</v>
      </c>
      <c r="C9013" s="1" t="n">
        <v>45357</v>
      </c>
      <c r="D9013" t="inlineStr">
        <is>
          <t>VÄSTERBOTTENS LÄN</t>
        </is>
      </c>
      <c r="E9013" t="inlineStr">
        <is>
          <t>SORSELE</t>
        </is>
      </c>
      <c r="G9013" t="n">
        <v>5.6</v>
      </c>
      <c r="H9013" t="n">
        <v>0</v>
      </c>
      <c r="I9013" t="n">
        <v>0</v>
      </c>
      <c r="J9013" t="n">
        <v>0</v>
      </c>
      <c r="K9013" t="n">
        <v>0</v>
      </c>
      <c r="L9013" t="n">
        <v>0</v>
      </c>
      <c r="M9013" t="n">
        <v>0</v>
      </c>
      <c r="N9013" t="n">
        <v>0</v>
      </c>
      <c r="O9013" t="n">
        <v>0</v>
      </c>
      <c r="P9013" t="n">
        <v>0</v>
      </c>
      <c r="Q9013" t="n">
        <v>0</v>
      </c>
      <c r="R9013" s="2" t="inlineStr"/>
    </row>
    <row r="9014" ht="15" customHeight="1">
      <c r="A9014" t="inlineStr">
        <is>
          <t>A 12728-2023</t>
        </is>
      </c>
      <c r="B9014" s="1" t="n">
        <v>45000</v>
      </c>
      <c r="C9014" s="1" t="n">
        <v>45357</v>
      </c>
      <c r="D9014" t="inlineStr">
        <is>
          <t>VÄSTERBOTTENS LÄN</t>
        </is>
      </c>
      <c r="E9014" t="inlineStr">
        <is>
          <t>SKELLEFTEÅ</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12527-2023</t>
        </is>
      </c>
      <c r="B9015" s="1" t="n">
        <v>45000</v>
      </c>
      <c r="C9015" s="1" t="n">
        <v>45357</v>
      </c>
      <c r="D9015" t="inlineStr">
        <is>
          <t>VÄSTERBOTTENS LÄN</t>
        </is>
      </c>
      <c r="E9015" t="inlineStr">
        <is>
          <t>ÅSELE</t>
        </is>
      </c>
      <c r="F9015" t="inlineStr">
        <is>
          <t>SCA</t>
        </is>
      </c>
      <c r="G9015" t="n">
        <v>12.6</v>
      </c>
      <c r="H9015" t="n">
        <v>0</v>
      </c>
      <c r="I9015" t="n">
        <v>0</v>
      </c>
      <c r="J9015" t="n">
        <v>0</v>
      </c>
      <c r="K9015" t="n">
        <v>0</v>
      </c>
      <c r="L9015" t="n">
        <v>0</v>
      </c>
      <c r="M9015" t="n">
        <v>0</v>
      </c>
      <c r="N9015" t="n">
        <v>0</v>
      </c>
      <c r="O9015" t="n">
        <v>0</v>
      </c>
      <c r="P9015" t="n">
        <v>0</v>
      </c>
      <c r="Q9015" t="n">
        <v>0</v>
      </c>
      <c r="R9015" s="2" t="inlineStr"/>
    </row>
    <row r="9016" ht="15" customHeight="1">
      <c r="A9016" t="inlineStr">
        <is>
          <t>A 12740-2023</t>
        </is>
      </c>
      <c r="B9016" s="1" t="n">
        <v>45000</v>
      </c>
      <c r="C9016" s="1" t="n">
        <v>45357</v>
      </c>
      <c r="D9016" t="inlineStr">
        <is>
          <t>VÄSTERBOTTENS LÄN</t>
        </is>
      </c>
      <c r="E9016" t="inlineStr">
        <is>
          <t>DOROTEA</t>
        </is>
      </c>
      <c r="F9016" t="inlineStr">
        <is>
          <t>SCA</t>
        </is>
      </c>
      <c r="G9016" t="n">
        <v>7.6</v>
      </c>
      <c r="H9016" t="n">
        <v>0</v>
      </c>
      <c r="I9016" t="n">
        <v>0</v>
      </c>
      <c r="J9016" t="n">
        <v>0</v>
      </c>
      <c r="K9016" t="n">
        <v>0</v>
      </c>
      <c r="L9016" t="n">
        <v>0</v>
      </c>
      <c r="M9016" t="n">
        <v>0</v>
      </c>
      <c r="N9016" t="n">
        <v>0</v>
      </c>
      <c r="O9016" t="n">
        <v>0</v>
      </c>
      <c r="P9016" t="n">
        <v>0</v>
      </c>
      <c r="Q9016" t="n">
        <v>0</v>
      </c>
      <c r="R9016" s="2" t="inlineStr"/>
    </row>
    <row r="9017" ht="15" customHeight="1">
      <c r="A9017" t="inlineStr">
        <is>
          <t>A 12601-2023</t>
        </is>
      </c>
      <c r="B9017" s="1" t="n">
        <v>45000</v>
      </c>
      <c r="C9017" s="1" t="n">
        <v>45357</v>
      </c>
      <c r="D9017" t="inlineStr">
        <is>
          <t>VÄSTERBOTTENS LÄN</t>
        </is>
      </c>
      <c r="E9017" t="inlineStr">
        <is>
          <t>SKELLEFTEÅ</t>
        </is>
      </c>
      <c r="F9017" t="inlineStr">
        <is>
          <t>Holmen skog AB</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12648-2023</t>
        </is>
      </c>
      <c r="B9018" s="1" t="n">
        <v>45000</v>
      </c>
      <c r="C9018" s="1" t="n">
        <v>45357</v>
      </c>
      <c r="D9018" t="inlineStr">
        <is>
          <t>VÄSTERBOTTENS LÄN</t>
        </is>
      </c>
      <c r="E9018" t="inlineStr">
        <is>
          <t>SKELLEFTEÅ</t>
        </is>
      </c>
      <c r="F9018" t="inlineStr">
        <is>
          <t>Holmen skog AB</t>
        </is>
      </c>
      <c r="G9018" t="n">
        <v>14.6</v>
      </c>
      <c r="H9018" t="n">
        <v>0</v>
      </c>
      <c r="I9018" t="n">
        <v>0</v>
      </c>
      <c r="J9018" t="n">
        <v>0</v>
      </c>
      <c r="K9018" t="n">
        <v>0</v>
      </c>
      <c r="L9018" t="n">
        <v>0</v>
      </c>
      <c r="M9018" t="n">
        <v>0</v>
      </c>
      <c r="N9018" t="n">
        <v>0</v>
      </c>
      <c r="O9018" t="n">
        <v>0</v>
      </c>
      <c r="P9018" t="n">
        <v>0</v>
      </c>
      <c r="Q9018" t="n">
        <v>0</v>
      </c>
      <c r="R9018" s="2" t="inlineStr"/>
    </row>
    <row r="9019" ht="15" customHeight="1">
      <c r="A9019" t="inlineStr">
        <is>
          <t>A 12737-2023</t>
        </is>
      </c>
      <c r="B9019" s="1" t="n">
        <v>45000</v>
      </c>
      <c r="C9019" s="1" t="n">
        <v>45357</v>
      </c>
      <c r="D9019" t="inlineStr">
        <is>
          <t>VÄSTERBOTTENS LÄN</t>
        </is>
      </c>
      <c r="E9019" t="inlineStr">
        <is>
          <t>NORDMALING</t>
        </is>
      </c>
      <c r="F9019" t="inlineStr">
        <is>
          <t>SCA</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12751-2023</t>
        </is>
      </c>
      <c r="B9020" s="1" t="n">
        <v>45000</v>
      </c>
      <c r="C9020" s="1" t="n">
        <v>45357</v>
      </c>
      <c r="D9020" t="inlineStr">
        <is>
          <t>VÄSTERBOTTENS LÄN</t>
        </is>
      </c>
      <c r="E9020" t="inlineStr">
        <is>
          <t>DOROTEA</t>
        </is>
      </c>
      <c r="F9020" t="inlineStr">
        <is>
          <t>SCA</t>
        </is>
      </c>
      <c r="G9020" t="n">
        <v>13.6</v>
      </c>
      <c r="H9020" t="n">
        <v>0</v>
      </c>
      <c r="I9020" t="n">
        <v>0</v>
      </c>
      <c r="J9020" t="n">
        <v>0</v>
      </c>
      <c r="K9020" t="n">
        <v>0</v>
      </c>
      <c r="L9020" t="n">
        <v>0</v>
      </c>
      <c r="M9020" t="n">
        <v>0</v>
      </c>
      <c r="N9020" t="n">
        <v>0</v>
      </c>
      <c r="O9020" t="n">
        <v>0</v>
      </c>
      <c r="P9020" t="n">
        <v>0</v>
      </c>
      <c r="Q9020" t="n">
        <v>0</v>
      </c>
      <c r="R9020" s="2" t="inlineStr"/>
    </row>
    <row r="9021" ht="15" customHeight="1">
      <c r="A9021" t="inlineStr">
        <is>
          <t>A 12797-2023</t>
        </is>
      </c>
      <c r="B9021" s="1" t="n">
        <v>45000</v>
      </c>
      <c r="C9021" s="1" t="n">
        <v>45357</v>
      </c>
      <c r="D9021" t="inlineStr">
        <is>
          <t>VÄSTERBOTTENS LÄN</t>
        </is>
      </c>
      <c r="E9021" t="inlineStr">
        <is>
          <t>MALÅ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12780-2023</t>
        </is>
      </c>
      <c r="B9022" s="1" t="n">
        <v>45000</v>
      </c>
      <c r="C9022" s="1" t="n">
        <v>45357</v>
      </c>
      <c r="D9022" t="inlineStr">
        <is>
          <t>VÄSTERBOTTENS LÄN</t>
        </is>
      </c>
      <c r="E9022" t="inlineStr">
        <is>
          <t>NORDMALING</t>
        </is>
      </c>
      <c r="G9022" t="n">
        <v>10</v>
      </c>
      <c r="H9022" t="n">
        <v>0</v>
      </c>
      <c r="I9022" t="n">
        <v>0</v>
      </c>
      <c r="J9022" t="n">
        <v>0</v>
      </c>
      <c r="K9022" t="n">
        <v>0</v>
      </c>
      <c r="L9022" t="n">
        <v>0</v>
      </c>
      <c r="M9022" t="n">
        <v>0</v>
      </c>
      <c r="N9022" t="n">
        <v>0</v>
      </c>
      <c r="O9022" t="n">
        <v>0</v>
      </c>
      <c r="P9022" t="n">
        <v>0</v>
      </c>
      <c r="Q9022" t="n">
        <v>0</v>
      </c>
      <c r="R9022" s="2" t="inlineStr"/>
    </row>
    <row r="9023" ht="15" customHeight="1">
      <c r="A9023" t="inlineStr">
        <is>
          <t>A 12787-2023</t>
        </is>
      </c>
      <c r="B9023" s="1" t="n">
        <v>45000</v>
      </c>
      <c r="C9023" s="1" t="n">
        <v>45357</v>
      </c>
      <c r="D9023" t="inlineStr">
        <is>
          <t>VÄSTERBOTTENS LÄN</t>
        </is>
      </c>
      <c r="E9023" t="inlineStr">
        <is>
          <t>MALÅ</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12799-2023</t>
        </is>
      </c>
      <c r="B9024" s="1" t="n">
        <v>45000</v>
      </c>
      <c r="C9024" s="1" t="n">
        <v>45357</v>
      </c>
      <c r="D9024" t="inlineStr">
        <is>
          <t>VÄSTERBOTTENS LÄN</t>
        </is>
      </c>
      <c r="E9024" t="inlineStr">
        <is>
          <t>MALÅ</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12738-2023</t>
        </is>
      </c>
      <c r="B9025" s="1" t="n">
        <v>45000</v>
      </c>
      <c r="C9025" s="1" t="n">
        <v>45357</v>
      </c>
      <c r="D9025" t="inlineStr">
        <is>
          <t>VÄSTERBOTTENS LÄN</t>
        </is>
      </c>
      <c r="E9025" t="inlineStr">
        <is>
          <t>NORDMALING</t>
        </is>
      </c>
      <c r="F9025" t="inlineStr">
        <is>
          <t>SCA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12784-2023</t>
        </is>
      </c>
      <c r="B9026" s="1" t="n">
        <v>45000</v>
      </c>
      <c r="C9026" s="1" t="n">
        <v>45357</v>
      </c>
      <c r="D9026" t="inlineStr">
        <is>
          <t>VÄSTERBOTTENS LÄN</t>
        </is>
      </c>
      <c r="E9026" t="inlineStr">
        <is>
          <t>VILHELMINA</t>
        </is>
      </c>
      <c r="G9026" t="n">
        <v>18.6</v>
      </c>
      <c r="H9026" t="n">
        <v>0</v>
      </c>
      <c r="I9026" t="n">
        <v>0</v>
      </c>
      <c r="J9026" t="n">
        <v>0</v>
      </c>
      <c r="K9026" t="n">
        <v>0</v>
      </c>
      <c r="L9026" t="n">
        <v>0</v>
      </c>
      <c r="M9026" t="n">
        <v>0</v>
      </c>
      <c r="N9026" t="n">
        <v>0</v>
      </c>
      <c r="O9026" t="n">
        <v>0</v>
      </c>
      <c r="P9026" t="n">
        <v>0</v>
      </c>
      <c r="Q9026" t="n">
        <v>0</v>
      </c>
      <c r="R9026" s="2" t="inlineStr"/>
    </row>
    <row r="9027" ht="15" customHeight="1">
      <c r="A9027" t="inlineStr">
        <is>
          <t>A 12736-2023</t>
        </is>
      </c>
      <c r="B9027" s="1" t="n">
        <v>45000</v>
      </c>
      <c r="C9027" s="1" t="n">
        <v>45357</v>
      </c>
      <c r="D9027" t="inlineStr">
        <is>
          <t>VÄSTERBOTTENS LÄN</t>
        </is>
      </c>
      <c r="E9027" t="inlineStr">
        <is>
          <t>NORDMALING</t>
        </is>
      </c>
      <c r="F9027" t="inlineStr">
        <is>
          <t>SCA</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12789-2023</t>
        </is>
      </c>
      <c r="B9028" s="1" t="n">
        <v>45000</v>
      </c>
      <c r="C9028" s="1" t="n">
        <v>45357</v>
      </c>
      <c r="D9028" t="inlineStr">
        <is>
          <t>VÄSTERBOTTENS LÄN</t>
        </is>
      </c>
      <c r="E9028" t="inlineStr">
        <is>
          <t>MALÅ</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12803-2023</t>
        </is>
      </c>
      <c r="B9029" s="1" t="n">
        <v>45000</v>
      </c>
      <c r="C9029" s="1" t="n">
        <v>45357</v>
      </c>
      <c r="D9029" t="inlineStr">
        <is>
          <t>VÄSTERBOTTENS LÄN</t>
        </is>
      </c>
      <c r="E9029" t="inlineStr">
        <is>
          <t>SKELLEFTEÅ</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12866-2023</t>
        </is>
      </c>
      <c r="B9030" s="1" t="n">
        <v>45000</v>
      </c>
      <c r="C9030" s="1" t="n">
        <v>45357</v>
      </c>
      <c r="D9030" t="inlineStr">
        <is>
          <t>VÄSTERBOTTENS LÄN</t>
        </is>
      </c>
      <c r="E9030" t="inlineStr">
        <is>
          <t>VILHELMINA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12825-2023</t>
        </is>
      </c>
      <c r="B9031" s="1" t="n">
        <v>45000</v>
      </c>
      <c r="C9031" s="1" t="n">
        <v>45357</v>
      </c>
      <c r="D9031" t="inlineStr">
        <is>
          <t>VÄSTERBOTTENS LÄN</t>
        </is>
      </c>
      <c r="E9031" t="inlineStr">
        <is>
          <t>VILHELMINA</t>
        </is>
      </c>
      <c r="G9031" t="n">
        <v>22.4</v>
      </c>
      <c r="H9031" t="n">
        <v>0</v>
      </c>
      <c r="I9031" t="n">
        <v>0</v>
      </c>
      <c r="J9031" t="n">
        <v>0</v>
      </c>
      <c r="K9031" t="n">
        <v>0</v>
      </c>
      <c r="L9031" t="n">
        <v>0</v>
      </c>
      <c r="M9031" t="n">
        <v>0</v>
      </c>
      <c r="N9031" t="n">
        <v>0</v>
      </c>
      <c r="O9031" t="n">
        <v>0</v>
      </c>
      <c r="P9031" t="n">
        <v>0</v>
      </c>
      <c r="Q9031" t="n">
        <v>0</v>
      </c>
      <c r="R9031" s="2" t="inlineStr"/>
    </row>
    <row r="9032" ht="15" customHeight="1">
      <c r="A9032" t="inlineStr">
        <is>
          <t>A 12837-2023</t>
        </is>
      </c>
      <c r="B9032" s="1" t="n">
        <v>45001</v>
      </c>
      <c r="C9032" s="1" t="n">
        <v>45357</v>
      </c>
      <c r="D9032" t="inlineStr">
        <is>
          <t>VÄSTERBOTTENS LÄN</t>
        </is>
      </c>
      <c r="E9032" t="inlineStr">
        <is>
          <t>VINDELN</t>
        </is>
      </c>
      <c r="F9032" t="inlineStr">
        <is>
          <t>Holmen skog AB</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12902-2023</t>
        </is>
      </c>
      <c r="B9033" s="1" t="n">
        <v>45001</v>
      </c>
      <c r="C9033" s="1" t="n">
        <v>45357</v>
      </c>
      <c r="D9033" t="inlineStr">
        <is>
          <t>VÄSTERBOTTENS LÄN</t>
        </is>
      </c>
      <c r="E9033" t="inlineStr">
        <is>
          <t>ROBERTSFORS</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12973-2023</t>
        </is>
      </c>
      <c r="B9034" s="1" t="n">
        <v>45001</v>
      </c>
      <c r="C9034" s="1" t="n">
        <v>45357</v>
      </c>
      <c r="D9034" t="inlineStr">
        <is>
          <t>VÄSTERBOTTENS LÄN</t>
        </is>
      </c>
      <c r="E9034" t="inlineStr">
        <is>
          <t>VINDELN</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13088-2023</t>
        </is>
      </c>
      <c r="B9035" s="1" t="n">
        <v>45001</v>
      </c>
      <c r="C9035" s="1" t="n">
        <v>45357</v>
      </c>
      <c r="D9035" t="inlineStr">
        <is>
          <t>VÄSTERBOTTENS LÄN</t>
        </is>
      </c>
      <c r="E9035" t="inlineStr">
        <is>
          <t>SORSELE</t>
        </is>
      </c>
      <c r="G9035" t="n">
        <v>20</v>
      </c>
      <c r="H9035" t="n">
        <v>0</v>
      </c>
      <c r="I9035" t="n">
        <v>0</v>
      </c>
      <c r="J9035" t="n">
        <v>0</v>
      </c>
      <c r="K9035" t="n">
        <v>0</v>
      </c>
      <c r="L9035" t="n">
        <v>0</v>
      </c>
      <c r="M9035" t="n">
        <v>0</v>
      </c>
      <c r="N9035" t="n">
        <v>0</v>
      </c>
      <c r="O9035" t="n">
        <v>0</v>
      </c>
      <c r="P9035" t="n">
        <v>0</v>
      </c>
      <c r="Q9035" t="n">
        <v>0</v>
      </c>
      <c r="R9035" s="2" t="inlineStr"/>
    </row>
    <row r="9036" ht="15" customHeight="1">
      <c r="A9036" t="inlineStr">
        <is>
          <t>A 12992-2023</t>
        </is>
      </c>
      <c r="B9036" s="1" t="n">
        <v>45002</v>
      </c>
      <c r="C9036" s="1" t="n">
        <v>45357</v>
      </c>
      <c r="D9036" t="inlineStr">
        <is>
          <t>VÄSTERBOTTENS LÄN</t>
        </is>
      </c>
      <c r="E9036" t="inlineStr">
        <is>
          <t>DOROTEA</t>
        </is>
      </c>
      <c r="F9036" t="inlineStr">
        <is>
          <t>SCA</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13005-2023</t>
        </is>
      </c>
      <c r="B9037" s="1" t="n">
        <v>45002</v>
      </c>
      <c r="C9037" s="1" t="n">
        <v>45357</v>
      </c>
      <c r="D9037" t="inlineStr">
        <is>
          <t>VÄSTERBOTTENS LÄN</t>
        </is>
      </c>
      <c r="E9037" t="inlineStr">
        <is>
          <t>MALÅ</t>
        </is>
      </c>
      <c r="F9037" t="inlineStr">
        <is>
          <t>SCA</t>
        </is>
      </c>
      <c r="G9037" t="n">
        <v>18.6</v>
      </c>
      <c r="H9037" t="n">
        <v>0</v>
      </c>
      <c r="I9037" t="n">
        <v>0</v>
      </c>
      <c r="J9037" t="n">
        <v>0</v>
      </c>
      <c r="K9037" t="n">
        <v>0</v>
      </c>
      <c r="L9037" t="n">
        <v>0</v>
      </c>
      <c r="M9037" t="n">
        <v>0</v>
      </c>
      <c r="N9037" t="n">
        <v>0</v>
      </c>
      <c r="O9037" t="n">
        <v>0</v>
      </c>
      <c r="P9037" t="n">
        <v>0</v>
      </c>
      <c r="Q9037" t="n">
        <v>0</v>
      </c>
      <c r="R9037" s="2" t="inlineStr"/>
    </row>
    <row r="9038" ht="15" customHeight="1">
      <c r="A9038" t="inlineStr">
        <is>
          <t>A 13001-2023</t>
        </is>
      </c>
      <c r="B9038" s="1" t="n">
        <v>45002</v>
      </c>
      <c r="C9038" s="1" t="n">
        <v>45357</v>
      </c>
      <c r="D9038" t="inlineStr">
        <is>
          <t>VÄSTERBOTTENS LÄN</t>
        </is>
      </c>
      <c r="E9038" t="inlineStr">
        <is>
          <t>MALÅ</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13004-2023</t>
        </is>
      </c>
      <c r="B9039" s="1" t="n">
        <v>45002</v>
      </c>
      <c r="C9039" s="1" t="n">
        <v>45357</v>
      </c>
      <c r="D9039" t="inlineStr">
        <is>
          <t>VÄSTERBOTTENS LÄN</t>
        </is>
      </c>
      <c r="E9039" t="inlineStr">
        <is>
          <t>MALÅ</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13093-2023</t>
        </is>
      </c>
      <c r="B9040" s="1" t="n">
        <v>45002</v>
      </c>
      <c r="C9040" s="1" t="n">
        <v>45357</v>
      </c>
      <c r="D9040" t="inlineStr">
        <is>
          <t>VÄSTERBOTTENS LÄN</t>
        </is>
      </c>
      <c r="E9040" t="inlineStr">
        <is>
          <t>SORSELE</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13149-2023</t>
        </is>
      </c>
      <c r="B9041" s="1" t="n">
        <v>45002</v>
      </c>
      <c r="C9041" s="1" t="n">
        <v>45357</v>
      </c>
      <c r="D9041" t="inlineStr">
        <is>
          <t>VÄSTERBOTTENS LÄN</t>
        </is>
      </c>
      <c r="E9041" t="inlineStr">
        <is>
          <t>SKELLEFTEÅ</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13003-2023</t>
        </is>
      </c>
      <c r="B9042" s="1" t="n">
        <v>45002</v>
      </c>
      <c r="C9042" s="1" t="n">
        <v>45357</v>
      </c>
      <c r="D9042" t="inlineStr">
        <is>
          <t>VÄSTERBOTTENS LÄN</t>
        </is>
      </c>
      <c r="E9042" t="inlineStr">
        <is>
          <t>MALÅ</t>
        </is>
      </c>
      <c r="F9042" t="inlineStr">
        <is>
          <t>SCA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13179-2023</t>
        </is>
      </c>
      <c r="B9043" s="1" t="n">
        <v>45002</v>
      </c>
      <c r="C9043" s="1" t="n">
        <v>45357</v>
      </c>
      <c r="D9043" t="inlineStr">
        <is>
          <t>VÄSTERBOTTENS LÄN</t>
        </is>
      </c>
      <c r="E9043" t="inlineStr">
        <is>
          <t>ROBERTSFORS</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13187-2023</t>
        </is>
      </c>
      <c r="B9044" s="1" t="n">
        <v>45002</v>
      </c>
      <c r="C9044" s="1" t="n">
        <v>45357</v>
      </c>
      <c r="D9044" t="inlineStr">
        <is>
          <t>VÄSTERBOTTENS LÄN</t>
        </is>
      </c>
      <c r="E9044" t="inlineStr">
        <is>
          <t>ROBERTSFORS</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13209-2023</t>
        </is>
      </c>
      <c r="B9045" s="1" t="n">
        <v>45002</v>
      </c>
      <c r="C9045" s="1" t="n">
        <v>45357</v>
      </c>
      <c r="D9045" t="inlineStr">
        <is>
          <t>VÄSTERBOTTENS LÄN</t>
        </is>
      </c>
      <c r="E9045" t="inlineStr">
        <is>
          <t>SORSELE</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13248-2023</t>
        </is>
      </c>
      <c r="B9046" s="1" t="n">
        <v>45002</v>
      </c>
      <c r="C9046" s="1" t="n">
        <v>45357</v>
      </c>
      <c r="D9046" t="inlineStr">
        <is>
          <t>VÄSTERBOTTENS LÄN</t>
        </is>
      </c>
      <c r="E9046" t="inlineStr">
        <is>
          <t>SORSELE</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13265-2023</t>
        </is>
      </c>
      <c r="B9047" s="1" t="n">
        <v>45002</v>
      </c>
      <c r="C9047" s="1" t="n">
        <v>45357</v>
      </c>
      <c r="D9047" t="inlineStr">
        <is>
          <t>VÄSTERBOTTENS LÄN</t>
        </is>
      </c>
      <c r="E9047" t="inlineStr">
        <is>
          <t>DOROTEA</t>
        </is>
      </c>
      <c r="F9047" t="inlineStr">
        <is>
          <t>SCA</t>
        </is>
      </c>
      <c r="G9047" t="n">
        <v>20.7</v>
      </c>
      <c r="H9047" t="n">
        <v>0</v>
      </c>
      <c r="I9047" t="n">
        <v>0</v>
      </c>
      <c r="J9047" t="n">
        <v>0</v>
      </c>
      <c r="K9047" t="n">
        <v>0</v>
      </c>
      <c r="L9047" t="n">
        <v>0</v>
      </c>
      <c r="M9047" t="n">
        <v>0</v>
      </c>
      <c r="N9047" t="n">
        <v>0</v>
      </c>
      <c r="O9047" t="n">
        <v>0</v>
      </c>
      <c r="P9047" t="n">
        <v>0</v>
      </c>
      <c r="Q9047" t="n">
        <v>0</v>
      </c>
      <c r="R9047" s="2" t="inlineStr"/>
    </row>
    <row r="9048" ht="15" customHeight="1">
      <c r="A9048" t="inlineStr">
        <is>
          <t>A 13249-2023</t>
        </is>
      </c>
      <c r="B9048" s="1" t="n">
        <v>45002</v>
      </c>
      <c r="C9048" s="1" t="n">
        <v>45357</v>
      </c>
      <c r="D9048" t="inlineStr">
        <is>
          <t>VÄSTERBOTTENS LÄN</t>
        </is>
      </c>
      <c r="E9048" t="inlineStr">
        <is>
          <t>SORSELE</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13257-2023</t>
        </is>
      </c>
      <c r="B9049" s="1" t="n">
        <v>45002</v>
      </c>
      <c r="C9049" s="1" t="n">
        <v>45357</v>
      </c>
      <c r="D9049" t="inlineStr">
        <is>
          <t>VÄSTERBOTTENS LÄN</t>
        </is>
      </c>
      <c r="E9049" t="inlineStr">
        <is>
          <t>DOROTEA</t>
        </is>
      </c>
      <c r="F9049" t="inlineStr">
        <is>
          <t>SCA</t>
        </is>
      </c>
      <c r="G9049" t="n">
        <v>23.3</v>
      </c>
      <c r="H9049" t="n">
        <v>0</v>
      </c>
      <c r="I9049" t="n">
        <v>0</v>
      </c>
      <c r="J9049" t="n">
        <v>0</v>
      </c>
      <c r="K9049" t="n">
        <v>0</v>
      </c>
      <c r="L9049" t="n">
        <v>0</v>
      </c>
      <c r="M9049" t="n">
        <v>0</v>
      </c>
      <c r="N9049" t="n">
        <v>0</v>
      </c>
      <c r="O9049" t="n">
        <v>0</v>
      </c>
      <c r="P9049" t="n">
        <v>0</v>
      </c>
      <c r="Q9049" t="n">
        <v>0</v>
      </c>
      <c r="R9049" s="2" t="inlineStr"/>
    </row>
    <row r="9050" ht="15" customHeight="1">
      <c r="A9050" t="inlineStr">
        <is>
          <t>A 13348-2023</t>
        </is>
      </c>
      <c r="B9050" s="1" t="n">
        <v>45005</v>
      </c>
      <c r="C9050" s="1" t="n">
        <v>45357</v>
      </c>
      <c r="D9050" t="inlineStr">
        <is>
          <t>VÄSTERBOTTENS LÄN</t>
        </is>
      </c>
      <c r="E9050" t="inlineStr">
        <is>
          <t>ÅSELE</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13312-2023</t>
        </is>
      </c>
      <c r="B9051" s="1" t="n">
        <v>45005</v>
      </c>
      <c r="C9051" s="1" t="n">
        <v>45357</v>
      </c>
      <c r="D9051" t="inlineStr">
        <is>
          <t>VÄSTERBOTTENS LÄN</t>
        </is>
      </c>
      <c r="E9051" t="inlineStr">
        <is>
          <t>SKELLEFTEÅ</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13441-2023</t>
        </is>
      </c>
      <c r="B9052" s="1" t="n">
        <v>45005</v>
      </c>
      <c r="C9052" s="1" t="n">
        <v>45357</v>
      </c>
      <c r="D9052" t="inlineStr">
        <is>
          <t>VÄSTERBOTTENS LÄN</t>
        </is>
      </c>
      <c r="E9052" t="inlineStr">
        <is>
          <t>STORUMAN</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13470-2023</t>
        </is>
      </c>
      <c r="B9053" s="1" t="n">
        <v>45005</v>
      </c>
      <c r="C9053" s="1" t="n">
        <v>45357</v>
      </c>
      <c r="D9053" t="inlineStr">
        <is>
          <t>VÄSTERBOTTENS LÄN</t>
        </is>
      </c>
      <c r="E9053" t="inlineStr">
        <is>
          <t>SKELLEFTEÅ</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13313-2023</t>
        </is>
      </c>
      <c r="B9054" s="1" t="n">
        <v>45005</v>
      </c>
      <c r="C9054" s="1" t="n">
        <v>45357</v>
      </c>
      <c r="D9054" t="inlineStr">
        <is>
          <t>VÄSTERBOTTENS LÄN</t>
        </is>
      </c>
      <c r="E9054" t="inlineStr">
        <is>
          <t>VINDELN</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13498-2023</t>
        </is>
      </c>
      <c r="B9055" s="1" t="n">
        <v>45005</v>
      </c>
      <c r="C9055" s="1" t="n">
        <v>45357</v>
      </c>
      <c r="D9055" t="inlineStr">
        <is>
          <t>VÄSTERBOTTENS LÄN</t>
        </is>
      </c>
      <c r="E9055" t="inlineStr">
        <is>
          <t>ÅSELE</t>
        </is>
      </c>
      <c r="F9055" t="inlineStr">
        <is>
          <t>SCA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13533-2023</t>
        </is>
      </c>
      <c r="B9056" s="1" t="n">
        <v>45005</v>
      </c>
      <c r="C9056" s="1" t="n">
        <v>45357</v>
      </c>
      <c r="D9056" t="inlineStr">
        <is>
          <t>VÄSTERBOTTENS LÄN</t>
        </is>
      </c>
      <c r="E9056" t="inlineStr">
        <is>
          <t>ROBERTSFORS</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13490-2023</t>
        </is>
      </c>
      <c r="B9057" s="1" t="n">
        <v>45005</v>
      </c>
      <c r="C9057" s="1" t="n">
        <v>45357</v>
      </c>
      <c r="D9057" t="inlineStr">
        <is>
          <t>VÄSTERBOTTENS LÄN</t>
        </is>
      </c>
      <c r="E9057" t="inlineStr">
        <is>
          <t>DOROTEA</t>
        </is>
      </c>
      <c r="F9057" t="inlineStr">
        <is>
          <t>SCA</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13375-2023</t>
        </is>
      </c>
      <c r="B9058" s="1" t="n">
        <v>45005</v>
      </c>
      <c r="C9058" s="1" t="n">
        <v>45357</v>
      </c>
      <c r="D9058" t="inlineStr">
        <is>
          <t>VÄSTERBOTTENS LÄN</t>
        </is>
      </c>
      <c r="E9058" t="inlineStr">
        <is>
          <t>SKELLEFTEÅ</t>
        </is>
      </c>
      <c r="F9058" t="inlineStr">
        <is>
          <t>Holmen skog AB</t>
        </is>
      </c>
      <c r="G9058" t="n">
        <v>6.9</v>
      </c>
      <c r="H9058" t="n">
        <v>0</v>
      </c>
      <c r="I9058" t="n">
        <v>0</v>
      </c>
      <c r="J9058" t="n">
        <v>0</v>
      </c>
      <c r="K9058" t="n">
        <v>0</v>
      </c>
      <c r="L9058" t="n">
        <v>0</v>
      </c>
      <c r="M9058" t="n">
        <v>0</v>
      </c>
      <c r="N9058" t="n">
        <v>0</v>
      </c>
      <c r="O9058" t="n">
        <v>0</v>
      </c>
      <c r="P9058" t="n">
        <v>0</v>
      </c>
      <c r="Q9058" t="n">
        <v>0</v>
      </c>
      <c r="R9058" s="2" t="inlineStr"/>
    </row>
    <row r="9059" ht="15" customHeight="1">
      <c r="A9059" t="inlineStr">
        <is>
          <t>A 13430-2023</t>
        </is>
      </c>
      <c r="B9059" s="1" t="n">
        <v>45005</v>
      </c>
      <c r="C9059" s="1" t="n">
        <v>45357</v>
      </c>
      <c r="D9059" t="inlineStr">
        <is>
          <t>VÄSTERBOTTENS LÄN</t>
        </is>
      </c>
      <c r="E9059" t="inlineStr">
        <is>
          <t>STORUMAN</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13497-2023</t>
        </is>
      </c>
      <c r="B9060" s="1" t="n">
        <v>45005</v>
      </c>
      <c r="C9060" s="1" t="n">
        <v>45357</v>
      </c>
      <c r="D9060" t="inlineStr">
        <is>
          <t>VÄSTERBOTTENS LÄN</t>
        </is>
      </c>
      <c r="E9060" t="inlineStr">
        <is>
          <t>ÅSELE</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13529-2023</t>
        </is>
      </c>
      <c r="B9061" s="1" t="n">
        <v>45005</v>
      </c>
      <c r="C9061" s="1" t="n">
        <v>45357</v>
      </c>
      <c r="D9061" t="inlineStr">
        <is>
          <t>VÄSTERBOTTENS LÄN</t>
        </is>
      </c>
      <c r="E9061" t="inlineStr">
        <is>
          <t>ROBERTSFORS</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13583-2023</t>
        </is>
      </c>
      <c r="B9062" s="1" t="n">
        <v>45006</v>
      </c>
      <c r="C9062" s="1" t="n">
        <v>45357</v>
      </c>
      <c r="D9062" t="inlineStr">
        <is>
          <t>VÄSTERBOTTENS LÄN</t>
        </is>
      </c>
      <c r="E9062" t="inlineStr">
        <is>
          <t>VÄNNÄS</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13661-2023</t>
        </is>
      </c>
      <c r="B9063" s="1" t="n">
        <v>45006</v>
      </c>
      <c r="C9063" s="1" t="n">
        <v>45357</v>
      </c>
      <c r="D9063" t="inlineStr">
        <is>
          <t>VÄSTERBOTTENS LÄN</t>
        </is>
      </c>
      <c r="E9063" t="inlineStr">
        <is>
          <t>LYCKSELE</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13566-2023</t>
        </is>
      </c>
      <c r="B9064" s="1" t="n">
        <v>45006</v>
      </c>
      <c r="C9064" s="1" t="n">
        <v>45357</v>
      </c>
      <c r="D9064" t="inlineStr">
        <is>
          <t>VÄSTERBOTTENS LÄN</t>
        </is>
      </c>
      <c r="E9064" t="inlineStr">
        <is>
          <t>LYCKSELE</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13563-2023</t>
        </is>
      </c>
      <c r="B9065" s="1" t="n">
        <v>45006</v>
      </c>
      <c r="C9065" s="1" t="n">
        <v>45357</v>
      </c>
      <c r="D9065" t="inlineStr">
        <is>
          <t>VÄSTERBOTTENS LÄN</t>
        </is>
      </c>
      <c r="E9065" t="inlineStr">
        <is>
          <t>LYCKSELE</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13641-2023</t>
        </is>
      </c>
      <c r="B9066" s="1" t="n">
        <v>45006</v>
      </c>
      <c r="C9066" s="1" t="n">
        <v>45357</v>
      </c>
      <c r="D9066" t="inlineStr">
        <is>
          <t>VÄSTERBOTTENS LÄN</t>
        </is>
      </c>
      <c r="E9066" t="inlineStr">
        <is>
          <t>SKELLEFTEÅ</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13768-2023</t>
        </is>
      </c>
      <c r="B9067" s="1" t="n">
        <v>45006</v>
      </c>
      <c r="C9067" s="1" t="n">
        <v>45357</v>
      </c>
      <c r="D9067" t="inlineStr">
        <is>
          <t>VÄSTERBOTTENS LÄN</t>
        </is>
      </c>
      <c r="E9067" t="inlineStr">
        <is>
          <t>UMEÅ</t>
        </is>
      </c>
      <c r="F9067" t="inlineStr">
        <is>
          <t>Kommuner</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13730-2023</t>
        </is>
      </c>
      <c r="B9068" s="1" t="n">
        <v>45007</v>
      </c>
      <c r="C9068" s="1" t="n">
        <v>45357</v>
      </c>
      <c r="D9068" t="inlineStr">
        <is>
          <t>VÄSTERBOTTENS LÄN</t>
        </is>
      </c>
      <c r="E9068" t="inlineStr">
        <is>
          <t>UMEÅ</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13887-2023</t>
        </is>
      </c>
      <c r="B9069" s="1" t="n">
        <v>45007</v>
      </c>
      <c r="C9069" s="1" t="n">
        <v>45357</v>
      </c>
      <c r="D9069" t="inlineStr">
        <is>
          <t>VÄSTERBOTTENS LÄN</t>
        </is>
      </c>
      <c r="E9069" t="inlineStr">
        <is>
          <t>VINDELN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14091-2023</t>
        </is>
      </c>
      <c r="B9070" s="1" t="n">
        <v>45007</v>
      </c>
      <c r="C9070" s="1" t="n">
        <v>45357</v>
      </c>
      <c r="D9070" t="inlineStr">
        <is>
          <t>VÄSTERBOTTENS LÄN</t>
        </is>
      </c>
      <c r="E9070" t="inlineStr">
        <is>
          <t>UMEÅ</t>
        </is>
      </c>
      <c r="F9070" t="inlineStr">
        <is>
          <t>Kommuner</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13888-2023</t>
        </is>
      </c>
      <c r="B9071" s="1" t="n">
        <v>45007</v>
      </c>
      <c r="C9071" s="1" t="n">
        <v>45357</v>
      </c>
      <c r="D9071" t="inlineStr">
        <is>
          <t>VÄSTERBOTTENS LÄN</t>
        </is>
      </c>
      <c r="E9071" t="inlineStr">
        <is>
          <t>ROBERTSFORS</t>
        </is>
      </c>
      <c r="G9071" t="n">
        <v>10.3</v>
      </c>
      <c r="H9071" t="n">
        <v>0</v>
      </c>
      <c r="I9071" t="n">
        <v>0</v>
      </c>
      <c r="J9071" t="n">
        <v>0</v>
      </c>
      <c r="K9071" t="n">
        <v>0</v>
      </c>
      <c r="L9071" t="n">
        <v>0</v>
      </c>
      <c r="M9071" t="n">
        <v>0</v>
      </c>
      <c r="N9071" t="n">
        <v>0</v>
      </c>
      <c r="O9071" t="n">
        <v>0</v>
      </c>
      <c r="P9071" t="n">
        <v>0</v>
      </c>
      <c r="Q9071" t="n">
        <v>0</v>
      </c>
      <c r="R9071" s="2" t="inlineStr"/>
    </row>
    <row r="9072" ht="15" customHeight="1">
      <c r="A9072" t="inlineStr">
        <is>
          <t>A 14161-2023</t>
        </is>
      </c>
      <c r="B9072" s="1" t="n">
        <v>45008</v>
      </c>
      <c r="C9072" s="1" t="n">
        <v>45357</v>
      </c>
      <c r="D9072" t="inlineStr">
        <is>
          <t>VÄSTERBOTTENS LÄN</t>
        </is>
      </c>
      <c r="E9072" t="inlineStr">
        <is>
          <t>SORSELE</t>
        </is>
      </c>
      <c r="F9072" t="inlineStr">
        <is>
          <t>Sveaskog</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14048-2023</t>
        </is>
      </c>
      <c r="B9073" s="1" t="n">
        <v>45008</v>
      </c>
      <c r="C9073" s="1" t="n">
        <v>45357</v>
      </c>
      <c r="D9073" t="inlineStr">
        <is>
          <t>VÄSTERBOTTENS LÄN</t>
        </is>
      </c>
      <c r="E9073" t="inlineStr">
        <is>
          <t>ROBERTSFORS</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14066-2023</t>
        </is>
      </c>
      <c r="B9074" s="1" t="n">
        <v>45008</v>
      </c>
      <c r="C9074" s="1" t="n">
        <v>45357</v>
      </c>
      <c r="D9074" t="inlineStr">
        <is>
          <t>VÄSTERBOTTENS LÄN</t>
        </is>
      </c>
      <c r="E9074" t="inlineStr">
        <is>
          <t>SKELLEFTEÅ</t>
        </is>
      </c>
      <c r="G9074" t="n">
        <v>6.7</v>
      </c>
      <c r="H9074" t="n">
        <v>0</v>
      </c>
      <c r="I9074" t="n">
        <v>0</v>
      </c>
      <c r="J9074" t="n">
        <v>0</v>
      </c>
      <c r="K9074" t="n">
        <v>0</v>
      </c>
      <c r="L9074" t="n">
        <v>0</v>
      </c>
      <c r="M9074" t="n">
        <v>0</v>
      </c>
      <c r="N9074" t="n">
        <v>0</v>
      </c>
      <c r="O9074" t="n">
        <v>0</v>
      </c>
      <c r="P9074" t="n">
        <v>0</v>
      </c>
      <c r="Q9074" t="n">
        <v>0</v>
      </c>
      <c r="R9074" s="2" t="inlineStr"/>
    </row>
    <row r="9075" ht="15" customHeight="1">
      <c r="A9075" t="inlineStr">
        <is>
          <t>A 14176-2023</t>
        </is>
      </c>
      <c r="B9075" s="1" t="n">
        <v>45009</v>
      </c>
      <c r="C9075" s="1" t="n">
        <v>45357</v>
      </c>
      <c r="D9075" t="inlineStr">
        <is>
          <t>VÄSTERBOTTENS LÄN</t>
        </is>
      </c>
      <c r="E9075" t="inlineStr">
        <is>
          <t>ROBERTSFORS</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14197-2023</t>
        </is>
      </c>
      <c r="B9076" s="1" t="n">
        <v>45009</v>
      </c>
      <c r="C9076" s="1" t="n">
        <v>45357</v>
      </c>
      <c r="D9076" t="inlineStr">
        <is>
          <t>VÄSTERBOTTENS LÄN</t>
        </is>
      </c>
      <c r="E9076" t="inlineStr">
        <is>
          <t>SKELLEFTEÅ</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14209-2023</t>
        </is>
      </c>
      <c r="B9077" s="1" t="n">
        <v>45009</v>
      </c>
      <c r="C9077" s="1" t="n">
        <v>45357</v>
      </c>
      <c r="D9077" t="inlineStr">
        <is>
          <t>VÄSTERBOTTENS LÄN</t>
        </is>
      </c>
      <c r="E9077" t="inlineStr">
        <is>
          <t>UMEÅ</t>
        </is>
      </c>
      <c r="F9077" t="inlineStr">
        <is>
          <t>Holmen skog AB</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14226-2023</t>
        </is>
      </c>
      <c r="B9078" s="1" t="n">
        <v>45009</v>
      </c>
      <c r="C9078" s="1" t="n">
        <v>45357</v>
      </c>
      <c r="D9078" t="inlineStr">
        <is>
          <t>VÄSTERBOTTENS LÄN</t>
        </is>
      </c>
      <c r="E9078" t="inlineStr">
        <is>
          <t>NORSJÖ</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14071-2023</t>
        </is>
      </c>
      <c r="B9079" s="1" t="n">
        <v>45009</v>
      </c>
      <c r="C9079" s="1" t="n">
        <v>45357</v>
      </c>
      <c r="D9079" t="inlineStr">
        <is>
          <t>VÄSTERBOTTENS LÄN</t>
        </is>
      </c>
      <c r="E9079" t="inlineStr">
        <is>
          <t>BJURHOLM</t>
        </is>
      </c>
      <c r="F9079" t="inlineStr">
        <is>
          <t>SCA</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14261-2023</t>
        </is>
      </c>
      <c r="B9080" s="1" t="n">
        <v>45009</v>
      </c>
      <c r="C9080" s="1" t="n">
        <v>45357</v>
      </c>
      <c r="D9080" t="inlineStr">
        <is>
          <t>VÄSTERBOTTENS LÄN</t>
        </is>
      </c>
      <c r="E9080" t="inlineStr">
        <is>
          <t>ÅSELE</t>
        </is>
      </c>
      <c r="F9080" t="inlineStr">
        <is>
          <t>SCA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14269-2023</t>
        </is>
      </c>
      <c r="B9081" s="1" t="n">
        <v>45010</v>
      </c>
      <c r="C9081" s="1" t="n">
        <v>45357</v>
      </c>
      <c r="D9081" t="inlineStr">
        <is>
          <t>VÄSTERBOTTENS LÄN</t>
        </is>
      </c>
      <c r="E9081" t="inlineStr">
        <is>
          <t>ÅSELE</t>
        </is>
      </c>
      <c r="F9081" t="inlineStr">
        <is>
          <t>SCA</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14273-2023</t>
        </is>
      </c>
      <c r="B9082" s="1" t="n">
        <v>45010</v>
      </c>
      <c r="C9082" s="1" t="n">
        <v>45357</v>
      </c>
      <c r="D9082" t="inlineStr">
        <is>
          <t>VÄSTERBOTTENS LÄN</t>
        </is>
      </c>
      <c r="E9082" t="inlineStr">
        <is>
          <t>ÅSELE</t>
        </is>
      </c>
      <c r="F9082" t="inlineStr">
        <is>
          <t>SCA</t>
        </is>
      </c>
      <c r="G9082" t="n">
        <v>8.9</v>
      </c>
      <c r="H9082" t="n">
        <v>0</v>
      </c>
      <c r="I9082" t="n">
        <v>0</v>
      </c>
      <c r="J9082" t="n">
        <v>0</v>
      </c>
      <c r="K9082" t="n">
        <v>0</v>
      </c>
      <c r="L9082" t="n">
        <v>0</v>
      </c>
      <c r="M9082" t="n">
        <v>0</v>
      </c>
      <c r="N9082" t="n">
        <v>0</v>
      </c>
      <c r="O9082" t="n">
        <v>0</v>
      </c>
      <c r="P9082" t="n">
        <v>0</v>
      </c>
      <c r="Q9082" t="n">
        <v>0</v>
      </c>
      <c r="R9082" s="2" t="inlineStr"/>
    </row>
    <row r="9083" ht="15" customHeight="1">
      <c r="A9083" t="inlineStr">
        <is>
          <t>A 14089-2023</t>
        </is>
      </c>
      <c r="B9083" s="1" t="n">
        <v>45009</v>
      </c>
      <c r="C9083" s="1" t="n">
        <v>45357</v>
      </c>
      <c r="D9083" t="inlineStr">
        <is>
          <t>VÄSTERBOTTENS LÄN</t>
        </is>
      </c>
      <c r="E9083" t="inlineStr">
        <is>
          <t>SKELLEFTEÅ</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14270-2023</t>
        </is>
      </c>
      <c r="B9084" s="1" t="n">
        <v>45010</v>
      </c>
      <c r="C9084" s="1" t="n">
        <v>45357</v>
      </c>
      <c r="D9084" t="inlineStr">
        <is>
          <t>VÄSTERBOTTENS LÄN</t>
        </is>
      </c>
      <c r="E9084" t="inlineStr">
        <is>
          <t>ÅSELE</t>
        </is>
      </c>
      <c r="F9084" t="inlineStr">
        <is>
          <t>SCA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14332-2023</t>
        </is>
      </c>
      <c r="B9085" s="1" t="n">
        <v>45009</v>
      </c>
      <c r="C9085" s="1" t="n">
        <v>45357</v>
      </c>
      <c r="D9085" t="inlineStr">
        <is>
          <t>VÄSTERBOTTENS LÄN</t>
        </is>
      </c>
      <c r="E9085" t="inlineStr">
        <is>
          <t>SKELLEFTEÅ</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14242-2023</t>
        </is>
      </c>
      <c r="B9086" s="1" t="n">
        <v>45009</v>
      </c>
      <c r="C9086" s="1" t="n">
        <v>45357</v>
      </c>
      <c r="D9086" t="inlineStr">
        <is>
          <t>VÄSTERBOTTENS LÄN</t>
        </is>
      </c>
      <c r="E9086" t="inlineStr">
        <is>
          <t>UMEÅ</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14267-2023</t>
        </is>
      </c>
      <c r="B9087" s="1" t="n">
        <v>45010</v>
      </c>
      <c r="C9087" s="1" t="n">
        <v>45357</v>
      </c>
      <c r="D9087" t="inlineStr">
        <is>
          <t>VÄSTERBOTTENS LÄN</t>
        </is>
      </c>
      <c r="E9087" t="inlineStr">
        <is>
          <t>ÅSELE</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14271-2023</t>
        </is>
      </c>
      <c r="B9088" s="1" t="n">
        <v>45010</v>
      </c>
      <c r="C9088" s="1" t="n">
        <v>45357</v>
      </c>
      <c r="D9088" t="inlineStr">
        <is>
          <t>VÄSTERBOTTENS LÄN</t>
        </is>
      </c>
      <c r="E9088" t="inlineStr">
        <is>
          <t>ÅSELE</t>
        </is>
      </c>
      <c r="F9088" t="inlineStr">
        <is>
          <t>SCA</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14268-2023</t>
        </is>
      </c>
      <c r="B9089" s="1" t="n">
        <v>45010</v>
      </c>
      <c r="C9089" s="1" t="n">
        <v>45357</v>
      </c>
      <c r="D9089" t="inlineStr">
        <is>
          <t>VÄSTERBOTTENS LÄN</t>
        </is>
      </c>
      <c r="E9089" t="inlineStr">
        <is>
          <t>ÅSELE</t>
        </is>
      </c>
      <c r="F9089" t="inlineStr">
        <is>
          <t>SCA</t>
        </is>
      </c>
      <c r="G9089" t="n">
        <v>11.4</v>
      </c>
      <c r="H9089" t="n">
        <v>0</v>
      </c>
      <c r="I9089" t="n">
        <v>0</v>
      </c>
      <c r="J9089" t="n">
        <v>0</v>
      </c>
      <c r="K9089" t="n">
        <v>0</v>
      </c>
      <c r="L9089" t="n">
        <v>0</v>
      </c>
      <c r="M9089" t="n">
        <v>0</v>
      </c>
      <c r="N9089" t="n">
        <v>0</v>
      </c>
      <c r="O9089" t="n">
        <v>0</v>
      </c>
      <c r="P9089" t="n">
        <v>0</v>
      </c>
      <c r="Q9089" t="n">
        <v>0</v>
      </c>
      <c r="R9089" s="2" t="inlineStr"/>
    </row>
    <row r="9090" ht="15" customHeight="1">
      <c r="A9090" t="inlineStr">
        <is>
          <t>A 14341-2023</t>
        </is>
      </c>
      <c r="B9090" s="1" t="n">
        <v>45009</v>
      </c>
      <c r="C9090" s="1" t="n">
        <v>45357</v>
      </c>
      <c r="D9090" t="inlineStr">
        <is>
          <t>VÄSTERBOTTENS LÄN</t>
        </is>
      </c>
      <c r="E9090" t="inlineStr">
        <is>
          <t>SKELLEFTEÅ</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14431-2023</t>
        </is>
      </c>
      <c r="B9091" s="1" t="n">
        <v>45009</v>
      </c>
      <c r="C9091" s="1" t="n">
        <v>45357</v>
      </c>
      <c r="D9091" t="inlineStr">
        <is>
          <t>VÄSTERBOTTENS LÄN</t>
        </is>
      </c>
      <c r="E9091" t="inlineStr">
        <is>
          <t>BJURHOLM</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14272-2023</t>
        </is>
      </c>
      <c r="B9092" s="1" t="n">
        <v>45009</v>
      </c>
      <c r="C9092" s="1" t="n">
        <v>45357</v>
      </c>
      <c r="D9092" t="inlineStr">
        <is>
          <t>VÄSTERBOTTENS LÄN</t>
        </is>
      </c>
      <c r="E9092" t="inlineStr">
        <is>
          <t>ÅSELE</t>
        </is>
      </c>
      <c r="F9092" t="inlineStr">
        <is>
          <t>SCA</t>
        </is>
      </c>
      <c r="G9092" t="n">
        <v>9.300000000000001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14264-2023</t>
        </is>
      </c>
      <c r="B9093" s="1" t="n">
        <v>45009</v>
      </c>
      <c r="C9093" s="1" t="n">
        <v>45357</v>
      </c>
      <c r="D9093" t="inlineStr">
        <is>
          <t>VÄSTERBOTTENS LÄN</t>
        </is>
      </c>
      <c r="E9093" t="inlineStr">
        <is>
          <t>DOROTEA</t>
        </is>
      </c>
      <c r="F9093" t="inlineStr">
        <is>
          <t>SCA</t>
        </is>
      </c>
      <c r="G9093" t="n">
        <v>23.9</v>
      </c>
      <c r="H9093" t="n">
        <v>0</v>
      </c>
      <c r="I9093" t="n">
        <v>0</v>
      </c>
      <c r="J9093" t="n">
        <v>0</v>
      </c>
      <c r="K9093" t="n">
        <v>0</v>
      </c>
      <c r="L9093" t="n">
        <v>0</v>
      </c>
      <c r="M9093" t="n">
        <v>0</v>
      </c>
      <c r="N9093" t="n">
        <v>0</v>
      </c>
      <c r="O9093" t="n">
        <v>0</v>
      </c>
      <c r="P9093" t="n">
        <v>0</v>
      </c>
      <c r="Q9093" t="n">
        <v>0</v>
      </c>
      <c r="R9093" s="2" t="inlineStr"/>
    </row>
    <row r="9094" ht="15" customHeight="1">
      <c r="A9094" t="inlineStr">
        <is>
          <t>A 14351-2023</t>
        </is>
      </c>
      <c r="B9094" s="1" t="n">
        <v>45009</v>
      </c>
      <c r="C9094" s="1" t="n">
        <v>45357</v>
      </c>
      <c r="D9094" t="inlineStr">
        <is>
          <t>VÄSTERBOTTENS LÄN</t>
        </is>
      </c>
      <c r="E9094" t="inlineStr">
        <is>
          <t>SKELLEFTEÅ</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14458-2023</t>
        </is>
      </c>
      <c r="B9095" s="1" t="n">
        <v>45012</v>
      </c>
      <c r="C9095" s="1" t="n">
        <v>45357</v>
      </c>
      <c r="D9095" t="inlineStr">
        <is>
          <t>VÄSTERBOTTENS LÄN</t>
        </is>
      </c>
      <c r="E9095" t="inlineStr">
        <is>
          <t>SKELLEFTEÅ</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14697-2023</t>
        </is>
      </c>
      <c r="B9096" s="1" t="n">
        <v>45012</v>
      </c>
      <c r="C9096" s="1" t="n">
        <v>45357</v>
      </c>
      <c r="D9096" t="inlineStr">
        <is>
          <t>VÄSTERBOTTENS LÄN</t>
        </is>
      </c>
      <c r="E9096" t="inlineStr">
        <is>
          <t>SKELLEFTEÅ</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14519-2023</t>
        </is>
      </c>
      <c r="B9097" s="1" t="n">
        <v>45013</v>
      </c>
      <c r="C9097" s="1" t="n">
        <v>45357</v>
      </c>
      <c r="D9097" t="inlineStr">
        <is>
          <t>VÄSTERBOTTENS LÄN</t>
        </is>
      </c>
      <c r="E9097" t="inlineStr">
        <is>
          <t>NORDMALING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14407-2023</t>
        </is>
      </c>
      <c r="B9098" s="1" t="n">
        <v>45012</v>
      </c>
      <c r="C9098" s="1" t="n">
        <v>45357</v>
      </c>
      <c r="D9098" t="inlineStr">
        <is>
          <t>VÄSTERBOTTENS LÄN</t>
        </is>
      </c>
      <c r="E9098" t="inlineStr">
        <is>
          <t>UMEÅ</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14705-2023</t>
        </is>
      </c>
      <c r="B9099" s="1" t="n">
        <v>45012</v>
      </c>
      <c r="C9099" s="1" t="n">
        <v>45357</v>
      </c>
      <c r="D9099" t="inlineStr">
        <is>
          <t>VÄSTERBOTTENS LÄN</t>
        </is>
      </c>
      <c r="E9099" t="inlineStr">
        <is>
          <t>SKELLEFTEÅ</t>
        </is>
      </c>
      <c r="G9099" t="n">
        <v>11.4</v>
      </c>
      <c r="H9099" t="n">
        <v>0</v>
      </c>
      <c r="I9099" t="n">
        <v>0</v>
      </c>
      <c r="J9099" t="n">
        <v>0</v>
      </c>
      <c r="K9099" t="n">
        <v>0</v>
      </c>
      <c r="L9099" t="n">
        <v>0</v>
      </c>
      <c r="M9099" t="n">
        <v>0</v>
      </c>
      <c r="N9099" t="n">
        <v>0</v>
      </c>
      <c r="O9099" t="n">
        <v>0</v>
      </c>
      <c r="P9099" t="n">
        <v>0</v>
      </c>
      <c r="Q9099" t="n">
        <v>0</v>
      </c>
      <c r="R9099" s="2" t="inlineStr"/>
    </row>
    <row r="9100" ht="15" customHeight="1">
      <c r="A9100" t="inlineStr">
        <is>
          <t>A 14538-2023</t>
        </is>
      </c>
      <c r="B9100" s="1" t="n">
        <v>45013</v>
      </c>
      <c r="C9100" s="1" t="n">
        <v>45357</v>
      </c>
      <c r="D9100" t="inlineStr">
        <is>
          <t>VÄSTERBOTTENS LÄN</t>
        </is>
      </c>
      <c r="E9100" t="inlineStr">
        <is>
          <t>ROBERTSFORS</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14671-2023</t>
        </is>
      </c>
      <c r="B9101" s="1" t="n">
        <v>45013</v>
      </c>
      <c r="C9101" s="1" t="n">
        <v>45357</v>
      </c>
      <c r="D9101" t="inlineStr">
        <is>
          <t>VÄSTERBOTTENS LÄN</t>
        </is>
      </c>
      <c r="E9101" t="inlineStr">
        <is>
          <t>ROBERTSFORS</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14806-2023</t>
        </is>
      </c>
      <c r="B9102" s="1" t="n">
        <v>45013</v>
      </c>
      <c r="C9102" s="1" t="n">
        <v>45357</v>
      </c>
      <c r="D9102" t="inlineStr">
        <is>
          <t>VÄSTERBOTTENS LÄN</t>
        </is>
      </c>
      <c r="E9102" t="inlineStr">
        <is>
          <t>DOROTEA</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14652-2023</t>
        </is>
      </c>
      <c r="B9103" s="1" t="n">
        <v>45013</v>
      </c>
      <c r="C9103" s="1" t="n">
        <v>45357</v>
      </c>
      <c r="D9103" t="inlineStr">
        <is>
          <t>VÄSTERBOTTENS LÄN</t>
        </is>
      </c>
      <c r="E9103" t="inlineStr">
        <is>
          <t>LYCKSELE</t>
        </is>
      </c>
      <c r="F9103" t="inlineStr">
        <is>
          <t>Holmen skog AB</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14661-2023</t>
        </is>
      </c>
      <c r="B9104" s="1" t="n">
        <v>45013</v>
      </c>
      <c r="C9104" s="1" t="n">
        <v>45357</v>
      </c>
      <c r="D9104" t="inlineStr">
        <is>
          <t>VÄSTERBOTTENS LÄN</t>
        </is>
      </c>
      <c r="E9104" t="inlineStr">
        <is>
          <t>STORUMAN</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14672-2023</t>
        </is>
      </c>
      <c r="B9105" s="1" t="n">
        <v>45014</v>
      </c>
      <c r="C9105" s="1" t="n">
        <v>45357</v>
      </c>
      <c r="D9105" t="inlineStr">
        <is>
          <t>VÄSTERBOTTENS LÄN</t>
        </is>
      </c>
      <c r="E9105" t="inlineStr">
        <is>
          <t>DOROTEA</t>
        </is>
      </c>
      <c r="F9105" t="inlineStr">
        <is>
          <t>SCA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14673-2023</t>
        </is>
      </c>
      <c r="B9106" s="1" t="n">
        <v>45013</v>
      </c>
      <c r="C9106" s="1" t="n">
        <v>45357</v>
      </c>
      <c r="D9106" t="inlineStr">
        <is>
          <t>VÄSTERBOTTENS LÄN</t>
        </is>
      </c>
      <c r="E9106" t="inlineStr">
        <is>
          <t>DOROTEA</t>
        </is>
      </c>
      <c r="F9106" t="inlineStr">
        <is>
          <t>SCA</t>
        </is>
      </c>
      <c r="G9106" t="n">
        <v>16.1</v>
      </c>
      <c r="H9106" t="n">
        <v>0</v>
      </c>
      <c r="I9106" t="n">
        <v>0</v>
      </c>
      <c r="J9106" t="n">
        <v>0</v>
      </c>
      <c r="K9106" t="n">
        <v>0</v>
      </c>
      <c r="L9106" t="n">
        <v>0</v>
      </c>
      <c r="M9106" t="n">
        <v>0</v>
      </c>
      <c r="N9106" t="n">
        <v>0</v>
      </c>
      <c r="O9106" t="n">
        <v>0</v>
      </c>
      <c r="P9106" t="n">
        <v>0</v>
      </c>
      <c r="Q9106" t="n">
        <v>0</v>
      </c>
      <c r="R9106" s="2" t="inlineStr"/>
    </row>
    <row r="9107" ht="15" customHeight="1">
      <c r="A9107" t="inlineStr">
        <is>
          <t>A 14737-2023</t>
        </is>
      </c>
      <c r="B9107" s="1" t="n">
        <v>45013</v>
      </c>
      <c r="C9107" s="1" t="n">
        <v>45357</v>
      </c>
      <c r="D9107" t="inlineStr">
        <is>
          <t>VÄSTERBOTTENS LÄN</t>
        </is>
      </c>
      <c r="E9107" t="inlineStr">
        <is>
          <t>ROBERTSFORS</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14810-2023</t>
        </is>
      </c>
      <c r="B9108" s="1" t="n">
        <v>45013</v>
      </c>
      <c r="C9108" s="1" t="n">
        <v>45357</v>
      </c>
      <c r="D9108" t="inlineStr">
        <is>
          <t>VÄSTERBOTTENS LÄN</t>
        </is>
      </c>
      <c r="E9108" t="inlineStr">
        <is>
          <t>STORUMAN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14734-2023</t>
        </is>
      </c>
      <c r="B9109" s="1" t="n">
        <v>45013</v>
      </c>
      <c r="C9109" s="1" t="n">
        <v>45357</v>
      </c>
      <c r="D9109" t="inlineStr">
        <is>
          <t>VÄSTERBOTTENS LÄN</t>
        </is>
      </c>
      <c r="E9109" t="inlineStr">
        <is>
          <t>UMEÅ</t>
        </is>
      </c>
      <c r="G9109" t="n">
        <v>14.4</v>
      </c>
      <c r="H9109" t="n">
        <v>0</v>
      </c>
      <c r="I9109" t="n">
        <v>0</v>
      </c>
      <c r="J9109" t="n">
        <v>0</v>
      </c>
      <c r="K9109" t="n">
        <v>0</v>
      </c>
      <c r="L9109" t="n">
        <v>0</v>
      </c>
      <c r="M9109" t="n">
        <v>0</v>
      </c>
      <c r="N9109" t="n">
        <v>0</v>
      </c>
      <c r="O9109" t="n">
        <v>0</v>
      </c>
      <c r="P9109" t="n">
        <v>0</v>
      </c>
      <c r="Q9109" t="n">
        <v>0</v>
      </c>
      <c r="R9109" s="2" t="inlineStr"/>
    </row>
    <row r="9110" ht="15" customHeight="1">
      <c r="A9110" t="inlineStr">
        <is>
          <t>A 14721-2023</t>
        </is>
      </c>
      <c r="B9110" s="1" t="n">
        <v>45014</v>
      </c>
      <c r="C9110" s="1" t="n">
        <v>45357</v>
      </c>
      <c r="D9110" t="inlineStr">
        <is>
          <t>VÄSTERBOTTENS LÄN</t>
        </is>
      </c>
      <c r="E9110" t="inlineStr">
        <is>
          <t>VÄNNÄS</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14724-2023</t>
        </is>
      </c>
      <c r="B9111" s="1" t="n">
        <v>45014</v>
      </c>
      <c r="C9111" s="1" t="n">
        <v>45357</v>
      </c>
      <c r="D9111" t="inlineStr">
        <is>
          <t>VÄSTERBOTTENS LÄN</t>
        </is>
      </c>
      <c r="E9111" t="inlineStr">
        <is>
          <t>VÄNNÄS</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14857-2023</t>
        </is>
      </c>
      <c r="B9112" s="1" t="n">
        <v>45014</v>
      </c>
      <c r="C9112" s="1" t="n">
        <v>45357</v>
      </c>
      <c r="D9112" t="inlineStr">
        <is>
          <t>VÄSTERBOTTENS LÄN</t>
        </is>
      </c>
      <c r="E9112" t="inlineStr">
        <is>
          <t>LYCKSELE</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14902-2023</t>
        </is>
      </c>
      <c r="B9113" s="1" t="n">
        <v>45014</v>
      </c>
      <c r="C9113" s="1" t="n">
        <v>45357</v>
      </c>
      <c r="D9113" t="inlineStr">
        <is>
          <t>VÄSTERBOTTENS LÄN</t>
        </is>
      </c>
      <c r="E9113" t="inlineStr">
        <is>
          <t>SKELLEFTEÅ</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14915-2023</t>
        </is>
      </c>
      <c r="B9114" s="1" t="n">
        <v>45014</v>
      </c>
      <c r="C9114" s="1" t="n">
        <v>45357</v>
      </c>
      <c r="D9114" t="inlineStr">
        <is>
          <t>VÄSTERBOTTENS LÄN</t>
        </is>
      </c>
      <c r="E9114" t="inlineStr">
        <is>
          <t>ÅSELE</t>
        </is>
      </c>
      <c r="G9114" t="n">
        <v>24.6</v>
      </c>
      <c r="H9114" t="n">
        <v>0</v>
      </c>
      <c r="I9114" t="n">
        <v>0</v>
      </c>
      <c r="J9114" t="n">
        <v>0</v>
      </c>
      <c r="K9114" t="n">
        <v>0</v>
      </c>
      <c r="L9114" t="n">
        <v>0</v>
      </c>
      <c r="M9114" t="n">
        <v>0</v>
      </c>
      <c r="N9114" t="n">
        <v>0</v>
      </c>
      <c r="O9114" t="n">
        <v>0</v>
      </c>
      <c r="P9114" t="n">
        <v>0</v>
      </c>
      <c r="Q9114" t="n">
        <v>0</v>
      </c>
      <c r="R9114" s="2" t="inlineStr"/>
    </row>
    <row r="9115" ht="15" customHeight="1">
      <c r="A9115" t="inlineStr">
        <is>
          <t>A 14928-2023</t>
        </is>
      </c>
      <c r="B9115" s="1" t="n">
        <v>45014</v>
      </c>
      <c r="C9115" s="1" t="n">
        <v>45357</v>
      </c>
      <c r="D9115" t="inlineStr">
        <is>
          <t>VÄSTERBOTTENS LÄN</t>
        </is>
      </c>
      <c r="E9115" t="inlineStr">
        <is>
          <t>UMEÅ</t>
        </is>
      </c>
      <c r="F9115" t="inlineStr">
        <is>
          <t>Kommuner</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14854-2023</t>
        </is>
      </c>
      <c r="B9116" s="1" t="n">
        <v>45014</v>
      </c>
      <c r="C9116" s="1" t="n">
        <v>45357</v>
      </c>
      <c r="D9116" t="inlineStr">
        <is>
          <t>VÄSTERBOTTENS LÄN</t>
        </is>
      </c>
      <c r="E9116" t="inlineStr">
        <is>
          <t>LYCKSELE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14925-2023</t>
        </is>
      </c>
      <c r="B9117" s="1" t="n">
        <v>45014</v>
      </c>
      <c r="C9117" s="1" t="n">
        <v>45357</v>
      </c>
      <c r="D9117" t="inlineStr">
        <is>
          <t>VÄSTERBOTTENS LÄN</t>
        </is>
      </c>
      <c r="E9117" t="inlineStr">
        <is>
          <t>ÅSELE</t>
        </is>
      </c>
      <c r="G9117" t="n">
        <v>9.4</v>
      </c>
      <c r="H9117" t="n">
        <v>0</v>
      </c>
      <c r="I9117" t="n">
        <v>0</v>
      </c>
      <c r="J9117" t="n">
        <v>0</v>
      </c>
      <c r="K9117" t="n">
        <v>0</v>
      </c>
      <c r="L9117" t="n">
        <v>0</v>
      </c>
      <c r="M9117" t="n">
        <v>0</v>
      </c>
      <c r="N9117" t="n">
        <v>0</v>
      </c>
      <c r="O9117" t="n">
        <v>0</v>
      </c>
      <c r="P9117" t="n">
        <v>0</v>
      </c>
      <c r="Q9117" t="n">
        <v>0</v>
      </c>
      <c r="R9117" s="2" t="inlineStr"/>
    </row>
    <row r="9118" ht="15" customHeight="1">
      <c r="A9118" t="inlineStr">
        <is>
          <t>A 14952-2023</t>
        </is>
      </c>
      <c r="B9118" s="1" t="n">
        <v>45014</v>
      </c>
      <c r="C9118" s="1" t="n">
        <v>45357</v>
      </c>
      <c r="D9118" t="inlineStr">
        <is>
          <t>VÄSTERBOTTENS LÄN</t>
        </is>
      </c>
      <c r="E9118" t="inlineStr">
        <is>
          <t>VINDELN</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14956-2023</t>
        </is>
      </c>
      <c r="B9119" s="1" t="n">
        <v>45014</v>
      </c>
      <c r="C9119" s="1" t="n">
        <v>45357</v>
      </c>
      <c r="D9119" t="inlineStr">
        <is>
          <t>VÄSTERBOTTENS LÄN</t>
        </is>
      </c>
      <c r="E9119" t="inlineStr">
        <is>
          <t>STORUMAN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14992-2023</t>
        </is>
      </c>
      <c r="B9120" s="1" t="n">
        <v>45014</v>
      </c>
      <c r="C9120" s="1" t="n">
        <v>45357</v>
      </c>
      <c r="D9120" t="inlineStr">
        <is>
          <t>VÄSTERBOTTENS LÄN</t>
        </is>
      </c>
      <c r="E9120" t="inlineStr">
        <is>
          <t>SKELLEFTEÅ</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14926-2023</t>
        </is>
      </c>
      <c r="B9121" s="1" t="n">
        <v>45014</v>
      </c>
      <c r="C9121" s="1" t="n">
        <v>45357</v>
      </c>
      <c r="D9121" t="inlineStr">
        <is>
          <t>VÄSTERBOTTENS LÄN</t>
        </is>
      </c>
      <c r="E9121" t="inlineStr">
        <is>
          <t>ROBERTSFORS</t>
        </is>
      </c>
      <c r="G9121" t="n">
        <v>4.7</v>
      </c>
      <c r="H9121" t="n">
        <v>0</v>
      </c>
      <c r="I9121" t="n">
        <v>0</v>
      </c>
      <c r="J9121" t="n">
        <v>0</v>
      </c>
      <c r="K9121" t="n">
        <v>0</v>
      </c>
      <c r="L9121" t="n">
        <v>0</v>
      </c>
      <c r="M9121" t="n">
        <v>0</v>
      </c>
      <c r="N9121" t="n">
        <v>0</v>
      </c>
      <c r="O9121" t="n">
        <v>0</v>
      </c>
      <c r="P9121" t="n">
        <v>0</v>
      </c>
      <c r="Q9121" t="n">
        <v>0</v>
      </c>
      <c r="R9121" s="2" t="inlineStr"/>
    </row>
    <row r="9122" ht="15" customHeight="1">
      <c r="A9122" t="inlineStr">
        <is>
          <t>A 14953-2023</t>
        </is>
      </c>
      <c r="B9122" s="1" t="n">
        <v>45014</v>
      </c>
      <c r="C9122" s="1" t="n">
        <v>45357</v>
      </c>
      <c r="D9122" t="inlineStr">
        <is>
          <t>VÄSTERBOTTENS LÄN</t>
        </is>
      </c>
      <c r="E9122" t="inlineStr">
        <is>
          <t>STORUMAN</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14983-2023</t>
        </is>
      </c>
      <c r="B9123" s="1" t="n">
        <v>45014</v>
      </c>
      <c r="C9123" s="1" t="n">
        <v>45357</v>
      </c>
      <c r="D9123" t="inlineStr">
        <is>
          <t>VÄSTERBOTTENS LÄN</t>
        </is>
      </c>
      <c r="E9123" t="inlineStr">
        <is>
          <t>SKELLEFTEÅ</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14877-2023</t>
        </is>
      </c>
      <c r="B9124" s="1" t="n">
        <v>45015</v>
      </c>
      <c r="C9124" s="1" t="n">
        <v>45357</v>
      </c>
      <c r="D9124" t="inlineStr">
        <is>
          <t>VÄSTERBOTTENS LÄN</t>
        </is>
      </c>
      <c r="E9124" t="inlineStr">
        <is>
          <t>LYCKSELE</t>
        </is>
      </c>
      <c r="F9124" t="inlineStr">
        <is>
          <t>SCA</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14882-2023</t>
        </is>
      </c>
      <c r="B9125" s="1" t="n">
        <v>45015</v>
      </c>
      <c r="C9125" s="1" t="n">
        <v>45357</v>
      </c>
      <c r="D9125" t="inlineStr">
        <is>
          <t>VÄSTERBOTTENS LÄN</t>
        </is>
      </c>
      <c r="E9125" t="inlineStr">
        <is>
          <t>DOROTEA</t>
        </is>
      </c>
      <c r="F9125" t="inlineStr">
        <is>
          <t>SCA</t>
        </is>
      </c>
      <c r="G9125" t="n">
        <v>15.5</v>
      </c>
      <c r="H9125" t="n">
        <v>0</v>
      </c>
      <c r="I9125" t="n">
        <v>0</v>
      </c>
      <c r="J9125" t="n">
        <v>0</v>
      </c>
      <c r="K9125" t="n">
        <v>0</v>
      </c>
      <c r="L9125" t="n">
        <v>0</v>
      </c>
      <c r="M9125" t="n">
        <v>0</v>
      </c>
      <c r="N9125" t="n">
        <v>0</v>
      </c>
      <c r="O9125" t="n">
        <v>0</v>
      </c>
      <c r="P9125" t="n">
        <v>0</v>
      </c>
      <c r="Q9125" t="n">
        <v>0</v>
      </c>
      <c r="R9125" s="2" t="inlineStr"/>
    </row>
    <row r="9126" ht="15" customHeight="1">
      <c r="A9126" t="inlineStr">
        <is>
          <t>A 14876-2023</t>
        </is>
      </c>
      <c r="B9126" s="1" t="n">
        <v>45015</v>
      </c>
      <c r="C9126" s="1" t="n">
        <v>45357</v>
      </c>
      <c r="D9126" t="inlineStr">
        <is>
          <t>VÄSTERBOTTENS LÄN</t>
        </is>
      </c>
      <c r="E9126" t="inlineStr">
        <is>
          <t>NORDMALING</t>
        </is>
      </c>
      <c r="F9126" t="inlineStr">
        <is>
          <t>SCA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14881-2023</t>
        </is>
      </c>
      <c r="B9127" s="1" t="n">
        <v>45015</v>
      </c>
      <c r="C9127" s="1" t="n">
        <v>45357</v>
      </c>
      <c r="D9127" t="inlineStr">
        <is>
          <t>VÄSTERBOTTENS LÄN</t>
        </is>
      </c>
      <c r="E9127" t="inlineStr">
        <is>
          <t>DOROTEA</t>
        </is>
      </c>
      <c r="F9127" t="inlineStr">
        <is>
          <t>SCA</t>
        </is>
      </c>
      <c r="G9127" t="n">
        <v>11.7</v>
      </c>
      <c r="H9127" t="n">
        <v>0</v>
      </c>
      <c r="I9127" t="n">
        <v>0</v>
      </c>
      <c r="J9127" t="n">
        <v>0</v>
      </c>
      <c r="K9127" t="n">
        <v>0</v>
      </c>
      <c r="L9127" t="n">
        <v>0</v>
      </c>
      <c r="M9127" t="n">
        <v>0</v>
      </c>
      <c r="N9127" t="n">
        <v>0</v>
      </c>
      <c r="O9127" t="n">
        <v>0</v>
      </c>
      <c r="P9127" t="n">
        <v>0</v>
      </c>
      <c r="Q9127" t="n">
        <v>0</v>
      </c>
      <c r="R9127" s="2" t="inlineStr"/>
    </row>
    <row r="9128" ht="15" customHeight="1">
      <c r="A9128" t="inlineStr">
        <is>
          <t>A 14878-2023</t>
        </is>
      </c>
      <c r="B9128" s="1" t="n">
        <v>45015</v>
      </c>
      <c r="C9128" s="1" t="n">
        <v>45357</v>
      </c>
      <c r="D9128" t="inlineStr">
        <is>
          <t>VÄSTERBOTTENS LÄN</t>
        </is>
      </c>
      <c r="E9128" t="inlineStr">
        <is>
          <t>NORDMALING</t>
        </is>
      </c>
      <c r="F9128" t="inlineStr">
        <is>
          <t>SCA</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14883-2023</t>
        </is>
      </c>
      <c r="B9129" s="1" t="n">
        <v>45015</v>
      </c>
      <c r="C9129" s="1" t="n">
        <v>45357</v>
      </c>
      <c r="D9129" t="inlineStr">
        <is>
          <t>VÄSTERBOTTENS LÄN</t>
        </is>
      </c>
      <c r="E9129" t="inlineStr">
        <is>
          <t>DOROTEA</t>
        </is>
      </c>
      <c r="F9129" t="inlineStr">
        <is>
          <t>SCA</t>
        </is>
      </c>
      <c r="G9129" t="n">
        <v>13.8</v>
      </c>
      <c r="H9129" t="n">
        <v>0</v>
      </c>
      <c r="I9129" t="n">
        <v>0</v>
      </c>
      <c r="J9129" t="n">
        <v>0</v>
      </c>
      <c r="K9129" t="n">
        <v>0</v>
      </c>
      <c r="L9129" t="n">
        <v>0</v>
      </c>
      <c r="M9129" t="n">
        <v>0</v>
      </c>
      <c r="N9129" t="n">
        <v>0</v>
      </c>
      <c r="O9129" t="n">
        <v>0</v>
      </c>
      <c r="P9129" t="n">
        <v>0</v>
      </c>
      <c r="Q9129" t="n">
        <v>0</v>
      </c>
      <c r="R9129" s="2" t="inlineStr"/>
    </row>
    <row r="9130" ht="15" customHeight="1">
      <c r="A9130" t="inlineStr">
        <is>
          <t>A 14998-2023</t>
        </is>
      </c>
      <c r="B9130" s="1" t="n">
        <v>45015</v>
      </c>
      <c r="C9130" s="1" t="n">
        <v>45357</v>
      </c>
      <c r="D9130" t="inlineStr">
        <is>
          <t>VÄSTERBOTTENS LÄN</t>
        </is>
      </c>
      <c r="E9130" t="inlineStr">
        <is>
          <t>SKELLEFTEÅ</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15031-2023</t>
        </is>
      </c>
      <c r="B9131" s="1" t="n">
        <v>45015</v>
      </c>
      <c r="C9131" s="1" t="n">
        <v>45357</v>
      </c>
      <c r="D9131" t="inlineStr">
        <is>
          <t>VÄSTERBOTTENS LÄN</t>
        </is>
      </c>
      <c r="E9131" t="inlineStr">
        <is>
          <t>UMEÅ</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15027-2023</t>
        </is>
      </c>
      <c r="B9132" s="1" t="n">
        <v>45015</v>
      </c>
      <c r="C9132" s="1" t="n">
        <v>45357</v>
      </c>
      <c r="D9132" t="inlineStr">
        <is>
          <t>VÄSTERBOTTENS LÄN</t>
        </is>
      </c>
      <c r="E9132" t="inlineStr">
        <is>
          <t>SORSELE</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15075-2023</t>
        </is>
      </c>
      <c r="B9133" s="1" t="n">
        <v>45015</v>
      </c>
      <c r="C9133" s="1" t="n">
        <v>45357</v>
      </c>
      <c r="D9133" t="inlineStr">
        <is>
          <t>VÄSTERBOTTENS LÄN</t>
        </is>
      </c>
      <c r="E9133" t="inlineStr">
        <is>
          <t>LYCKSELE</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15046-2023</t>
        </is>
      </c>
      <c r="B9134" s="1" t="n">
        <v>45015</v>
      </c>
      <c r="C9134" s="1" t="n">
        <v>45357</v>
      </c>
      <c r="D9134" t="inlineStr">
        <is>
          <t>VÄSTERBOTTENS LÄN</t>
        </is>
      </c>
      <c r="E9134" t="inlineStr">
        <is>
          <t>LYCKSELE</t>
        </is>
      </c>
      <c r="G9134" t="n">
        <v>13.4</v>
      </c>
      <c r="H9134" t="n">
        <v>0</v>
      </c>
      <c r="I9134" t="n">
        <v>0</v>
      </c>
      <c r="J9134" t="n">
        <v>0</v>
      </c>
      <c r="K9134" t="n">
        <v>0</v>
      </c>
      <c r="L9134" t="n">
        <v>0</v>
      </c>
      <c r="M9134" t="n">
        <v>0</v>
      </c>
      <c r="N9134" t="n">
        <v>0</v>
      </c>
      <c r="O9134" t="n">
        <v>0</v>
      </c>
      <c r="P9134" t="n">
        <v>0</v>
      </c>
      <c r="Q9134" t="n">
        <v>0</v>
      </c>
      <c r="R9134" s="2" t="inlineStr"/>
    </row>
    <row r="9135" ht="15" customHeight="1">
      <c r="A9135" t="inlineStr">
        <is>
          <t>A 15114-2023</t>
        </is>
      </c>
      <c r="B9135" s="1" t="n">
        <v>45015</v>
      </c>
      <c r="C9135" s="1" t="n">
        <v>45357</v>
      </c>
      <c r="D9135" t="inlineStr">
        <is>
          <t>VÄSTERBOTTENS LÄN</t>
        </is>
      </c>
      <c r="E9135" t="inlineStr">
        <is>
          <t>LYCKSELE</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15082-2023</t>
        </is>
      </c>
      <c r="B9136" s="1" t="n">
        <v>45016</v>
      </c>
      <c r="C9136" s="1" t="n">
        <v>45357</v>
      </c>
      <c r="D9136" t="inlineStr">
        <is>
          <t>VÄSTERBOTTENS LÄN</t>
        </is>
      </c>
      <c r="E9136" t="inlineStr">
        <is>
          <t>ÅSELE</t>
        </is>
      </c>
      <c r="F9136" t="inlineStr">
        <is>
          <t>SCA</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15155-2023</t>
        </is>
      </c>
      <c r="B9137" s="1" t="n">
        <v>45016</v>
      </c>
      <c r="C9137" s="1" t="n">
        <v>45357</v>
      </c>
      <c r="D9137" t="inlineStr">
        <is>
          <t>VÄSTERBOTTENS LÄN</t>
        </is>
      </c>
      <c r="E9137" t="inlineStr">
        <is>
          <t>SKELLEFTEÅ</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15198-2023</t>
        </is>
      </c>
      <c r="B9138" s="1" t="n">
        <v>45016</v>
      </c>
      <c r="C9138" s="1" t="n">
        <v>45357</v>
      </c>
      <c r="D9138" t="inlineStr">
        <is>
          <t>VÄSTERBOTTENS LÄN</t>
        </is>
      </c>
      <c r="E9138" t="inlineStr">
        <is>
          <t>NORSJÖ</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15225-2023</t>
        </is>
      </c>
      <c r="B9139" s="1" t="n">
        <v>45016</v>
      </c>
      <c r="C9139" s="1" t="n">
        <v>45357</v>
      </c>
      <c r="D9139" t="inlineStr">
        <is>
          <t>VÄSTERBOTTENS LÄN</t>
        </is>
      </c>
      <c r="E9139" t="inlineStr">
        <is>
          <t>BJURHOLM</t>
        </is>
      </c>
      <c r="G9139" t="n">
        <v>6.9</v>
      </c>
      <c r="H9139" t="n">
        <v>0</v>
      </c>
      <c r="I9139" t="n">
        <v>0</v>
      </c>
      <c r="J9139" t="n">
        <v>0</v>
      </c>
      <c r="K9139" t="n">
        <v>0</v>
      </c>
      <c r="L9139" t="n">
        <v>0</v>
      </c>
      <c r="M9139" t="n">
        <v>0</v>
      </c>
      <c r="N9139" t="n">
        <v>0</v>
      </c>
      <c r="O9139" t="n">
        <v>0</v>
      </c>
      <c r="P9139" t="n">
        <v>0</v>
      </c>
      <c r="Q9139" t="n">
        <v>0</v>
      </c>
      <c r="R9139" s="2" t="inlineStr"/>
    </row>
    <row r="9140" ht="15" customHeight="1">
      <c r="A9140" t="inlineStr">
        <is>
          <t>A 15327-2023</t>
        </is>
      </c>
      <c r="B9140" s="1" t="n">
        <v>45016</v>
      </c>
      <c r="C9140" s="1" t="n">
        <v>45357</v>
      </c>
      <c r="D9140" t="inlineStr">
        <is>
          <t>VÄSTERBOTTENS LÄN</t>
        </is>
      </c>
      <c r="E9140" t="inlineStr">
        <is>
          <t>SKELLEFTEÅ</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15343-2023</t>
        </is>
      </c>
      <c r="B9141" s="1" t="n">
        <v>45016</v>
      </c>
      <c r="C9141" s="1" t="n">
        <v>45357</v>
      </c>
      <c r="D9141" t="inlineStr">
        <is>
          <t>VÄSTERBOTTENS LÄN</t>
        </is>
      </c>
      <c r="E9141" t="inlineStr">
        <is>
          <t>STORUMAN</t>
        </is>
      </c>
      <c r="G9141" t="n">
        <v>11.7</v>
      </c>
      <c r="H9141" t="n">
        <v>0</v>
      </c>
      <c r="I9141" t="n">
        <v>0</v>
      </c>
      <c r="J9141" t="n">
        <v>0</v>
      </c>
      <c r="K9141" t="n">
        <v>0</v>
      </c>
      <c r="L9141" t="n">
        <v>0</v>
      </c>
      <c r="M9141" t="n">
        <v>0</v>
      </c>
      <c r="N9141" t="n">
        <v>0</v>
      </c>
      <c r="O9141" t="n">
        <v>0</v>
      </c>
      <c r="P9141" t="n">
        <v>0</v>
      </c>
      <c r="Q9141" t="n">
        <v>0</v>
      </c>
      <c r="R9141" s="2" t="inlineStr"/>
    </row>
    <row r="9142" ht="15" customHeight="1">
      <c r="A9142" t="inlineStr">
        <is>
          <t>A 15358-2023</t>
        </is>
      </c>
      <c r="B9142" s="1" t="n">
        <v>45016</v>
      </c>
      <c r="C9142" s="1" t="n">
        <v>45357</v>
      </c>
      <c r="D9142" t="inlineStr">
        <is>
          <t>VÄSTERBOTTENS LÄN</t>
        </is>
      </c>
      <c r="E9142" t="inlineStr">
        <is>
          <t>UMEÅ</t>
        </is>
      </c>
      <c r="F9142" t="inlineStr">
        <is>
          <t>Kommuner</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15332-2023</t>
        </is>
      </c>
      <c r="B9143" s="1" t="n">
        <v>45016</v>
      </c>
      <c r="C9143" s="1" t="n">
        <v>45357</v>
      </c>
      <c r="D9143" t="inlineStr">
        <is>
          <t>VÄSTERBOTTENS LÄN</t>
        </is>
      </c>
      <c r="E9143" t="inlineStr">
        <is>
          <t>SKELLEFTEÅ</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15339-2023</t>
        </is>
      </c>
      <c r="B9144" s="1" t="n">
        <v>45016</v>
      </c>
      <c r="C9144" s="1" t="n">
        <v>45357</v>
      </c>
      <c r="D9144" t="inlineStr">
        <is>
          <t>VÄSTERBOTTENS LÄN</t>
        </is>
      </c>
      <c r="E9144" t="inlineStr">
        <is>
          <t>STORUMAN</t>
        </is>
      </c>
      <c r="G9144" t="n">
        <v>97.5</v>
      </c>
      <c r="H9144" t="n">
        <v>0</v>
      </c>
      <c r="I9144" t="n">
        <v>0</v>
      </c>
      <c r="J9144" t="n">
        <v>0</v>
      </c>
      <c r="K9144" t="n">
        <v>0</v>
      </c>
      <c r="L9144" t="n">
        <v>0</v>
      </c>
      <c r="M9144" t="n">
        <v>0</v>
      </c>
      <c r="N9144" t="n">
        <v>0</v>
      </c>
      <c r="O9144" t="n">
        <v>0</v>
      </c>
      <c r="P9144" t="n">
        <v>0</v>
      </c>
      <c r="Q9144" t="n">
        <v>0</v>
      </c>
      <c r="R9144" s="2" t="inlineStr"/>
    </row>
    <row r="9145" ht="15" customHeight="1">
      <c r="A9145" t="inlineStr">
        <is>
          <t>A 15347-2023</t>
        </is>
      </c>
      <c r="B9145" s="1" t="n">
        <v>45016</v>
      </c>
      <c r="C9145" s="1" t="n">
        <v>45357</v>
      </c>
      <c r="D9145" t="inlineStr">
        <is>
          <t>VÄSTERBOTTENS LÄN</t>
        </is>
      </c>
      <c r="E9145" t="inlineStr">
        <is>
          <t>UMEÅ</t>
        </is>
      </c>
      <c r="F9145" t="inlineStr">
        <is>
          <t>Kommuner</t>
        </is>
      </c>
      <c r="G9145" t="n">
        <v>9.699999999999999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15453-2023</t>
        </is>
      </c>
      <c r="B9146" s="1" t="n">
        <v>45016</v>
      </c>
      <c r="C9146" s="1" t="n">
        <v>45357</v>
      </c>
      <c r="D9146" t="inlineStr">
        <is>
          <t>VÄSTERBOTTENS LÄN</t>
        </is>
      </c>
      <c r="E9146" t="inlineStr">
        <is>
          <t>UMEÅ</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15411-2023</t>
        </is>
      </c>
      <c r="B9147" s="1" t="n">
        <v>45016</v>
      </c>
      <c r="C9147" s="1" t="n">
        <v>45357</v>
      </c>
      <c r="D9147" t="inlineStr">
        <is>
          <t>VÄSTERBOTTENS LÄN</t>
        </is>
      </c>
      <c r="E9147" t="inlineStr">
        <is>
          <t>UMEÅ</t>
        </is>
      </c>
      <c r="F9147" t="inlineStr">
        <is>
          <t>Kommuner</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15352-2023</t>
        </is>
      </c>
      <c r="B9148" s="1" t="n">
        <v>45016</v>
      </c>
      <c r="C9148" s="1" t="n">
        <v>45357</v>
      </c>
      <c r="D9148" t="inlineStr">
        <is>
          <t>VÄSTERBOTTENS LÄN</t>
        </is>
      </c>
      <c r="E9148" t="inlineStr">
        <is>
          <t>UMEÅ</t>
        </is>
      </c>
      <c r="F9148" t="inlineStr">
        <is>
          <t>Kommuner</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15340-2023</t>
        </is>
      </c>
      <c r="B9149" s="1" t="n">
        <v>45016</v>
      </c>
      <c r="C9149" s="1" t="n">
        <v>45357</v>
      </c>
      <c r="D9149" t="inlineStr">
        <is>
          <t>VÄSTERBOTTENS LÄN</t>
        </is>
      </c>
      <c r="E9149" t="inlineStr">
        <is>
          <t>STORUMAN</t>
        </is>
      </c>
      <c r="G9149" t="n">
        <v>22.8</v>
      </c>
      <c r="H9149" t="n">
        <v>0</v>
      </c>
      <c r="I9149" t="n">
        <v>0</v>
      </c>
      <c r="J9149" t="n">
        <v>0</v>
      </c>
      <c r="K9149" t="n">
        <v>0</v>
      </c>
      <c r="L9149" t="n">
        <v>0</v>
      </c>
      <c r="M9149" t="n">
        <v>0</v>
      </c>
      <c r="N9149" t="n">
        <v>0</v>
      </c>
      <c r="O9149" t="n">
        <v>0</v>
      </c>
      <c r="P9149" t="n">
        <v>0</v>
      </c>
      <c r="Q9149" t="n">
        <v>0</v>
      </c>
      <c r="R9149" s="2" t="inlineStr"/>
    </row>
    <row r="9150" ht="15" customHeight="1">
      <c r="A9150" t="inlineStr">
        <is>
          <t>A 15465-2023</t>
        </is>
      </c>
      <c r="B9150" s="1" t="n">
        <v>45016</v>
      </c>
      <c r="C9150" s="1" t="n">
        <v>45357</v>
      </c>
      <c r="D9150" t="inlineStr">
        <is>
          <t>VÄSTERBOTTENS LÄN</t>
        </is>
      </c>
      <c r="E9150" t="inlineStr">
        <is>
          <t>UMEÅ</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15199-2023</t>
        </is>
      </c>
      <c r="B9151" s="1" t="n">
        <v>45017</v>
      </c>
      <c r="C9151" s="1" t="n">
        <v>45357</v>
      </c>
      <c r="D9151" t="inlineStr">
        <is>
          <t>VÄSTERBOTTENS LÄN</t>
        </is>
      </c>
      <c r="E9151" t="inlineStr">
        <is>
          <t>UMEÅ</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15294-2023</t>
        </is>
      </c>
      <c r="B9152" s="1" t="n">
        <v>45019</v>
      </c>
      <c r="C9152" s="1" t="n">
        <v>45357</v>
      </c>
      <c r="D9152" t="inlineStr">
        <is>
          <t>VÄSTERBOTTENS LÄN</t>
        </is>
      </c>
      <c r="E9152" t="inlineStr">
        <is>
          <t>ROBERTSFORS</t>
        </is>
      </c>
      <c r="G9152" t="n">
        <v>9.9</v>
      </c>
      <c r="H9152" t="n">
        <v>0</v>
      </c>
      <c r="I9152" t="n">
        <v>0</v>
      </c>
      <c r="J9152" t="n">
        <v>0</v>
      </c>
      <c r="K9152" t="n">
        <v>0</v>
      </c>
      <c r="L9152" t="n">
        <v>0</v>
      </c>
      <c r="M9152" t="n">
        <v>0</v>
      </c>
      <c r="N9152" t="n">
        <v>0</v>
      </c>
      <c r="O9152" t="n">
        <v>0</v>
      </c>
      <c r="P9152" t="n">
        <v>0</v>
      </c>
      <c r="Q9152" t="n">
        <v>0</v>
      </c>
      <c r="R9152" s="2" t="inlineStr"/>
    </row>
    <row r="9153" ht="15" customHeight="1">
      <c r="A9153" t="inlineStr">
        <is>
          <t>A 15395-2023</t>
        </is>
      </c>
      <c r="B9153" s="1" t="n">
        <v>45019</v>
      </c>
      <c r="C9153" s="1" t="n">
        <v>45357</v>
      </c>
      <c r="D9153" t="inlineStr">
        <is>
          <t>VÄSTERBOTTENS LÄN</t>
        </is>
      </c>
      <c r="E9153" t="inlineStr">
        <is>
          <t>NORSJÖ</t>
        </is>
      </c>
      <c r="F9153" t="inlineStr">
        <is>
          <t>Holmen skog AB</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15401-2023</t>
        </is>
      </c>
      <c r="B9154" s="1" t="n">
        <v>45019</v>
      </c>
      <c r="C9154" s="1" t="n">
        <v>45357</v>
      </c>
      <c r="D9154" t="inlineStr">
        <is>
          <t>VÄSTERBOTTENS LÄN</t>
        </is>
      </c>
      <c r="E9154" t="inlineStr">
        <is>
          <t>VINDELN</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15405-2023</t>
        </is>
      </c>
      <c r="B9155" s="1" t="n">
        <v>45019</v>
      </c>
      <c r="C9155" s="1" t="n">
        <v>45357</v>
      </c>
      <c r="D9155" t="inlineStr">
        <is>
          <t>VÄSTERBOTTENS LÄN</t>
        </is>
      </c>
      <c r="E9155" t="inlineStr">
        <is>
          <t>SKELLEFTEÅ</t>
        </is>
      </c>
      <c r="F9155" t="inlineStr">
        <is>
          <t>Holmen skog AB</t>
        </is>
      </c>
      <c r="G9155" t="n">
        <v>11.3</v>
      </c>
      <c r="H9155" t="n">
        <v>0</v>
      </c>
      <c r="I9155" t="n">
        <v>0</v>
      </c>
      <c r="J9155" t="n">
        <v>0</v>
      </c>
      <c r="K9155" t="n">
        <v>0</v>
      </c>
      <c r="L9155" t="n">
        <v>0</v>
      </c>
      <c r="M9155" t="n">
        <v>0</v>
      </c>
      <c r="N9155" t="n">
        <v>0</v>
      </c>
      <c r="O9155" t="n">
        <v>0</v>
      </c>
      <c r="P9155" t="n">
        <v>0</v>
      </c>
      <c r="Q9155" t="n">
        <v>0</v>
      </c>
      <c r="R9155" s="2" t="inlineStr"/>
    </row>
    <row r="9156" ht="15" customHeight="1">
      <c r="A9156" t="inlineStr">
        <is>
          <t>A 15561-2023</t>
        </is>
      </c>
      <c r="B9156" s="1" t="n">
        <v>45019</v>
      </c>
      <c r="C9156" s="1" t="n">
        <v>45357</v>
      </c>
      <c r="D9156" t="inlineStr">
        <is>
          <t>VÄSTERBOTTENS LÄN</t>
        </is>
      </c>
      <c r="E9156" t="inlineStr">
        <is>
          <t>BJURHOLM</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15398-2023</t>
        </is>
      </c>
      <c r="B9157" s="1" t="n">
        <v>45019</v>
      </c>
      <c r="C9157" s="1" t="n">
        <v>45357</v>
      </c>
      <c r="D9157" t="inlineStr">
        <is>
          <t>VÄSTERBOTTENS LÄN</t>
        </is>
      </c>
      <c r="E9157" t="inlineStr">
        <is>
          <t>VINDELN</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15403-2023</t>
        </is>
      </c>
      <c r="B9158" s="1" t="n">
        <v>45019</v>
      </c>
      <c r="C9158" s="1" t="n">
        <v>45357</v>
      </c>
      <c r="D9158" t="inlineStr">
        <is>
          <t>VÄSTERBOTTENS LÄN</t>
        </is>
      </c>
      <c r="E9158" t="inlineStr">
        <is>
          <t>VINDELN</t>
        </is>
      </c>
      <c r="G9158" t="n">
        <v>8.6</v>
      </c>
      <c r="H9158" t="n">
        <v>0</v>
      </c>
      <c r="I9158" t="n">
        <v>0</v>
      </c>
      <c r="J9158" t="n">
        <v>0</v>
      </c>
      <c r="K9158" t="n">
        <v>0</v>
      </c>
      <c r="L9158" t="n">
        <v>0</v>
      </c>
      <c r="M9158" t="n">
        <v>0</v>
      </c>
      <c r="N9158" t="n">
        <v>0</v>
      </c>
      <c r="O9158" t="n">
        <v>0</v>
      </c>
      <c r="P9158" t="n">
        <v>0</v>
      </c>
      <c r="Q9158" t="n">
        <v>0</v>
      </c>
      <c r="R9158" s="2" t="inlineStr"/>
    </row>
    <row r="9159" ht="15" customHeight="1">
      <c r="A9159" t="inlineStr">
        <is>
          <t>A 15400-2023</t>
        </is>
      </c>
      <c r="B9159" s="1" t="n">
        <v>45019</v>
      </c>
      <c r="C9159" s="1" t="n">
        <v>45357</v>
      </c>
      <c r="D9159" t="inlineStr">
        <is>
          <t>VÄSTERBOTTENS LÄN</t>
        </is>
      </c>
      <c r="E9159" t="inlineStr">
        <is>
          <t>VINDELN</t>
        </is>
      </c>
      <c r="G9159" t="n">
        <v>10.3</v>
      </c>
      <c r="H9159" t="n">
        <v>0</v>
      </c>
      <c r="I9159" t="n">
        <v>0</v>
      </c>
      <c r="J9159" t="n">
        <v>0</v>
      </c>
      <c r="K9159" t="n">
        <v>0</v>
      </c>
      <c r="L9159" t="n">
        <v>0</v>
      </c>
      <c r="M9159" t="n">
        <v>0</v>
      </c>
      <c r="N9159" t="n">
        <v>0</v>
      </c>
      <c r="O9159" t="n">
        <v>0</v>
      </c>
      <c r="P9159" t="n">
        <v>0</v>
      </c>
      <c r="Q9159" t="n">
        <v>0</v>
      </c>
      <c r="R9159" s="2" t="inlineStr"/>
    </row>
    <row r="9160" ht="15" customHeight="1">
      <c r="A9160" t="inlineStr">
        <is>
          <t>A 15408-2023</t>
        </is>
      </c>
      <c r="B9160" s="1" t="n">
        <v>45019</v>
      </c>
      <c r="C9160" s="1" t="n">
        <v>45357</v>
      </c>
      <c r="D9160" t="inlineStr">
        <is>
          <t>VÄSTERBOTTENS LÄN</t>
        </is>
      </c>
      <c r="E9160" t="inlineStr">
        <is>
          <t>VINDELN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15560-2023</t>
        </is>
      </c>
      <c r="B9161" s="1" t="n">
        <v>45019</v>
      </c>
      <c r="C9161" s="1" t="n">
        <v>45357</v>
      </c>
      <c r="D9161" t="inlineStr">
        <is>
          <t>VÄSTERBOTTENS LÄN</t>
        </is>
      </c>
      <c r="E9161" t="inlineStr">
        <is>
          <t>VINDELN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15402-2023</t>
        </is>
      </c>
      <c r="B9162" s="1" t="n">
        <v>45019</v>
      </c>
      <c r="C9162" s="1" t="n">
        <v>45357</v>
      </c>
      <c r="D9162" t="inlineStr">
        <is>
          <t>VÄSTERBOTTENS LÄN</t>
        </is>
      </c>
      <c r="E9162" t="inlineStr">
        <is>
          <t>VINDELN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15556-2023</t>
        </is>
      </c>
      <c r="B9163" s="1" t="n">
        <v>45019</v>
      </c>
      <c r="C9163" s="1" t="n">
        <v>45357</v>
      </c>
      <c r="D9163" t="inlineStr">
        <is>
          <t>VÄSTERBOTTENS LÄN</t>
        </is>
      </c>
      <c r="E9163" t="inlineStr">
        <is>
          <t>BJURHOLM</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15407-2023</t>
        </is>
      </c>
      <c r="B9164" s="1" t="n">
        <v>45019</v>
      </c>
      <c r="C9164" s="1" t="n">
        <v>45357</v>
      </c>
      <c r="D9164" t="inlineStr">
        <is>
          <t>VÄSTERBOTTENS LÄN</t>
        </is>
      </c>
      <c r="E9164" t="inlineStr">
        <is>
          <t>VINDELN</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15575-2023</t>
        </is>
      </c>
      <c r="B9165" s="1" t="n">
        <v>45019</v>
      </c>
      <c r="C9165" s="1" t="n">
        <v>45357</v>
      </c>
      <c r="D9165" t="inlineStr">
        <is>
          <t>VÄSTERBOTTENS LÄN</t>
        </is>
      </c>
      <c r="E9165" t="inlineStr">
        <is>
          <t>BJURHOLM</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15591-2023</t>
        </is>
      </c>
      <c r="B9166" s="1" t="n">
        <v>45019</v>
      </c>
      <c r="C9166" s="1" t="n">
        <v>45357</v>
      </c>
      <c r="D9166" t="inlineStr">
        <is>
          <t>VÄSTERBOTTENS LÄN</t>
        </is>
      </c>
      <c r="E9166" t="inlineStr">
        <is>
          <t>UMEÅ</t>
        </is>
      </c>
      <c r="F9166" t="inlineStr">
        <is>
          <t>Kommuner</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15656-2023</t>
        </is>
      </c>
      <c r="B9167" s="1" t="n">
        <v>45019</v>
      </c>
      <c r="C9167" s="1" t="n">
        <v>45357</v>
      </c>
      <c r="D9167" t="inlineStr">
        <is>
          <t>VÄSTERBOTTENS LÄN</t>
        </is>
      </c>
      <c r="E9167" t="inlineStr">
        <is>
          <t>UMEÅ</t>
        </is>
      </c>
      <c r="F9167" t="inlineStr">
        <is>
          <t>Kommuner</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15577-2023</t>
        </is>
      </c>
      <c r="B9168" s="1" t="n">
        <v>45019</v>
      </c>
      <c r="C9168" s="1" t="n">
        <v>45357</v>
      </c>
      <c r="D9168" t="inlineStr">
        <is>
          <t>VÄSTERBOTTENS LÄN</t>
        </is>
      </c>
      <c r="E9168" t="inlineStr">
        <is>
          <t>VINDELN</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15593-2023</t>
        </is>
      </c>
      <c r="B9169" s="1" t="n">
        <v>45019</v>
      </c>
      <c r="C9169" s="1" t="n">
        <v>45357</v>
      </c>
      <c r="D9169" t="inlineStr">
        <is>
          <t>VÄSTERBOTTENS LÄN</t>
        </is>
      </c>
      <c r="E9169" t="inlineStr">
        <is>
          <t>SKELLEFTEÅ</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15571-2023</t>
        </is>
      </c>
      <c r="B9170" s="1" t="n">
        <v>45019</v>
      </c>
      <c r="C9170" s="1" t="n">
        <v>45357</v>
      </c>
      <c r="D9170" t="inlineStr">
        <is>
          <t>VÄSTERBOTTENS LÄN</t>
        </is>
      </c>
      <c r="E9170" t="inlineStr">
        <is>
          <t>VINDELN</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15581-2023</t>
        </is>
      </c>
      <c r="B9171" s="1" t="n">
        <v>45019</v>
      </c>
      <c r="C9171" s="1" t="n">
        <v>45357</v>
      </c>
      <c r="D9171" t="inlineStr">
        <is>
          <t>VÄSTERBOTTENS LÄN</t>
        </is>
      </c>
      <c r="E9171" t="inlineStr">
        <is>
          <t>BJURHOLM</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15536-2023</t>
        </is>
      </c>
      <c r="B9172" s="1" t="n">
        <v>45020</v>
      </c>
      <c r="C9172" s="1" t="n">
        <v>45357</v>
      </c>
      <c r="D9172" t="inlineStr">
        <is>
          <t>VÄSTERBOTTENS LÄN</t>
        </is>
      </c>
      <c r="E9172" t="inlineStr">
        <is>
          <t>SKELLEFTEÅ</t>
        </is>
      </c>
      <c r="F9172" t="inlineStr">
        <is>
          <t>Sveaskog</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15540-2023</t>
        </is>
      </c>
      <c r="B9173" s="1" t="n">
        <v>45020</v>
      </c>
      <c r="C9173" s="1" t="n">
        <v>45357</v>
      </c>
      <c r="D9173" t="inlineStr">
        <is>
          <t>VÄSTERBOTTENS LÄN</t>
        </is>
      </c>
      <c r="E9173" t="inlineStr">
        <is>
          <t>NORSJÖ</t>
        </is>
      </c>
      <c r="F9173" t="inlineStr">
        <is>
          <t>Holmen skog AB</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15564-2023</t>
        </is>
      </c>
      <c r="B9174" s="1" t="n">
        <v>45020</v>
      </c>
      <c r="C9174" s="1" t="n">
        <v>45357</v>
      </c>
      <c r="D9174" t="inlineStr">
        <is>
          <t>VÄSTERBOTTENS LÄN</t>
        </is>
      </c>
      <c r="E9174" t="inlineStr">
        <is>
          <t>LYCKSELE</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15479-2023</t>
        </is>
      </c>
      <c r="B9175" s="1" t="n">
        <v>45020</v>
      </c>
      <c r="C9175" s="1" t="n">
        <v>45357</v>
      </c>
      <c r="D9175" t="inlineStr">
        <is>
          <t>VÄSTERBOTTENS LÄN</t>
        </is>
      </c>
      <c r="E9175" t="inlineStr">
        <is>
          <t>SKELLEFTEÅ</t>
        </is>
      </c>
      <c r="F9175" t="inlineStr">
        <is>
          <t>Sveaskog</t>
        </is>
      </c>
      <c r="G9175" t="n">
        <v>11.4</v>
      </c>
      <c r="H9175" t="n">
        <v>0</v>
      </c>
      <c r="I9175" t="n">
        <v>0</v>
      </c>
      <c r="J9175" t="n">
        <v>0</v>
      </c>
      <c r="K9175" t="n">
        <v>0</v>
      </c>
      <c r="L9175" t="n">
        <v>0</v>
      </c>
      <c r="M9175" t="n">
        <v>0</v>
      </c>
      <c r="N9175" t="n">
        <v>0</v>
      </c>
      <c r="O9175" t="n">
        <v>0</v>
      </c>
      <c r="P9175" t="n">
        <v>0</v>
      </c>
      <c r="Q9175" t="n">
        <v>0</v>
      </c>
      <c r="R9175" s="2" t="inlineStr"/>
    </row>
    <row r="9176" ht="15" customHeight="1">
      <c r="A9176" t="inlineStr">
        <is>
          <t>A 15484-2023</t>
        </is>
      </c>
      <c r="B9176" s="1" t="n">
        <v>45020</v>
      </c>
      <c r="C9176" s="1" t="n">
        <v>45357</v>
      </c>
      <c r="D9176" t="inlineStr">
        <is>
          <t>VÄSTERBOTTENS LÄN</t>
        </is>
      </c>
      <c r="E9176" t="inlineStr">
        <is>
          <t>ROBERTSFORS</t>
        </is>
      </c>
      <c r="F9176" t="inlineStr">
        <is>
          <t>Sveaskog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15528-2023</t>
        </is>
      </c>
      <c r="B9177" s="1" t="n">
        <v>45020</v>
      </c>
      <c r="C9177" s="1" t="n">
        <v>45357</v>
      </c>
      <c r="D9177" t="inlineStr">
        <is>
          <t>VÄSTERBOTTENS LÄN</t>
        </is>
      </c>
      <c r="E9177" t="inlineStr">
        <is>
          <t>ROBERTSFORS</t>
        </is>
      </c>
      <c r="F9177" t="inlineStr">
        <is>
          <t>Sveaskog</t>
        </is>
      </c>
      <c r="G9177" t="n">
        <v>7</v>
      </c>
      <c r="H9177" t="n">
        <v>0</v>
      </c>
      <c r="I9177" t="n">
        <v>0</v>
      </c>
      <c r="J9177" t="n">
        <v>0</v>
      </c>
      <c r="K9177" t="n">
        <v>0</v>
      </c>
      <c r="L9177" t="n">
        <v>0</v>
      </c>
      <c r="M9177" t="n">
        <v>0</v>
      </c>
      <c r="N9177" t="n">
        <v>0</v>
      </c>
      <c r="O9177" t="n">
        <v>0</v>
      </c>
      <c r="P9177" t="n">
        <v>0</v>
      </c>
      <c r="Q9177" t="n">
        <v>0</v>
      </c>
      <c r="R9177" s="2" t="inlineStr"/>
    </row>
    <row r="9178" ht="15" customHeight="1">
      <c r="A9178" t="inlineStr">
        <is>
          <t>A 15709-2023</t>
        </is>
      </c>
      <c r="B9178" s="1" t="n">
        <v>45020</v>
      </c>
      <c r="C9178" s="1" t="n">
        <v>45357</v>
      </c>
      <c r="D9178" t="inlineStr">
        <is>
          <t>VÄSTERBOTTENS LÄN</t>
        </is>
      </c>
      <c r="E9178" t="inlineStr">
        <is>
          <t>SKELLEFTEÅ</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15732-2023</t>
        </is>
      </c>
      <c r="B9179" s="1" t="n">
        <v>45020</v>
      </c>
      <c r="C9179" s="1" t="n">
        <v>45357</v>
      </c>
      <c r="D9179" t="inlineStr">
        <is>
          <t>VÄSTERBOTTENS LÄN</t>
        </is>
      </c>
      <c r="E9179" t="inlineStr">
        <is>
          <t>SKELLEFTEÅ</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15570-2023</t>
        </is>
      </c>
      <c r="B9180" s="1" t="n">
        <v>45020</v>
      </c>
      <c r="C9180" s="1" t="n">
        <v>45357</v>
      </c>
      <c r="D9180" t="inlineStr">
        <is>
          <t>VÄSTERBOTTENS LÄN</t>
        </is>
      </c>
      <c r="E9180" t="inlineStr">
        <is>
          <t>SKELLEFTEÅ</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15621-2023</t>
        </is>
      </c>
      <c r="B9181" s="1" t="n">
        <v>45020</v>
      </c>
      <c r="C9181" s="1" t="n">
        <v>45357</v>
      </c>
      <c r="D9181" t="inlineStr">
        <is>
          <t>VÄSTERBOTTENS LÄN</t>
        </is>
      </c>
      <c r="E9181" t="inlineStr">
        <is>
          <t>LYCKSELE</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15717-2023</t>
        </is>
      </c>
      <c r="B9182" s="1" t="n">
        <v>45020</v>
      </c>
      <c r="C9182" s="1" t="n">
        <v>45357</v>
      </c>
      <c r="D9182" t="inlineStr">
        <is>
          <t>VÄSTERBOTTENS LÄN</t>
        </is>
      </c>
      <c r="E9182" t="inlineStr">
        <is>
          <t>SKELLEFTEÅ</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15622-2023</t>
        </is>
      </c>
      <c r="B9183" s="1" t="n">
        <v>45020</v>
      </c>
      <c r="C9183" s="1" t="n">
        <v>45357</v>
      </c>
      <c r="D9183" t="inlineStr">
        <is>
          <t>VÄSTERBOTTENS LÄN</t>
        </is>
      </c>
      <c r="E9183" t="inlineStr">
        <is>
          <t>LYCKSELE</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15706-2023</t>
        </is>
      </c>
      <c r="B9184" s="1" t="n">
        <v>45020</v>
      </c>
      <c r="C9184" s="1" t="n">
        <v>45357</v>
      </c>
      <c r="D9184" t="inlineStr">
        <is>
          <t>VÄSTERBOTTENS LÄN</t>
        </is>
      </c>
      <c r="E9184" t="inlineStr">
        <is>
          <t>SKELLEFTEÅ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15637-2023</t>
        </is>
      </c>
      <c r="B9185" s="1" t="n">
        <v>45021</v>
      </c>
      <c r="C9185" s="1" t="n">
        <v>45357</v>
      </c>
      <c r="D9185" t="inlineStr">
        <is>
          <t>VÄSTERBOTTENS LÄN</t>
        </is>
      </c>
      <c r="E9185" t="inlineStr">
        <is>
          <t>VINDELN</t>
        </is>
      </c>
      <c r="F9185" t="inlineStr">
        <is>
          <t>Holmen skog AB</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15750-2023</t>
        </is>
      </c>
      <c r="B9186" s="1" t="n">
        <v>45021</v>
      </c>
      <c r="C9186" s="1" t="n">
        <v>45357</v>
      </c>
      <c r="D9186" t="inlineStr">
        <is>
          <t>VÄSTERBOTTENS LÄN</t>
        </is>
      </c>
      <c r="E9186" t="inlineStr">
        <is>
          <t>NORDMALING</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15756-2023</t>
        </is>
      </c>
      <c r="B9187" s="1" t="n">
        <v>45021</v>
      </c>
      <c r="C9187" s="1" t="n">
        <v>45357</v>
      </c>
      <c r="D9187" t="inlineStr">
        <is>
          <t>VÄSTERBOTTENS LÄN</t>
        </is>
      </c>
      <c r="E9187" t="inlineStr">
        <is>
          <t>NORDMALING</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15728-2023</t>
        </is>
      </c>
      <c r="B9188" s="1" t="n">
        <v>45021</v>
      </c>
      <c r="C9188" s="1" t="n">
        <v>45357</v>
      </c>
      <c r="D9188" t="inlineStr">
        <is>
          <t>VÄSTERBOTTENS LÄN</t>
        </is>
      </c>
      <c r="E9188" t="inlineStr">
        <is>
          <t>VÄNNÄS</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15814-2023</t>
        </is>
      </c>
      <c r="B9189" s="1" t="n">
        <v>45021</v>
      </c>
      <c r="C9189" s="1" t="n">
        <v>45357</v>
      </c>
      <c r="D9189" t="inlineStr">
        <is>
          <t>VÄSTERBOTTENS LÄN</t>
        </is>
      </c>
      <c r="E9189" t="inlineStr">
        <is>
          <t>VILHELMINA</t>
        </is>
      </c>
      <c r="F9189" t="inlineStr">
        <is>
          <t>SCA</t>
        </is>
      </c>
      <c r="G9189" t="n">
        <v>69.7</v>
      </c>
      <c r="H9189" t="n">
        <v>0</v>
      </c>
      <c r="I9189" t="n">
        <v>0</v>
      </c>
      <c r="J9189" t="n">
        <v>0</v>
      </c>
      <c r="K9189" t="n">
        <v>0</v>
      </c>
      <c r="L9189" t="n">
        <v>0</v>
      </c>
      <c r="M9189" t="n">
        <v>0</v>
      </c>
      <c r="N9189" t="n">
        <v>0</v>
      </c>
      <c r="O9189" t="n">
        <v>0</v>
      </c>
      <c r="P9189" t="n">
        <v>0</v>
      </c>
      <c r="Q9189" t="n">
        <v>0</v>
      </c>
      <c r="R9189" s="2" t="inlineStr"/>
    </row>
    <row r="9190" ht="15" customHeight="1">
      <c r="A9190" t="inlineStr">
        <is>
          <t>A 15806-2023</t>
        </is>
      </c>
      <c r="B9190" s="1" t="n">
        <v>45021</v>
      </c>
      <c r="C9190" s="1" t="n">
        <v>45357</v>
      </c>
      <c r="D9190" t="inlineStr">
        <is>
          <t>VÄSTERBOTTENS LÄN</t>
        </is>
      </c>
      <c r="E9190" t="inlineStr">
        <is>
          <t>SKELLEFTEÅ</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15807-2023</t>
        </is>
      </c>
      <c r="B9191" s="1" t="n">
        <v>45022</v>
      </c>
      <c r="C9191" s="1" t="n">
        <v>45357</v>
      </c>
      <c r="D9191" t="inlineStr">
        <is>
          <t>VÄSTERBOTTENS LÄN</t>
        </is>
      </c>
      <c r="E9191" t="inlineStr">
        <is>
          <t>ROBERTSFORS</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15825-2023</t>
        </is>
      </c>
      <c r="B9192" s="1" t="n">
        <v>45022</v>
      </c>
      <c r="C9192" s="1" t="n">
        <v>45357</v>
      </c>
      <c r="D9192" t="inlineStr">
        <is>
          <t>VÄSTERBOTTENS LÄN</t>
        </is>
      </c>
      <c r="E9192" t="inlineStr">
        <is>
          <t>SKELLEFTEÅ</t>
        </is>
      </c>
      <c r="F9192" t="inlineStr">
        <is>
          <t>SCA</t>
        </is>
      </c>
      <c r="G9192" t="n">
        <v>16.8</v>
      </c>
      <c r="H9192" t="n">
        <v>0</v>
      </c>
      <c r="I9192" t="n">
        <v>0</v>
      </c>
      <c r="J9192" t="n">
        <v>0</v>
      </c>
      <c r="K9192" t="n">
        <v>0</v>
      </c>
      <c r="L9192" t="n">
        <v>0</v>
      </c>
      <c r="M9192" t="n">
        <v>0</v>
      </c>
      <c r="N9192" t="n">
        <v>0</v>
      </c>
      <c r="O9192" t="n">
        <v>0</v>
      </c>
      <c r="P9192" t="n">
        <v>0</v>
      </c>
      <c r="Q9192" t="n">
        <v>0</v>
      </c>
      <c r="R9192" s="2" t="inlineStr"/>
    </row>
    <row r="9193" ht="15" customHeight="1">
      <c r="A9193" t="inlineStr">
        <is>
          <t>A 15887-2023</t>
        </is>
      </c>
      <c r="B9193" s="1" t="n">
        <v>45021</v>
      </c>
      <c r="C9193" s="1" t="n">
        <v>45357</v>
      </c>
      <c r="D9193" t="inlineStr">
        <is>
          <t>VÄSTERBOTTENS LÄN</t>
        </is>
      </c>
      <c r="E9193" t="inlineStr">
        <is>
          <t>BJURHOLM</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15899-2023</t>
        </is>
      </c>
      <c r="B9194" s="1" t="n">
        <v>45021</v>
      </c>
      <c r="C9194" s="1" t="n">
        <v>45357</v>
      </c>
      <c r="D9194" t="inlineStr">
        <is>
          <t>VÄSTERBOTTENS LÄN</t>
        </is>
      </c>
      <c r="E9194" t="inlineStr">
        <is>
          <t>SKELLEFTEÅ</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15745-2023</t>
        </is>
      </c>
      <c r="B9195" s="1" t="n">
        <v>45021</v>
      </c>
      <c r="C9195" s="1" t="n">
        <v>45357</v>
      </c>
      <c r="D9195" t="inlineStr">
        <is>
          <t>VÄSTERBOTTENS LÄN</t>
        </is>
      </c>
      <c r="E9195" t="inlineStr">
        <is>
          <t>NORDMALING</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15804-2023</t>
        </is>
      </c>
      <c r="B9196" s="1" t="n">
        <v>45021</v>
      </c>
      <c r="C9196" s="1" t="n">
        <v>45357</v>
      </c>
      <c r="D9196" t="inlineStr">
        <is>
          <t>VÄSTERBOTTENS LÄN</t>
        </is>
      </c>
      <c r="E9196" t="inlineStr">
        <is>
          <t>STORUMAN</t>
        </is>
      </c>
      <c r="G9196" t="n">
        <v>15.5</v>
      </c>
      <c r="H9196" t="n">
        <v>0</v>
      </c>
      <c r="I9196" t="n">
        <v>0</v>
      </c>
      <c r="J9196" t="n">
        <v>0</v>
      </c>
      <c r="K9196" t="n">
        <v>0</v>
      </c>
      <c r="L9196" t="n">
        <v>0</v>
      </c>
      <c r="M9196" t="n">
        <v>0</v>
      </c>
      <c r="N9196" t="n">
        <v>0</v>
      </c>
      <c r="O9196" t="n">
        <v>0</v>
      </c>
      <c r="P9196" t="n">
        <v>0</v>
      </c>
      <c r="Q9196" t="n">
        <v>0</v>
      </c>
      <c r="R9196" s="2" t="inlineStr"/>
    </row>
    <row r="9197" ht="15" customHeight="1">
      <c r="A9197" t="inlineStr">
        <is>
          <t>A 15808-2023</t>
        </is>
      </c>
      <c r="B9197" s="1" t="n">
        <v>45021</v>
      </c>
      <c r="C9197" s="1" t="n">
        <v>45357</v>
      </c>
      <c r="D9197" t="inlineStr">
        <is>
          <t>VÄSTERBOTTENS LÄN</t>
        </is>
      </c>
      <c r="E9197" t="inlineStr">
        <is>
          <t>NORDMALING</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15822-2023</t>
        </is>
      </c>
      <c r="B9198" s="1" t="n">
        <v>45022</v>
      </c>
      <c r="C9198" s="1" t="n">
        <v>45357</v>
      </c>
      <c r="D9198" t="inlineStr">
        <is>
          <t>VÄSTERBOTTENS LÄN</t>
        </is>
      </c>
      <c r="E9198" t="inlineStr">
        <is>
          <t>STORUMAN</t>
        </is>
      </c>
      <c r="F9198" t="inlineStr">
        <is>
          <t>SCA</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15888-2023</t>
        </is>
      </c>
      <c r="B9199" s="1" t="n">
        <v>45021</v>
      </c>
      <c r="C9199" s="1" t="n">
        <v>45357</v>
      </c>
      <c r="D9199" t="inlineStr">
        <is>
          <t>VÄSTERBOTTENS LÄN</t>
        </is>
      </c>
      <c r="E9199" t="inlineStr">
        <is>
          <t>LYCKSELE</t>
        </is>
      </c>
      <c r="G9199" t="n">
        <v>20.5</v>
      </c>
      <c r="H9199" t="n">
        <v>0</v>
      </c>
      <c r="I9199" t="n">
        <v>0</v>
      </c>
      <c r="J9199" t="n">
        <v>0</v>
      </c>
      <c r="K9199" t="n">
        <v>0</v>
      </c>
      <c r="L9199" t="n">
        <v>0</v>
      </c>
      <c r="M9199" t="n">
        <v>0</v>
      </c>
      <c r="N9199" t="n">
        <v>0</v>
      </c>
      <c r="O9199" t="n">
        <v>0</v>
      </c>
      <c r="P9199" t="n">
        <v>0</v>
      </c>
      <c r="Q9199" t="n">
        <v>0</v>
      </c>
      <c r="R9199" s="2" t="inlineStr"/>
    </row>
    <row r="9200" ht="15" customHeight="1">
      <c r="A9200" t="inlineStr">
        <is>
          <t>A 15903-2023</t>
        </is>
      </c>
      <c r="B9200" s="1" t="n">
        <v>45021</v>
      </c>
      <c r="C9200" s="1" t="n">
        <v>45357</v>
      </c>
      <c r="D9200" t="inlineStr">
        <is>
          <t>VÄSTERBOTTENS LÄN</t>
        </is>
      </c>
      <c r="E9200" t="inlineStr">
        <is>
          <t>SKELLEFTEÅ</t>
        </is>
      </c>
      <c r="G9200" t="n">
        <v>8.9</v>
      </c>
      <c r="H9200" t="n">
        <v>0</v>
      </c>
      <c r="I9200" t="n">
        <v>0</v>
      </c>
      <c r="J9200" t="n">
        <v>0</v>
      </c>
      <c r="K9200" t="n">
        <v>0</v>
      </c>
      <c r="L9200" t="n">
        <v>0</v>
      </c>
      <c r="M9200" t="n">
        <v>0</v>
      </c>
      <c r="N9200" t="n">
        <v>0</v>
      </c>
      <c r="O9200" t="n">
        <v>0</v>
      </c>
      <c r="P9200" t="n">
        <v>0</v>
      </c>
      <c r="Q9200" t="n">
        <v>0</v>
      </c>
      <c r="R9200" s="2" t="inlineStr"/>
    </row>
    <row r="9201" ht="15" customHeight="1">
      <c r="A9201" t="inlineStr">
        <is>
          <t>A 15819-2023</t>
        </is>
      </c>
      <c r="B9201" s="1" t="n">
        <v>45022</v>
      </c>
      <c r="C9201" s="1" t="n">
        <v>45357</v>
      </c>
      <c r="D9201" t="inlineStr">
        <is>
          <t>VÄSTERBOTTENS LÄN</t>
        </is>
      </c>
      <c r="E9201" t="inlineStr">
        <is>
          <t>STORUMAN</t>
        </is>
      </c>
      <c r="F9201" t="inlineStr">
        <is>
          <t>SCA</t>
        </is>
      </c>
      <c r="G9201" t="n">
        <v>12.1</v>
      </c>
      <c r="H9201" t="n">
        <v>0</v>
      </c>
      <c r="I9201" t="n">
        <v>0</v>
      </c>
      <c r="J9201" t="n">
        <v>0</v>
      </c>
      <c r="K9201" t="n">
        <v>0</v>
      </c>
      <c r="L9201" t="n">
        <v>0</v>
      </c>
      <c r="M9201" t="n">
        <v>0</v>
      </c>
      <c r="N9201" t="n">
        <v>0</v>
      </c>
      <c r="O9201" t="n">
        <v>0</v>
      </c>
      <c r="P9201" t="n">
        <v>0</v>
      </c>
      <c r="Q9201" t="n">
        <v>0</v>
      </c>
      <c r="R9201" s="2" t="inlineStr"/>
    </row>
    <row r="9202" ht="15" customHeight="1">
      <c r="A9202" t="inlineStr">
        <is>
          <t>A 15890-2023</t>
        </is>
      </c>
      <c r="B9202" s="1" t="n">
        <v>45021</v>
      </c>
      <c r="C9202" s="1" t="n">
        <v>45357</v>
      </c>
      <c r="D9202" t="inlineStr">
        <is>
          <t>VÄSTERBOTTENS LÄN</t>
        </is>
      </c>
      <c r="E9202" t="inlineStr">
        <is>
          <t>LYCKSELE</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15906-2023</t>
        </is>
      </c>
      <c r="B9203" s="1" t="n">
        <v>45021</v>
      </c>
      <c r="C9203" s="1" t="n">
        <v>45357</v>
      </c>
      <c r="D9203" t="inlineStr">
        <is>
          <t>VÄSTERBOTTENS LÄN</t>
        </is>
      </c>
      <c r="E9203" t="inlineStr">
        <is>
          <t>SKELLEFTEÅ</t>
        </is>
      </c>
      <c r="G9203" t="n">
        <v>7</v>
      </c>
      <c r="H9203" t="n">
        <v>0</v>
      </c>
      <c r="I9203" t="n">
        <v>0</v>
      </c>
      <c r="J9203" t="n">
        <v>0</v>
      </c>
      <c r="K9203" t="n">
        <v>0</v>
      </c>
      <c r="L9203" t="n">
        <v>0</v>
      </c>
      <c r="M9203" t="n">
        <v>0</v>
      </c>
      <c r="N9203" t="n">
        <v>0</v>
      </c>
      <c r="O9203" t="n">
        <v>0</v>
      </c>
      <c r="P9203" t="n">
        <v>0</v>
      </c>
      <c r="Q9203" t="n">
        <v>0</v>
      </c>
      <c r="R9203" s="2" t="inlineStr"/>
    </row>
    <row r="9204" ht="15" customHeight="1">
      <c r="A9204" t="inlineStr">
        <is>
          <t>A 15809-2023</t>
        </is>
      </c>
      <c r="B9204" s="1" t="n">
        <v>45021</v>
      </c>
      <c r="C9204" s="1" t="n">
        <v>45357</v>
      </c>
      <c r="D9204" t="inlineStr">
        <is>
          <t>VÄSTERBOTTENS LÄN</t>
        </is>
      </c>
      <c r="E9204" t="inlineStr">
        <is>
          <t>LYCKSELE</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15878-2023</t>
        </is>
      </c>
      <c r="B9205" s="1" t="n">
        <v>45021</v>
      </c>
      <c r="C9205" s="1" t="n">
        <v>45357</v>
      </c>
      <c r="D9205" t="inlineStr">
        <is>
          <t>VÄSTERBOTTENS LÄN</t>
        </is>
      </c>
      <c r="E9205" t="inlineStr">
        <is>
          <t>BJURHOLM</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15893-2023</t>
        </is>
      </c>
      <c r="B9206" s="1" t="n">
        <v>45021</v>
      </c>
      <c r="C9206" s="1" t="n">
        <v>45357</v>
      </c>
      <c r="D9206" t="inlineStr">
        <is>
          <t>VÄSTERBOTTENS LÄN</t>
        </is>
      </c>
      <c r="E9206" t="inlineStr">
        <is>
          <t>LYCKSELE</t>
        </is>
      </c>
      <c r="G9206" t="n">
        <v>8.4</v>
      </c>
      <c r="H9206" t="n">
        <v>0</v>
      </c>
      <c r="I9206" t="n">
        <v>0</v>
      </c>
      <c r="J9206" t="n">
        <v>0</v>
      </c>
      <c r="K9206" t="n">
        <v>0</v>
      </c>
      <c r="L9206" t="n">
        <v>0</v>
      </c>
      <c r="M9206" t="n">
        <v>0</v>
      </c>
      <c r="N9206" t="n">
        <v>0</v>
      </c>
      <c r="O9206" t="n">
        <v>0</v>
      </c>
      <c r="P9206" t="n">
        <v>0</v>
      </c>
      <c r="Q9206" t="n">
        <v>0</v>
      </c>
      <c r="R9206" s="2" t="inlineStr"/>
    </row>
    <row r="9207" ht="15" customHeight="1">
      <c r="A9207" t="inlineStr">
        <is>
          <t>A 15857-2023</t>
        </is>
      </c>
      <c r="B9207" s="1" t="n">
        <v>45022</v>
      </c>
      <c r="C9207" s="1" t="n">
        <v>45357</v>
      </c>
      <c r="D9207" t="inlineStr">
        <is>
          <t>VÄSTERBOTTENS LÄN</t>
        </is>
      </c>
      <c r="E9207" t="inlineStr">
        <is>
          <t>MALÅ</t>
        </is>
      </c>
      <c r="G9207" t="n">
        <v>5.6</v>
      </c>
      <c r="H9207" t="n">
        <v>0</v>
      </c>
      <c r="I9207" t="n">
        <v>0</v>
      </c>
      <c r="J9207" t="n">
        <v>0</v>
      </c>
      <c r="K9207" t="n">
        <v>0</v>
      </c>
      <c r="L9207" t="n">
        <v>0</v>
      </c>
      <c r="M9207" t="n">
        <v>0</v>
      </c>
      <c r="N9207" t="n">
        <v>0</v>
      </c>
      <c r="O9207" t="n">
        <v>0</v>
      </c>
      <c r="P9207" t="n">
        <v>0</v>
      </c>
      <c r="Q9207" t="n">
        <v>0</v>
      </c>
      <c r="R9207" s="2" t="inlineStr"/>
    </row>
    <row r="9208" ht="15" customHeight="1">
      <c r="A9208" t="inlineStr">
        <is>
          <t>A 15886-2023</t>
        </is>
      </c>
      <c r="B9208" s="1" t="n">
        <v>45022</v>
      </c>
      <c r="C9208" s="1" t="n">
        <v>45357</v>
      </c>
      <c r="D9208" t="inlineStr">
        <is>
          <t>VÄSTERBOTTENS LÄN</t>
        </is>
      </c>
      <c r="E9208" t="inlineStr">
        <is>
          <t>UMEÅ</t>
        </is>
      </c>
      <c r="F9208" t="inlineStr">
        <is>
          <t>Holmen skog AB</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15836-2023</t>
        </is>
      </c>
      <c r="B9209" s="1" t="n">
        <v>45022</v>
      </c>
      <c r="C9209" s="1" t="n">
        <v>45357</v>
      </c>
      <c r="D9209" t="inlineStr">
        <is>
          <t>VÄSTERBOTTENS LÄN</t>
        </is>
      </c>
      <c r="E9209" t="inlineStr">
        <is>
          <t>ROBERTSFORS</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15847-2023</t>
        </is>
      </c>
      <c r="B9210" s="1" t="n">
        <v>45022</v>
      </c>
      <c r="C9210" s="1" t="n">
        <v>45357</v>
      </c>
      <c r="D9210" t="inlineStr">
        <is>
          <t>VÄSTERBOTTENS LÄN</t>
        </is>
      </c>
      <c r="E9210" t="inlineStr">
        <is>
          <t>MALÅ</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15850-2023</t>
        </is>
      </c>
      <c r="B9211" s="1" t="n">
        <v>45022</v>
      </c>
      <c r="C9211" s="1" t="n">
        <v>45357</v>
      </c>
      <c r="D9211" t="inlineStr">
        <is>
          <t>VÄSTERBOTTENS LÄN</t>
        </is>
      </c>
      <c r="E9211" t="inlineStr">
        <is>
          <t>MALÅ</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15902-2023</t>
        </is>
      </c>
      <c r="B9212" s="1" t="n">
        <v>45022</v>
      </c>
      <c r="C9212" s="1" t="n">
        <v>45357</v>
      </c>
      <c r="D9212" t="inlineStr">
        <is>
          <t>VÄSTERBOTTENS LÄN</t>
        </is>
      </c>
      <c r="E9212" t="inlineStr">
        <is>
          <t>UMEÅ</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15986-2023</t>
        </is>
      </c>
      <c r="B9213" s="1" t="n">
        <v>45023</v>
      </c>
      <c r="C9213" s="1" t="n">
        <v>45357</v>
      </c>
      <c r="D9213" t="inlineStr">
        <is>
          <t>VÄSTERBOTTENS LÄN</t>
        </is>
      </c>
      <c r="E9213" t="inlineStr">
        <is>
          <t>NORDMALING</t>
        </is>
      </c>
      <c r="F9213" t="inlineStr">
        <is>
          <t>SCA</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16076-2023</t>
        </is>
      </c>
      <c r="B9214" s="1" t="n">
        <v>45027</v>
      </c>
      <c r="C9214" s="1" t="n">
        <v>45357</v>
      </c>
      <c r="D9214" t="inlineStr">
        <is>
          <t>VÄSTERBOTTENS LÄN</t>
        </is>
      </c>
      <c r="E9214" t="inlineStr">
        <is>
          <t>NORDMALING</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16027-2023</t>
        </is>
      </c>
      <c r="B9215" s="1" t="n">
        <v>45027</v>
      </c>
      <c r="C9215" s="1" t="n">
        <v>45357</v>
      </c>
      <c r="D9215" t="inlineStr">
        <is>
          <t>VÄSTERBOTTENS LÄN</t>
        </is>
      </c>
      <c r="E9215" t="inlineStr">
        <is>
          <t>SKELLEFTEÅ</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16024-2023</t>
        </is>
      </c>
      <c r="B9216" s="1" t="n">
        <v>45027</v>
      </c>
      <c r="C9216" s="1" t="n">
        <v>45357</v>
      </c>
      <c r="D9216" t="inlineStr">
        <is>
          <t>VÄSTERBOTTENS LÄN</t>
        </is>
      </c>
      <c r="E9216" t="inlineStr">
        <is>
          <t>ROBERTSFORS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16179-2023</t>
        </is>
      </c>
      <c r="B9217" s="1" t="n">
        <v>45028</v>
      </c>
      <c r="C9217" s="1" t="n">
        <v>45357</v>
      </c>
      <c r="D9217" t="inlineStr">
        <is>
          <t>VÄSTERBOTTENS LÄN</t>
        </is>
      </c>
      <c r="E9217" t="inlineStr">
        <is>
          <t>VINDELN</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16183-2023</t>
        </is>
      </c>
      <c r="B9218" s="1" t="n">
        <v>45027</v>
      </c>
      <c r="C9218" s="1" t="n">
        <v>45357</v>
      </c>
      <c r="D9218" t="inlineStr">
        <is>
          <t>VÄSTERBOTTENS LÄN</t>
        </is>
      </c>
      <c r="E9218" t="inlineStr">
        <is>
          <t>SKELLEFTEÅ</t>
        </is>
      </c>
      <c r="G9218" t="n">
        <v>24.7</v>
      </c>
      <c r="H9218" t="n">
        <v>0</v>
      </c>
      <c r="I9218" t="n">
        <v>0</v>
      </c>
      <c r="J9218" t="n">
        <v>0</v>
      </c>
      <c r="K9218" t="n">
        <v>0</v>
      </c>
      <c r="L9218" t="n">
        <v>0</v>
      </c>
      <c r="M9218" t="n">
        <v>0</v>
      </c>
      <c r="N9218" t="n">
        <v>0</v>
      </c>
      <c r="O9218" t="n">
        <v>0</v>
      </c>
      <c r="P9218" t="n">
        <v>0</v>
      </c>
      <c r="Q9218" t="n">
        <v>0</v>
      </c>
      <c r="R9218" s="2" t="inlineStr"/>
    </row>
    <row r="9219" ht="15" customHeight="1">
      <c r="A9219" t="inlineStr">
        <is>
          <t>A 16186-2023</t>
        </is>
      </c>
      <c r="B9219" s="1" t="n">
        <v>45028</v>
      </c>
      <c r="C9219" s="1" t="n">
        <v>45357</v>
      </c>
      <c r="D9219" t="inlineStr">
        <is>
          <t>VÄSTERBOTTENS LÄN</t>
        </is>
      </c>
      <c r="E9219" t="inlineStr">
        <is>
          <t>SKELLEFTEÅ</t>
        </is>
      </c>
      <c r="G9219" t="n">
        <v>12.4</v>
      </c>
      <c r="H9219" t="n">
        <v>0</v>
      </c>
      <c r="I9219" t="n">
        <v>0</v>
      </c>
      <c r="J9219" t="n">
        <v>0</v>
      </c>
      <c r="K9219" t="n">
        <v>0</v>
      </c>
      <c r="L9219" t="n">
        <v>0</v>
      </c>
      <c r="M9219" t="n">
        <v>0</v>
      </c>
      <c r="N9219" t="n">
        <v>0</v>
      </c>
      <c r="O9219" t="n">
        <v>0</v>
      </c>
      <c r="P9219" t="n">
        <v>0</v>
      </c>
      <c r="Q9219" t="n">
        <v>0</v>
      </c>
      <c r="R9219" s="2" t="inlineStr"/>
    </row>
    <row r="9220" ht="15" customHeight="1">
      <c r="A9220" t="inlineStr">
        <is>
          <t>A 16623-2023</t>
        </is>
      </c>
      <c r="B9220" s="1" t="n">
        <v>45027</v>
      </c>
      <c r="C9220" s="1" t="n">
        <v>45357</v>
      </c>
      <c r="D9220" t="inlineStr">
        <is>
          <t>VÄSTERBOTTENS LÄN</t>
        </is>
      </c>
      <c r="E9220" t="inlineStr">
        <is>
          <t>SORSELE</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16608-2023</t>
        </is>
      </c>
      <c r="B9221" s="1" t="n">
        <v>45027</v>
      </c>
      <c r="C9221" s="1" t="n">
        <v>45357</v>
      </c>
      <c r="D9221" t="inlineStr">
        <is>
          <t>VÄSTERBOTTENS LÄN</t>
        </is>
      </c>
      <c r="E9221" t="inlineStr">
        <is>
          <t>NORSJÖ</t>
        </is>
      </c>
      <c r="G9221" t="n">
        <v>7.6</v>
      </c>
      <c r="H9221" t="n">
        <v>0</v>
      </c>
      <c r="I9221" t="n">
        <v>0</v>
      </c>
      <c r="J9221" t="n">
        <v>0</v>
      </c>
      <c r="K9221" t="n">
        <v>0</v>
      </c>
      <c r="L9221" t="n">
        <v>0</v>
      </c>
      <c r="M9221" t="n">
        <v>0</v>
      </c>
      <c r="N9221" t="n">
        <v>0</v>
      </c>
      <c r="O9221" t="n">
        <v>0</v>
      </c>
      <c r="P9221" t="n">
        <v>0</v>
      </c>
      <c r="Q9221" t="n">
        <v>0</v>
      </c>
      <c r="R9221" s="2" t="inlineStr"/>
    </row>
    <row r="9222" ht="15" customHeight="1">
      <c r="A9222" t="inlineStr">
        <is>
          <t>A 16211-2023</t>
        </is>
      </c>
      <c r="B9222" s="1" t="n">
        <v>45028</v>
      </c>
      <c r="C9222" s="1" t="n">
        <v>45357</v>
      </c>
      <c r="D9222" t="inlineStr">
        <is>
          <t>VÄSTERBOTTENS LÄN</t>
        </is>
      </c>
      <c r="E9222" t="inlineStr">
        <is>
          <t>VINDELN</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16239-2023</t>
        </is>
      </c>
      <c r="B9223" s="1" t="n">
        <v>45028</v>
      </c>
      <c r="C9223" s="1" t="n">
        <v>45357</v>
      </c>
      <c r="D9223" t="inlineStr">
        <is>
          <t>VÄSTERBOTTENS LÄN</t>
        </is>
      </c>
      <c r="E9223" t="inlineStr">
        <is>
          <t>SKELLEFTEÅ</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16212-2023</t>
        </is>
      </c>
      <c r="B9224" s="1" t="n">
        <v>45028</v>
      </c>
      <c r="C9224" s="1" t="n">
        <v>45357</v>
      </c>
      <c r="D9224" t="inlineStr">
        <is>
          <t>VÄSTERBOTTENS LÄN</t>
        </is>
      </c>
      <c r="E9224" t="inlineStr">
        <is>
          <t>NORDMALING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16237-2023</t>
        </is>
      </c>
      <c r="B9225" s="1" t="n">
        <v>45028</v>
      </c>
      <c r="C9225" s="1" t="n">
        <v>45357</v>
      </c>
      <c r="D9225" t="inlineStr">
        <is>
          <t>VÄSTERBOTTENS LÄN</t>
        </is>
      </c>
      <c r="E9225" t="inlineStr">
        <is>
          <t>SKELLEFTEÅ</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16330-2023</t>
        </is>
      </c>
      <c r="B9226" s="1" t="n">
        <v>45028</v>
      </c>
      <c r="C9226" s="1" t="n">
        <v>45357</v>
      </c>
      <c r="D9226" t="inlineStr">
        <is>
          <t>VÄSTERBOTTENS LÄN</t>
        </is>
      </c>
      <c r="E9226" t="inlineStr">
        <is>
          <t>UMEÅ</t>
        </is>
      </c>
      <c r="F9226" t="inlineStr">
        <is>
          <t>Holmen skog AB</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16368-2023</t>
        </is>
      </c>
      <c r="B9227" s="1" t="n">
        <v>45029</v>
      </c>
      <c r="C9227" s="1" t="n">
        <v>45357</v>
      </c>
      <c r="D9227" t="inlineStr">
        <is>
          <t>VÄSTERBOTTENS LÄN</t>
        </is>
      </c>
      <c r="E9227" t="inlineStr">
        <is>
          <t>BJURHOLM</t>
        </is>
      </c>
      <c r="F9227" t="inlineStr">
        <is>
          <t>SCA</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16680-2023</t>
        </is>
      </c>
      <c r="B9228" s="1" t="n">
        <v>45028</v>
      </c>
      <c r="C9228" s="1" t="n">
        <v>45357</v>
      </c>
      <c r="D9228" t="inlineStr">
        <is>
          <t>VÄSTERBOTTENS LÄN</t>
        </is>
      </c>
      <c r="E9228" t="inlineStr">
        <is>
          <t>BJURHOLM</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16367-2023</t>
        </is>
      </c>
      <c r="B9229" s="1" t="n">
        <v>45028</v>
      </c>
      <c r="C9229" s="1" t="n">
        <v>45357</v>
      </c>
      <c r="D9229" t="inlineStr">
        <is>
          <t>VÄSTERBOTTENS LÄN</t>
        </is>
      </c>
      <c r="E9229" t="inlineStr">
        <is>
          <t>BJURHOLM</t>
        </is>
      </c>
      <c r="F9229" t="inlineStr">
        <is>
          <t>SCA</t>
        </is>
      </c>
      <c r="G9229" t="n">
        <v>8.800000000000001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16434-2023</t>
        </is>
      </c>
      <c r="B9230" s="1" t="n">
        <v>45029</v>
      </c>
      <c r="C9230" s="1" t="n">
        <v>45357</v>
      </c>
      <c r="D9230" t="inlineStr">
        <is>
          <t>VÄSTERBOTTENS LÄN</t>
        </is>
      </c>
      <c r="E9230" t="inlineStr">
        <is>
          <t>ROBERTSFORS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16494-2023</t>
        </is>
      </c>
      <c r="B9231" s="1" t="n">
        <v>45029</v>
      </c>
      <c r="C9231" s="1" t="n">
        <v>45357</v>
      </c>
      <c r="D9231" t="inlineStr">
        <is>
          <t>VÄSTERBOTTENS LÄN</t>
        </is>
      </c>
      <c r="E9231" t="inlineStr">
        <is>
          <t>SKELLEFTEÅ</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16392-2023</t>
        </is>
      </c>
      <c r="B9232" s="1" t="n">
        <v>45029</v>
      </c>
      <c r="C9232" s="1" t="n">
        <v>45357</v>
      </c>
      <c r="D9232" t="inlineStr">
        <is>
          <t>VÄSTERBOTTENS LÄN</t>
        </is>
      </c>
      <c r="E9232" t="inlineStr">
        <is>
          <t>UMEÅ</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16425-2023</t>
        </is>
      </c>
      <c r="B9233" s="1" t="n">
        <v>45029</v>
      </c>
      <c r="C9233" s="1" t="n">
        <v>45357</v>
      </c>
      <c r="D9233" t="inlineStr">
        <is>
          <t>VÄSTERBOTTENS LÄN</t>
        </is>
      </c>
      <c r="E9233" t="inlineStr">
        <is>
          <t>ROBERTSFORS</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16463-2023</t>
        </is>
      </c>
      <c r="B9234" s="1" t="n">
        <v>45029</v>
      </c>
      <c r="C9234" s="1" t="n">
        <v>45357</v>
      </c>
      <c r="D9234" t="inlineStr">
        <is>
          <t>VÄSTERBOTTENS LÄN</t>
        </is>
      </c>
      <c r="E9234" t="inlineStr">
        <is>
          <t>ROBERTSFORS</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16865-2023</t>
        </is>
      </c>
      <c r="B9235" s="1" t="n">
        <v>45029</v>
      </c>
      <c r="C9235" s="1" t="n">
        <v>45357</v>
      </c>
      <c r="D9235" t="inlineStr">
        <is>
          <t>VÄSTERBOTTENS LÄN</t>
        </is>
      </c>
      <c r="E9235" t="inlineStr">
        <is>
          <t>ROBERTSFORS</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16570-2023</t>
        </is>
      </c>
      <c r="B9236" s="1" t="n">
        <v>45030</v>
      </c>
      <c r="C9236" s="1" t="n">
        <v>45357</v>
      </c>
      <c r="D9236" t="inlineStr">
        <is>
          <t>VÄSTERBOTTENS LÄN</t>
        </is>
      </c>
      <c r="E9236" t="inlineStr">
        <is>
          <t>ÅSELE</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16829-2023</t>
        </is>
      </c>
      <c r="B9237" s="1" t="n">
        <v>45029</v>
      </c>
      <c r="C9237" s="1" t="n">
        <v>45357</v>
      </c>
      <c r="D9237" t="inlineStr">
        <is>
          <t>VÄSTERBOTTENS LÄN</t>
        </is>
      </c>
      <c r="E9237" t="inlineStr">
        <is>
          <t>SORSELE</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16875-2023</t>
        </is>
      </c>
      <c r="B9238" s="1" t="n">
        <v>45029</v>
      </c>
      <c r="C9238" s="1" t="n">
        <v>45357</v>
      </c>
      <c r="D9238" t="inlineStr">
        <is>
          <t>VÄSTERBOTTENS LÄN</t>
        </is>
      </c>
      <c r="E9238" t="inlineStr">
        <is>
          <t>ROBERTSFORS</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16883-2023</t>
        </is>
      </c>
      <c r="B9239" s="1" t="n">
        <v>45029</v>
      </c>
      <c r="C9239" s="1" t="n">
        <v>45357</v>
      </c>
      <c r="D9239" t="inlineStr">
        <is>
          <t>VÄSTERBOTTENS LÄN</t>
        </is>
      </c>
      <c r="E9239" t="inlineStr">
        <is>
          <t>SORSELE</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16850-2023</t>
        </is>
      </c>
      <c r="B9240" s="1" t="n">
        <v>45029</v>
      </c>
      <c r="C9240" s="1" t="n">
        <v>45357</v>
      </c>
      <c r="D9240" t="inlineStr">
        <is>
          <t>VÄSTERBOTTENS LÄN</t>
        </is>
      </c>
      <c r="E9240" t="inlineStr">
        <is>
          <t>SORSELE</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16921-2023</t>
        </is>
      </c>
      <c r="B9241" s="1" t="n">
        <v>45029</v>
      </c>
      <c r="C9241" s="1" t="n">
        <v>45357</v>
      </c>
      <c r="D9241" t="inlineStr">
        <is>
          <t>VÄSTERBOTTENS LÄN</t>
        </is>
      </c>
      <c r="E9241" t="inlineStr">
        <is>
          <t>ROBERTSFORS</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16654-2023</t>
        </is>
      </c>
      <c r="B9242" s="1" t="n">
        <v>45030</v>
      </c>
      <c r="C9242" s="1" t="n">
        <v>45357</v>
      </c>
      <c r="D9242" t="inlineStr">
        <is>
          <t>VÄSTERBOTTENS LÄN</t>
        </is>
      </c>
      <c r="E9242" t="inlineStr">
        <is>
          <t>ROBERTSFORS</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16759-2023</t>
        </is>
      </c>
      <c r="B9243" s="1" t="n">
        <v>45031</v>
      </c>
      <c r="C9243" s="1" t="n">
        <v>45357</v>
      </c>
      <c r="D9243" t="inlineStr">
        <is>
          <t>VÄSTERBOTTENS LÄN</t>
        </is>
      </c>
      <c r="E9243" t="inlineStr">
        <is>
          <t>NORDMALING</t>
        </is>
      </c>
      <c r="F9243" t="inlineStr">
        <is>
          <t>SCA</t>
        </is>
      </c>
      <c r="G9243" t="n">
        <v>12.5</v>
      </c>
      <c r="H9243" t="n">
        <v>0</v>
      </c>
      <c r="I9243" t="n">
        <v>0</v>
      </c>
      <c r="J9243" t="n">
        <v>0</v>
      </c>
      <c r="K9243" t="n">
        <v>0</v>
      </c>
      <c r="L9243" t="n">
        <v>0</v>
      </c>
      <c r="M9243" t="n">
        <v>0</v>
      </c>
      <c r="N9243" t="n">
        <v>0</v>
      </c>
      <c r="O9243" t="n">
        <v>0</v>
      </c>
      <c r="P9243" t="n">
        <v>0</v>
      </c>
      <c r="Q9243" t="n">
        <v>0</v>
      </c>
      <c r="R9243" s="2" t="inlineStr"/>
    </row>
    <row r="9244" ht="15" customHeight="1">
      <c r="A9244" t="inlineStr">
        <is>
          <t>A 16653-2023</t>
        </is>
      </c>
      <c r="B9244" s="1" t="n">
        <v>45030</v>
      </c>
      <c r="C9244" s="1" t="n">
        <v>45357</v>
      </c>
      <c r="D9244" t="inlineStr">
        <is>
          <t>VÄSTERBOTTENS LÄN</t>
        </is>
      </c>
      <c r="E9244" t="inlineStr">
        <is>
          <t>ROBERTSFORS</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16753-2023</t>
        </is>
      </c>
      <c r="B9245" s="1" t="n">
        <v>45031</v>
      </c>
      <c r="C9245" s="1" t="n">
        <v>45357</v>
      </c>
      <c r="D9245" t="inlineStr">
        <is>
          <t>VÄSTERBOTTENS LÄN</t>
        </is>
      </c>
      <c r="E9245" t="inlineStr">
        <is>
          <t>SKELLEFTEÅ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16757-2023</t>
        </is>
      </c>
      <c r="B9246" s="1" t="n">
        <v>45030</v>
      </c>
      <c r="C9246" s="1" t="n">
        <v>45357</v>
      </c>
      <c r="D9246" t="inlineStr">
        <is>
          <t>VÄSTERBOTTENS LÄN</t>
        </is>
      </c>
      <c r="E9246" t="inlineStr">
        <is>
          <t>NORDMALING</t>
        </is>
      </c>
      <c r="F9246" t="inlineStr">
        <is>
          <t>SCA</t>
        </is>
      </c>
      <c r="G9246" t="n">
        <v>13.6</v>
      </c>
      <c r="H9246" t="n">
        <v>0</v>
      </c>
      <c r="I9246" t="n">
        <v>0</v>
      </c>
      <c r="J9246" t="n">
        <v>0</v>
      </c>
      <c r="K9246" t="n">
        <v>0</v>
      </c>
      <c r="L9246" t="n">
        <v>0</v>
      </c>
      <c r="M9246" t="n">
        <v>0</v>
      </c>
      <c r="N9246" t="n">
        <v>0</v>
      </c>
      <c r="O9246" t="n">
        <v>0</v>
      </c>
      <c r="P9246" t="n">
        <v>0</v>
      </c>
      <c r="Q9246" t="n">
        <v>0</v>
      </c>
      <c r="R9246" s="2" t="inlineStr"/>
    </row>
    <row r="9247" ht="15" customHeight="1">
      <c r="A9247" t="inlineStr">
        <is>
          <t>A 17093-2023</t>
        </is>
      </c>
      <c r="B9247" s="1" t="n">
        <v>45030</v>
      </c>
      <c r="C9247" s="1" t="n">
        <v>45357</v>
      </c>
      <c r="D9247" t="inlineStr">
        <is>
          <t>VÄSTERBOTTENS LÄN</t>
        </is>
      </c>
      <c r="E9247" t="inlineStr">
        <is>
          <t>ROBERTSFORS</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16756-2023</t>
        </is>
      </c>
      <c r="B9248" s="1" t="n">
        <v>45031</v>
      </c>
      <c r="C9248" s="1" t="n">
        <v>45357</v>
      </c>
      <c r="D9248" t="inlineStr">
        <is>
          <t>VÄSTERBOTTENS LÄN</t>
        </is>
      </c>
      <c r="E9248" t="inlineStr">
        <is>
          <t>NORDMALING</t>
        </is>
      </c>
      <c r="F9248" t="inlineStr">
        <is>
          <t>SCA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17090-2023</t>
        </is>
      </c>
      <c r="B9249" s="1" t="n">
        <v>45030</v>
      </c>
      <c r="C9249" s="1" t="n">
        <v>45357</v>
      </c>
      <c r="D9249" t="inlineStr">
        <is>
          <t>VÄSTERBOTTENS LÄN</t>
        </is>
      </c>
      <c r="E9249" t="inlineStr">
        <is>
          <t>ROBERTSFORS</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17026-2023</t>
        </is>
      </c>
      <c r="B9250" s="1" t="n">
        <v>45030</v>
      </c>
      <c r="C9250" s="1" t="n">
        <v>45357</v>
      </c>
      <c r="D9250" t="inlineStr">
        <is>
          <t>VÄSTERBOTTENS LÄN</t>
        </is>
      </c>
      <c r="E9250" t="inlineStr">
        <is>
          <t>SKELLEFTEÅ</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17086-2023</t>
        </is>
      </c>
      <c r="B9251" s="1" t="n">
        <v>45030</v>
      </c>
      <c r="C9251" s="1" t="n">
        <v>45357</v>
      </c>
      <c r="D9251" t="inlineStr">
        <is>
          <t>VÄSTERBOTTENS LÄN</t>
        </is>
      </c>
      <c r="E9251" t="inlineStr">
        <is>
          <t>SKELLEFTEÅ</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16758-2023</t>
        </is>
      </c>
      <c r="B9252" s="1" t="n">
        <v>45030</v>
      </c>
      <c r="C9252" s="1" t="n">
        <v>45357</v>
      </c>
      <c r="D9252" t="inlineStr">
        <is>
          <t>VÄSTERBOTTENS LÄN</t>
        </is>
      </c>
      <c r="E9252" t="inlineStr">
        <is>
          <t>NORDMALING</t>
        </is>
      </c>
      <c r="F9252" t="inlineStr">
        <is>
          <t>SCA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17071-2023</t>
        </is>
      </c>
      <c r="B9253" s="1" t="n">
        <v>45030</v>
      </c>
      <c r="C9253" s="1" t="n">
        <v>45357</v>
      </c>
      <c r="D9253" t="inlineStr">
        <is>
          <t>VÄSTERBOTTENS LÄN</t>
        </is>
      </c>
      <c r="E9253" t="inlineStr">
        <is>
          <t>SKELLEFTEÅ</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17110-2023</t>
        </is>
      </c>
      <c r="B9254" s="1" t="n">
        <v>45030</v>
      </c>
      <c r="C9254" s="1" t="n">
        <v>45357</v>
      </c>
      <c r="D9254" t="inlineStr">
        <is>
          <t>VÄSTERBOTTENS LÄN</t>
        </is>
      </c>
      <c r="E9254" t="inlineStr">
        <is>
          <t>UMEÅ</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16839-2023</t>
        </is>
      </c>
      <c r="B9255" s="1" t="n">
        <v>45033</v>
      </c>
      <c r="C9255" s="1" t="n">
        <v>45357</v>
      </c>
      <c r="D9255" t="inlineStr">
        <is>
          <t>VÄSTERBOTTENS LÄN</t>
        </is>
      </c>
      <c r="E9255" t="inlineStr">
        <is>
          <t>NORSJÖ</t>
        </is>
      </c>
      <c r="F9255" t="inlineStr">
        <is>
          <t>Holmen skog AB</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16858-2023</t>
        </is>
      </c>
      <c r="B9256" s="1" t="n">
        <v>45033</v>
      </c>
      <c r="C9256" s="1" t="n">
        <v>45357</v>
      </c>
      <c r="D9256" t="inlineStr">
        <is>
          <t>VÄSTERBOTTENS LÄN</t>
        </is>
      </c>
      <c r="E9256" t="inlineStr">
        <is>
          <t>SKELLEFTEÅ</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16827-2023</t>
        </is>
      </c>
      <c r="B9257" s="1" t="n">
        <v>45033</v>
      </c>
      <c r="C9257" s="1" t="n">
        <v>45357</v>
      </c>
      <c r="D9257" t="inlineStr">
        <is>
          <t>VÄSTERBOTTENS LÄN</t>
        </is>
      </c>
      <c r="E9257" t="inlineStr">
        <is>
          <t>UMEÅ</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16994-2023</t>
        </is>
      </c>
      <c r="B9258" s="1" t="n">
        <v>45033</v>
      </c>
      <c r="C9258" s="1" t="n">
        <v>45357</v>
      </c>
      <c r="D9258" t="inlineStr">
        <is>
          <t>VÄSTERBOTTENS LÄN</t>
        </is>
      </c>
      <c r="E9258" t="inlineStr">
        <is>
          <t>ROBERTSFORS</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16998-2023</t>
        </is>
      </c>
      <c r="B9259" s="1" t="n">
        <v>45033</v>
      </c>
      <c r="C9259" s="1" t="n">
        <v>45357</v>
      </c>
      <c r="D9259" t="inlineStr">
        <is>
          <t>VÄSTERBOTTENS LÄN</t>
        </is>
      </c>
      <c r="E9259" t="inlineStr">
        <is>
          <t>SKELLEFTEÅ</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16993-2023</t>
        </is>
      </c>
      <c r="B9260" s="1" t="n">
        <v>45034</v>
      </c>
      <c r="C9260" s="1" t="n">
        <v>45357</v>
      </c>
      <c r="D9260" t="inlineStr">
        <is>
          <t>VÄSTERBOTTENS LÄN</t>
        </is>
      </c>
      <c r="E9260" t="inlineStr">
        <is>
          <t>ROBERTSFORS</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16995-2023</t>
        </is>
      </c>
      <c r="B9261" s="1" t="n">
        <v>45034</v>
      </c>
      <c r="C9261" s="1" t="n">
        <v>45357</v>
      </c>
      <c r="D9261" t="inlineStr">
        <is>
          <t>VÄSTERBOTTENS LÄN</t>
        </is>
      </c>
      <c r="E9261" t="inlineStr">
        <is>
          <t>ROBERTSFORS</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16999-2023</t>
        </is>
      </c>
      <c r="B9262" s="1" t="n">
        <v>45034</v>
      </c>
      <c r="C9262" s="1" t="n">
        <v>45357</v>
      </c>
      <c r="D9262" t="inlineStr">
        <is>
          <t>VÄSTERBOTTENS LÄN</t>
        </is>
      </c>
      <c r="E9262" t="inlineStr">
        <is>
          <t>UMEÅ</t>
        </is>
      </c>
      <c r="G9262" t="n">
        <v>20.1</v>
      </c>
      <c r="H9262" t="n">
        <v>0</v>
      </c>
      <c r="I9262" t="n">
        <v>0</v>
      </c>
      <c r="J9262" t="n">
        <v>0</v>
      </c>
      <c r="K9262" t="n">
        <v>0</v>
      </c>
      <c r="L9262" t="n">
        <v>0</v>
      </c>
      <c r="M9262" t="n">
        <v>0</v>
      </c>
      <c r="N9262" t="n">
        <v>0</v>
      </c>
      <c r="O9262" t="n">
        <v>0</v>
      </c>
      <c r="P9262" t="n">
        <v>0</v>
      </c>
      <c r="Q9262" t="n">
        <v>0</v>
      </c>
      <c r="R9262" s="2" t="inlineStr"/>
    </row>
    <row r="9263" ht="15" customHeight="1">
      <c r="A9263" t="inlineStr">
        <is>
          <t>A 17008-2023</t>
        </is>
      </c>
      <c r="B9263" s="1" t="n">
        <v>45034</v>
      </c>
      <c r="C9263" s="1" t="n">
        <v>45357</v>
      </c>
      <c r="D9263" t="inlineStr">
        <is>
          <t>VÄSTERBOTTENS LÄN</t>
        </is>
      </c>
      <c r="E9263" t="inlineStr">
        <is>
          <t>NORDMALING</t>
        </is>
      </c>
      <c r="F9263" t="inlineStr">
        <is>
          <t>SCA</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17352-2023</t>
        </is>
      </c>
      <c r="B9264" s="1" t="n">
        <v>45033</v>
      </c>
      <c r="C9264" s="1" t="n">
        <v>45357</v>
      </c>
      <c r="D9264" t="inlineStr">
        <is>
          <t>VÄSTERBOTTENS LÄN</t>
        </is>
      </c>
      <c r="E9264" t="inlineStr">
        <is>
          <t>UMEÅ</t>
        </is>
      </c>
      <c r="F9264" t="inlineStr">
        <is>
          <t>Kommuner</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17303-2023</t>
        </is>
      </c>
      <c r="B9265" s="1" t="n">
        <v>45033</v>
      </c>
      <c r="C9265" s="1" t="n">
        <v>45357</v>
      </c>
      <c r="D9265" t="inlineStr">
        <is>
          <t>VÄSTERBOTTENS LÄN</t>
        </is>
      </c>
      <c r="E9265" t="inlineStr">
        <is>
          <t>VINDELN</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17359-2023</t>
        </is>
      </c>
      <c r="B9266" s="1" t="n">
        <v>45033</v>
      </c>
      <c r="C9266" s="1" t="n">
        <v>45357</v>
      </c>
      <c r="D9266" t="inlineStr">
        <is>
          <t>VÄSTERBOTTENS LÄN</t>
        </is>
      </c>
      <c r="E9266" t="inlineStr">
        <is>
          <t>UMEÅ</t>
        </is>
      </c>
      <c r="F9266" t="inlineStr">
        <is>
          <t>Kommuner</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17208-2023</t>
        </is>
      </c>
      <c r="B9267" s="1" t="n">
        <v>45035</v>
      </c>
      <c r="C9267" s="1" t="n">
        <v>45357</v>
      </c>
      <c r="D9267" t="inlineStr">
        <is>
          <t>VÄSTERBOTTENS LÄN</t>
        </is>
      </c>
      <c r="E9267" t="inlineStr">
        <is>
          <t>SKELLEFTEÅ</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17157-2023</t>
        </is>
      </c>
      <c r="B9268" s="1" t="n">
        <v>45034</v>
      </c>
      <c r="C9268" s="1" t="n">
        <v>45357</v>
      </c>
      <c r="D9268" t="inlineStr">
        <is>
          <t>VÄSTERBOTTENS LÄN</t>
        </is>
      </c>
      <c r="E9268" t="inlineStr">
        <is>
          <t>VÄNNÄS</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17205-2023</t>
        </is>
      </c>
      <c r="B9269" s="1" t="n">
        <v>45035</v>
      </c>
      <c r="C9269" s="1" t="n">
        <v>45357</v>
      </c>
      <c r="D9269" t="inlineStr">
        <is>
          <t>VÄSTERBOTTENS LÄN</t>
        </is>
      </c>
      <c r="E9269" t="inlineStr">
        <is>
          <t>SKELLEFTEÅ</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17365-2023</t>
        </is>
      </c>
      <c r="B9270" s="1" t="n">
        <v>45034</v>
      </c>
      <c r="C9270" s="1" t="n">
        <v>45357</v>
      </c>
      <c r="D9270" t="inlineStr">
        <is>
          <t>VÄSTERBOTTENS LÄN</t>
        </is>
      </c>
      <c r="E9270" t="inlineStr">
        <is>
          <t>SKELLEFTEÅ</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17367-2023</t>
        </is>
      </c>
      <c r="B9271" s="1" t="n">
        <v>45034</v>
      </c>
      <c r="C9271" s="1" t="n">
        <v>45357</v>
      </c>
      <c r="D9271" t="inlineStr">
        <is>
          <t>VÄSTERBOTTENS LÄN</t>
        </is>
      </c>
      <c r="E9271" t="inlineStr">
        <is>
          <t>SORSELE</t>
        </is>
      </c>
      <c r="F9271" t="inlineStr">
        <is>
          <t>Övriga statliga verk och myndigheter</t>
        </is>
      </c>
      <c r="G9271" t="n">
        <v>132.9</v>
      </c>
      <c r="H9271" t="n">
        <v>0</v>
      </c>
      <c r="I9271" t="n">
        <v>0</v>
      </c>
      <c r="J9271" t="n">
        <v>0</v>
      </c>
      <c r="K9271" t="n">
        <v>0</v>
      </c>
      <c r="L9271" t="n">
        <v>0</v>
      </c>
      <c r="M9271" t="n">
        <v>0</v>
      </c>
      <c r="N9271" t="n">
        <v>0</v>
      </c>
      <c r="O9271" t="n">
        <v>0</v>
      </c>
      <c r="P9271" t="n">
        <v>0</v>
      </c>
      <c r="Q9271" t="n">
        <v>0</v>
      </c>
      <c r="R9271" s="2" t="inlineStr"/>
    </row>
    <row r="9272" ht="15" customHeight="1">
      <c r="A9272" t="inlineStr">
        <is>
          <t>A 17462-2023</t>
        </is>
      </c>
      <c r="B9272" s="1" t="n">
        <v>45034</v>
      </c>
      <c r="C9272" s="1" t="n">
        <v>45357</v>
      </c>
      <c r="D9272" t="inlineStr">
        <is>
          <t>VÄSTERBOTTENS LÄN</t>
        </is>
      </c>
      <c r="E9272" t="inlineStr">
        <is>
          <t>NORDMALING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17482-2023</t>
        </is>
      </c>
      <c r="B9273" s="1" t="n">
        <v>45034</v>
      </c>
      <c r="C9273" s="1" t="n">
        <v>45357</v>
      </c>
      <c r="D9273" t="inlineStr">
        <is>
          <t>VÄSTERBOTTENS LÄN</t>
        </is>
      </c>
      <c r="E9273" t="inlineStr">
        <is>
          <t>SKELLEFTEÅ</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17496-2023</t>
        </is>
      </c>
      <c r="B9274" s="1" t="n">
        <v>45034</v>
      </c>
      <c r="C9274" s="1" t="n">
        <v>45357</v>
      </c>
      <c r="D9274" t="inlineStr">
        <is>
          <t>VÄSTERBOTTENS LÄN</t>
        </is>
      </c>
      <c r="E9274" t="inlineStr">
        <is>
          <t>NORDMALING</t>
        </is>
      </c>
      <c r="G9274" t="n">
        <v>13.1</v>
      </c>
      <c r="H9274" t="n">
        <v>0</v>
      </c>
      <c r="I9274" t="n">
        <v>0</v>
      </c>
      <c r="J9274" t="n">
        <v>0</v>
      </c>
      <c r="K9274" t="n">
        <v>0</v>
      </c>
      <c r="L9274" t="n">
        <v>0</v>
      </c>
      <c r="M9274" t="n">
        <v>0</v>
      </c>
      <c r="N9274" t="n">
        <v>0</v>
      </c>
      <c r="O9274" t="n">
        <v>0</v>
      </c>
      <c r="P9274" t="n">
        <v>0</v>
      </c>
      <c r="Q9274" t="n">
        <v>0</v>
      </c>
      <c r="R9274" s="2" t="inlineStr"/>
    </row>
    <row r="9275" ht="15" customHeight="1">
      <c r="A9275" t="inlineStr">
        <is>
          <t>A 17537-2023</t>
        </is>
      </c>
      <c r="B9275" s="1" t="n">
        <v>45034</v>
      </c>
      <c r="C9275" s="1" t="n">
        <v>45357</v>
      </c>
      <c r="D9275" t="inlineStr">
        <is>
          <t>VÄSTERBOTTENS LÄN</t>
        </is>
      </c>
      <c r="E9275" t="inlineStr">
        <is>
          <t>UMEÅ</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17478-2023</t>
        </is>
      </c>
      <c r="B9276" s="1" t="n">
        <v>45034</v>
      </c>
      <c r="C9276" s="1" t="n">
        <v>45357</v>
      </c>
      <c r="D9276" t="inlineStr">
        <is>
          <t>VÄSTERBOTTENS LÄN</t>
        </is>
      </c>
      <c r="E9276" t="inlineStr">
        <is>
          <t>SKELLEFTEÅ</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17487-2023</t>
        </is>
      </c>
      <c r="B9277" s="1" t="n">
        <v>45034</v>
      </c>
      <c r="C9277" s="1" t="n">
        <v>45357</v>
      </c>
      <c r="D9277" t="inlineStr">
        <is>
          <t>VÄSTERBOTTENS LÄN</t>
        </is>
      </c>
      <c r="E9277" t="inlineStr">
        <is>
          <t>SKELLEFTEÅ</t>
        </is>
      </c>
      <c r="G9277" t="n">
        <v>8.9</v>
      </c>
      <c r="H9277" t="n">
        <v>0</v>
      </c>
      <c r="I9277" t="n">
        <v>0</v>
      </c>
      <c r="J9277" t="n">
        <v>0</v>
      </c>
      <c r="K9277" t="n">
        <v>0</v>
      </c>
      <c r="L9277" t="n">
        <v>0</v>
      </c>
      <c r="M9277" t="n">
        <v>0</v>
      </c>
      <c r="N9277" t="n">
        <v>0</v>
      </c>
      <c r="O9277" t="n">
        <v>0</v>
      </c>
      <c r="P9277" t="n">
        <v>0</v>
      </c>
      <c r="Q9277" t="n">
        <v>0</v>
      </c>
      <c r="R9277" s="2" t="inlineStr"/>
    </row>
    <row r="9278" ht="15" customHeight="1">
      <c r="A9278" t="inlineStr">
        <is>
          <t>A 17483-2023</t>
        </is>
      </c>
      <c r="B9278" s="1" t="n">
        <v>45034</v>
      </c>
      <c r="C9278" s="1" t="n">
        <v>45357</v>
      </c>
      <c r="D9278" t="inlineStr">
        <is>
          <t>VÄSTERBOTTENS LÄN</t>
        </is>
      </c>
      <c r="E9278" t="inlineStr">
        <is>
          <t>SKELLEFTEÅ</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17509-2023</t>
        </is>
      </c>
      <c r="B9279" s="1" t="n">
        <v>45034</v>
      </c>
      <c r="C9279" s="1" t="n">
        <v>45357</v>
      </c>
      <c r="D9279" t="inlineStr">
        <is>
          <t>VÄSTERBOTTENS LÄN</t>
        </is>
      </c>
      <c r="E9279" t="inlineStr">
        <is>
          <t>NORDMALING</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17562-2023</t>
        </is>
      </c>
      <c r="B9280" s="1" t="n">
        <v>45034</v>
      </c>
      <c r="C9280" s="1" t="n">
        <v>45357</v>
      </c>
      <c r="D9280" t="inlineStr">
        <is>
          <t>VÄSTERBOTTENS LÄN</t>
        </is>
      </c>
      <c r="E9280" t="inlineStr">
        <is>
          <t>UMEÅ</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17485-2023</t>
        </is>
      </c>
      <c r="B9281" s="1" t="n">
        <v>45034</v>
      </c>
      <c r="C9281" s="1" t="n">
        <v>45357</v>
      </c>
      <c r="D9281" t="inlineStr">
        <is>
          <t>VÄSTERBOTTENS LÄN</t>
        </is>
      </c>
      <c r="E9281" t="inlineStr">
        <is>
          <t>SKELLEFTEÅ</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17528-2023</t>
        </is>
      </c>
      <c r="B9282" s="1" t="n">
        <v>45034</v>
      </c>
      <c r="C9282" s="1" t="n">
        <v>45357</v>
      </c>
      <c r="D9282" t="inlineStr">
        <is>
          <t>VÄSTERBOTTENS LÄN</t>
        </is>
      </c>
      <c r="E9282" t="inlineStr">
        <is>
          <t>UMEÅ</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17396-2023</t>
        </is>
      </c>
      <c r="B9283" s="1" t="n">
        <v>45035</v>
      </c>
      <c r="C9283" s="1" t="n">
        <v>45357</v>
      </c>
      <c r="D9283" t="inlineStr">
        <is>
          <t>VÄSTERBOTTENS LÄN</t>
        </is>
      </c>
      <c r="E9283" t="inlineStr">
        <is>
          <t>LYCKSELE</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17391-2023</t>
        </is>
      </c>
      <c r="B9284" s="1" t="n">
        <v>45035</v>
      </c>
      <c r="C9284" s="1" t="n">
        <v>45357</v>
      </c>
      <c r="D9284" t="inlineStr">
        <is>
          <t>VÄSTERBOTTENS LÄN</t>
        </is>
      </c>
      <c r="E9284" t="inlineStr">
        <is>
          <t>LYCKSELE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17397-2023</t>
        </is>
      </c>
      <c r="B9285" s="1" t="n">
        <v>45035</v>
      </c>
      <c r="C9285" s="1" t="n">
        <v>45357</v>
      </c>
      <c r="D9285" t="inlineStr">
        <is>
          <t>VÄSTERBOTTENS LÄN</t>
        </is>
      </c>
      <c r="E9285" t="inlineStr">
        <is>
          <t>LYCKSELE</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17393-2023</t>
        </is>
      </c>
      <c r="B9286" s="1" t="n">
        <v>45035</v>
      </c>
      <c r="C9286" s="1" t="n">
        <v>45357</v>
      </c>
      <c r="D9286" t="inlineStr">
        <is>
          <t>VÄSTERBOTTENS LÄN</t>
        </is>
      </c>
      <c r="E9286" t="inlineStr">
        <is>
          <t>LYCKSELE</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17698-2023</t>
        </is>
      </c>
      <c r="B9287" s="1" t="n">
        <v>45035</v>
      </c>
      <c r="C9287" s="1" t="n">
        <v>45357</v>
      </c>
      <c r="D9287" t="inlineStr">
        <is>
          <t>VÄSTERBOTTENS LÄN</t>
        </is>
      </c>
      <c r="E9287" t="inlineStr">
        <is>
          <t>ÅSELE</t>
        </is>
      </c>
      <c r="G9287" t="n">
        <v>7</v>
      </c>
      <c r="H9287" t="n">
        <v>0</v>
      </c>
      <c r="I9287" t="n">
        <v>0</v>
      </c>
      <c r="J9287" t="n">
        <v>0</v>
      </c>
      <c r="K9287" t="n">
        <v>0</v>
      </c>
      <c r="L9287" t="n">
        <v>0</v>
      </c>
      <c r="M9287" t="n">
        <v>0</v>
      </c>
      <c r="N9287" t="n">
        <v>0</v>
      </c>
      <c r="O9287" t="n">
        <v>0</v>
      </c>
      <c r="P9287" t="n">
        <v>0</v>
      </c>
      <c r="Q9287" t="n">
        <v>0</v>
      </c>
      <c r="R9287" s="2" t="inlineStr"/>
    </row>
    <row r="9288" ht="15" customHeight="1">
      <c r="A9288" t="inlineStr">
        <is>
          <t>A 17690-2023</t>
        </is>
      </c>
      <c r="B9288" s="1" t="n">
        <v>45035</v>
      </c>
      <c r="C9288" s="1" t="n">
        <v>45357</v>
      </c>
      <c r="D9288" t="inlineStr">
        <is>
          <t>VÄSTERBOTTENS LÄN</t>
        </is>
      </c>
      <c r="E9288" t="inlineStr">
        <is>
          <t>LYCKSELE</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17444-2023</t>
        </is>
      </c>
      <c r="B9289" s="1" t="n">
        <v>45036</v>
      </c>
      <c r="C9289" s="1" t="n">
        <v>45357</v>
      </c>
      <c r="D9289" t="inlineStr">
        <is>
          <t>VÄSTERBOTTENS LÄN</t>
        </is>
      </c>
      <c r="E9289" t="inlineStr">
        <is>
          <t>SKELLEFTEÅ</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17446-2023</t>
        </is>
      </c>
      <c r="B9290" s="1" t="n">
        <v>45036</v>
      </c>
      <c r="C9290" s="1" t="n">
        <v>45357</v>
      </c>
      <c r="D9290" t="inlineStr">
        <is>
          <t>VÄSTERBOTTENS LÄN</t>
        </is>
      </c>
      <c r="E9290" t="inlineStr">
        <is>
          <t>SKELLEFTEÅ</t>
        </is>
      </c>
      <c r="F9290" t="inlineStr">
        <is>
          <t>SCA</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17659-2023</t>
        </is>
      </c>
      <c r="B9291" s="1" t="n">
        <v>45037</v>
      </c>
      <c r="C9291" s="1" t="n">
        <v>45357</v>
      </c>
      <c r="D9291" t="inlineStr">
        <is>
          <t>VÄSTERBOTTENS LÄN</t>
        </is>
      </c>
      <c r="E9291" t="inlineStr">
        <is>
          <t>SKELLEFTEÅ</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17672-2023</t>
        </is>
      </c>
      <c r="B9292" s="1" t="n">
        <v>45036</v>
      </c>
      <c r="C9292" s="1" t="n">
        <v>45357</v>
      </c>
      <c r="D9292" t="inlineStr">
        <is>
          <t>VÄSTERBOTTENS LÄN</t>
        </is>
      </c>
      <c r="E9292" t="inlineStr">
        <is>
          <t>ÅSELE</t>
        </is>
      </c>
      <c r="F9292" t="inlineStr">
        <is>
          <t>SCA</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17658-2023</t>
        </is>
      </c>
      <c r="B9293" s="1" t="n">
        <v>45036</v>
      </c>
      <c r="C9293" s="1" t="n">
        <v>45357</v>
      </c>
      <c r="D9293" t="inlineStr">
        <is>
          <t>VÄSTERBOTTENS LÄN</t>
        </is>
      </c>
      <c r="E9293" t="inlineStr">
        <is>
          <t>DOROTEA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17783-2023</t>
        </is>
      </c>
      <c r="B9294" s="1" t="n">
        <v>45036</v>
      </c>
      <c r="C9294" s="1" t="n">
        <v>45357</v>
      </c>
      <c r="D9294" t="inlineStr">
        <is>
          <t>VÄSTERBOTTENS LÄN</t>
        </is>
      </c>
      <c r="E9294" t="inlineStr">
        <is>
          <t>DOROTEA</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17755-2023</t>
        </is>
      </c>
      <c r="B9295" s="1" t="n">
        <v>45036</v>
      </c>
      <c r="C9295" s="1" t="n">
        <v>45357</v>
      </c>
      <c r="D9295" t="inlineStr">
        <is>
          <t>VÄSTERBOTTENS LÄN</t>
        </is>
      </c>
      <c r="E9295" t="inlineStr">
        <is>
          <t>SKELLEFTEÅ</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17776-2023</t>
        </is>
      </c>
      <c r="B9296" s="1" t="n">
        <v>45036</v>
      </c>
      <c r="C9296" s="1" t="n">
        <v>45357</v>
      </c>
      <c r="D9296" t="inlineStr">
        <is>
          <t>VÄSTERBOTTENS LÄN</t>
        </is>
      </c>
      <c r="E9296" t="inlineStr">
        <is>
          <t>DOROTEA</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17787-2023</t>
        </is>
      </c>
      <c r="B9297" s="1" t="n">
        <v>45036</v>
      </c>
      <c r="C9297" s="1" t="n">
        <v>45357</v>
      </c>
      <c r="D9297" t="inlineStr">
        <is>
          <t>VÄSTERBOTTENS LÄN</t>
        </is>
      </c>
      <c r="E9297" t="inlineStr">
        <is>
          <t>DOROTEA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17711-2023</t>
        </is>
      </c>
      <c r="B9298" s="1" t="n">
        <v>45036</v>
      </c>
      <c r="C9298" s="1" t="n">
        <v>45357</v>
      </c>
      <c r="D9298" t="inlineStr">
        <is>
          <t>VÄSTERBOTTENS LÄN</t>
        </is>
      </c>
      <c r="E9298" t="inlineStr">
        <is>
          <t>NORDMALING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17700-2023</t>
        </is>
      </c>
      <c r="B9299" s="1" t="n">
        <v>45037</v>
      </c>
      <c r="C9299" s="1" t="n">
        <v>45357</v>
      </c>
      <c r="D9299" t="inlineStr">
        <is>
          <t>VÄSTERBOTTENS LÄN</t>
        </is>
      </c>
      <c r="E9299" t="inlineStr">
        <is>
          <t>NORSJÖ</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17842-2023</t>
        </is>
      </c>
      <c r="B9300" s="1" t="n">
        <v>45037</v>
      </c>
      <c r="C9300" s="1" t="n">
        <v>45357</v>
      </c>
      <c r="D9300" t="inlineStr">
        <is>
          <t>VÄSTERBOTTENS LÄN</t>
        </is>
      </c>
      <c r="E9300" t="inlineStr">
        <is>
          <t>SKELLEFTEÅ</t>
        </is>
      </c>
      <c r="F9300" t="inlineStr">
        <is>
          <t>Holmen skog AB</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17885-2023</t>
        </is>
      </c>
      <c r="B9301" s="1" t="n">
        <v>45037</v>
      </c>
      <c r="C9301" s="1" t="n">
        <v>45357</v>
      </c>
      <c r="D9301" t="inlineStr">
        <is>
          <t>VÄSTERBOTTENS LÄN</t>
        </is>
      </c>
      <c r="E9301" t="inlineStr">
        <is>
          <t>ÅSELE</t>
        </is>
      </c>
      <c r="G9301" t="n">
        <v>7.6</v>
      </c>
      <c r="H9301" t="n">
        <v>0</v>
      </c>
      <c r="I9301" t="n">
        <v>0</v>
      </c>
      <c r="J9301" t="n">
        <v>0</v>
      </c>
      <c r="K9301" t="n">
        <v>0</v>
      </c>
      <c r="L9301" t="n">
        <v>0</v>
      </c>
      <c r="M9301" t="n">
        <v>0</v>
      </c>
      <c r="N9301" t="n">
        <v>0</v>
      </c>
      <c r="O9301" t="n">
        <v>0</v>
      </c>
      <c r="P9301" t="n">
        <v>0</v>
      </c>
      <c r="Q9301" t="n">
        <v>0</v>
      </c>
      <c r="R9301" s="2" t="inlineStr"/>
    </row>
    <row r="9302" ht="15" customHeight="1">
      <c r="A9302" t="inlineStr">
        <is>
          <t>A 17996-2023</t>
        </is>
      </c>
      <c r="B9302" s="1" t="n">
        <v>45037</v>
      </c>
      <c r="C9302" s="1" t="n">
        <v>45357</v>
      </c>
      <c r="D9302" t="inlineStr">
        <is>
          <t>VÄSTERBOTTENS LÄN</t>
        </is>
      </c>
      <c r="E9302" t="inlineStr">
        <is>
          <t>ÅSELE</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17924-2023</t>
        </is>
      </c>
      <c r="B9303" s="1" t="n">
        <v>45037</v>
      </c>
      <c r="C9303" s="1" t="n">
        <v>45357</v>
      </c>
      <c r="D9303" t="inlineStr">
        <is>
          <t>VÄSTERBOTTENS LÄN</t>
        </is>
      </c>
      <c r="E9303" t="inlineStr">
        <is>
          <t>UMEÅ</t>
        </is>
      </c>
      <c r="F9303" t="inlineStr">
        <is>
          <t>Kommuner</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17928-2023</t>
        </is>
      </c>
      <c r="B9304" s="1" t="n">
        <v>45037</v>
      </c>
      <c r="C9304" s="1" t="n">
        <v>45357</v>
      </c>
      <c r="D9304" t="inlineStr">
        <is>
          <t>VÄSTERBOTTENS LÄN</t>
        </is>
      </c>
      <c r="E9304" t="inlineStr">
        <is>
          <t>UMEÅ</t>
        </is>
      </c>
      <c r="F9304" t="inlineStr">
        <is>
          <t>Kommuner</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17949-2023</t>
        </is>
      </c>
      <c r="B9305" s="1" t="n">
        <v>45037</v>
      </c>
      <c r="C9305" s="1" t="n">
        <v>45357</v>
      </c>
      <c r="D9305" t="inlineStr">
        <is>
          <t>VÄSTERBOTTENS LÄN</t>
        </is>
      </c>
      <c r="E9305" t="inlineStr">
        <is>
          <t>UMEÅ</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17981-2023</t>
        </is>
      </c>
      <c r="B9306" s="1" t="n">
        <v>45037</v>
      </c>
      <c r="C9306" s="1" t="n">
        <v>45357</v>
      </c>
      <c r="D9306" t="inlineStr">
        <is>
          <t>VÄSTERBOTTENS LÄN</t>
        </is>
      </c>
      <c r="E9306" t="inlineStr">
        <is>
          <t>NORDMALING</t>
        </is>
      </c>
      <c r="G9306" t="n">
        <v>9.4</v>
      </c>
      <c r="H9306" t="n">
        <v>0</v>
      </c>
      <c r="I9306" t="n">
        <v>0</v>
      </c>
      <c r="J9306" t="n">
        <v>0</v>
      </c>
      <c r="K9306" t="n">
        <v>0</v>
      </c>
      <c r="L9306" t="n">
        <v>0</v>
      </c>
      <c r="M9306" t="n">
        <v>0</v>
      </c>
      <c r="N9306" t="n">
        <v>0</v>
      </c>
      <c r="O9306" t="n">
        <v>0</v>
      </c>
      <c r="P9306" t="n">
        <v>0</v>
      </c>
      <c r="Q9306" t="n">
        <v>0</v>
      </c>
      <c r="R9306" s="2" t="inlineStr"/>
    </row>
    <row r="9307" ht="15" customHeight="1">
      <c r="A9307" t="inlineStr">
        <is>
          <t>A 18035-2023</t>
        </is>
      </c>
      <c r="B9307" s="1" t="n">
        <v>45037</v>
      </c>
      <c r="C9307" s="1" t="n">
        <v>45357</v>
      </c>
      <c r="D9307" t="inlineStr">
        <is>
          <t>VÄSTERBOTTENS LÄN</t>
        </is>
      </c>
      <c r="E9307" t="inlineStr">
        <is>
          <t>SKELLEFTEÅ</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17858-2023</t>
        </is>
      </c>
      <c r="B9308" s="1" t="n">
        <v>45038</v>
      </c>
      <c r="C9308" s="1" t="n">
        <v>45357</v>
      </c>
      <c r="D9308" t="inlineStr">
        <is>
          <t>VÄSTERBOTTENS LÄN</t>
        </is>
      </c>
      <c r="E9308" t="inlineStr">
        <is>
          <t>ÅSELE</t>
        </is>
      </c>
      <c r="F9308" t="inlineStr">
        <is>
          <t>SCA</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17886-2023</t>
        </is>
      </c>
      <c r="B9309" s="1" t="n">
        <v>45037</v>
      </c>
      <c r="C9309" s="1" t="n">
        <v>45357</v>
      </c>
      <c r="D9309" t="inlineStr">
        <is>
          <t>VÄSTERBOTTENS LÄN</t>
        </is>
      </c>
      <c r="E9309" t="inlineStr">
        <is>
          <t>ÅSELE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17945-2023</t>
        </is>
      </c>
      <c r="B9310" s="1" t="n">
        <v>45037</v>
      </c>
      <c r="C9310" s="1" t="n">
        <v>45357</v>
      </c>
      <c r="D9310" t="inlineStr">
        <is>
          <t>VÄSTERBOTTENS LÄN</t>
        </is>
      </c>
      <c r="E9310" t="inlineStr">
        <is>
          <t>UMEÅ</t>
        </is>
      </c>
      <c r="F9310" t="inlineStr">
        <is>
          <t>Kommuner</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18000-2023</t>
        </is>
      </c>
      <c r="B9311" s="1" t="n">
        <v>45037</v>
      </c>
      <c r="C9311" s="1" t="n">
        <v>45357</v>
      </c>
      <c r="D9311" t="inlineStr">
        <is>
          <t>VÄSTERBOTTENS LÄN</t>
        </is>
      </c>
      <c r="E9311" t="inlineStr">
        <is>
          <t>ÅSELE</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17914-2023</t>
        </is>
      </c>
      <c r="B9312" s="1" t="n">
        <v>45040</v>
      </c>
      <c r="C9312" s="1" t="n">
        <v>45357</v>
      </c>
      <c r="D9312" t="inlineStr">
        <is>
          <t>VÄSTERBOTTENS LÄN</t>
        </is>
      </c>
      <c r="E9312" t="inlineStr">
        <is>
          <t>NORSJÖ</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17907-2023</t>
        </is>
      </c>
      <c r="B9313" s="1" t="n">
        <v>45040</v>
      </c>
      <c r="C9313" s="1" t="n">
        <v>45357</v>
      </c>
      <c r="D9313" t="inlineStr">
        <is>
          <t>VÄSTERBOTTENS LÄN</t>
        </is>
      </c>
      <c r="E9313" t="inlineStr">
        <is>
          <t>NORSJÖ</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17989-2023</t>
        </is>
      </c>
      <c r="B9314" s="1" t="n">
        <v>45040</v>
      </c>
      <c r="C9314" s="1" t="n">
        <v>45357</v>
      </c>
      <c r="D9314" t="inlineStr">
        <is>
          <t>VÄSTERBOTTENS LÄN</t>
        </is>
      </c>
      <c r="E9314" t="inlineStr">
        <is>
          <t>UMEÅ</t>
        </is>
      </c>
      <c r="F9314" t="inlineStr">
        <is>
          <t>Kommuner</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17983-2023</t>
        </is>
      </c>
      <c r="B9315" s="1" t="n">
        <v>45040</v>
      </c>
      <c r="C9315" s="1" t="n">
        <v>45357</v>
      </c>
      <c r="D9315" t="inlineStr">
        <is>
          <t>VÄSTERBOTTENS LÄN</t>
        </is>
      </c>
      <c r="E9315" t="inlineStr">
        <is>
          <t>VINDELN</t>
        </is>
      </c>
      <c r="F9315" t="inlineStr">
        <is>
          <t>Holmen skog AB</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18156-2023</t>
        </is>
      </c>
      <c r="B9316" s="1" t="n">
        <v>45040</v>
      </c>
      <c r="C9316" s="1" t="n">
        <v>45357</v>
      </c>
      <c r="D9316" t="inlineStr">
        <is>
          <t>VÄSTERBOTTENS LÄN</t>
        </is>
      </c>
      <c r="E9316" t="inlineStr">
        <is>
          <t>LYCKSELE</t>
        </is>
      </c>
      <c r="F9316" t="inlineStr">
        <is>
          <t>SCA</t>
        </is>
      </c>
      <c r="G9316" t="n">
        <v>22.9</v>
      </c>
      <c r="H9316" t="n">
        <v>0</v>
      </c>
      <c r="I9316" t="n">
        <v>0</v>
      </c>
      <c r="J9316" t="n">
        <v>0</v>
      </c>
      <c r="K9316" t="n">
        <v>0</v>
      </c>
      <c r="L9316" t="n">
        <v>0</v>
      </c>
      <c r="M9316" t="n">
        <v>0</v>
      </c>
      <c r="N9316" t="n">
        <v>0</v>
      </c>
      <c r="O9316" t="n">
        <v>0</v>
      </c>
      <c r="P9316" t="n">
        <v>0</v>
      </c>
      <c r="Q9316" t="n">
        <v>0</v>
      </c>
      <c r="R9316" s="2" t="inlineStr"/>
    </row>
    <row r="9317" ht="15" customHeight="1">
      <c r="A9317" t="inlineStr">
        <is>
          <t>A 18143-2023</t>
        </is>
      </c>
      <c r="B9317" s="1" t="n">
        <v>45040</v>
      </c>
      <c r="C9317" s="1" t="n">
        <v>45357</v>
      </c>
      <c r="D9317" t="inlineStr">
        <is>
          <t>VÄSTERBOTTENS LÄN</t>
        </is>
      </c>
      <c r="E9317" t="inlineStr">
        <is>
          <t>ROBERTSFORS</t>
        </is>
      </c>
      <c r="G9317" t="n">
        <v>11.5</v>
      </c>
      <c r="H9317" t="n">
        <v>0</v>
      </c>
      <c r="I9317" t="n">
        <v>0</v>
      </c>
      <c r="J9317" t="n">
        <v>0</v>
      </c>
      <c r="K9317" t="n">
        <v>0</v>
      </c>
      <c r="L9317" t="n">
        <v>0</v>
      </c>
      <c r="M9317" t="n">
        <v>0</v>
      </c>
      <c r="N9317" t="n">
        <v>0</v>
      </c>
      <c r="O9317" t="n">
        <v>0</v>
      </c>
      <c r="P9317" t="n">
        <v>0</v>
      </c>
      <c r="Q9317" t="n">
        <v>0</v>
      </c>
      <c r="R9317" s="2" t="inlineStr"/>
    </row>
    <row r="9318" ht="15" customHeight="1">
      <c r="A9318" t="inlineStr">
        <is>
          <t>A 18262-2023</t>
        </is>
      </c>
      <c r="B9318" s="1" t="n">
        <v>45040</v>
      </c>
      <c r="C9318" s="1" t="n">
        <v>45357</v>
      </c>
      <c r="D9318" t="inlineStr">
        <is>
          <t>VÄSTERBOTTENS LÄN</t>
        </is>
      </c>
      <c r="E9318" t="inlineStr">
        <is>
          <t>STORUMAN</t>
        </is>
      </c>
      <c r="G9318" t="n">
        <v>6.2</v>
      </c>
      <c r="H9318" t="n">
        <v>0</v>
      </c>
      <c r="I9318" t="n">
        <v>0</v>
      </c>
      <c r="J9318" t="n">
        <v>0</v>
      </c>
      <c r="K9318" t="n">
        <v>0</v>
      </c>
      <c r="L9318" t="n">
        <v>0</v>
      </c>
      <c r="M9318" t="n">
        <v>0</v>
      </c>
      <c r="N9318" t="n">
        <v>0</v>
      </c>
      <c r="O9318" t="n">
        <v>0</v>
      </c>
      <c r="P9318" t="n">
        <v>0</v>
      </c>
      <c r="Q9318" t="n">
        <v>0</v>
      </c>
      <c r="R9318" s="2" t="inlineStr"/>
    </row>
    <row r="9319" ht="15" customHeight="1">
      <c r="A9319" t="inlineStr">
        <is>
          <t>A 18016-2023</t>
        </is>
      </c>
      <c r="B9319" s="1" t="n">
        <v>45040</v>
      </c>
      <c r="C9319" s="1" t="n">
        <v>45357</v>
      </c>
      <c r="D9319" t="inlineStr">
        <is>
          <t>VÄSTERBOTTENS LÄN</t>
        </is>
      </c>
      <c r="E9319" t="inlineStr">
        <is>
          <t>SKELLEFTEÅ</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18230-2023</t>
        </is>
      </c>
      <c r="B9320" s="1" t="n">
        <v>45040</v>
      </c>
      <c r="C9320" s="1" t="n">
        <v>45357</v>
      </c>
      <c r="D9320" t="inlineStr">
        <is>
          <t>VÄSTERBOTTENS LÄN</t>
        </is>
      </c>
      <c r="E9320" t="inlineStr">
        <is>
          <t>ÅSELE</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18265-2023</t>
        </is>
      </c>
      <c r="B9321" s="1" t="n">
        <v>45041</v>
      </c>
      <c r="C9321" s="1" t="n">
        <v>45357</v>
      </c>
      <c r="D9321" t="inlineStr">
        <is>
          <t>VÄSTERBOTTENS LÄN</t>
        </is>
      </c>
      <c r="E9321" t="inlineStr">
        <is>
          <t>UMEÅ</t>
        </is>
      </c>
      <c r="G9321" t="n">
        <v>7.6</v>
      </c>
      <c r="H9321" t="n">
        <v>0</v>
      </c>
      <c r="I9321" t="n">
        <v>0</v>
      </c>
      <c r="J9321" t="n">
        <v>0</v>
      </c>
      <c r="K9321" t="n">
        <v>0</v>
      </c>
      <c r="L9321" t="n">
        <v>0</v>
      </c>
      <c r="M9321" t="n">
        <v>0</v>
      </c>
      <c r="N9321" t="n">
        <v>0</v>
      </c>
      <c r="O9321" t="n">
        <v>0</v>
      </c>
      <c r="P9321" t="n">
        <v>0</v>
      </c>
      <c r="Q9321" t="n">
        <v>0</v>
      </c>
      <c r="R9321" s="2" t="inlineStr"/>
    </row>
    <row r="9322" ht="15" customHeight="1">
      <c r="A9322" t="inlineStr">
        <is>
          <t>A 18322-2023</t>
        </is>
      </c>
      <c r="B9322" s="1" t="n">
        <v>45041</v>
      </c>
      <c r="C9322" s="1" t="n">
        <v>45357</v>
      </c>
      <c r="D9322" t="inlineStr">
        <is>
          <t>VÄSTERBOTTENS LÄN</t>
        </is>
      </c>
      <c r="E9322" t="inlineStr">
        <is>
          <t>UMEÅ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18357-2023</t>
        </is>
      </c>
      <c r="B9323" s="1" t="n">
        <v>45041</v>
      </c>
      <c r="C9323" s="1" t="n">
        <v>45357</v>
      </c>
      <c r="D9323" t="inlineStr">
        <is>
          <t>VÄSTERBOTTENS LÄN</t>
        </is>
      </c>
      <c r="E9323" t="inlineStr">
        <is>
          <t>SKELLEFTEÅ</t>
        </is>
      </c>
      <c r="G9323" t="n">
        <v>11.2</v>
      </c>
      <c r="H9323" t="n">
        <v>0</v>
      </c>
      <c r="I9323" t="n">
        <v>0</v>
      </c>
      <c r="J9323" t="n">
        <v>0</v>
      </c>
      <c r="K9323" t="n">
        <v>0</v>
      </c>
      <c r="L9323" t="n">
        <v>0</v>
      </c>
      <c r="M9323" t="n">
        <v>0</v>
      </c>
      <c r="N9323" t="n">
        <v>0</v>
      </c>
      <c r="O9323" t="n">
        <v>0</v>
      </c>
      <c r="P9323" t="n">
        <v>0</v>
      </c>
      <c r="Q9323" t="n">
        <v>0</v>
      </c>
      <c r="R9323" s="2" t="inlineStr"/>
    </row>
    <row r="9324" ht="15" customHeight="1">
      <c r="A9324" t="inlineStr">
        <is>
          <t>A 18365-2023</t>
        </is>
      </c>
      <c r="B9324" s="1" t="n">
        <v>45041</v>
      </c>
      <c r="C9324" s="1" t="n">
        <v>45357</v>
      </c>
      <c r="D9324" t="inlineStr">
        <is>
          <t>VÄSTERBOTTENS LÄN</t>
        </is>
      </c>
      <c r="E9324" t="inlineStr">
        <is>
          <t>LYCKSELE</t>
        </is>
      </c>
      <c r="F9324" t="inlineStr">
        <is>
          <t>SCA</t>
        </is>
      </c>
      <c r="G9324" t="n">
        <v>22.4</v>
      </c>
      <c r="H9324" t="n">
        <v>0</v>
      </c>
      <c r="I9324" t="n">
        <v>0</v>
      </c>
      <c r="J9324" t="n">
        <v>0</v>
      </c>
      <c r="K9324" t="n">
        <v>0</v>
      </c>
      <c r="L9324" t="n">
        <v>0</v>
      </c>
      <c r="M9324" t="n">
        <v>0</v>
      </c>
      <c r="N9324" t="n">
        <v>0</v>
      </c>
      <c r="O9324" t="n">
        <v>0</v>
      </c>
      <c r="P9324" t="n">
        <v>0</v>
      </c>
      <c r="Q9324" t="n">
        <v>0</v>
      </c>
      <c r="R9324" s="2" t="inlineStr"/>
    </row>
    <row r="9325" ht="15" customHeight="1">
      <c r="A9325" t="inlineStr">
        <is>
          <t>A 18342-2023</t>
        </is>
      </c>
      <c r="B9325" s="1" t="n">
        <v>45041</v>
      </c>
      <c r="C9325" s="1" t="n">
        <v>45357</v>
      </c>
      <c r="D9325" t="inlineStr">
        <is>
          <t>VÄSTERBOTTENS LÄN</t>
        </is>
      </c>
      <c r="E9325" t="inlineStr">
        <is>
          <t>LYCKSELE</t>
        </is>
      </c>
      <c r="F9325" t="inlineStr">
        <is>
          <t>Holmen skog AB</t>
        </is>
      </c>
      <c r="G9325" t="n">
        <v>16.2</v>
      </c>
      <c r="H9325" t="n">
        <v>0</v>
      </c>
      <c r="I9325" t="n">
        <v>0</v>
      </c>
      <c r="J9325" t="n">
        <v>0</v>
      </c>
      <c r="K9325" t="n">
        <v>0</v>
      </c>
      <c r="L9325" t="n">
        <v>0</v>
      </c>
      <c r="M9325" t="n">
        <v>0</v>
      </c>
      <c r="N9325" t="n">
        <v>0</v>
      </c>
      <c r="O9325" t="n">
        <v>0</v>
      </c>
      <c r="P9325" t="n">
        <v>0</v>
      </c>
      <c r="Q9325" t="n">
        <v>0</v>
      </c>
      <c r="R9325" s="2" t="inlineStr"/>
    </row>
    <row r="9326" ht="15" customHeight="1">
      <c r="A9326" t="inlineStr">
        <is>
          <t>A 18533-2023</t>
        </is>
      </c>
      <c r="B9326" s="1" t="n">
        <v>45041</v>
      </c>
      <c r="C9326" s="1" t="n">
        <v>45357</v>
      </c>
      <c r="D9326" t="inlineStr">
        <is>
          <t>VÄSTERBOTTENS LÄN</t>
        </is>
      </c>
      <c r="E9326" t="inlineStr">
        <is>
          <t>ROBERTSFORS</t>
        </is>
      </c>
      <c r="G9326" t="n">
        <v>6.6</v>
      </c>
      <c r="H9326" t="n">
        <v>0</v>
      </c>
      <c r="I9326" t="n">
        <v>0</v>
      </c>
      <c r="J9326" t="n">
        <v>0</v>
      </c>
      <c r="K9326" t="n">
        <v>0</v>
      </c>
      <c r="L9326" t="n">
        <v>0</v>
      </c>
      <c r="M9326" t="n">
        <v>0</v>
      </c>
      <c r="N9326" t="n">
        <v>0</v>
      </c>
      <c r="O9326" t="n">
        <v>0</v>
      </c>
      <c r="P9326" t="n">
        <v>0</v>
      </c>
      <c r="Q9326" t="n">
        <v>0</v>
      </c>
      <c r="R9326" s="2" t="inlineStr"/>
    </row>
    <row r="9327" ht="15" customHeight="1">
      <c r="A9327" t="inlineStr">
        <is>
          <t>A 18527-2023</t>
        </is>
      </c>
      <c r="B9327" s="1" t="n">
        <v>45041</v>
      </c>
      <c r="C9327" s="1" t="n">
        <v>45357</v>
      </c>
      <c r="D9327" t="inlineStr">
        <is>
          <t>VÄSTERBOTTENS LÄN</t>
        </is>
      </c>
      <c r="E9327" t="inlineStr">
        <is>
          <t>UMEÅ</t>
        </is>
      </c>
      <c r="F9327" t="inlineStr">
        <is>
          <t>Kommuner</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18455-2023</t>
        </is>
      </c>
      <c r="B9328" s="1" t="n">
        <v>45041</v>
      </c>
      <c r="C9328" s="1" t="n">
        <v>45357</v>
      </c>
      <c r="D9328" t="inlineStr">
        <is>
          <t>VÄSTERBOTTENS LÄN</t>
        </is>
      </c>
      <c r="E9328" t="inlineStr">
        <is>
          <t>SKELLEFTEÅ</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18520-2023</t>
        </is>
      </c>
      <c r="B9329" s="1" t="n">
        <v>45041</v>
      </c>
      <c r="C9329" s="1" t="n">
        <v>45357</v>
      </c>
      <c r="D9329" t="inlineStr">
        <is>
          <t>VÄSTERBOTTENS LÄN</t>
        </is>
      </c>
      <c r="E9329" t="inlineStr">
        <is>
          <t>UMEÅ</t>
        </is>
      </c>
      <c r="F9329" t="inlineStr">
        <is>
          <t>Kommuner</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18587-2023</t>
        </is>
      </c>
      <c r="B9330" s="1" t="n">
        <v>45041</v>
      </c>
      <c r="C9330" s="1" t="n">
        <v>45357</v>
      </c>
      <c r="D9330" t="inlineStr">
        <is>
          <t>VÄSTERBOTTENS LÄN</t>
        </is>
      </c>
      <c r="E9330" t="inlineStr">
        <is>
          <t>LYCKSELE</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18607-2023</t>
        </is>
      </c>
      <c r="B9331" s="1" t="n">
        <v>45041</v>
      </c>
      <c r="C9331" s="1" t="n">
        <v>45357</v>
      </c>
      <c r="D9331" t="inlineStr">
        <is>
          <t>VÄSTERBOTTENS LÄN</t>
        </is>
      </c>
      <c r="E9331" t="inlineStr">
        <is>
          <t>SKELLEFTEÅ</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18671-2023</t>
        </is>
      </c>
      <c r="B9332" s="1" t="n">
        <v>45041</v>
      </c>
      <c r="C9332" s="1" t="n">
        <v>45357</v>
      </c>
      <c r="D9332" t="inlineStr">
        <is>
          <t>VÄSTERBOTTENS LÄN</t>
        </is>
      </c>
      <c r="E9332" t="inlineStr">
        <is>
          <t>VÄNNÄS</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18595-2023</t>
        </is>
      </c>
      <c r="B9333" s="1" t="n">
        <v>45041</v>
      </c>
      <c r="C9333" s="1" t="n">
        <v>45357</v>
      </c>
      <c r="D9333" t="inlineStr">
        <is>
          <t>VÄSTERBOTTENS LÄN</t>
        </is>
      </c>
      <c r="E9333" t="inlineStr">
        <is>
          <t>LYCKSELE</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18605-2023</t>
        </is>
      </c>
      <c r="B9334" s="1" t="n">
        <v>45041</v>
      </c>
      <c r="C9334" s="1" t="n">
        <v>45357</v>
      </c>
      <c r="D9334" t="inlineStr">
        <is>
          <t>VÄSTERBOTTENS LÄN</t>
        </is>
      </c>
      <c r="E9334" t="inlineStr">
        <is>
          <t>ÅSELE</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18610-2023</t>
        </is>
      </c>
      <c r="B9335" s="1" t="n">
        <v>45041</v>
      </c>
      <c r="C9335" s="1" t="n">
        <v>45357</v>
      </c>
      <c r="D9335" t="inlineStr">
        <is>
          <t>VÄSTERBOTTENS LÄN</t>
        </is>
      </c>
      <c r="E9335" t="inlineStr">
        <is>
          <t>LYCKSELE</t>
        </is>
      </c>
      <c r="G9335" t="n">
        <v>14.5</v>
      </c>
      <c r="H9335" t="n">
        <v>0</v>
      </c>
      <c r="I9335" t="n">
        <v>0</v>
      </c>
      <c r="J9335" t="n">
        <v>0</v>
      </c>
      <c r="K9335" t="n">
        <v>0</v>
      </c>
      <c r="L9335" t="n">
        <v>0</v>
      </c>
      <c r="M9335" t="n">
        <v>0</v>
      </c>
      <c r="N9335" t="n">
        <v>0</v>
      </c>
      <c r="O9335" t="n">
        <v>0</v>
      </c>
      <c r="P9335" t="n">
        <v>0</v>
      </c>
      <c r="Q9335" t="n">
        <v>0</v>
      </c>
      <c r="R9335" s="2" t="inlineStr"/>
    </row>
    <row r="9336" ht="15" customHeight="1">
      <c r="A9336" t="inlineStr">
        <is>
          <t>A 18549-2023</t>
        </is>
      </c>
      <c r="B9336" s="1" t="n">
        <v>45043</v>
      </c>
      <c r="C9336" s="1" t="n">
        <v>45357</v>
      </c>
      <c r="D9336" t="inlineStr">
        <is>
          <t>VÄSTERBOTTENS LÄN</t>
        </is>
      </c>
      <c r="E9336" t="inlineStr">
        <is>
          <t>VINDELN</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18554-2023</t>
        </is>
      </c>
      <c r="B9337" s="1" t="n">
        <v>45043</v>
      </c>
      <c r="C9337" s="1" t="n">
        <v>45357</v>
      </c>
      <c r="D9337" t="inlineStr">
        <is>
          <t>VÄSTERBOTTENS LÄN</t>
        </is>
      </c>
      <c r="E9337" t="inlineStr">
        <is>
          <t>VILHELMINA</t>
        </is>
      </c>
      <c r="F9337" t="inlineStr">
        <is>
          <t>SCA</t>
        </is>
      </c>
      <c r="G9337" t="n">
        <v>18.1</v>
      </c>
      <c r="H9337" t="n">
        <v>0</v>
      </c>
      <c r="I9337" t="n">
        <v>0</v>
      </c>
      <c r="J9337" t="n">
        <v>0</v>
      </c>
      <c r="K9337" t="n">
        <v>0</v>
      </c>
      <c r="L9337" t="n">
        <v>0</v>
      </c>
      <c r="M9337" t="n">
        <v>0</v>
      </c>
      <c r="N9337" t="n">
        <v>0</v>
      </c>
      <c r="O9337" t="n">
        <v>0</v>
      </c>
      <c r="P9337" t="n">
        <v>0</v>
      </c>
      <c r="Q9337" t="n">
        <v>0</v>
      </c>
      <c r="R9337" s="2" t="inlineStr"/>
    </row>
    <row r="9338" ht="15" customHeight="1">
      <c r="A9338" t="inlineStr">
        <is>
          <t>A 18448-2023</t>
        </is>
      </c>
      <c r="B9338" s="1" t="n">
        <v>45042</v>
      </c>
      <c r="C9338" s="1" t="n">
        <v>45357</v>
      </c>
      <c r="D9338" t="inlineStr">
        <is>
          <t>VÄSTERBOTTENS LÄN</t>
        </is>
      </c>
      <c r="E9338" t="inlineStr">
        <is>
          <t>UMEÅ</t>
        </is>
      </c>
      <c r="G9338" t="n">
        <v>7.3</v>
      </c>
      <c r="H9338" t="n">
        <v>0</v>
      </c>
      <c r="I9338" t="n">
        <v>0</v>
      </c>
      <c r="J9338" t="n">
        <v>0</v>
      </c>
      <c r="K9338" t="n">
        <v>0</v>
      </c>
      <c r="L9338" t="n">
        <v>0</v>
      </c>
      <c r="M9338" t="n">
        <v>0</v>
      </c>
      <c r="N9338" t="n">
        <v>0</v>
      </c>
      <c r="O9338" t="n">
        <v>0</v>
      </c>
      <c r="P9338" t="n">
        <v>0</v>
      </c>
      <c r="Q9338" t="n">
        <v>0</v>
      </c>
      <c r="R9338" s="2" t="inlineStr"/>
    </row>
    <row r="9339" ht="15" customHeight="1">
      <c r="A9339" t="inlineStr">
        <is>
          <t>A 18479-2023</t>
        </is>
      </c>
      <c r="B9339" s="1" t="n">
        <v>45042</v>
      </c>
      <c r="C9339" s="1" t="n">
        <v>45357</v>
      </c>
      <c r="D9339" t="inlineStr">
        <is>
          <t>VÄSTERBOTTENS LÄN</t>
        </is>
      </c>
      <c r="E9339" t="inlineStr">
        <is>
          <t>SKELLEFTEÅ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18501-2023</t>
        </is>
      </c>
      <c r="B9340" s="1" t="n">
        <v>45042</v>
      </c>
      <c r="C9340" s="1" t="n">
        <v>45357</v>
      </c>
      <c r="D9340" t="inlineStr">
        <is>
          <t>VÄSTERBOTTENS LÄN</t>
        </is>
      </c>
      <c r="E9340" t="inlineStr">
        <is>
          <t>SKELLEFTEÅ</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18388-2023</t>
        </is>
      </c>
      <c r="B9341" s="1" t="n">
        <v>45042</v>
      </c>
      <c r="C9341" s="1" t="n">
        <v>45357</v>
      </c>
      <c r="D9341" t="inlineStr">
        <is>
          <t>VÄSTERBOTTENS LÄN</t>
        </is>
      </c>
      <c r="E9341" t="inlineStr">
        <is>
          <t>ROBERTSFORS</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18389-2023</t>
        </is>
      </c>
      <c r="B9342" s="1" t="n">
        <v>45042</v>
      </c>
      <c r="C9342" s="1" t="n">
        <v>45357</v>
      </c>
      <c r="D9342" t="inlineStr">
        <is>
          <t>VÄSTERBOTTENS LÄN</t>
        </is>
      </c>
      <c r="E9342" t="inlineStr">
        <is>
          <t>ROBERTSFORS</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18478-2023</t>
        </is>
      </c>
      <c r="B9343" s="1" t="n">
        <v>45042</v>
      </c>
      <c r="C9343" s="1" t="n">
        <v>45357</v>
      </c>
      <c r="D9343" t="inlineStr">
        <is>
          <t>VÄSTERBOTTENS LÄN</t>
        </is>
      </c>
      <c r="E9343" t="inlineStr">
        <is>
          <t>SKELLEFTEÅ</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18565-2023</t>
        </is>
      </c>
      <c r="B9344" s="1" t="n">
        <v>45042</v>
      </c>
      <c r="C9344" s="1" t="n">
        <v>45357</v>
      </c>
      <c r="D9344" t="inlineStr">
        <is>
          <t>VÄSTERBOTTENS LÄN</t>
        </is>
      </c>
      <c r="E9344" t="inlineStr">
        <is>
          <t>ÅSELE</t>
        </is>
      </c>
      <c r="F9344" t="inlineStr">
        <is>
          <t>SCA</t>
        </is>
      </c>
      <c r="G9344" t="n">
        <v>28.9</v>
      </c>
      <c r="H9344" t="n">
        <v>0</v>
      </c>
      <c r="I9344" t="n">
        <v>0</v>
      </c>
      <c r="J9344" t="n">
        <v>0</v>
      </c>
      <c r="K9344" t="n">
        <v>0</v>
      </c>
      <c r="L9344" t="n">
        <v>0</v>
      </c>
      <c r="M9344" t="n">
        <v>0</v>
      </c>
      <c r="N9344" t="n">
        <v>0</v>
      </c>
      <c r="O9344" t="n">
        <v>0</v>
      </c>
      <c r="P9344" t="n">
        <v>0</v>
      </c>
      <c r="Q9344" t="n">
        <v>0</v>
      </c>
      <c r="R9344" s="2" t="inlineStr"/>
    </row>
    <row r="9345" ht="15" customHeight="1">
      <c r="A9345" t="inlineStr">
        <is>
          <t>A 18486-2023</t>
        </is>
      </c>
      <c r="B9345" s="1" t="n">
        <v>45042</v>
      </c>
      <c r="C9345" s="1" t="n">
        <v>45357</v>
      </c>
      <c r="D9345" t="inlineStr">
        <is>
          <t>VÄSTERBOTTENS LÄN</t>
        </is>
      </c>
      <c r="E9345" t="inlineStr">
        <is>
          <t>LYCKSELE</t>
        </is>
      </c>
      <c r="G9345" t="n">
        <v>16.7</v>
      </c>
      <c r="H9345" t="n">
        <v>0</v>
      </c>
      <c r="I9345" t="n">
        <v>0</v>
      </c>
      <c r="J9345" t="n">
        <v>0</v>
      </c>
      <c r="K9345" t="n">
        <v>0</v>
      </c>
      <c r="L9345" t="n">
        <v>0</v>
      </c>
      <c r="M9345" t="n">
        <v>0</v>
      </c>
      <c r="N9345" t="n">
        <v>0</v>
      </c>
      <c r="O9345" t="n">
        <v>0</v>
      </c>
      <c r="P9345" t="n">
        <v>0</v>
      </c>
      <c r="Q9345" t="n">
        <v>0</v>
      </c>
      <c r="R9345" s="2" t="inlineStr"/>
    </row>
    <row r="9346" ht="15" customHeight="1">
      <c r="A9346" t="inlineStr">
        <is>
          <t>A 18822-2023</t>
        </is>
      </c>
      <c r="B9346" s="1" t="n">
        <v>45042</v>
      </c>
      <c r="C9346" s="1" t="n">
        <v>45357</v>
      </c>
      <c r="D9346" t="inlineStr">
        <is>
          <t>VÄSTERBOTTENS LÄN</t>
        </is>
      </c>
      <c r="E9346" t="inlineStr">
        <is>
          <t>ROBERTSFORS</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18846-2023</t>
        </is>
      </c>
      <c r="B9347" s="1" t="n">
        <v>45042</v>
      </c>
      <c r="C9347" s="1" t="n">
        <v>45357</v>
      </c>
      <c r="D9347" t="inlineStr">
        <is>
          <t>VÄSTERBOTTENS LÄN</t>
        </is>
      </c>
      <c r="E9347" t="inlineStr">
        <is>
          <t>STORUMAN</t>
        </is>
      </c>
      <c r="G9347" t="n">
        <v>17.7</v>
      </c>
      <c r="H9347" t="n">
        <v>0</v>
      </c>
      <c r="I9347" t="n">
        <v>0</v>
      </c>
      <c r="J9347" t="n">
        <v>0</v>
      </c>
      <c r="K9347" t="n">
        <v>0</v>
      </c>
      <c r="L9347" t="n">
        <v>0</v>
      </c>
      <c r="M9347" t="n">
        <v>0</v>
      </c>
      <c r="N9347" t="n">
        <v>0</v>
      </c>
      <c r="O9347" t="n">
        <v>0</v>
      </c>
      <c r="P9347" t="n">
        <v>0</v>
      </c>
      <c r="Q9347" t="n">
        <v>0</v>
      </c>
      <c r="R9347" s="2" t="inlineStr"/>
    </row>
    <row r="9348" ht="15" customHeight="1">
      <c r="A9348" t="inlineStr">
        <is>
          <t>A 18807-2023</t>
        </is>
      </c>
      <c r="B9348" s="1" t="n">
        <v>45042</v>
      </c>
      <c r="C9348" s="1" t="n">
        <v>45357</v>
      </c>
      <c r="D9348" t="inlineStr">
        <is>
          <t>VÄSTERBOTTENS LÄN</t>
        </is>
      </c>
      <c r="E9348" t="inlineStr">
        <is>
          <t>ÅSELE</t>
        </is>
      </c>
      <c r="G9348" t="n">
        <v>14.9</v>
      </c>
      <c r="H9348" t="n">
        <v>0</v>
      </c>
      <c r="I9348" t="n">
        <v>0</v>
      </c>
      <c r="J9348" t="n">
        <v>0</v>
      </c>
      <c r="K9348" t="n">
        <v>0</v>
      </c>
      <c r="L9348" t="n">
        <v>0</v>
      </c>
      <c r="M9348" t="n">
        <v>0</v>
      </c>
      <c r="N9348" t="n">
        <v>0</v>
      </c>
      <c r="O9348" t="n">
        <v>0</v>
      </c>
      <c r="P9348" t="n">
        <v>0</v>
      </c>
      <c r="Q9348" t="n">
        <v>0</v>
      </c>
      <c r="R9348" s="2" t="inlineStr"/>
    </row>
    <row r="9349" ht="15" customHeight="1">
      <c r="A9349" t="inlineStr">
        <is>
          <t>A 18818-2023</t>
        </is>
      </c>
      <c r="B9349" s="1" t="n">
        <v>45042</v>
      </c>
      <c r="C9349" s="1" t="n">
        <v>45357</v>
      </c>
      <c r="D9349" t="inlineStr">
        <is>
          <t>VÄSTERBOTTENS LÄN</t>
        </is>
      </c>
      <c r="E9349" t="inlineStr">
        <is>
          <t>ROBERTSFORS</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18827-2023</t>
        </is>
      </c>
      <c r="B9350" s="1" t="n">
        <v>45042</v>
      </c>
      <c r="C9350" s="1" t="n">
        <v>45357</v>
      </c>
      <c r="D9350" t="inlineStr">
        <is>
          <t>VÄSTERBOTTENS LÄN</t>
        </is>
      </c>
      <c r="E9350" t="inlineStr">
        <is>
          <t>ROBERTSFORS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18844-2023</t>
        </is>
      </c>
      <c r="B9351" s="1" t="n">
        <v>45042</v>
      </c>
      <c r="C9351" s="1" t="n">
        <v>45357</v>
      </c>
      <c r="D9351" t="inlineStr">
        <is>
          <t>VÄSTERBOTTENS LÄN</t>
        </is>
      </c>
      <c r="E9351" t="inlineStr">
        <is>
          <t>ROBERTSFORS</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18692-2023</t>
        </is>
      </c>
      <c r="B9352" s="1" t="n">
        <v>45042</v>
      </c>
      <c r="C9352" s="1" t="n">
        <v>45357</v>
      </c>
      <c r="D9352" t="inlineStr">
        <is>
          <t>VÄSTERBOTTENS LÄN</t>
        </is>
      </c>
      <c r="E9352" t="inlineStr">
        <is>
          <t>VILHELMINA</t>
        </is>
      </c>
      <c r="F9352" t="inlineStr">
        <is>
          <t>Allmännings- och besparingsskogar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18701-2023</t>
        </is>
      </c>
      <c r="B9353" s="1" t="n">
        <v>45042</v>
      </c>
      <c r="C9353" s="1" t="n">
        <v>45357</v>
      </c>
      <c r="D9353" t="inlineStr">
        <is>
          <t>VÄSTERBOTTENS LÄN</t>
        </is>
      </c>
      <c r="E9353" t="inlineStr">
        <is>
          <t>SKELLEFTEÅ</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18828-2023</t>
        </is>
      </c>
      <c r="B9354" s="1" t="n">
        <v>45042</v>
      </c>
      <c r="C9354" s="1" t="n">
        <v>45357</v>
      </c>
      <c r="D9354" t="inlineStr">
        <is>
          <t>VÄSTERBOTTENS LÄN</t>
        </is>
      </c>
      <c r="E9354" t="inlineStr">
        <is>
          <t>ROBERTSFORS</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18709-2023</t>
        </is>
      </c>
      <c r="B9355" s="1" t="n">
        <v>45043</v>
      </c>
      <c r="C9355" s="1" t="n">
        <v>45357</v>
      </c>
      <c r="D9355" t="inlineStr">
        <is>
          <t>VÄSTERBOTTENS LÄN</t>
        </is>
      </c>
      <c r="E9355" t="inlineStr">
        <is>
          <t>SKELLEFTEÅ</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18720-2023</t>
        </is>
      </c>
      <c r="B9356" s="1" t="n">
        <v>45043</v>
      </c>
      <c r="C9356" s="1" t="n">
        <v>45357</v>
      </c>
      <c r="D9356" t="inlineStr">
        <is>
          <t>VÄSTERBOTTENS LÄN</t>
        </is>
      </c>
      <c r="E9356" t="inlineStr">
        <is>
          <t>BJURHOLM</t>
        </is>
      </c>
      <c r="G9356" t="n">
        <v>31.4</v>
      </c>
      <c r="H9356" t="n">
        <v>0</v>
      </c>
      <c r="I9356" t="n">
        <v>0</v>
      </c>
      <c r="J9356" t="n">
        <v>0</v>
      </c>
      <c r="K9356" t="n">
        <v>0</v>
      </c>
      <c r="L9356" t="n">
        <v>0</v>
      </c>
      <c r="M9356" t="n">
        <v>0</v>
      </c>
      <c r="N9356" t="n">
        <v>0</v>
      </c>
      <c r="O9356" t="n">
        <v>0</v>
      </c>
      <c r="P9356" t="n">
        <v>0</v>
      </c>
      <c r="Q9356" t="n">
        <v>0</v>
      </c>
      <c r="R9356" s="2" t="inlineStr"/>
    </row>
    <row r="9357" ht="15" customHeight="1">
      <c r="A9357" t="inlineStr">
        <is>
          <t>A 18756-2023</t>
        </is>
      </c>
      <c r="B9357" s="1" t="n">
        <v>45043</v>
      </c>
      <c r="C9357" s="1" t="n">
        <v>45357</v>
      </c>
      <c r="D9357" t="inlineStr">
        <is>
          <t>VÄSTERBOTTENS LÄN</t>
        </is>
      </c>
      <c r="E9357" t="inlineStr">
        <is>
          <t>MALÅ</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18769-2023</t>
        </is>
      </c>
      <c r="B9358" s="1" t="n">
        <v>45044</v>
      </c>
      <c r="C9358" s="1" t="n">
        <v>45357</v>
      </c>
      <c r="D9358" t="inlineStr">
        <is>
          <t>VÄSTERBOTTENS LÄN</t>
        </is>
      </c>
      <c r="E9358" t="inlineStr">
        <is>
          <t>ÅSELE</t>
        </is>
      </c>
      <c r="F9358" t="inlineStr">
        <is>
          <t>SCA</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18757-2023</t>
        </is>
      </c>
      <c r="B9359" s="1" t="n">
        <v>45044</v>
      </c>
      <c r="C9359" s="1" t="n">
        <v>45357</v>
      </c>
      <c r="D9359" t="inlineStr">
        <is>
          <t>VÄSTERBOTTENS LÄN</t>
        </is>
      </c>
      <c r="E9359" t="inlineStr">
        <is>
          <t>BJURHOLM</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18899-2023</t>
        </is>
      </c>
      <c r="B9360" s="1" t="n">
        <v>45043</v>
      </c>
      <c r="C9360" s="1" t="n">
        <v>45357</v>
      </c>
      <c r="D9360" t="inlineStr">
        <is>
          <t>VÄSTERBOTTENS LÄN</t>
        </is>
      </c>
      <c r="E9360" t="inlineStr">
        <is>
          <t>LYCKSELE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18751-2023</t>
        </is>
      </c>
      <c r="B9361" s="1" t="n">
        <v>45043</v>
      </c>
      <c r="C9361" s="1" t="n">
        <v>45357</v>
      </c>
      <c r="D9361" t="inlineStr">
        <is>
          <t>VÄSTERBOTTENS LÄN</t>
        </is>
      </c>
      <c r="E9361" t="inlineStr">
        <is>
          <t>SORSELE</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18770-2023</t>
        </is>
      </c>
      <c r="B9362" s="1" t="n">
        <v>45044</v>
      </c>
      <c r="C9362" s="1" t="n">
        <v>45357</v>
      </c>
      <c r="D9362" t="inlineStr">
        <is>
          <t>VÄSTERBOTTENS LÄN</t>
        </is>
      </c>
      <c r="E9362" t="inlineStr">
        <is>
          <t>ÅSELE</t>
        </is>
      </c>
      <c r="F9362" t="inlineStr">
        <is>
          <t>SCA</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18913-2023</t>
        </is>
      </c>
      <c r="B9363" s="1" t="n">
        <v>45043</v>
      </c>
      <c r="C9363" s="1" t="n">
        <v>45357</v>
      </c>
      <c r="D9363" t="inlineStr">
        <is>
          <t>VÄSTERBOTTENS LÄN</t>
        </is>
      </c>
      <c r="E9363" t="inlineStr">
        <is>
          <t>UMEÅ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18862-2023</t>
        </is>
      </c>
      <c r="B9364" s="1" t="n">
        <v>45043</v>
      </c>
      <c r="C9364" s="1" t="n">
        <v>45357</v>
      </c>
      <c r="D9364" t="inlineStr">
        <is>
          <t>VÄSTERBOTTENS LÄN</t>
        </is>
      </c>
      <c r="E9364" t="inlineStr">
        <is>
          <t>VINDELN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18955-2023</t>
        </is>
      </c>
      <c r="B9365" s="1" t="n">
        <v>45043</v>
      </c>
      <c r="C9365" s="1" t="n">
        <v>45357</v>
      </c>
      <c r="D9365" t="inlineStr">
        <is>
          <t>VÄSTERBOTTENS LÄN</t>
        </is>
      </c>
      <c r="E9365" t="inlineStr">
        <is>
          <t>BJURHOLM</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19066-2023</t>
        </is>
      </c>
      <c r="B9366" s="1" t="n">
        <v>45043</v>
      </c>
      <c r="C9366" s="1" t="n">
        <v>45357</v>
      </c>
      <c r="D9366" t="inlineStr">
        <is>
          <t>VÄSTERBOTTENS LÄN</t>
        </is>
      </c>
      <c r="E9366" t="inlineStr">
        <is>
          <t>SKELLEFTEÅ</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19119-2023</t>
        </is>
      </c>
      <c r="B9367" s="1" t="n">
        <v>45043</v>
      </c>
      <c r="C9367" s="1" t="n">
        <v>45357</v>
      </c>
      <c r="D9367" t="inlineStr">
        <is>
          <t>VÄSTERBOTTENS LÄN</t>
        </is>
      </c>
      <c r="E9367" t="inlineStr">
        <is>
          <t>UMEÅ</t>
        </is>
      </c>
      <c r="G9367" t="n">
        <v>10.1</v>
      </c>
      <c r="H9367" t="n">
        <v>0</v>
      </c>
      <c r="I9367" t="n">
        <v>0</v>
      </c>
      <c r="J9367" t="n">
        <v>0</v>
      </c>
      <c r="K9367" t="n">
        <v>0</v>
      </c>
      <c r="L9367" t="n">
        <v>0</v>
      </c>
      <c r="M9367" t="n">
        <v>0</v>
      </c>
      <c r="N9367" t="n">
        <v>0</v>
      </c>
      <c r="O9367" t="n">
        <v>0</v>
      </c>
      <c r="P9367" t="n">
        <v>0</v>
      </c>
      <c r="Q9367" t="n">
        <v>0</v>
      </c>
      <c r="R9367" s="2" t="inlineStr"/>
    </row>
    <row r="9368" ht="15" customHeight="1">
      <c r="A9368" t="inlineStr">
        <is>
          <t>A 18907-2023</t>
        </is>
      </c>
      <c r="B9368" s="1" t="n">
        <v>45043</v>
      </c>
      <c r="C9368" s="1" t="n">
        <v>45357</v>
      </c>
      <c r="D9368" t="inlineStr">
        <is>
          <t>VÄSTERBOTTENS LÄN</t>
        </is>
      </c>
      <c r="E9368" t="inlineStr">
        <is>
          <t>UMEÅ</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19060-2023</t>
        </is>
      </c>
      <c r="B9369" s="1" t="n">
        <v>45043</v>
      </c>
      <c r="C9369" s="1" t="n">
        <v>45357</v>
      </c>
      <c r="D9369" t="inlineStr">
        <is>
          <t>VÄSTERBOTTENS LÄN</t>
        </is>
      </c>
      <c r="E9369" t="inlineStr">
        <is>
          <t>VILHELMINA</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18975-2023</t>
        </is>
      </c>
      <c r="B9370" s="1" t="n">
        <v>45044</v>
      </c>
      <c r="C9370" s="1" t="n">
        <v>45357</v>
      </c>
      <c r="D9370" t="inlineStr">
        <is>
          <t>VÄSTERBOTTENS LÄN</t>
        </is>
      </c>
      <c r="E9370" t="inlineStr">
        <is>
          <t>SKELLEFTEÅ</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18824-2023</t>
        </is>
      </c>
      <c r="B9371" s="1" t="n">
        <v>45044</v>
      </c>
      <c r="C9371" s="1" t="n">
        <v>45357</v>
      </c>
      <c r="D9371" t="inlineStr">
        <is>
          <t>VÄSTERBOTTENS LÄN</t>
        </is>
      </c>
      <c r="E9371" t="inlineStr">
        <is>
          <t>BJURHOLM</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18819-2023</t>
        </is>
      </c>
      <c r="B9372" s="1" t="n">
        <v>45044</v>
      </c>
      <c r="C9372" s="1" t="n">
        <v>45357</v>
      </c>
      <c r="D9372" t="inlineStr">
        <is>
          <t>VÄSTERBOTTENS LÄN</t>
        </is>
      </c>
      <c r="E9372" t="inlineStr">
        <is>
          <t>SKELLEFTEÅ</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18974-2023</t>
        </is>
      </c>
      <c r="B9373" s="1" t="n">
        <v>45044</v>
      </c>
      <c r="C9373" s="1" t="n">
        <v>45357</v>
      </c>
      <c r="D9373" t="inlineStr">
        <is>
          <t>VÄSTERBOTTENS LÄN</t>
        </is>
      </c>
      <c r="E9373" t="inlineStr">
        <is>
          <t>NORSJÖ</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18982-2023</t>
        </is>
      </c>
      <c r="B9374" s="1" t="n">
        <v>45044</v>
      </c>
      <c r="C9374" s="1" t="n">
        <v>45357</v>
      </c>
      <c r="D9374" t="inlineStr">
        <is>
          <t>VÄSTERBOTTENS LÄN</t>
        </is>
      </c>
      <c r="E9374" t="inlineStr">
        <is>
          <t>DOROTEA</t>
        </is>
      </c>
      <c r="F9374" t="inlineStr">
        <is>
          <t>SCA</t>
        </is>
      </c>
      <c r="G9374" t="n">
        <v>15.9</v>
      </c>
      <c r="H9374" t="n">
        <v>0</v>
      </c>
      <c r="I9374" t="n">
        <v>0</v>
      </c>
      <c r="J9374" t="n">
        <v>0</v>
      </c>
      <c r="K9374" t="n">
        <v>0</v>
      </c>
      <c r="L9374" t="n">
        <v>0</v>
      </c>
      <c r="M9374" t="n">
        <v>0</v>
      </c>
      <c r="N9374" t="n">
        <v>0</v>
      </c>
      <c r="O9374" t="n">
        <v>0</v>
      </c>
      <c r="P9374" t="n">
        <v>0</v>
      </c>
      <c r="Q9374" t="n">
        <v>0</v>
      </c>
      <c r="R9374" s="2" t="inlineStr"/>
    </row>
    <row r="9375" ht="15" customHeight="1">
      <c r="A9375" t="inlineStr">
        <is>
          <t>A 19077-2023</t>
        </is>
      </c>
      <c r="B9375" s="1" t="n">
        <v>45044</v>
      </c>
      <c r="C9375" s="1" t="n">
        <v>45357</v>
      </c>
      <c r="D9375" t="inlineStr">
        <is>
          <t>VÄSTERBOTTENS LÄN</t>
        </is>
      </c>
      <c r="E9375" t="inlineStr">
        <is>
          <t>BJURHOLM</t>
        </is>
      </c>
      <c r="G9375" t="n">
        <v>8.6</v>
      </c>
      <c r="H9375" t="n">
        <v>0</v>
      </c>
      <c r="I9375" t="n">
        <v>0</v>
      </c>
      <c r="J9375" t="n">
        <v>0</v>
      </c>
      <c r="K9375" t="n">
        <v>0</v>
      </c>
      <c r="L9375" t="n">
        <v>0</v>
      </c>
      <c r="M9375" t="n">
        <v>0</v>
      </c>
      <c r="N9375" t="n">
        <v>0</v>
      </c>
      <c r="O9375" t="n">
        <v>0</v>
      </c>
      <c r="P9375" t="n">
        <v>0</v>
      </c>
      <c r="Q9375" t="n">
        <v>0</v>
      </c>
      <c r="R9375" s="2" t="inlineStr"/>
    </row>
    <row r="9376" ht="15" customHeight="1">
      <c r="A9376" t="inlineStr">
        <is>
          <t>A 19053-2023</t>
        </is>
      </c>
      <c r="B9376" s="1" t="n">
        <v>45047</v>
      </c>
      <c r="C9376" s="1" t="n">
        <v>45357</v>
      </c>
      <c r="D9376" t="inlineStr">
        <is>
          <t>VÄSTERBOTTENS LÄN</t>
        </is>
      </c>
      <c r="E9376" t="inlineStr">
        <is>
          <t>UMEÅ</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19073-2023</t>
        </is>
      </c>
      <c r="B9377" s="1" t="n">
        <v>45048</v>
      </c>
      <c r="C9377" s="1" t="n">
        <v>45357</v>
      </c>
      <c r="D9377" t="inlineStr">
        <is>
          <t>VÄSTERBOTTENS LÄN</t>
        </is>
      </c>
      <c r="E9377" t="inlineStr">
        <is>
          <t>SKELLEFTEÅ</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19192-2023</t>
        </is>
      </c>
      <c r="B9378" s="1" t="n">
        <v>45048</v>
      </c>
      <c r="C9378" s="1" t="n">
        <v>45357</v>
      </c>
      <c r="D9378" t="inlineStr">
        <is>
          <t>VÄSTERBOTTENS LÄN</t>
        </is>
      </c>
      <c r="E9378" t="inlineStr">
        <is>
          <t>UMEÅ</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19160-2023</t>
        </is>
      </c>
      <c r="B9379" s="1" t="n">
        <v>45048</v>
      </c>
      <c r="C9379" s="1" t="n">
        <v>45357</v>
      </c>
      <c r="D9379" t="inlineStr">
        <is>
          <t>VÄSTERBOTTENS LÄN</t>
        </is>
      </c>
      <c r="E9379" t="inlineStr">
        <is>
          <t>ROBERTSFORS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19168-2023</t>
        </is>
      </c>
      <c r="B9380" s="1" t="n">
        <v>45048</v>
      </c>
      <c r="C9380" s="1" t="n">
        <v>45357</v>
      </c>
      <c r="D9380" t="inlineStr">
        <is>
          <t>VÄSTERBOTTENS LÄN</t>
        </is>
      </c>
      <c r="E9380" t="inlineStr">
        <is>
          <t>ROBERTSFORS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19200-2023</t>
        </is>
      </c>
      <c r="B9381" s="1" t="n">
        <v>45048</v>
      </c>
      <c r="C9381" s="1" t="n">
        <v>45357</v>
      </c>
      <c r="D9381" t="inlineStr">
        <is>
          <t>VÄSTERBOTTENS LÄN</t>
        </is>
      </c>
      <c r="E9381" t="inlineStr">
        <is>
          <t>UMEÅ</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19229-2023</t>
        </is>
      </c>
      <c r="B9382" s="1" t="n">
        <v>45049</v>
      </c>
      <c r="C9382" s="1" t="n">
        <v>45357</v>
      </c>
      <c r="D9382" t="inlineStr">
        <is>
          <t>VÄSTERBOTTENS LÄN</t>
        </is>
      </c>
      <c r="E9382" t="inlineStr">
        <is>
          <t>LYCKSELE</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19233-2023</t>
        </is>
      </c>
      <c r="B9383" s="1" t="n">
        <v>45049</v>
      </c>
      <c r="C9383" s="1" t="n">
        <v>45357</v>
      </c>
      <c r="D9383" t="inlineStr">
        <is>
          <t>VÄSTERBOTTENS LÄN</t>
        </is>
      </c>
      <c r="E9383" t="inlineStr">
        <is>
          <t>LYCKSELE</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19230-2023</t>
        </is>
      </c>
      <c r="B9384" s="1" t="n">
        <v>45048</v>
      </c>
      <c r="C9384" s="1" t="n">
        <v>45357</v>
      </c>
      <c r="D9384" t="inlineStr">
        <is>
          <t>VÄSTERBOTTENS LÄN</t>
        </is>
      </c>
      <c r="E9384" t="inlineStr">
        <is>
          <t>NORDMALING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19241-2023</t>
        </is>
      </c>
      <c r="B9385" s="1" t="n">
        <v>45048</v>
      </c>
      <c r="C9385" s="1" t="n">
        <v>45357</v>
      </c>
      <c r="D9385" t="inlineStr">
        <is>
          <t>VÄSTERBOTTENS LÄN</t>
        </is>
      </c>
      <c r="E9385" t="inlineStr">
        <is>
          <t>ÅSELE</t>
        </is>
      </c>
      <c r="F9385" t="inlineStr">
        <is>
          <t>SCA</t>
        </is>
      </c>
      <c r="G9385" t="n">
        <v>266.4</v>
      </c>
      <c r="H9385" t="n">
        <v>0</v>
      </c>
      <c r="I9385" t="n">
        <v>0</v>
      </c>
      <c r="J9385" t="n">
        <v>0</v>
      </c>
      <c r="K9385" t="n">
        <v>0</v>
      </c>
      <c r="L9385" t="n">
        <v>0</v>
      </c>
      <c r="M9385" t="n">
        <v>0</v>
      </c>
      <c r="N9385" t="n">
        <v>0</v>
      </c>
      <c r="O9385" t="n">
        <v>0</v>
      </c>
      <c r="P9385" t="n">
        <v>0</v>
      </c>
      <c r="Q9385" t="n">
        <v>0</v>
      </c>
      <c r="R9385" s="2" t="inlineStr"/>
    </row>
    <row r="9386" ht="15" customHeight="1">
      <c r="A9386" t="inlineStr">
        <is>
          <t>A 19232-2023</t>
        </is>
      </c>
      <c r="B9386" s="1" t="n">
        <v>45048</v>
      </c>
      <c r="C9386" s="1" t="n">
        <v>45357</v>
      </c>
      <c r="D9386" t="inlineStr">
        <is>
          <t>VÄSTERBOTTENS LÄN</t>
        </is>
      </c>
      <c r="E9386" t="inlineStr">
        <is>
          <t>VILHELMINA</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19401-2023</t>
        </is>
      </c>
      <c r="B9387" s="1" t="n">
        <v>45048</v>
      </c>
      <c r="C9387" s="1" t="n">
        <v>45357</v>
      </c>
      <c r="D9387" t="inlineStr">
        <is>
          <t>VÄSTERBOTTENS LÄN</t>
        </is>
      </c>
      <c r="E9387" t="inlineStr">
        <is>
          <t>VILHELMINA</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19397-2023</t>
        </is>
      </c>
      <c r="B9388" s="1" t="n">
        <v>45048</v>
      </c>
      <c r="C9388" s="1" t="n">
        <v>45357</v>
      </c>
      <c r="D9388" t="inlineStr">
        <is>
          <t>VÄSTERBOTTENS LÄN</t>
        </is>
      </c>
      <c r="E9388" t="inlineStr">
        <is>
          <t>VILHELMINA</t>
        </is>
      </c>
      <c r="G9388" t="n">
        <v>12.8</v>
      </c>
      <c r="H9388" t="n">
        <v>0</v>
      </c>
      <c r="I9388" t="n">
        <v>0</v>
      </c>
      <c r="J9388" t="n">
        <v>0</v>
      </c>
      <c r="K9388" t="n">
        <v>0</v>
      </c>
      <c r="L9388" t="n">
        <v>0</v>
      </c>
      <c r="M9388" t="n">
        <v>0</v>
      </c>
      <c r="N9388" t="n">
        <v>0</v>
      </c>
      <c r="O9388" t="n">
        <v>0</v>
      </c>
      <c r="P9388" t="n">
        <v>0</v>
      </c>
      <c r="Q9388" t="n">
        <v>0</v>
      </c>
      <c r="R9388" s="2" t="inlineStr"/>
    </row>
    <row r="9389" ht="15" customHeight="1">
      <c r="A9389" t="inlineStr">
        <is>
          <t>A 19281-2023</t>
        </is>
      </c>
      <c r="B9389" s="1" t="n">
        <v>45049</v>
      </c>
      <c r="C9389" s="1" t="n">
        <v>45357</v>
      </c>
      <c r="D9389" t="inlineStr">
        <is>
          <t>VÄSTERBOTTENS LÄN</t>
        </is>
      </c>
      <c r="E9389" t="inlineStr">
        <is>
          <t>ROBERTSFORS</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19300-2023</t>
        </is>
      </c>
      <c r="B9390" s="1" t="n">
        <v>45049</v>
      </c>
      <c r="C9390" s="1" t="n">
        <v>45357</v>
      </c>
      <c r="D9390" t="inlineStr">
        <is>
          <t>VÄSTERBOTTENS LÄN</t>
        </is>
      </c>
      <c r="E9390" t="inlineStr">
        <is>
          <t>NORDMALING</t>
        </is>
      </c>
      <c r="F9390" t="inlineStr">
        <is>
          <t>Kyrkan</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19349-2023</t>
        </is>
      </c>
      <c r="B9391" s="1" t="n">
        <v>45049</v>
      </c>
      <c r="C9391" s="1" t="n">
        <v>45357</v>
      </c>
      <c r="D9391" t="inlineStr">
        <is>
          <t>VÄSTERBOTTENS LÄN</t>
        </is>
      </c>
      <c r="E9391" t="inlineStr">
        <is>
          <t>SKELLEFTEÅ</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19378-2023</t>
        </is>
      </c>
      <c r="B9392" s="1" t="n">
        <v>45049</v>
      </c>
      <c r="C9392" s="1" t="n">
        <v>45357</v>
      </c>
      <c r="D9392" t="inlineStr">
        <is>
          <t>VÄSTERBOTTENS LÄN</t>
        </is>
      </c>
      <c r="E9392" t="inlineStr">
        <is>
          <t>ROBERTSFORS</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19326-2023</t>
        </is>
      </c>
      <c r="B9393" s="1" t="n">
        <v>45049</v>
      </c>
      <c r="C9393" s="1" t="n">
        <v>45357</v>
      </c>
      <c r="D9393" t="inlineStr">
        <is>
          <t>VÄSTERBOTTENS LÄN</t>
        </is>
      </c>
      <c r="E9393" t="inlineStr">
        <is>
          <t>STORUMAN</t>
        </is>
      </c>
      <c r="G9393" t="n">
        <v>35.3</v>
      </c>
      <c r="H9393" t="n">
        <v>0</v>
      </c>
      <c r="I9393" t="n">
        <v>0</v>
      </c>
      <c r="J9393" t="n">
        <v>0</v>
      </c>
      <c r="K9393" t="n">
        <v>0</v>
      </c>
      <c r="L9393" t="n">
        <v>0</v>
      </c>
      <c r="M9393" t="n">
        <v>0</v>
      </c>
      <c r="N9393" t="n">
        <v>0</v>
      </c>
      <c r="O9393" t="n">
        <v>0</v>
      </c>
      <c r="P9393" t="n">
        <v>0</v>
      </c>
      <c r="Q9393" t="n">
        <v>0</v>
      </c>
      <c r="R9393" s="2" t="inlineStr"/>
    </row>
    <row r="9394" ht="15" customHeight="1">
      <c r="A9394" t="inlineStr">
        <is>
          <t>A 19424-2023</t>
        </is>
      </c>
      <c r="B9394" s="1" t="n">
        <v>45050</v>
      </c>
      <c r="C9394" s="1" t="n">
        <v>45357</v>
      </c>
      <c r="D9394" t="inlineStr">
        <is>
          <t>VÄSTERBOTTENS LÄN</t>
        </is>
      </c>
      <c r="E9394" t="inlineStr">
        <is>
          <t>SKELLEFTEÅ</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19421-2023</t>
        </is>
      </c>
      <c r="B9395" s="1" t="n">
        <v>45050</v>
      </c>
      <c r="C9395" s="1" t="n">
        <v>45357</v>
      </c>
      <c r="D9395" t="inlineStr">
        <is>
          <t>VÄSTERBOTTENS LÄN</t>
        </is>
      </c>
      <c r="E9395" t="inlineStr">
        <is>
          <t>NORSJÖ</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19422-2023</t>
        </is>
      </c>
      <c r="B9396" s="1" t="n">
        <v>45049</v>
      </c>
      <c r="C9396" s="1" t="n">
        <v>45357</v>
      </c>
      <c r="D9396" t="inlineStr">
        <is>
          <t>VÄSTERBOTTENS LÄN</t>
        </is>
      </c>
      <c r="E9396" t="inlineStr">
        <is>
          <t>SKELLEFTEÅ</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19428-2023</t>
        </is>
      </c>
      <c r="B9397" s="1" t="n">
        <v>45050</v>
      </c>
      <c r="C9397" s="1" t="n">
        <v>45357</v>
      </c>
      <c r="D9397" t="inlineStr">
        <is>
          <t>VÄSTERBOTTENS LÄN</t>
        </is>
      </c>
      <c r="E9397" t="inlineStr">
        <is>
          <t>SKELLEFTEÅ</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19491-2023</t>
        </is>
      </c>
      <c r="B9398" s="1" t="n">
        <v>45049</v>
      </c>
      <c r="C9398" s="1" t="n">
        <v>45357</v>
      </c>
      <c r="D9398" t="inlineStr">
        <is>
          <t>VÄSTERBOTTENS LÄN</t>
        </is>
      </c>
      <c r="E9398" t="inlineStr">
        <is>
          <t>SKELLEFTEÅ</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19646-2023</t>
        </is>
      </c>
      <c r="B9399" s="1" t="n">
        <v>45049</v>
      </c>
      <c r="C9399" s="1" t="n">
        <v>45357</v>
      </c>
      <c r="D9399" t="inlineStr">
        <is>
          <t>VÄSTERBOTTENS LÄN</t>
        </is>
      </c>
      <c r="E9399" t="inlineStr">
        <is>
          <t>NORSJÖ</t>
        </is>
      </c>
      <c r="F9399" t="inlineStr">
        <is>
          <t>Kommuner</t>
        </is>
      </c>
      <c r="G9399" t="n">
        <v>14.7</v>
      </c>
      <c r="H9399" t="n">
        <v>0</v>
      </c>
      <c r="I9399" t="n">
        <v>0</v>
      </c>
      <c r="J9399" t="n">
        <v>0</v>
      </c>
      <c r="K9399" t="n">
        <v>0</v>
      </c>
      <c r="L9399" t="n">
        <v>0</v>
      </c>
      <c r="M9399" t="n">
        <v>0</v>
      </c>
      <c r="N9399" t="n">
        <v>0</v>
      </c>
      <c r="O9399" t="n">
        <v>0</v>
      </c>
      <c r="P9399" t="n">
        <v>0</v>
      </c>
      <c r="Q9399" t="n">
        <v>0</v>
      </c>
      <c r="R9399" s="2" t="inlineStr"/>
    </row>
    <row r="9400" ht="15" customHeight="1">
      <c r="A9400" t="inlineStr">
        <is>
          <t>A 19423-2023</t>
        </is>
      </c>
      <c r="B9400" s="1" t="n">
        <v>45050</v>
      </c>
      <c r="C9400" s="1" t="n">
        <v>45357</v>
      </c>
      <c r="D9400" t="inlineStr">
        <is>
          <t>VÄSTERBOTTENS LÄN</t>
        </is>
      </c>
      <c r="E9400" t="inlineStr">
        <is>
          <t>NORSJÖ</t>
        </is>
      </c>
      <c r="G9400" t="n">
        <v>7.6</v>
      </c>
      <c r="H9400" t="n">
        <v>0</v>
      </c>
      <c r="I9400" t="n">
        <v>0</v>
      </c>
      <c r="J9400" t="n">
        <v>0</v>
      </c>
      <c r="K9400" t="n">
        <v>0</v>
      </c>
      <c r="L9400" t="n">
        <v>0</v>
      </c>
      <c r="M9400" t="n">
        <v>0</v>
      </c>
      <c r="N9400" t="n">
        <v>0</v>
      </c>
      <c r="O9400" t="n">
        <v>0</v>
      </c>
      <c r="P9400" t="n">
        <v>0</v>
      </c>
      <c r="Q9400" t="n">
        <v>0</v>
      </c>
      <c r="R9400" s="2" t="inlineStr"/>
    </row>
    <row r="9401" ht="15" customHeight="1">
      <c r="A9401" t="inlineStr">
        <is>
          <t>A 19498-2023</t>
        </is>
      </c>
      <c r="B9401" s="1" t="n">
        <v>45049</v>
      </c>
      <c r="C9401" s="1" t="n">
        <v>45357</v>
      </c>
      <c r="D9401" t="inlineStr">
        <is>
          <t>VÄSTERBOTTENS LÄN</t>
        </is>
      </c>
      <c r="E9401" t="inlineStr">
        <is>
          <t>SKELLEFTEÅ</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19460-2023</t>
        </is>
      </c>
      <c r="B9402" s="1" t="n">
        <v>45050</v>
      </c>
      <c r="C9402" s="1" t="n">
        <v>45357</v>
      </c>
      <c r="D9402" t="inlineStr">
        <is>
          <t>VÄSTERBOTTENS LÄN</t>
        </is>
      </c>
      <c r="E9402" t="inlineStr">
        <is>
          <t>LYCKSELE</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19605-2023</t>
        </is>
      </c>
      <c r="B9403" s="1" t="n">
        <v>45050</v>
      </c>
      <c r="C9403" s="1" t="n">
        <v>45357</v>
      </c>
      <c r="D9403" t="inlineStr">
        <is>
          <t>VÄSTERBOTTENS LÄN</t>
        </is>
      </c>
      <c r="E9403" t="inlineStr">
        <is>
          <t>STORUMAN</t>
        </is>
      </c>
      <c r="G9403" t="n">
        <v>14.8</v>
      </c>
      <c r="H9403" t="n">
        <v>0</v>
      </c>
      <c r="I9403" t="n">
        <v>0</v>
      </c>
      <c r="J9403" t="n">
        <v>0</v>
      </c>
      <c r="K9403" t="n">
        <v>0</v>
      </c>
      <c r="L9403" t="n">
        <v>0</v>
      </c>
      <c r="M9403" t="n">
        <v>0</v>
      </c>
      <c r="N9403" t="n">
        <v>0</v>
      </c>
      <c r="O9403" t="n">
        <v>0</v>
      </c>
      <c r="P9403" t="n">
        <v>0</v>
      </c>
      <c r="Q9403" t="n">
        <v>0</v>
      </c>
      <c r="R9403" s="2" t="inlineStr"/>
    </row>
    <row r="9404" ht="15" customHeight="1">
      <c r="A9404" t="inlineStr">
        <is>
          <t>A 19607-2023</t>
        </is>
      </c>
      <c r="B9404" s="1" t="n">
        <v>45051</v>
      </c>
      <c r="C9404" s="1" t="n">
        <v>45357</v>
      </c>
      <c r="D9404" t="inlineStr">
        <is>
          <t>VÄSTERBOTTENS LÄN</t>
        </is>
      </c>
      <c r="E9404" t="inlineStr">
        <is>
          <t>STORUMAN</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19564-2023</t>
        </is>
      </c>
      <c r="B9405" s="1" t="n">
        <v>45050</v>
      </c>
      <c r="C9405" s="1" t="n">
        <v>45357</v>
      </c>
      <c r="D9405" t="inlineStr">
        <is>
          <t>VÄSTERBOTTENS LÄN</t>
        </is>
      </c>
      <c r="E9405" t="inlineStr">
        <is>
          <t>NORDMALING</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19456-2023</t>
        </is>
      </c>
      <c r="B9406" s="1" t="n">
        <v>45050</v>
      </c>
      <c r="C9406" s="1" t="n">
        <v>45357</v>
      </c>
      <c r="D9406" t="inlineStr">
        <is>
          <t>VÄSTERBOTTENS LÄN</t>
        </is>
      </c>
      <c r="E9406" t="inlineStr">
        <is>
          <t>BJURHOLM</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19606-2023</t>
        </is>
      </c>
      <c r="B9407" s="1" t="n">
        <v>45051</v>
      </c>
      <c r="C9407" s="1" t="n">
        <v>45357</v>
      </c>
      <c r="D9407" t="inlineStr">
        <is>
          <t>VÄSTERBOTTENS LÄN</t>
        </is>
      </c>
      <c r="E9407" t="inlineStr">
        <is>
          <t>STORUMAN</t>
        </is>
      </c>
      <c r="G9407" t="n">
        <v>28.6</v>
      </c>
      <c r="H9407" t="n">
        <v>0</v>
      </c>
      <c r="I9407" t="n">
        <v>0</v>
      </c>
      <c r="J9407" t="n">
        <v>0</v>
      </c>
      <c r="K9407" t="n">
        <v>0</v>
      </c>
      <c r="L9407" t="n">
        <v>0</v>
      </c>
      <c r="M9407" t="n">
        <v>0</v>
      </c>
      <c r="N9407" t="n">
        <v>0</v>
      </c>
      <c r="O9407" t="n">
        <v>0</v>
      </c>
      <c r="P9407" t="n">
        <v>0</v>
      </c>
      <c r="Q9407" t="n">
        <v>0</v>
      </c>
      <c r="R9407" s="2" t="inlineStr"/>
    </row>
    <row r="9408" ht="15" customHeight="1">
      <c r="A9408" t="inlineStr">
        <is>
          <t>A 19781-2023</t>
        </is>
      </c>
      <c r="B9408" s="1" t="n">
        <v>45051</v>
      </c>
      <c r="C9408" s="1" t="n">
        <v>45357</v>
      </c>
      <c r="D9408" t="inlineStr">
        <is>
          <t>VÄSTERBOTTENS LÄN</t>
        </is>
      </c>
      <c r="E9408" t="inlineStr">
        <is>
          <t>ÅSELE</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19726-2023</t>
        </is>
      </c>
      <c r="B9409" s="1" t="n">
        <v>45051</v>
      </c>
      <c r="C9409" s="1" t="n">
        <v>45357</v>
      </c>
      <c r="D9409" t="inlineStr">
        <is>
          <t>VÄSTERBOTTENS LÄN</t>
        </is>
      </c>
      <c r="E9409" t="inlineStr">
        <is>
          <t>NORSJÖ</t>
        </is>
      </c>
      <c r="G9409" t="n">
        <v>14.4</v>
      </c>
      <c r="H9409" t="n">
        <v>0</v>
      </c>
      <c r="I9409" t="n">
        <v>0</v>
      </c>
      <c r="J9409" t="n">
        <v>0</v>
      </c>
      <c r="K9409" t="n">
        <v>0</v>
      </c>
      <c r="L9409" t="n">
        <v>0</v>
      </c>
      <c r="M9409" t="n">
        <v>0</v>
      </c>
      <c r="N9409" t="n">
        <v>0</v>
      </c>
      <c r="O9409" t="n">
        <v>0</v>
      </c>
      <c r="P9409" t="n">
        <v>0</v>
      </c>
      <c r="Q9409" t="n">
        <v>0</v>
      </c>
      <c r="R9409" s="2" t="inlineStr"/>
    </row>
    <row r="9410" ht="15" customHeight="1">
      <c r="A9410" t="inlineStr">
        <is>
          <t>A 19724-2023</t>
        </is>
      </c>
      <c r="B9410" s="1" t="n">
        <v>45051</v>
      </c>
      <c r="C9410" s="1" t="n">
        <v>45357</v>
      </c>
      <c r="D9410" t="inlineStr">
        <is>
          <t>VÄSTERBOTTENS LÄN</t>
        </is>
      </c>
      <c r="E9410" t="inlineStr">
        <is>
          <t>ROBERTSFORS</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19814-2023</t>
        </is>
      </c>
      <c r="B9411" s="1" t="n">
        <v>45052</v>
      </c>
      <c r="C9411" s="1" t="n">
        <v>45357</v>
      </c>
      <c r="D9411" t="inlineStr">
        <is>
          <t>VÄSTERBOTTENS LÄN</t>
        </is>
      </c>
      <c r="E9411" t="inlineStr">
        <is>
          <t>NORSJÖ</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20133-2023</t>
        </is>
      </c>
      <c r="B9412" s="1" t="n">
        <v>45051</v>
      </c>
      <c r="C9412" s="1" t="n">
        <v>45357</v>
      </c>
      <c r="D9412" t="inlineStr">
        <is>
          <t>VÄSTERBOTTENS LÄN</t>
        </is>
      </c>
      <c r="E9412" t="inlineStr">
        <is>
          <t>NORDMALING</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19934-2023</t>
        </is>
      </c>
      <c r="B9413" s="1" t="n">
        <v>45051</v>
      </c>
      <c r="C9413" s="1" t="n">
        <v>45357</v>
      </c>
      <c r="D9413" t="inlineStr">
        <is>
          <t>VÄSTERBOTTENS LÄN</t>
        </is>
      </c>
      <c r="E9413" t="inlineStr">
        <is>
          <t>VILHELMINA</t>
        </is>
      </c>
      <c r="F9413" t="inlineStr">
        <is>
          <t>Övriga statliga verk och myndigheter</t>
        </is>
      </c>
      <c r="G9413" t="n">
        <v>28.1</v>
      </c>
      <c r="H9413" t="n">
        <v>0</v>
      </c>
      <c r="I9413" t="n">
        <v>0</v>
      </c>
      <c r="J9413" t="n">
        <v>0</v>
      </c>
      <c r="K9413" t="n">
        <v>0</v>
      </c>
      <c r="L9413" t="n">
        <v>0</v>
      </c>
      <c r="M9413" t="n">
        <v>0</v>
      </c>
      <c r="N9413" t="n">
        <v>0</v>
      </c>
      <c r="O9413" t="n">
        <v>0</v>
      </c>
      <c r="P9413" t="n">
        <v>0</v>
      </c>
      <c r="Q9413" t="n">
        <v>0</v>
      </c>
      <c r="R9413" s="2" t="inlineStr"/>
    </row>
    <row r="9414" ht="15" customHeight="1">
      <c r="A9414" t="inlineStr">
        <is>
          <t>A 20121-2023</t>
        </is>
      </c>
      <c r="B9414" s="1" t="n">
        <v>45051</v>
      </c>
      <c r="C9414" s="1" t="n">
        <v>45357</v>
      </c>
      <c r="D9414" t="inlineStr">
        <is>
          <t>VÄSTERBOTTENS LÄN</t>
        </is>
      </c>
      <c r="E9414" t="inlineStr">
        <is>
          <t>NORDMALING</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20138-2023</t>
        </is>
      </c>
      <c r="B9415" s="1" t="n">
        <v>45051</v>
      </c>
      <c r="C9415" s="1" t="n">
        <v>45357</v>
      </c>
      <c r="D9415" t="inlineStr">
        <is>
          <t>VÄSTERBOTTENS LÄN</t>
        </is>
      </c>
      <c r="E9415" t="inlineStr">
        <is>
          <t>NORDMALING</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20135-2023</t>
        </is>
      </c>
      <c r="B9416" s="1" t="n">
        <v>45051</v>
      </c>
      <c r="C9416" s="1" t="n">
        <v>45357</v>
      </c>
      <c r="D9416" t="inlineStr">
        <is>
          <t>VÄSTERBOTTENS LÄN</t>
        </is>
      </c>
      <c r="E9416" t="inlineStr">
        <is>
          <t>NORDMALING</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19882-2023</t>
        </is>
      </c>
      <c r="B9417" s="1" t="n">
        <v>45054</v>
      </c>
      <c r="C9417" s="1" t="n">
        <v>45357</v>
      </c>
      <c r="D9417" t="inlineStr">
        <is>
          <t>VÄSTERBOTTENS LÄN</t>
        </is>
      </c>
      <c r="E9417" t="inlineStr">
        <is>
          <t>LYCKSELE</t>
        </is>
      </c>
      <c r="F9417" t="inlineStr">
        <is>
          <t>Holmen skog AB</t>
        </is>
      </c>
      <c r="G9417" t="n">
        <v>9</v>
      </c>
      <c r="H9417" t="n">
        <v>0</v>
      </c>
      <c r="I9417" t="n">
        <v>0</v>
      </c>
      <c r="J9417" t="n">
        <v>0</v>
      </c>
      <c r="K9417" t="n">
        <v>0</v>
      </c>
      <c r="L9417" t="n">
        <v>0</v>
      </c>
      <c r="M9417" t="n">
        <v>0</v>
      </c>
      <c r="N9417" t="n">
        <v>0</v>
      </c>
      <c r="O9417" t="n">
        <v>0</v>
      </c>
      <c r="P9417" t="n">
        <v>0</v>
      </c>
      <c r="Q9417" t="n">
        <v>0</v>
      </c>
      <c r="R9417" s="2" t="inlineStr"/>
    </row>
    <row r="9418" ht="15" customHeight="1">
      <c r="A9418" t="inlineStr">
        <is>
          <t>A 19938-2023</t>
        </is>
      </c>
      <c r="B9418" s="1" t="n">
        <v>45054</v>
      </c>
      <c r="C9418" s="1" t="n">
        <v>45357</v>
      </c>
      <c r="D9418" t="inlineStr">
        <is>
          <t>VÄSTERBOTTENS LÄN</t>
        </is>
      </c>
      <c r="E9418" t="inlineStr">
        <is>
          <t>NORSJÖ</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19959-2023</t>
        </is>
      </c>
      <c r="B9419" s="1" t="n">
        <v>45054</v>
      </c>
      <c r="C9419" s="1" t="n">
        <v>45357</v>
      </c>
      <c r="D9419" t="inlineStr">
        <is>
          <t>VÄSTERBOTTENS LÄN</t>
        </is>
      </c>
      <c r="E9419" t="inlineStr">
        <is>
          <t>SORSELE</t>
        </is>
      </c>
      <c r="F9419" t="inlineStr">
        <is>
          <t>Sveaskog</t>
        </is>
      </c>
      <c r="G9419" t="n">
        <v>36.9</v>
      </c>
      <c r="H9419" t="n">
        <v>0</v>
      </c>
      <c r="I9419" t="n">
        <v>0</v>
      </c>
      <c r="J9419" t="n">
        <v>0</v>
      </c>
      <c r="K9419" t="n">
        <v>0</v>
      </c>
      <c r="L9419" t="n">
        <v>0</v>
      </c>
      <c r="M9419" t="n">
        <v>0</v>
      </c>
      <c r="N9419" t="n">
        <v>0</v>
      </c>
      <c r="O9419" t="n">
        <v>0</v>
      </c>
      <c r="P9419" t="n">
        <v>0</v>
      </c>
      <c r="Q9419" t="n">
        <v>0</v>
      </c>
      <c r="R9419" s="2" t="inlineStr"/>
    </row>
    <row r="9420" ht="15" customHeight="1">
      <c r="A9420" t="inlineStr">
        <is>
          <t>A 19905-2023</t>
        </is>
      </c>
      <c r="B9420" s="1" t="n">
        <v>45054</v>
      </c>
      <c r="C9420" s="1" t="n">
        <v>45357</v>
      </c>
      <c r="D9420" t="inlineStr">
        <is>
          <t>VÄSTERBOTTENS LÄN</t>
        </is>
      </c>
      <c r="E9420" t="inlineStr">
        <is>
          <t>BJURHOLM</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19984-2023</t>
        </is>
      </c>
      <c r="B9421" s="1" t="n">
        <v>45054</v>
      </c>
      <c r="C9421" s="1" t="n">
        <v>45357</v>
      </c>
      <c r="D9421" t="inlineStr">
        <is>
          <t>VÄSTERBOTTENS LÄN</t>
        </is>
      </c>
      <c r="E9421" t="inlineStr">
        <is>
          <t>SORSELE</t>
        </is>
      </c>
      <c r="F9421" t="inlineStr">
        <is>
          <t>Sveaskog</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20081-2023</t>
        </is>
      </c>
      <c r="B9422" s="1" t="n">
        <v>45054</v>
      </c>
      <c r="C9422" s="1" t="n">
        <v>45357</v>
      </c>
      <c r="D9422" t="inlineStr">
        <is>
          <t>VÄSTERBOTTENS LÄN</t>
        </is>
      </c>
      <c r="E9422" t="inlineStr">
        <is>
          <t>MALÅ</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20090-2023</t>
        </is>
      </c>
      <c r="B9423" s="1" t="n">
        <v>45054</v>
      </c>
      <c r="C9423" s="1" t="n">
        <v>45357</v>
      </c>
      <c r="D9423" t="inlineStr">
        <is>
          <t>VÄSTERBOTTENS LÄN</t>
        </is>
      </c>
      <c r="E9423" t="inlineStr">
        <is>
          <t>VILHELMINA</t>
        </is>
      </c>
      <c r="F9423" t="inlineStr">
        <is>
          <t>SCA</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20234-2023</t>
        </is>
      </c>
      <c r="B9424" s="1" t="n">
        <v>45054</v>
      </c>
      <c r="C9424" s="1" t="n">
        <v>45357</v>
      </c>
      <c r="D9424" t="inlineStr">
        <is>
          <t>VÄSTERBOTTENS LÄN</t>
        </is>
      </c>
      <c r="E9424" t="inlineStr">
        <is>
          <t>MALÅ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20091-2023</t>
        </is>
      </c>
      <c r="B9425" s="1" t="n">
        <v>45055</v>
      </c>
      <c r="C9425" s="1" t="n">
        <v>45357</v>
      </c>
      <c r="D9425" t="inlineStr">
        <is>
          <t>VÄSTERBOTTENS LÄN</t>
        </is>
      </c>
      <c r="E9425" t="inlineStr">
        <is>
          <t>SORSELE</t>
        </is>
      </c>
      <c r="F9425" t="inlineStr">
        <is>
          <t>SCA</t>
        </is>
      </c>
      <c r="G9425" t="n">
        <v>16.5</v>
      </c>
      <c r="H9425" t="n">
        <v>0</v>
      </c>
      <c r="I9425" t="n">
        <v>0</v>
      </c>
      <c r="J9425" t="n">
        <v>0</v>
      </c>
      <c r="K9425" t="n">
        <v>0</v>
      </c>
      <c r="L9425" t="n">
        <v>0</v>
      </c>
      <c r="M9425" t="n">
        <v>0</v>
      </c>
      <c r="N9425" t="n">
        <v>0</v>
      </c>
      <c r="O9425" t="n">
        <v>0</v>
      </c>
      <c r="P9425" t="n">
        <v>0</v>
      </c>
      <c r="Q9425" t="n">
        <v>0</v>
      </c>
      <c r="R9425" s="2" t="inlineStr"/>
    </row>
    <row r="9426" ht="15" customHeight="1">
      <c r="A9426" t="inlineStr">
        <is>
          <t>A 19961-2023</t>
        </is>
      </c>
      <c r="B9426" s="1" t="n">
        <v>45054</v>
      </c>
      <c r="C9426" s="1" t="n">
        <v>45357</v>
      </c>
      <c r="D9426" t="inlineStr">
        <is>
          <t>VÄSTERBOTTENS LÄN</t>
        </is>
      </c>
      <c r="E9426" t="inlineStr">
        <is>
          <t>NORDMALING</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19985-2023</t>
        </is>
      </c>
      <c r="B9427" s="1" t="n">
        <v>45054</v>
      </c>
      <c r="C9427" s="1" t="n">
        <v>45357</v>
      </c>
      <c r="D9427" t="inlineStr">
        <is>
          <t>VÄSTERBOTTENS LÄN</t>
        </is>
      </c>
      <c r="E9427" t="inlineStr">
        <is>
          <t>NORDMALING</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20080-2023</t>
        </is>
      </c>
      <c r="B9428" s="1" t="n">
        <v>45055</v>
      </c>
      <c r="C9428" s="1" t="n">
        <v>45357</v>
      </c>
      <c r="D9428" t="inlineStr">
        <is>
          <t>VÄSTERBOTTENS LÄN</t>
        </is>
      </c>
      <c r="E9428" t="inlineStr">
        <is>
          <t>SKELLEFTEÅ</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20230-2023</t>
        </is>
      </c>
      <c r="B9429" s="1" t="n">
        <v>45054</v>
      </c>
      <c r="C9429" s="1" t="n">
        <v>45357</v>
      </c>
      <c r="D9429" t="inlineStr">
        <is>
          <t>VÄSTERBOTTENS LÄN</t>
        </is>
      </c>
      <c r="E9429" t="inlineStr">
        <is>
          <t>MALÅ</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20263-2023</t>
        </is>
      </c>
      <c r="B9430" s="1" t="n">
        <v>45056</v>
      </c>
      <c r="C9430" s="1" t="n">
        <v>45357</v>
      </c>
      <c r="D9430" t="inlineStr">
        <is>
          <t>VÄSTERBOTTENS LÄN</t>
        </is>
      </c>
      <c r="E9430" t="inlineStr">
        <is>
          <t>VINDELN</t>
        </is>
      </c>
      <c r="G9430" t="n">
        <v>5.8</v>
      </c>
      <c r="H9430" t="n">
        <v>0</v>
      </c>
      <c r="I9430" t="n">
        <v>0</v>
      </c>
      <c r="J9430" t="n">
        <v>0</v>
      </c>
      <c r="K9430" t="n">
        <v>0</v>
      </c>
      <c r="L9430" t="n">
        <v>0</v>
      </c>
      <c r="M9430" t="n">
        <v>0</v>
      </c>
      <c r="N9430" t="n">
        <v>0</v>
      </c>
      <c r="O9430" t="n">
        <v>0</v>
      </c>
      <c r="P9430" t="n">
        <v>0</v>
      </c>
      <c r="Q9430" t="n">
        <v>0</v>
      </c>
      <c r="R9430" s="2" t="inlineStr"/>
    </row>
    <row r="9431" ht="15" customHeight="1">
      <c r="A9431" t="inlineStr">
        <is>
          <t>A 20273-2023</t>
        </is>
      </c>
      <c r="B9431" s="1" t="n">
        <v>45055</v>
      </c>
      <c r="C9431" s="1" t="n">
        <v>45357</v>
      </c>
      <c r="D9431" t="inlineStr">
        <is>
          <t>VÄSTERBOTTENS LÄN</t>
        </is>
      </c>
      <c r="E9431" t="inlineStr">
        <is>
          <t>BJURHOLM</t>
        </is>
      </c>
      <c r="F9431" t="inlineStr">
        <is>
          <t>SCA</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20228-2023</t>
        </is>
      </c>
      <c r="B9432" s="1" t="n">
        <v>45055</v>
      </c>
      <c r="C9432" s="1" t="n">
        <v>45357</v>
      </c>
      <c r="D9432" t="inlineStr">
        <is>
          <t>VÄSTERBOTTENS LÄN</t>
        </is>
      </c>
      <c r="E9432" t="inlineStr">
        <is>
          <t>VÄNNÄS</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20759-2023</t>
        </is>
      </c>
      <c r="B9433" s="1" t="n">
        <v>45055</v>
      </c>
      <c r="C9433" s="1" t="n">
        <v>45357</v>
      </c>
      <c r="D9433" t="inlineStr">
        <is>
          <t>VÄSTERBOTTENS LÄN</t>
        </is>
      </c>
      <c r="E9433" t="inlineStr">
        <is>
          <t>DOROTEA</t>
        </is>
      </c>
      <c r="F9433" t="inlineStr">
        <is>
          <t>Övriga statliga verk och myndigheter</t>
        </is>
      </c>
      <c r="G9433" t="n">
        <v>13.9</v>
      </c>
      <c r="H9433" t="n">
        <v>0</v>
      </c>
      <c r="I9433" t="n">
        <v>0</v>
      </c>
      <c r="J9433" t="n">
        <v>0</v>
      </c>
      <c r="K9433" t="n">
        <v>0</v>
      </c>
      <c r="L9433" t="n">
        <v>0</v>
      </c>
      <c r="M9433" t="n">
        <v>0</v>
      </c>
      <c r="N9433" t="n">
        <v>0</v>
      </c>
      <c r="O9433" t="n">
        <v>0</v>
      </c>
      <c r="P9433" t="n">
        <v>0</v>
      </c>
      <c r="Q9433" t="n">
        <v>0</v>
      </c>
      <c r="R9433" s="2" t="inlineStr"/>
    </row>
    <row r="9434" ht="15" customHeight="1">
      <c r="A9434" t="inlineStr">
        <is>
          <t>A 20795-2023</t>
        </is>
      </c>
      <c r="B9434" s="1" t="n">
        <v>45055</v>
      </c>
      <c r="C9434" s="1" t="n">
        <v>45357</v>
      </c>
      <c r="D9434" t="inlineStr">
        <is>
          <t>VÄSTERBOTTENS LÄN</t>
        </is>
      </c>
      <c r="E9434" t="inlineStr">
        <is>
          <t>UMEÅ</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20301-2023</t>
        </is>
      </c>
      <c r="B9435" s="1" t="n">
        <v>45056</v>
      </c>
      <c r="C9435" s="1" t="n">
        <v>45357</v>
      </c>
      <c r="D9435" t="inlineStr">
        <is>
          <t>VÄSTERBOTTENS LÄN</t>
        </is>
      </c>
      <c r="E9435" t="inlineStr">
        <is>
          <t>SKELLEFTEÅ</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20290-2023</t>
        </is>
      </c>
      <c r="B9436" s="1" t="n">
        <v>45056</v>
      </c>
      <c r="C9436" s="1" t="n">
        <v>45357</v>
      </c>
      <c r="D9436" t="inlineStr">
        <is>
          <t>VÄSTERBOTTENS LÄN</t>
        </is>
      </c>
      <c r="E9436" t="inlineStr">
        <is>
          <t>SKELLEFTEÅ</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20439-2023</t>
        </is>
      </c>
      <c r="B9437" s="1" t="n">
        <v>45056</v>
      </c>
      <c r="C9437" s="1" t="n">
        <v>45357</v>
      </c>
      <c r="D9437" t="inlineStr">
        <is>
          <t>VÄSTERBOTTENS LÄN</t>
        </is>
      </c>
      <c r="E9437" t="inlineStr">
        <is>
          <t>NORDMALING</t>
        </is>
      </c>
      <c r="G9437" t="n">
        <v>11.8</v>
      </c>
      <c r="H9437" t="n">
        <v>0</v>
      </c>
      <c r="I9437" t="n">
        <v>0</v>
      </c>
      <c r="J9437" t="n">
        <v>0</v>
      </c>
      <c r="K9437" t="n">
        <v>0</v>
      </c>
      <c r="L9437" t="n">
        <v>0</v>
      </c>
      <c r="M9437" t="n">
        <v>0</v>
      </c>
      <c r="N9437" t="n">
        <v>0</v>
      </c>
      <c r="O9437" t="n">
        <v>0</v>
      </c>
      <c r="P9437" t="n">
        <v>0</v>
      </c>
      <c r="Q9437" t="n">
        <v>0</v>
      </c>
      <c r="R9437" s="2" t="inlineStr"/>
    </row>
    <row r="9438" ht="15" customHeight="1">
      <c r="A9438" t="inlineStr">
        <is>
          <t>A 20454-2023</t>
        </is>
      </c>
      <c r="B9438" s="1" t="n">
        <v>45056</v>
      </c>
      <c r="C9438" s="1" t="n">
        <v>45357</v>
      </c>
      <c r="D9438" t="inlineStr">
        <is>
          <t>VÄSTERBOTTENS LÄN</t>
        </is>
      </c>
      <c r="E9438" t="inlineStr">
        <is>
          <t>VILHELMINA</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20937-2023</t>
        </is>
      </c>
      <c r="B9439" s="1" t="n">
        <v>45056</v>
      </c>
      <c r="C9439" s="1" t="n">
        <v>45357</v>
      </c>
      <c r="D9439" t="inlineStr">
        <is>
          <t>VÄSTERBOTTENS LÄN</t>
        </is>
      </c>
      <c r="E9439" t="inlineStr">
        <is>
          <t>SORSELE</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20451-2023</t>
        </is>
      </c>
      <c r="B9440" s="1" t="n">
        <v>45056</v>
      </c>
      <c r="C9440" s="1" t="n">
        <v>45357</v>
      </c>
      <c r="D9440" t="inlineStr">
        <is>
          <t>VÄSTERBOTTENS LÄN</t>
        </is>
      </c>
      <c r="E9440" t="inlineStr">
        <is>
          <t>STORUMAN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20455-2023</t>
        </is>
      </c>
      <c r="B9441" s="1" t="n">
        <v>45056</v>
      </c>
      <c r="C9441" s="1" t="n">
        <v>45357</v>
      </c>
      <c r="D9441" t="inlineStr">
        <is>
          <t>VÄSTERBOTTENS LÄN</t>
        </is>
      </c>
      <c r="E9441" t="inlineStr">
        <is>
          <t>VILHELMINA</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20947-2023</t>
        </is>
      </c>
      <c r="B9442" s="1" t="n">
        <v>45056</v>
      </c>
      <c r="C9442" s="1" t="n">
        <v>45357</v>
      </c>
      <c r="D9442" t="inlineStr">
        <is>
          <t>VÄSTERBOTTENS LÄN</t>
        </is>
      </c>
      <c r="E9442" t="inlineStr">
        <is>
          <t>SORSELE</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20991-2023</t>
        </is>
      </c>
      <c r="B9443" s="1" t="n">
        <v>45056</v>
      </c>
      <c r="C9443" s="1" t="n">
        <v>45357</v>
      </c>
      <c r="D9443" t="inlineStr">
        <is>
          <t>VÄSTERBOTTENS LÄN</t>
        </is>
      </c>
      <c r="E9443" t="inlineStr">
        <is>
          <t>UMEÅ</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20949-2023</t>
        </is>
      </c>
      <c r="B9444" s="1" t="n">
        <v>45056</v>
      </c>
      <c r="C9444" s="1" t="n">
        <v>45357</v>
      </c>
      <c r="D9444" t="inlineStr">
        <is>
          <t>VÄSTERBOTTENS LÄN</t>
        </is>
      </c>
      <c r="E9444" t="inlineStr">
        <is>
          <t>BJURHOLM</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21013-2023</t>
        </is>
      </c>
      <c r="B9445" s="1" t="n">
        <v>45056</v>
      </c>
      <c r="C9445" s="1" t="n">
        <v>45357</v>
      </c>
      <c r="D9445" t="inlineStr">
        <is>
          <t>VÄSTERBOTTENS LÄN</t>
        </is>
      </c>
      <c r="E9445" t="inlineStr">
        <is>
          <t>UMEÅ</t>
        </is>
      </c>
      <c r="G9445" t="n">
        <v>7.5</v>
      </c>
      <c r="H9445" t="n">
        <v>0</v>
      </c>
      <c r="I9445" t="n">
        <v>0</v>
      </c>
      <c r="J9445" t="n">
        <v>0</v>
      </c>
      <c r="K9445" t="n">
        <v>0</v>
      </c>
      <c r="L9445" t="n">
        <v>0</v>
      </c>
      <c r="M9445" t="n">
        <v>0</v>
      </c>
      <c r="N9445" t="n">
        <v>0</v>
      </c>
      <c r="O9445" t="n">
        <v>0</v>
      </c>
      <c r="P9445" t="n">
        <v>0</v>
      </c>
      <c r="Q9445" t="n">
        <v>0</v>
      </c>
      <c r="R9445" s="2" t="inlineStr"/>
    </row>
    <row r="9446" ht="15" customHeight="1">
      <c r="A9446" t="inlineStr">
        <is>
          <t>A 20534-2023</t>
        </is>
      </c>
      <c r="B9446" s="1" t="n">
        <v>45057</v>
      </c>
      <c r="C9446" s="1" t="n">
        <v>45357</v>
      </c>
      <c r="D9446" t="inlineStr">
        <is>
          <t>VÄSTERBOTTENS LÄN</t>
        </is>
      </c>
      <c r="E9446" t="inlineStr">
        <is>
          <t>VINDELN</t>
        </is>
      </c>
      <c r="F9446" t="inlineStr">
        <is>
          <t>Holmen skog AB</t>
        </is>
      </c>
      <c r="G9446" t="n">
        <v>6.2</v>
      </c>
      <c r="H9446" t="n">
        <v>0</v>
      </c>
      <c r="I9446" t="n">
        <v>0</v>
      </c>
      <c r="J9446" t="n">
        <v>0</v>
      </c>
      <c r="K9446" t="n">
        <v>0</v>
      </c>
      <c r="L9446" t="n">
        <v>0</v>
      </c>
      <c r="M9446" t="n">
        <v>0</v>
      </c>
      <c r="N9446" t="n">
        <v>0</v>
      </c>
      <c r="O9446" t="n">
        <v>0</v>
      </c>
      <c r="P9446" t="n">
        <v>0</v>
      </c>
      <c r="Q9446" t="n">
        <v>0</v>
      </c>
      <c r="R9446" s="2" t="inlineStr"/>
    </row>
    <row r="9447" ht="15" customHeight="1">
      <c r="A9447" t="inlineStr">
        <is>
          <t>A 20499-2023</t>
        </is>
      </c>
      <c r="B9447" s="1" t="n">
        <v>45057</v>
      </c>
      <c r="C9447" s="1" t="n">
        <v>45357</v>
      </c>
      <c r="D9447" t="inlineStr">
        <is>
          <t>VÄSTERBOTTENS LÄN</t>
        </is>
      </c>
      <c r="E9447" t="inlineStr">
        <is>
          <t>SKELLEFTEÅ</t>
        </is>
      </c>
      <c r="F9447" t="inlineStr">
        <is>
          <t>Sveaskog</t>
        </is>
      </c>
      <c r="G9447" t="n">
        <v>12.9</v>
      </c>
      <c r="H9447" t="n">
        <v>0</v>
      </c>
      <c r="I9447" t="n">
        <v>0</v>
      </c>
      <c r="J9447" t="n">
        <v>0</v>
      </c>
      <c r="K9447" t="n">
        <v>0</v>
      </c>
      <c r="L9447" t="n">
        <v>0</v>
      </c>
      <c r="M9447" t="n">
        <v>0</v>
      </c>
      <c r="N9447" t="n">
        <v>0</v>
      </c>
      <c r="O9447" t="n">
        <v>0</v>
      </c>
      <c r="P9447" t="n">
        <v>0</v>
      </c>
      <c r="Q9447" t="n">
        <v>0</v>
      </c>
      <c r="R9447" s="2" t="inlineStr"/>
    </row>
    <row r="9448" ht="15" customHeight="1">
      <c r="A9448" t="inlineStr">
        <is>
          <t>A 20555-2023</t>
        </is>
      </c>
      <c r="B9448" s="1" t="n">
        <v>45057</v>
      </c>
      <c r="C9448" s="1" t="n">
        <v>45357</v>
      </c>
      <c r="D9448" t="inlineStr">
        <is>
          <t>VÄSTERBOTTENS LÄN</t>
        </is>
      </c>
      <c r="E9448" t="inlineStr">
        <is>
          <t>VINDELN</t>
        </is>
      </c>
      <c r="F9448" t="inlineStr">
        <is>
          <t>Sveaskog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20545-2023</t>
        </is>
      </c>
      <c r="B9449" s="1" t="n">
        <v>45057</v>
      </c>
      <c r="C9449" s="1" t="n">
        <v>45357</v>
      </c>
      <c r="D9449" t="inlineStr">
        <is>
          <t>VÄSTERBOTTENS LÄN</t>
        </is>
      </c>
      <c r="E9449" t="inlineStr">
        <is>
          <t>VINDELN</t>
        </is>
      </c>
      <c r="F9449" t="inlineStr">
        <is>
          <t>Holmen skog AB</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20574-2023</t>
        </is>
      </c>
      <c r="B9450" s="1" t="n">
        <v>45057</v>
      </c>
      <c r="C9450" s="1" t="n">
        <v>45357</v>
      </c>
      <c r="D9450" t="inlineStr">
        <is>
          <t>VÄSTERBOTTENS LÄN</t>
        </is>
      </c>
      <c r="E9450" t="inlineStr">
        <is>
          <t>VINDELN</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20595-2023</t>
        </is>
      </c>
      <c r="B9451" s="1" t="n">
        <v>45057</v>
      </c>
      <c r="C9451" s="1" t="n">
        <v>45357</v>
      </c>
      <c r="D9451" t="inlineStr">
        <is>
          <t>VÄSTERBOTTENS LÄN</t>
        </is>
      </c>
      <c r="E9451" t="inlineStr">
        <is>
          <t>VILHELMINA</t>
        </is>
      </c>
      <c r="F9451" t="inlineStr">
        <is>
          <t>SCA</t>
        </is>
      </c>
      <c r="G9451" t="n">
        <v>22.7</v>
      </c>
      <c r="H9451" t="n">
        <v>0</v>
      </c>
      <c r="I9451" t="n">
        <v>0</v>
      </c>
      <c r="J9451" t="n">
        <v>0</v>
      </c>
      <c r="K9451" t="n">
        <v>0</v>
      </c>
      <c r="L9451" t="n">
        <v>0</v>
      </c>
      <c r="M9451" t="n">
        <v>0</v>
      </c>
      <c r="N9451" t="n">
        <v>0</v>
      </c>
      <c r="O9451" t="n">
        <v>0</v>
      </c>
      <c r="P9451" t="n">
        <v>0</v>
      </c>
      <c r="Q9451" t="n">
        <v>0</v>
      </c>
      <c r="R9451" s="2" t="inlineStr"/>
    </row>
    <row r="9452" ht="15" customHeight="1">
      <c r="A9452" t="inlineStr">
        <is>
          <t>A 20594-2023</t>
        </is>
      </c>
      <c r="B9452" s="1" t="n">
        <v>45058</v>
      </c>
      <c r="C9452" s="1" t="n">
        <v>45357</v>
      </c>
      <c r="D9452" t="inlineStr">
        <is>
          <t>VÄSTERBOTTENS LÄN</t>
        </is>
      </c>
      <c r="E9452" t="inlineStr">
        <is>
          <t>BJURHOLM</t>
        </is>
      </c>
      <c r="F9452" t="inlineStr">
        <is>
          <t>SCA</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21064-2023</t>
        </is>
      </c>
      <c r="B9453" s="1" t="n">
        <v>45057</v>
      </c>
      <c r="C9453" s="1" t="n">
        <v>45357</v>
      </c>
      <c r="D9453" t="inlineStr">
        <is>
          <t>VÄSTERBOTTENS LÄN</t>
        </is>
      </c>
      <c r="E9453" t="inlineStr">
        <is>
          <t>SORSELE</t>
        </is>
      </c>
      <c r="G9453" t="n">
        <v>8.699999999999999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20618-2023</t>
        </is>
      </c>
      <c r="B9454" s="1" t="n">
        <v>45057</v>
      </c>
      <c r="C9454" s="1" t="n">
        <v>45357</v>
      </c>
      <c r="D9454" t="inlineStr">
        <is>
          <t>VÄSTERBOTTENS LÄN</t>
        </is>
      </c>
      <c r="E9454" t="inlineStr">
        <is>
          <t>DOROTEA</t>
        </is>
      </c>
      <c r="F9454" t="inlineStr">
        <is>
          <t>SCA</t>
        </is>
      </c>
      <c r="G9454" t="n">
        <v>28.6</v>
      </c>
      <c r="H9454" t="n">
        <v>0</v>
      </c>
      <c r="I9454" t="n">
        <v>0</v>
      </c>
      <c r="J9454" t="n">
        <v>0</v>
      </c>
      <c r="K9454" t="n">
        <v>0</v>
      </c>
      <c r="L9454" t="n">
        <v>0</v>
      </c>
      <c r="M9454" t="n">
        <v>0</v>
      </c>
      <c r="N9454" t="n">
        <v>0</v>
      </c>
      <c r="O9454" t="n">
        <v>0</v>
      </c>
      <c r="P9454" t="n">
        <v>0</v>
      </c>
      <c r="Q9454" t="n">
        <v>0</v>
      </c>
      <c r="R9454" s="2" t="inlineStr"/>
    </row>
    <row r="9455" ht="15" customHeight="1">
      <c r="A9455" t="inlineStr">
        <is>
          <t>A 21068-2023</t>
        </is>
      </c>
      <c r="B9455" s="1" t="n">
        <v>45057</v>
      </c>
      <c r="C9455" s="1" t="n">
        <v>45357</v>
      </c>
      <c r="D9455" t="inlineStr">
        <is>
          <t>VÄSTERBOTTENS LÄN</t>
        </is>
      </c>
      <c r="E9455" t="inlineStr">
        <is>
          <t>LYCKSELE</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20600-2023</t>
        </is>
      </c>
      <c r="B9456" s="1" t="n">
        <v>45057</v>
      </c>
      <c r="C9456" s="1" t="n">
        <v>45357</v>
      </c>
      <c r="D9456" t="inlineStr">
        <is>
          <t>VÄSTERBOTTENS LÄN</t>
        </is>
      </c>
      <c r="E9456" t="inlineStr">
        <is>
          <t>DOROTEA</t>
        </is>
      </c>
      <c r="F9456" t="inlineStr">
        <is>
          <t>SCA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21073-2023</t>
        </is>
      </c>
      <c r="B9457" s="1" t="n">
        <v>45057</v>
      </c>
      <c r="C9457" s="1" t="n">
        <v>45357</v>
      </c>
      <c r="D9457" t="inlineStr">
        <is>
          <t>VÄSTERBOTTENS LÄN</t>
        </is>
      </c>
      <c r="E9457" t="inlineStr">
        <is>
          <t>LYCKSELE</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20687-2023</t>
        </is>
      </c>
      <c r="B9458" s="1" t="n">
        <v>45058</v>
      </c>
      <c r="C9458" s="1" t="n">
        <v>45357</v>
      </c>
      <c r="D9458" t="inlineStr">
        <is>
          <t>VÄSTERBOTTENS LÄN</t>
        </is>
      </c>
      <c r="E9458" t="inlineStr">
        <is>
          <t>NORSJÖ</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20792-2023</t>
        </is>
      </c>
      <c r="B9459" s="1" t="n">
        <v>45058</v>
      </c>
      <c r="C9459" s="1" t="n">
        <v>45357</v>
      </c>
      <c r="D9459" t="inlineStr">
        <is>
          <t>VÄSTERBOTTENS LÄN</t>
        </is>
      </c>
      <c r="E9459" t="inlineStr">
        <is>
          <t>VÄNNÄS</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20803-2023</t>
        </is>
      </c>
      <c r="B9460" s="1" t="n">
        <v>45058</v>
      </c>
      <c r="C9460" s="1" t="n">
        <v>45357</v>
      </c>
      <c r="D9460" t="inlineStr">
        <is>
          <t>VÄSTERBOTTENS LÄN</t>
        </is>
      </c>
      <c r="E9460" t="inlineStr">
        <is>
          <t>NORSJÖ</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20801-2023</t>
        </is>
      </c>
      <c r="B9461" s="1" t="n">
        <v>45058</v>
      </c>
      <c r="C9461" s="1" t="n">
        <v>45357</v>
      </c>
      <c r="D9461" t="inlineStr">
        <is>
          <t>VÄSTERBOTTENS LÄN</t>
        </is>
      </c>
      <c r="E9461" t="inlineStr">
        <is>
          <t>NORSJÖ</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20858-2023</t>
        </is>
      </c>
      <c r="B9462" s="1" t="n">
        <v>45058</v>
      </c>
      <c r="C9462" s="1" t="n">
        <v>45357</v>
      </c>
      <c r="D9462" t="inlineStr">
        <is>
          <t>VÄSTERBOTTENS LÄN</t>
        </is>
      </c>
      <c r="E9462" t="inlineStr">
        <is>
          <t>UMEÅ</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21210-2023</t>
        </is>
      </c>
      <c r="B9463" s="1" t="n">
        <v>45058</v>
      </c>
      <c r="C9463" s="1" t="n">
        <v>45357</v>
      </c>
      <c r="D9463" t="inlineStr">
        <is>
          <t>VÄSTERBOTTENS LÄN</t>
        </is>
      </c>
      <c r="E9463" t="inlineStr">
        <is>
          <t>LYCKSELE</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21213-2023</t>
        </is>
      </c>
      <c r="B9464" s="1" t="n">
        <v>45058</v>
      </c>
      <c r="C9464" s="1" t="n">
        <v>45357</v>
      </c>
      <c r="D9464" t="inlineStr">
        <is>
          <t>VÄSTERBOTTENS LÄN</t>
        </is>
      </c>
      <c r="E9464" t="inlineStr">
        <is>
          <t>LYCKSELE</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21186-2023</t>
        </is>
      </c>
      <c r="B9465" s="1" t="n">
        <v>45058</v>
      </c>
      <c r="C9465" s="1" t="n">
        <v>45357</v>
      </c>
      <c r="D9465" t="inlineStr">
        <is>
          <t>VÄSTERBOTTENS LÄN</t>
        </is>
      </c>
      <c r="E9465" t="inlineStr">
        <is>
          <t>LYCKSELE</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21238-2023</t>
        </is>
      </c>
      <c r="B9466" s="1" t="n">
        <v>45058</v>
      </c>
      <c r="C9466" s="1" t="n">
        <v>45357</v>
      </c>
      <c r="D9466" t="inlineStr">
        <is>
          <t>VÄSTERBOTTENS LÄN</t>
        </is>
      </c>
      <c r="E9466" t="inlineStr">
        <is>
          <t>SKELLEFTEÅ</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21425-2023</t>
        </is>
      </c>
      <c r="B9467" s="1" t="n">
        <v>45060</v>
      </c>
      <c r="C9467" s="1" t="n">
        <v>45357</v>
      </c>
      <c r="D9467" t="inlineStr">
        <is>
          <t>VÄSTERBOTTENS LÄN</t>
        </is>
      </c>
      <c r="E9467" t="inlineStr">
        <is>
          <t>BJURHOLM</t>
        </is>
      </c>
      <c r="G9467" t="n">
        <v>8.6</v>
      </c>
      <c r="H9467" t="n">
        <v>0</v>
      </c>
      <c r="I9467" t="n">
        <v>0</v>
      </c>
      <c r="J9467" t="n">
        <v>0</v>
      </c>
      <c r="K9467" t="n">
        <v>0</v>
      </c>
      <c r="L9467" t="n">
        <v>0</v>
      </c>
      <c r="M9467" t="n">
        <v>0</v>
      </c>
      <c r="N9467" t="n">
        <v>0</v>
      </c>
      <c r="O9467" t="n">
        <v>0</v>
      </c>
      <c r="P9467" t="n">
        <v>0</v>
      </c>
      <c r="Q9467" t="n">
        <v>0</v>
      </c>
      <c r="R9467" s="2" t="inlineStr"/>
    </row>
    <row r="9468" ht="15" customHeight="1">
      <c r="A9468" t="inlineStr">
        <is>
          <t>A 20981-2023</t>
        </is>
      </c>
      <c r="B9468" s="1" t="n">
        <v>45061</v>
      </c>
      <c r="C9468" s="1" t="n">
        <v>45357</v>
      </c>
      <c r="D9468" t="inlineStr">
        <is>
          <t>VÄSTERBOTTENS LÄN</t>
        </is>
      </c>
      <c r="E9468" t="inlineStr">
        <is>
          <t>NORSJÖ</t>
        </is>
      </c>
      <c r="F9468" t="inlineStr">
        <is>
          <t>Holmen skog AB</t>
        </is>
      </c>
      <c r="G9468" t="n">
        <v>23.6</v>
      </c>
      <c r="H9468" t="n">
        <v>0</v>
      </c>
      <c r="I9468" t="n">
        <v>0</v>
      </c>
      <c r="J9468" t="n">
        <v>0</v>
      </c>
      <c r="K9468" t="n">
        <v>0</v>
      </c>
      <c r="L9468" t="n">
        <v>0</v>
      </c>
      <c r="M9468" t="n">
        <v>0</v>
      </c>
      <c r="N9468" t="n">
        <v>0</v>
      </c>
      <c r="O9468" t="n">
        <v>0</v>
      </c>
      <c r="P9468" t="n">
        <v>0</v>
      </c>
      <c r="Q9468" t="n">
        <v>0</v>
      </c>
      <c r="R9468" s="2" t="inlineStr"/>
    </row>
    <row r="9469" ht="15" customHeight="1">
      <c r="A9469" t="inlineStr">
        <is>
          <t>A 21056-2023</t>
        </is>
      </c>
      <c r="B9469" s="1" t="n">
        <v>45061</v>
      </c>
      <c r="C9469" s="1" t="n">
        <v>45357</v>
      </c>
      <c r="D9469" t="inlineStr">
        <is>
          <t>VÄSTERBOTTENS LÄN</t>
        </is>
      </c>
      <c r="E9469" t="inlineStr">
        <is>
          <t>NORDMALING</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21099-2023</t>
        </is>
      </c>
      <c r="B9470" s="1" t="n">
        <v>45061</v>
      </c>
      <c r="C9470" s="1" t="n">
        <v>45357</v>
      </c>
      <c r="D9470" t="inlineStr">
        <is>
          <t>VÄSTERBOTTENS LÄN</t>
        </is>
      </c>
      <c r="E9470" t="inlineStr">
        <is>
          <t>NORSJÖ</t>
        </is>
      </c>
      <c r="G9470" t="n">
        <v>14.4</v>
      </c>
      <c r="H9470" t="n">
        <v>0</v>
      </c>
      <c r="I9470" t="n">
        <v>0</v>
      </c>
      <c r="J9470" t="n">
        <v>0</v>
      </c>
      <c r="K9470" t="n">
        <v>0</v>
      </c>
      <c r="L9470" t="n">
        <v>0</v>
      </c>
      <c r="M9470" t="n">
        <v>0</v>
      </c>
      <c r="N9470" t="n">
        <v>0</v>
      </c>
      <c r="O9470" t="n">
        <v>0</v>
      </c>
      <c r="P9470" t="n">
        <v>0</v>
      </c>
      <c r="Q9470" t="n">
        <v>0</v>
      </c>
      <c r="R9470" s="2" t="inlineStr"/>
    </row>
    <row r="9471" ht="15" customHeight="1">
      <c r="A9471" t="inlineStr">
        <is>
          <t>A 21103-2023</t>
        </is>
      </c>
      <c r="B9471" s="1" t="n">
        <v>45061</v>
      </c>
      <c r="C9471" s="1" t="n">
        <v>45357</v>
      </c>
      <c r="D9471" t="inlineStr">
        <is>
          <t>VÄSTERBOTTENS LÄN</t>
        </is>
      </c>
      <c r="E9471" t="inlineStr">
        <is>
          <t>VINDELN</t>
        </is>
      </c>
      <c r="F9471" t="inlineStr">
        <is>
          <t>SCA</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21107-2023</t>
        </is>
      </c>
      <c r="B9472" s="1" t="n">
        <v>45061</v>
      </c>
      <c r="C9472" s="1" t="n">
        <v>45357</v>
      </c>
      <c r="D9472" t="inlineStr">
        <is>
          <t>VÄSTERBOTTENS LÄN</t>
        </is>
      </c>
      <c r="E9472" t="inlineStr">
        <is>
          <t>ÅSELE</t>
        </is>
      </c>
      <c r="F9472" t="inlineStr">
        <is>
          <t>SCA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21006-2023</t>
        </is>
      </c>
      <c r="B9473" s="1" t="n">
        <v>45061</v>
      </c>
      <c r="C9473" s="1" t="n">
        <v>45357</v>
      </c>
      <c r="D9473" t="inlineStr">
        <is>
          <t>VÄSTERBOTTENS LÄN</t>
        </is>
      </c>
      <c r="E9473" t="inlineStr">
        <is>
          <t>VINDELN</t>
        </is>
      </c>
      <c r="F9473" t="inlineStr">
        <is>
          <t>Holmen skog AB</t>
        </is>
      </c>
      <c r="G9473" t="n">
        <v>8.6</v>
      </c>
      <c r="H9473" t="n">
        <v>0</v>
      </c>
      <c r="I9473" t="n">
        <v>0</v>
      </c>
      <c r="J9473" t="n">
        <v>0</v>
      </c>
      <c r="K9473" t="n">
        <v>0</v>
      </c>
      <c r="L9473" t="n">
        <v>0</v>
      </c>
      <c r="M9473" t="n">
        <v>0</v>
      </c>
      <c r="N9473" t="n">
        <v>0</v>
      </c>
      <c r="O9473" t="n">
        <v>0</v>
      </c>
      <c r="P9473" t="n">
        <v>0</v>
      </c>
      <c r="Q9473" t="n">
        <v>0</v>
      </c>
      <c r="R9473" s="2" t="inlineStr"/>
    </row>
    <row r="9474" ht="15" customHeight="1">
      <c r="A9474" t="inlineStr">
        <is>
          <t>A 21098-2023</t>
        </is>
      </c>
      <c r="B9474" s="1" t="n">
        <v>45062</v>
      </c>
      <c r="C9474" s="1" t="n">
        <v>45357</v>
      </c>
      <c r="D9474" t="inlineStr">
        <is>
          <t>VÄSTERBOTTENS LÄN</t>
        </is>
      </c>
      <c r="E9474" t="inlineStr">
        <is>
          <t>VINDELN</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21104-2023</t>
        </is>
      </c>
      <c r="B9475" s="1" t="n">
        <v>45061</v>
      </c>
      <c r="C9475" s="1" t="n">
        <v>45357</v>
      </c>
      <c r="D9475" t="inlineStr">
        <is>
          <t>VÄSTERBOTTENS LÄN</t>
        </is>
      </c>
      <c r="E9475" t="inlineStr">
        <is>
          <t>VINDELN</t>
        </is>
      </c>
      <c r="F9475" t="inlineStr">
        <is>
          <t>SCA</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21108-2023</t>
        </is>
      </c>
      <c r="B9476" s="1" t="n">
        <v>45061</v>
      </c>
      <c r="C9476" s="1" t="n">
        <v>45357</v>
      </c>
      <c r="D9476" t="inlineStr">
        <is>
          <t>VÄSTERBOTTENS LÄN</t>
        </is>
      </c>
      <c r="E9476" t="inlineStr">
        <is>
          <t>VINDELN</t>
        </is>
      </c>
      <c r="F9476" t="inlineStr">
        <is>
          <t>SCA</t>
        </is>
      </c>
      <c r="G9476" t="n">
        <v>13.7</v>
      </c>
      <c r="H9476" t="n">
        <v>0</v>
      </c>
      <c r="I9476" t="n">
        <v>0</v>
      </c>
      <c r="J9476" t="n">
        <v>0</v>
      </c>
      <c r="K9476" t="n">
        <v>0</v>
      </c>
      <c r="L9476" t="n">
        <v>0</v>
      </c>
      <c r="M9476" t="n">
        <v>0</v>
      </c>
      <c r="N9476" t="n">
        <v>0</v>
      </c>
      <c r="O9476" t="n">
        <v>0</v>
      </c>
      <c r="P9476" t="n">
        <v>0</v>
      </c>
      <c r="Q9476" t="n">
        <v>0</v>
      </c>
      <c r="R9476" s="2" t="inlineStr"/>
    </row>
    <row r="9477" ht="15" customHeight="1">
      <c r="A9477" t="inlineStr">
        <is>
          <t>A 20992-2023</t>
        </is>
      </c>
      <c r="B9477" s="1" t="n">
        <v>45061</v>
      </c>
      <c r="C9477" s="1" t="n">
        <v>45357</v>
      </c>
      <c r="D9477" t="inlineStr">
        <is>
          <t>VÄSTERBOTTENS LÄN</t>
        </is>
      </c>
      <c r="E9477" t="inlineStr">
        <is>
          <t>LYCKSELE</t>
        </is>
      </c>
      <c r="F9477" t="inlineStr">
        <is>
          <t>Holmen skog AB</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21105-2023</t>
        </is>
      </c>
      <c r="B9478" s="1" t="n">
        <v>45062</v>
      </c>
      <c r="C9478" s="1" t="n">
        <v>45357</v>
      </c>
      <c r="D9478" t="inlineStr">
        <is>
          <t>VÄSTERBOTTENS LÄN</t>
        </is>
      </c>
      <c r="E9478" t="inlineStr">
        <is>
          <t>LYCKSELE</t>
        </is>
      </c>
      <c r="F9478" t="inlineStr">
        <is>
          <t>SCA</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21109-2023</t>
        </is>
      </c>
      <c r="B9479" s="1" t="n">
        <v>45062</v>
      </c>
      <c r="C9479" s="1" t="n">
        <v>45357</v>
      </c>
      <c r="D9479" t="inlineStr">
        <is>
          <t>VÄSTERBOTTENS LÄN</t>
        </is>
      </c>
      <c r="E9479" t="inlineStr">
        <is>
          <t>LYCKSELE</t>
        </is>
      </c>
      <c r="F9479" t="inlineStr">
        <is>
          <t>SCA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21121-2023</t>
        </is>
      </c>
      <c r="B9480" s="1" t="n">
        <v>45062</v>
      </c>
      <c r="C9480" s="1" t="n">
        <v>45357</v>
      </c>
      <c r="D9480" t="inlineStr">
        <is>
          <t>VÄSTERBOTTENS LÄN</t>
        </is>
      </c>
      <c r="E9480" t="inlineStr">
        <is>
          <t>NORDMALING</t>
        </is>
      </c>
      <c r="F9480" t="inlineStr">
        <is>
          <t>SCA</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21239-2023</t>
        </is>
      </c>
      <c r="B9481" s="1" t="n">
        <v>45062</v>
      </c>
      <c r="C9481" s="1" t="n">
        <v>45357</v>
      </c>
      <c r="D9481" t="inlineStr">
        <is>
          <t>VÄSTERBOTTENS LÄN</t>
        </is>
      </c>
      <c r="E9481" t="inlineStr">
        <is>
          <t>NORSJÖ</t>
        </is>
      </c>
      <c r="G9481" t="n">
        <v>11.2</v>
      </c>
      <c r="H9481" t="n">
        <v>0</v>
      </c>
      <c r="I9481" t="n">
        <v>0</v>
      </c>
      <c r="J9481" t="n">
        <v>0</v>
      </c>
      <c r="K9481" t="n">
        <v>0</v>
      </c>
      <c r="L9481" t="n">
        <v>0</v>
      </c>
      <c r="M9481" t="n">
        <v>0</v>
      </c>
      <c r="N9481" t="n">
        <v>0</v>
      </c>
      <c r="O9481" t="n">
        <v>0</v>
      </c>
      <c r="P9481" t="n">
        <v>0</v>
      </c>
      <c r="Q9481" t="n">
        <v>0</v>
      </c>
      <c r="R9481" s="2" t="inlineStr"/>
    </row>
    <row r="9482" ht="15" customHeight="1">
      <c r="A9482" t="inlineStr">
        <is>
          <t>A 21336-2023</t>
        </is>
      </c>
      <c r="B9482" s="1" t="n">
        <v>45062</v>
      </c>
      <c r="C9482" s="1" t="n">
        <v>45357</v>
      </c>
      <c r="D9482" t="inlineStr">
        <is>
          <t>VÄSTERBOTTENS LÄN</t>
        </is>
      </c>
      <c r="E9482" t="inlineStr">
        <is>
          <t>SKELLEFTEÅ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21565-2023</t>
        </is>
      </c>
      <c r="B9483" s="1" t="n">
        <v>45062</v>
      </c>
      <c r="C9483" s="1" t="n">
        <v>45357</v>
      </c>
      <c r="D9483" t="inlineStr">
        <is>
          <t>VÄSTERBOTTENS LÄN</t>
        </is>
      </c>
      <c r="E9483" t="inlineStr">
        <is>
          <t>SKELLEFTEÅ</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21622-2023</t>
        </is>
      </c>
      <c r="B9484" s="1" t="n">
        <v>45062</v>
      </c>
      <c r="C9484" s="1" t="n">
        <v>45357</v>
      </c>
      <c r="D9484" t="inlineStr">
        <is>
          <t>VÄSTERBOTTENS LÄN</t>
        </is>
      </c>
      <c r="E9484" t="inlineStr">
        <is>
          <t>NORDMALING</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21334-2023</t>
        </is>
      </c>
      <c r="B9485" s="1" t="n">
        <v>45062</v>
      </c>
      <c r="C9485" s="1" t="n">
        <v>45357</v>
      </c>
      <c r="D9485" t="inlineStr">
        <is>
          <t>VÄSTERBOTTENS LÄN</t>
        </is>
      </c>
      <c r="E9485" t="inlineStr">
        <is>
          <t>VILHELMINA</t>
        </is>
      </c>
      <c r="G9485" t="n">
        <v>20</v>
      </c>
      <c r="H9485" t="n">
        <v>0</v>
      </c>
      <c r="I9485" t="n">
        <v>0</v>
      </c>
      <c r="J9485" t="n">
        <v>0</v>
      </c>
      <c r="K9485" t="n">
        <v>0</v>
      </c>
      <c r="L9485" t="n">
        <v>0</v>
      </c>
      <c r="M9485" t="n">
        <v>0</v>
      </c>
      <c r="N9485" t="n">
        <v>0</v>
      </c>
      <c r="O9485" t="n">
        <v>0</v>
      </c>
      <c r="P9485" t="n">
        <v>0</v>
      </c>
      <c r="Q9485" t="n">
        <v>0</v>
      </c>
      <c r="R9485" s="2" t="inlineStr"/>
    </row>
    <row r="9486" ht="15" customHeight="1">
      <c r="A9486" t="inlineStr">
        <is>
          <t>A 21463-2023</t>
        </is>
      </c>
      <c r="B9486" s="1" t="n">
        <v>45063</v>
      </c>
      <c r="C9486" s="1" t="n">
        <v>45357</v>
      </c>
      <c r="D9486" t="inlineStr">
        <is>
          <t>VÄSTERBOTTENS LÄN</t>
        </is>
      </c>
      <c r="E9486" t="inlineStr">
        <is>
          <t>SKELLEFTEÅ</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21368-2023</t>
        </is>
      </c>
      <c r="B9487" s="1" t="n">
        <v>45063</v>
      </c>
      <c r="C9487" s="1" t="n">
        <v>45357</v>
      </c>
      <c r="D9487" t="inlineStr">
        <is>
          <t>VÄSTERBOTTENS LÄN</t>
        </is>
      </c>
      <c r="E9487" t="inlineStr">
        <is>
          <t>LYCKSELE</t>
        </is>
      </c>
      <c r="F9487" t="inlineStr">
        <is>
          <t>Naturvårdsverket</t>
        </is>
      </c>
      <c r="G9487" t="n">
        <v>27.9</v>
      </c>
      <c r="H9487" t="n">
        <v>0</v>
      </c>
      <c r="I9487" t="n">
        <v>0</v>
      </c>
      <c r="J9487" t="n">
        <v>0</v>
      </c>
      <c r="K9487" t="n">
        <v>0</v>
      </c>
      <c r="L9487" t="n">
        <v>0</v>
      </c>
      <c r="M9487" t="n">
        <v>0</v>
      </c>
      <c r="N9487" t="n">
        <v>0</v>
      </c>
      <c r="O9487" t="n">
        <v>0</v>
      </c>
      <c r="P9487" t="n">
        <v>0</v>
      </c>
      <c r="Q9487" t="n">
        <v>0</v>
      </c>
      <c r="R9487" s="2" t="inlineStr"/>
    </row>
    <row r="9488" ht="15" customHeight="1">
      <c r="A9488" t="inlineStr">
        <is>
          <t>A 21420-2023</t>
        </is>
      </c>
      <c r="B9488" s="1" t="n">
        <v>45063</v>
      </c>
      <c r="C9488" s="1" t="n">
        <v>45357</v>
      </c>
      <c r="D9488" t="inlineStr">
        <is>
          <t>VÄSTERBOTTENS LÄN</t>
        </is>
      </c>
      <c r="E9488" t="inlineStr">
        <is>
          <t>ROBERTSFORS</t>
        </is>
      </c>
      <c r="F9488" t="inlineStr">
        <is>
          <t>Holmen skog AB</t>
        </is>
      </c>
      <c r="G9488" t="n">
        <v>10.1</v>
      </c>
      <c r="H9488" t="n">
        <v>0</v>
      </c>
      <c r="I9488" t="n">
        <v>0</v>
      </c>
      <c r="J9488" t="n">
        <v>0</v>
      </c>
      <c r="K9488" t="n">
        <v>0</v>
      </c>
      <c r="L9488" t="n">
        <v>0</v>
      </c>
      <c r="M9488" t="n">
        <v>0</v>
      </c>
      <c r="N9488" t="n">
        <v>0</v>
      </c>
      <c r="O9488" t="n">
        <v>0</v>
      </c>
      <c r="P9488" t="n">
        <v>0</v>
      </c>
      <c r="Q9488" t="n">
        <v>0</v>
      </c>
      <c r="R9488" s="2" t="inlineStr"/>
    </row>
    <row r="9489" ht="15" customHeight="1">
      <c r="A9489" t="inlineStr">
        <is>
          <t>A 21502-2023</t>
        </is>
      </c>
      <c r="B9489" s="1" t="n">
        <v>45063</v>
      </c>
      <c r="C9489" s="1" t="n">
        <v>45357</v>
      </c>
      <c r="D9489" t="inlineStr">
        <is>
          <t>VÄSTERBOTTENS LÄN</t>
        </is>
      </c>
      <c r="E9489" t="inlineStr">
        <is>
          <t>LYCKSELE</t>
        </is>
      </c>
      <c r="G9489" t="n">
        <v>11.4</v>
      </c>
      <c r="H9489" t="n">
        <v>0</v>
      </c>
      <c r="I9489" t="n">
        <v>0</v>
      </c>
      <c r="J9489" t="n">
        <v>0</v>
      </c>
      <c r="K9489" t="n">
        <v>0</v>
      </c>
      <c r="L9489" t="n">
        <v>0</v>
      </c>
      <c r="M9489" t="n">
        <v>0</v>
      </c>
      <c r="N9489" t="n">
        <v>0</v>
      </c>
      <c r="O9489" t="n">
        <v>0</v>
      </c>
      <c r="P9489" t="n">
        <v>0</v>
      </c>
      <c r="Q9489" t="n">
        <v>0</v>
      </c>
      <c r="R9489" s="2" t="inlineStr"/>
    </row>
    <row r="9490" ht="15" customHeight="1">
      <c r="A9490" t="inlineStr">
        <is>
          <t>A 21536-2023</t>
        </is>
      </c>
      <c r="B9490" s="1" t="n">
        <v>45063</v>
      </c>
      <c r="C9490" s="1" t="n">
        <v>45357</v>
      </c>
      <c r="D9490" t="inlineStr">
        <is>
          <t>VÄSTERBOTTENS LÄN</t>
        </is>
      </c>
      <c r="E9490" t="inlineStr">
        <is>
          <t>VINDELN</t>
        </is>
      </c>
      <c r="G9490" t="n">
        <v>29.5</v>
      </c>
      <c r="H9490" t="n">
        <v>0</v>
      </c>
      <c r="I9490" t="n">
        <v>0</v>
      </c>
      <c r="J9490" t="n">
        <v>0</v>
      </c>
      <c r="K9490" t="n">
        <v>0</v>
      </c>
      <c r="L9490" t="n">
        <v>0</v>
      </c>
      <c r="M9490" t="n">
        <v>0</v>
      </c>
      <c r="N9490" t="n">
        <v>0</v>
      </c>
      <c r="O9490" t="n">
        <v>0</v>
      </c>
      <c r="P9490" t="n">
        <v>0</v>
      </c>
      <c r="Q9490" t="n">
        <v>0</v>
      </c>
      <c r="R9490" s="2" t="inlineStr"/>
    </row>
    <row r="9491" ht="15" customHeight="1">
      <c r="A9491" t="inlineStr">
        <is>
          <t>A 21573-2023</t>
        </is>
      </c>
      <c r="B9491" s="1" t="n">
        <v>45063</v>
      </c>
      <c r="C9491" s="1" t="n">
        <v>45357</v>
      </c>
      <c r="D9491" t="inlineStr">
        <is>
          <t>VÄSTERBOTTENS LÄN</t>
        </is>
      </c>
      <c r="E9491" t="inlineStr">
        <is>
          <t>VINDELN</t>
        </is>
      </c>
      <c r="G9491" t="n">
        <v>14.1</v>
      </c>
      <c r="H9491" t="n">
        <v>0</v>
      </c>
      <c r="I9491" t="n">
        <v>0</v>
      </c>
      <c r="J9491" t="n">
        <v>0</v>
      </c>
      <c r="K9491" t="n">
        <v>0</v>
      </c>
      <c r="L9491" t="n">
        <v>0</v>
      </c>
      <c r="M9491" t="n">
        <v>0</v>
      </c>
      <c r="N9491" t="n">
        <v>0</v>
      </c>
      <c r="O9491" t="n">
        <v>0</v>
      </c>
      <c r="P9491" t="n">
        <v>0</v>
      </c>
      <c r="Q9491" t="n">
        <v>0</v>
      </c>
      <c r="R9491" s="2" t="inlineStr"/>
    </row>
    <row r="9492" ht="15" customHeight="1">
      <c r="A9492" t="inlineStr">
        <is>
          <t>A 21590-2023</t>
        </is>
      </c>
      <c r="B9492" s="1" t="n">
        <v>45063</v>
      </c>
      <c r="C9492" s="1" t="n">
        <v>45357</v>
      </c>
      <c r="D9492" t="inlineStr">
        <is>
          <t>VÄSTERBOTTENS LÄN</t>
        </is>
      </c>
      <c r="E9492" t="inlineStr">
        <is>
          <t>SORSELE</t>
        </is>
      </c>
      <c r="G9492" t="n">
        <v>54.1</v>
      </c>
      <c r="H9492" t="n">
        <v>0</v>
      </c>
      <c r="I9492" t="n">
        <v>0</v>
      </c>
      <c r="J9492" t="n">
        <v>0</v>
      </c>
      <c r="K9492" t="n">
        <v>0</v>
      </c>
      <c r="L9492" t="n">
        <v>0</v>
      </c>
      <c r="M9492" t="n">
        <v>0</v>
      </c>
      <c r="N9492" t="n">
        <v>0</v>
      </c>
      <c r="O9492" t="n">
        <v>0</v>
      </c>
      <c r="P9492" t="n">
        <v>0</v>
      </c>
      <c r="Q9492" t="n">
        <v>0</v>
      </c>
      <c r="R9492" s="2" t="inlineStr"/>
    </row>
    <row r="9493" ht="15" customHeight="1">
      <c r="A9493" t="inlineStr">
        <is>
          <t>A 21660-2023</t>
        </is>
      </c>
      <c r="B9493" s="1" t="n">
        <v>45063</v>
      </c>
      <c r="C9493" s="1" t="n">
        <v>45357</v>
      </c>
      <c r="D9493" t="inlineStr">
        <is>
          <t>VÄSTERBOTTENS LÄN</t>
        </is>
      </c>
      <c r="E9493" t="inlineStr">
        <is>
          <t>LYCKSELE</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21638-2023</t>
        </is>
      </c>
      <c r="B9494" s="1" t="n">
        <v>45063</v>
      </c>
      <c r="C9494" s="1" t="n">
        <v>45357</v>
      </c>
      <c r="D9494" t="inlineStr">
        <is>
          <t>VÄSTERBOTTENS LÄN</t>
        </is>
      </c>
      <c r="E9494" t="inlineStr">
        <is>
          <t>VINDELN</t>
        </is>
      </c>
      <c r="G9494" t="n">
        <v>10</v>
      </c>
      <c r="H9494" t="n">
        <v>0</v>
      </c>
      <c r="I9494" t="n">
        <v>0</v>
      </c>
      <c r="J9494" t="n">
        <v>0</v>
      </c>
      <c r="K9494" t="n">
        <v>0</v>
      </c>
      <c r="L9494" t="n">
        <v>0</v>
      </c>
      <c r="M9494" t="n">
        <v>0</v>
      </c>
      <c r="N9494" t="n">
        <v>0</v>
      </c>
      <c r="O9494" t="n">
        <v>0</v>
      </c>
      <c r="P9494" t="n">
        <v>0</v>
      </c>
      <c r="Q9494" t="n">
        <v>0</v>
      </c>
      <c r="R9494" s="2" t="inlineStr"/>
    </row>
    <row r="9495" ht="15" customHeight="1">
      <c r="A9495" t="inlineStr">
        <is>
          <t>A 21664-2023</t>
        </is>
      </c>
      <c r="B9495" s="1" t="n">
        <v>45064</v>
      </c>
      <c r="C9495" s="1" t="n">
        <v>45357</v>
      </c>
      <c r="D9495" t="inlineStr">
        <is>
          <t>VÄSTERBOTTENS LÄN</t>
        </is>
      </c>
      <c r="E9495" t="inlineStr">
        <is>
          <t>LYCKSELE</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21736-2023</t>
        </is>
      </c>
      <c r="B9496" s="1" t="n">
        <v>45063</v>
      </c>
      <c r="C9496" s="1" t="n">
        <v>45357</v>
      </c>
      <c r="D9496" t="inlineStr">
        <is>
          <t>VÄSTERBOTTENS LÄN</t>
        </is>
      </c>
      <c r="E9496" t="inlineStr">
        <is>
          <t>VINDELN</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21688-2023</t>
        </is>
      </c>
      <c r="B9497" s="1" t="n">
        <v>45063</v>
      </c>
      <c r="C9497" s="1" t="n">
        <v>45357</v>
      </c>
      <c r="D9497" t="inlineStr">
        <is>
          <t>VÄSTERBOTTENS LÄN</t>
        </is>
      </c>
      <c r="E9497" t="inlineStr">
        <is>
          <t>BJURHOLM</t>
        </is>
      </c>
      <c r="F9497" t="inlineStr">
        <is>
          <t>SCA</t>
        </is>
      </c>
      <c r="G9497" t="n">
        <v>29.4</v>
      </c>
      <c r="H9497" t="n">
        <v>0</v>
      </c>
      <c r="I9497" t="n">
        <v>0</v>
      </c>
      <c r="J9497" t="n">
        <v>0</v>
      </c>
      <c r="K9497" t="n">
        <v>0</v>
      </c>
      <c r="L9497" t="n">
        <v>0</v>
      </c>
      <c r="M9497" t="n">
        <v>0</v>
      </c>
      <c r="N9497" t="n">
        <v>0</v>
      </c>
      <c r="O9497" t="n">
        <v>0</v>
      </c>
      <c r="P9497" t="n">
        <v>0</v>
      </c>
      <c r="Q9497" t="n">
        <v>0</v>
      </c>
      <c r="R9497" s="2" t="inlineStr"/>
    </row>
    <row r="9498" ht="15" customHeight="1">
      <c r="A9498" t="inlineStr">
        <is>
          <t>A 21675-2023</t>
        </is>
      </c>
      <c r="B9498" s="1" t="n">
        <v>45064</v>
      </c>
      <c r="C9498" s="1" t="n">
        <v>45357</v>
      </c>
      <c r="D9498" t="inlineStr">
        <is>
          <t>VÄSTERBOTTENS LÄN</t>
        </is>
      </c>
      <c r="E9498" t="inlineStr">
        <is>
          <t>BJURHOLM</t>
        </is>
      </c>
      <c r="F9498" t="inlineStr">
        <is>
          <t>SCA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21712-2023</t>
        </is>
      </c>
      <c r="B9499" s="1" t="n">
        <v>45064</v>
      </c>
      <c r="C9499" s="1" t="n">
        <v>45357</v>
      </c>
      <c r="D9499" t="inlineStr">
        <is>
          <t>VÄSTERBOTTENS LÄN</t>
        </is>
      </c>
      <c r="E9499" t="inlineStr">
        <is>
          <t>DOROTEA</t>
        </is>
      </c>
      <c r="F9499" t="inlineStr">
        <is>
          <t>SCA</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21743-2023</t>
        </is>
      </c>
      <c r="B9500" s="1" t="n">
        <v>45065</v>
      </c>
      <c r="C9500" s="1" t="n">
        <v>45357</v>
      </c>
      <c r="D9500" t="inlineStr">
        <is>
          <t>VÄSTERBOTTENS LÄN</t>
        </is>
      </c>
      <c r="E9500" t="inlineStr">
        <is>
          <t>UMEÅ</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21917-2023</t>
        </is>
      </c>
      <c r="B9501" s="1" t="n">
        <v>45065</v>
      </c>
      <c r="C9501" s="1" t="n">
        <v>45357</v>
      </c>
      <c r="D9501" t="inlineStr">
        <is>
          <t>VÄSTERBOTTENS LÄN</t>
        </is>
      </c>
      <c r="E9501" t="inlineStr">
        <is>
          <t>UMEÅ</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21918-2023</t>
        </is>
      </c>
      <c r="B9502" s="1" t="n">
        <v>45065</v>
      </c>
      <c r="C9502" s="1" t="n">
        <v>45357</v>
      </c>
      <c r="D9502" t="inlineStr">
        <is>
          <t>VÄSTERBOTTENS LÄN</t>
        </is>
      </c>
      <c r="E9502" t="inlineStr">
        <is>
          <t>NORDMALING</t>
        </is>
      </c>
      <c r="G9502" t="n">
        <v>9.9</v>
      </c>
      <c r="H9502" t="n">
        <v>0</v>
      </c>
      <c r="I9502" t="n">
        <v>0</v>
      </c>
      <c r="J9502" t="n">
        <v>0</v>
      </c>
      <c r="K9502" t="n">
        <v>0</v>
      </c>
      <c r="L9502" t="n">
        <v>0</v>
      </c>
      <c r="M9502" t="n">
        <v>0</v>
      </c>
      <c r="N9502" t="n">
        <v>0</v>
      </c>
      <c r="O9502" t="n">
        <v>0</v>
      </c>
      <c r="P9502" t="n">
        <v>0</v>
      </c>
      <c r="Q9502" t="n">
        <v>0</v>
      </c>
      <c r="R9502" s="2" t="inlineStr"/>
    </row>
    <row r="9503" ht="15" customHeight="1">
      <c r="A9503" t="inlineStr">
        <is>
          <t>A 21835-2023</t>
        </is>
      </c>
      <c r="B9503" s="1" t="n">
        <v>45068</v>
      </c>
      <c r="C9503" s="1" t="n">
        <v>45357</v>
      </c>
      <c r="D9503" t="inlineStr">
        <is>
          <t>VÄSTERBOTTENS LÄN</t>
        </is>
      </c>
      <c r="E9503" t="inlineStr">
        <is>
          <t>VINDELN</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22002-2023</t>
        </is>
      </c>
      <c r="B9504" s="1" t="n">
        <v>45069</v>
      </c>
      <c r="C9504" s="1" t="n">
        <v>45357</v>
      </c>
      <c r="D9504" t="inlineStr">
        <is>
          <t>VÄSTERBOTTENS LÄN</t>
        </is>
      </c>
      <c r="E9504" t="inlineStr">
        <is>
          <t>VÄNNÄS</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22006-2023</t>
        </is>
      </c>
      <c r="B9505" s="1" t="n">
        <v>45068</v>
      </c>
      <c r="C9505" s="1" t="n">
        <v>45357</v>
      </c>
      <c r="D9505" t="inlineStr">
        <is>
          <t>VÄSTERBOTTENS LÄN</t>
        </is>
      </c>
      <c r="E9505" t="inlineStr">
        <is>
          <t>BJURHOLM</t>
        </is>
      </c>
      <c r="F9505" t="inlineStr">
        <is>
          <t>SCA</t>
        </is>
      </c>
      <c r="G9505" t="n">
        <v>54.7</v>
      </c>
      <c r="H9505" t="n">
        <v>0</v>
      </c>
      <c r="I9505" t="n">
        <v>0</v>
      </c>
      <c r="J9505" t="n">
        <v>0</v>
      </c>
      <c r="K9505" t="n">
        <v>0</v>
      </c>
      <c r="L9505" t="n">
        <v>0</v>
      </c>
      <c r="M9505" t="n">
        <v>0</v>
      </c>
      <c r="N9505" t="n">
        <v>0</v>
      </c>
      <c r="O9505" t="n">
        <v>0</v>
      </c>
      <c r="P9505" t="n">
        <v>0</v>
      </c>
      <c r="Q9505" t="n">
        <v>0</v>
      </c>
      <c r="R9505" s="2" t="inlineStr"/>
    </row>
    <row r="9506" ht="15" customHeight="1">
      <c r="A9506" t="inlineStr">
        <is>
          <t>A 22001-2023</t>
        </is>
      </c>
      <c r="B9506" s="1" t="n">
        <v>45069</v>
      </c>
      <c r="C9506" s="1" t="n">
        <v>45357</v>
      </c>
      <c r="D9506" t="inlineStr">
        <is>
          <t>VÄSTERBOTTENS LÄN</t>
        </is>
      </c>
      <c r="E9506" t="inlineStr">
        <is>
          <t>BJURHOLM</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22009-2023</t>
        </is>
      </c>
      <c r="B9507" s="1" t="n">
        <v>45069</v>
      </c>
      <c r="C9507" s="1" t="n">
        <v>45357</v>
      </c>
      <c r="D9507" t="inlineStr">
        <is>
          <t>VÄSTERBOTTENS LÄN</t>
        </is>
      </c>
      <c r="E9507" t="inlineStr">
        <is>
          <t>NORDMALING</t>
        </is>
      </c>
      <c r="F9507" t="inlineStr">
        <is>
          <t>SCA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22123-2023</t>
        </is>
      </c>
      <c r="B9508" s="1" t="n">
        <v>45068</v>
      </c>
      <c r="C9508" s="1" t="n">
        <v>45357</v>
      </c>
      <c r="D9508" t="inlineStr">
        <is>
          <t>VÄSTERBOTTENS LÄN</t>
        </is>
      </c>
      <c r="E9508" t="inlineStr">
        <is>
          <t>ÅSELE</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21996-2023</t>
        </is>
      </c>
      <c r="B9509" s="1" t="n">
        <v>45069</v>
      </c>
      <c r="C9509" s="1" t="n">
        <v>45357</v>
      </c>
      <c r="D9509" t="inlineStr">
        <is>
          <t>VÄSTERBOTTENS LÄN</t>
        </is>
      </c>
      <c r="E9509" t="inlineStr">
        <is>
          <t>NORSJÖ</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22000-2023</t>
        </is>
      </c>
      <c r="B9510" s="1" t="n">
        <v>45069</v>
      </c>
      <c r="C9510" s="1" t="n">
        <v>45357</v>
      </c>
      <c r="D9510" t="inlineStr">
        <is>
          <t>VÄSTERBOTTENS LÄN</t>
        </is>
      </c>
      <c r="E9510" t="inlineStr">
        <is>
          <t>UMEÅ</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22095-2023</t>
        </is>
      </c>
      <c r="B9511" s="1" t="n">
        <v>45068</v>
      </c>
      <c r="C9511" s="1" t="n">
        <v>45357</v>
      </c>
      <c r="D9511" t="inlineStr">
        <is>
          <t>VÄSTERBOTTENS LÄN</t>
        </is>
      </c>
      <c r="E9511" t="inlineStr">
        <is>
          <t>ÅSELE</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22037-2023</t>
        </is>
      </c>
      <c r="B9512" s="1" t="n">
        <v>45068</v>
      </c>
      <c r="C9512" s="1" t="n">
        <v>45357</v>
      </c>
      <c r="D9512" t="inlineStr">
        <is>
          <t>VÄSTERBOTTENS LÄN</t>
        </is>
      </c>
      <c r="E9512" t="inlineStr">
        <is>
          <t>ÅSELE</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22078-2023</t>
        </is>
      </c>
      <c r="B9513" s="1" t="n">
        <v>45068</v>
      </c>
      <c r="C9513" s="1" t="n">
        <v>45357</v>
      </c>
      <c r="D9513" t="inlineStr">
        <is>
          <t>VÄSTERBOTTENS LÄN</t>
        </is>
      </c>
      <c r="E9513" t="inlineStr">
        <is>
          <t>ÅSELE</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22103-2023</t>
        </is>
      </c>
      <c r="B9514" s="1" t="n">
        <v>45068</v>
      </c>
      <c r="C9514" s="1" t="n">
        <v>45357</v>
      </c>
      <c r="D9514" t="inlineStr">
        <is>
          <t>VÄSTERBOTTENS LÄN</t>
        </is>
      </c>
      <c r="E9514" t="inlineStr">
        <is>
          <t>BJURHOLM</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22152-2023</t>
        </is>
      </c>
      <c r="B9515" s="1" t="n">
        <v>45068</v>
      </c>
      <c r="C9515" s="1" t="n">
        <v>45357</v>
      </c>
      <c r="D9515" t="inlineStr">
        <is>
          <t>VÄSTERBOTTENS LÄN</t>
        </is>
      </c>
      <c r="E9515" t="inlineStr">
        <is>
          <t>VINDELN</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22289-2023</t>
        </is>
      </c>
      <c r="B9516" s="1" t="n">
        <v>45068</v>
      </c>
      <c r="C9516" s="1" t="n">
        <v>45357</v>
      </c>
      <c r="D9516" t="inlineStr">
        <is>
          <t>VÄSTERBOTTENS LÄN</t>
        </is>
      </c>
      <c r="E9516" t="inlineStr">
        <is>
          <t>SORSELE</t>
        </is>
      </c>
      <c r="G9516" t="n">
        <v>47.5</v>
      </c>
      <c r="H9516" t="n">
        <v>0</v>
      </c>
      <c r="I9516" t="n">
        <v>0</v>
      </c>
      <c r="J9516" t="n">
        <v>0</v>
      </c>
      <c r="K9516" t="n">
        <v>0</v>
      </c>
      <c r="L9516" t="n">
        <v>0</v>
      </c>
      <c r="M9516" t="n">
        <v>0</v>
      </c>
      <c r="N9516" t="n">
        <v>0</v>
      </c>
      <c r="O9516" t="n">
        <v>0</v>
      </c>
      <c r="P9516" t="n">
        <v>0</v>
      </c>
      <c r="Q9516" t="n">
        <v>0</v>
      </c>
      <c r="R9516" s="2" t="inlineStr"/>
    </row>
    <row r="9517" ht="15" customHeight="1">
      <c r="A9517" t="inlineStr">
        <is>
          <t>A 22003-2023</t>
        </is>
      </c>
      <c r="B9517" s="1" t="n">
        <v>45068</v>
      </c>
      <c r="C9517" s="1" t="n">
        <v>45357</v>
      </c>
      <c r="D9517" t="inlineStr">
        <is>
          <t>VÄSTERBOTTENS LÄN</t>
        </is>
      </c>
      <c r="E9517" t="inlineStr">
        <is>
          <t>UMEÅ</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22007-2023</t>
        </is>
      </c>
      <c r="B9518" s="1" t="n">
        <v>45068</v>
      </c>
      <c r="C9518" s="1" t="n">
        <v>45357</v>
      </c>
      <c r="D9518" t="inlineStr">
        <is>
          <t>VÄSTERBOTTENS LÄN</t>
        </is>
      </c>
      <c r="E9518" t="inlineStr">
        <is>
          <t>BJURHOLM</t>
        </is>
      </c>
      <c r="F9518" t="inlineStr">
        <is>
          <t>SCA</t>
        </is>
      </c>
      <c r="G9518" t="n">
        <v>10.8</v>
      </c>
      <c r="H9518" t="n">
        <v>0</v>
      </c>
      <c r="I9518" t="n">
        <v>0</v>
      </c>
      <c r="J9518" t="n">
        <v>0</v>
      </c>
      <c r="K9518" t="n">
        <v>0</v>
      </c>
      <c r="L9518" t="n">
        <v>0</v>
      </c>
      <c r="M9518" t="n">
        <v>0</v>
      </c>
      <c r="N9518" t="n">
        <v>0</v>
      </c>
      <c r="O9518" t="n">
        <v>0</v>
      </c>
      <c r="P9518" t="n">
        <v>0</v>
      </c>
      <c r="Q9518" t="n">
        <v>0</v>
      </c>
      <c r="R9518" s="2" t="inlineStr"/>
    </row>
    <row r="9519" ht="15" customHeight="1">
      <c r="A9519" t="inlineStr">
        <is>
          <t>A 22267-2023</t>
        </is>
      </c>
      <c r="B9519" s="1" t="n">
        <v>45068</v>
      </c>
      <c r="C9519" s="1" t="n">
        <v>45357</v>
      </c>
      <c r="D9519" t="inlineStr">
        <is>
          <t>VÄSTERBOTTENS LÄN</t>
        </is>
      </c>
      <c r="E9519" t="inlineStr">
        <is>
          <t>ÅSELE</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22341-2023</t>
        </is>
      </c>
      <c r="B9520" s="1" t="n">
        <v>45068</v>
      </c>
      <c r="C9520" s="1" t="n">
        <v>45357</v>
      </c>
      <c r="D9520" t="inlineStr">
        <is>
          <t>VÄSTERBOTTENS LÄN</t>
        </is>
      </c>
      <c r="E9520" t="inlineStr">
        <is>
          <t>SKELLEFTEÅ</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22329-2023</t>
        </is>
      </c>
      <c r="B9521" s="1" t="n">
        <v>45068</v>
      </c>
      <c r="C9521" s="1" t="n">
        <v>45357</v>
      </c>
      <c r="D9521" t="inlineStr">
        <is>
          <t>VÄSTERBOTTENS LÄN</t>
        </is>
      </c>
      <c r="E9521" t="inlineStr">
        <is>
          <t>NORSJÖ</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22327-2023</t>
        </is>
      </c>
      <c r="B9522" s="1" t="n">
        <v>45068</v>
      </c>
      <c r="C9522" s="1" t="n">
        <v>45357</v>
      </c>
      <c r="D9522" t="inlineStr">
        <is>
          <t>VÄSTERBOTTENS LÄN</t>
        </is>
      </c>
      <c r="E9522" t="inlineStr">
        <is>
          <t>NORSJÖ</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22351-2023</t>
        </is>
      </c>
      <c r="B9523" s="1" t="n">
        <v>45068</v>
      </c>
      <c r="C9523" s="1" t="n">
        <v>45357</v>
      </c>
      <c r="D9523" t="inlineStr">
        <is>
          <t>VÄSTERBOTTENS LÄN</t>
        </is>
      </c>
      <c r="E9523" t="inlineStr">
        <is>
          <t>SKELLEFTEÅ</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22093-2023</t>
        </is>
      </c>
      <c r="B9524" s="1" t="n">
        <v>45068</v>
      </c>
      <c r="C9524" s="1" t="n">
        <v>45357</v>
      </c>
      <c r="D9524" t="inlineStr">
        <is>
          <t>VÄSTERBOTTENS LÄN</t>
        </is>
      </c>
      <c r="E9524" t="inlineStr">
        <is>
          <t>ÅSELE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22159-2023</t>
        </is>
      </c>
      <c r="B9525" s="1" t="n">
        <v>45068</v>
      </c>
      <c r="C9525" s="1" t="n">
        <v>45357</v>
      </c>
      <c r="D9525" t="inlineStr">
        <is>
          <t>VÄSTERBOTTENS LÄN</t>
        </is>
      </c>
      <c r="E9525" t="inlineStr">
        <is>
          <t>VINDELN</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22334-2023</t>
        </is>
      </c>
      <c r="B9526" s="1" t="n">
        <v>45068</v>
      </c>
      <c r="C9526" s="1" t="n">
        <v>45357</v>
      </c>
      <c r="D9526" t="inlineStr">
        <is>
          <t>VÄSTERBOTTENS LÄN</t>
        </is>
      </c>
      <c r="E9526" t="inlineStr">
        <is>
          <t>SKELLEFTEÅ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22062-2023</t>
        </is>
      </c>
      <c r="B9527" s="1" t="n">
        <v>45069</v>
      </c>
      <c r="C9527" s="1" t="n">
        <v>45357</v>
      </c>
      <c r="D9527" t="inlineStr">
        <is>
          <t>VÄSTERBOTTENS LÄN</t>
        </is>
      </c>
      <c r="E9527" t="inlineStr">
        <is>
          <t>SKELLEFTEÅ</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22121-2023</t>
        </is>
      </c>
      <c r="B9528" s="1" t="n">
        <v>45069</v>
      </c>
      <c r="C9528" s="1" t="n">
        <v>45357</v>
      </c>
      <c r="D9528" t="inlineStr">
        <is>
          <t>VÄSTERBOTTENS LÄN</t>
        </is>
      </c>
      <c r="E9528" t="inlineStr">
        <is>
          <t>SKELLEFTEÅ</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22060-2023</t>
        </is>
      </c>
      <c r="B9529" s="1" t="n">
        <v>45069</v>
      </c>
      <c r="C9529" s="1" t="n">
        <v>45357</v>
      </c>
      <c r="D9529" t="inlineStr">
        <is>
          <t>VÄSTERBOTTENS LÄN</t>
        </is>
      </c>
      <c r="E9529" t="inlineStr">
        <is>
          <t>SKELLEFTEÅ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22114-2023</t>
        </is>
      </c>
      <c r="B9530" s="1" t="n">
        <v>45069</v>
      </c>
      <c r="C9530" s="1" t="n">
        <v>45357</v>
      </c>
      <c r="D9530" t="inlineStr">
        <is>
          <t>VÄSTERBOTTENS LÄN</t>
        </is>
      </c>
      <c r="E9530" t="inlineStr">
        <is>
          <t>LYCKSELE</t>
        </is>
      </c>
      <c r="F9530" t="inlineStr">
        <is>
          <t>Sveaskog</t>
        </is>
      </c>
      <c r="G9530" t="n">
        <v>23.9</v>
      </c>
      <c r="H9530" t="n">
        <v>0</v>
      </c>
      <c r="I9530" t="n">
        <v>0</v>
      </c>
      <c r="J9530" t="n">
        <v>0</v>
      </c>
      <c r="K9530" t="n">
        <v>0</v>
      </c>
      <c r="L9530" t="n">
        <v>0</v>
      </c>
      <c r="M9530" t="n">
        <v>0</v>
      </c>
      <c r="N9530" t="n">
        <v>0</v>
      </c>
      <c r="O9530" t="n">
        <v>0</v>
      </c>
      <c r="P9530" t="n">
        <v>0</v>
      </c>
      <c r="Q9530" t="n">
        <v>0</v>
      </c>
      <c r="R9530" s="2" t="inlineStr"/>
    </row>
    <row r="9531" ht="15" customHeight="1">
      <c r="A9531" t="inlineStr">
        <is>
          <t>A 22064-2023</t>
        </is>
      </c>
      <c r="B9531" s="1" t="n">
        <v>45069</v>
      </c>
      <c r="C9531" s="1" t="n">
        <v>45357</v>
      </c>
      <c r="D9531" t="inlineStr">
        <is>
          <t>VÄSTERBOTTENS LÄN</t>
        </is>
      </c>
      <c r="E9531" t="inlineStr">
        <is>
          <t>SKELLEFTEÅ</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22112-2023</t>
        </is>
      </c>
      <c r="B9532" s="1" t="n">
        <v>45069</v>
      </c>
      <c r="C9532" s="1" t="n">
        <v>45357</v>
      </c>
      <c r="D9532" t="inlineStr">
        <is>
          <t>VÄSTERBOTTENS LÄN</t>
        </is>
      </c>
      <c r="E9532" t="inlineStr">
        <is>
          <t>LYCKSELE</t>
        </is>
      </c>
      <c r="F9532" t="inlineStr">
        <is>
          <t>Sveaskog</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22216-2023</t>
        </is>
      </c>
      <c r="B9533" s="1" t="n">
        <v>45070</v>
      </c>
      <c r="C9533" s="1" t="n">
        <v>45357</v>
      </c>
      <c r="D9533" t="inlineStr">
        <is>
          <t>VÄSTERBOTTENS LÄN</t>
        </is>
      </c>
      <c r="E9533" t="inlineStr">
        <is>
          <t>NORSJÖ</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22193-2023</t>
        </is>
      </c>
      <c r="B9534" s="1" t="n">
        <v>45069</v>
      </c>
      <c r="C9534" s="1" t="n">
        <v>45357</v>
      </c>
      <c r="D9534" t="inlineStr">
        <is>
          <t>VÄSTERBOTTENS LÄN</t>
        </is>
      </c>
      <c r="E9534" t="inlineStr">
        <is>
          <t>VÄNNÄS</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22219-2023</t>
        </is>
      </c>
      <c r="B9535" s="1" t="n">
        <v>45069</v>
      </c>
      <c r="C9535" s="1" t="n">
        <v>45357</v>
      </c>
      <c r="D9535" t="inlineStr">
        <is>
          <t>VÄSTERBOTTENS LÄN</t>
        </is>
      </c>
      <c r="E9535" t="inlineStr">
        <is>
          <t>NORSJÖ</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22218-2023</t>
        </is>
      </c>
      <c r="B9536" s="1" t="n">
        <v>45069</v>
      </c>
      <c r="C9536" s="1" t="n">
        <v>45357</v>
      </c>
      <c r="D9536" t="inlineStr">
        <is>
          <t>VÄSTERBOTTENS LÄN</t>
        </is>
      </c>
      <c r="E9536" t="inlineStr">
        <is>
          <t>NORSJÖ</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22036-2023</t>
        </is>
      </c>
      <c r="B9537" s="1" t="n">
        <v>45069</v>
      </c>
      <c r="C9537" s="1" t="n">
        <v>45357</v>
      </c>
      <c r="D9537" t="inlineStr">
        <is>
          <t>VÄSTERBOTTENS LÄN</t>
        </is>
      </c>
      <c r="E9537" t="inlineStr">
        <is>
          <t>BJURHOLM</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22511-2023</t>
        </is>
      </c>
      <c r="B9538" s="1" t="n">
        <v>45069</v>
      </c>
      <c r="C9538" s="1" t="n">
        <v>45357</v>
      </c>
      <c r="D9538" t="inlineStr">
        <is>
          <t>VÄSTERBOTTENS LÄN</t>
        </is>
      </c>
      <c r="E9538" t="inlineStr">
        <is>
          <t>VINDELN</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22025-2023</t>
        </is>
      </c>
      <c r="B9539" s="1" t="n">
        <v>45069</v>
      </c>
      <c r="C9539" s="1" t="n">
        <v>45357</v>
      </c>
      <c r="D9539" t="inlineStr">
        <is>
          <t>VÄSTERBOTTENS LÄN</t>
        </is>
      </c>
      <c r="E9539" t="inlineStr">
        <is>
          <t>SKELLEFTEÅ</t>
        </is>
      </c>
      <c r="F9539" t="inlineStr">
        <is>
          <t>Kommuner</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22045-2023</t>
        </is>
      </c>
      <c r="B9540" s="1" t="n">
        <v>45069</v>
      </c>
      <c r="C9540" s="1" t="n">
        <v>45357</v>
      </c>
      <c r="D9540" t="inlineStr">
        <is>
          <t>VÄSTERBOTTENS LÄN</t>
        </is>
      </c>
      <c r="E9540" t="inlineStr">
        <is>
          <t>SKELLEFTEÅ</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22509-2023</t>
        </is>
      </c>
      <c r="B9541" s="1" t="n">
        <v>45069</v>
      </c>
      <c r="C9541" s="1" t="n">
        <v>45357</v>
      </c>
      <c r="D9541" t="inlineStr">
        <is>
          <t>VÄSTERBOTTENS LÄN</t>
        </is>
      </c>
      <c r="E9541" t="inlineStr">
        <is>
          <t>VINDELN</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22516-2023</t>
        </is>
      </c>
      <c r="B9542" s="1" t="n">
        <v>45069</v>
      </c>
      <c r="C9542" s="1" t="n">
        <v>45357</v>
      </c>
      <c r="D9542" t="inlineStr">
        <is>
          <t>VÄSTERBOTTENS LÄN</t>
        </is>
      </c>
      <c r="E9542" t="inlineStr">
        <is>
          <t>SKELLEFTEÅ</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22548-2023</t>
        </is>
      </c>
      <c r="B9543" s="1" t="n">
        <v>45069</v>
      </c>
      <c r="C9543" s="1" t="n">
        <v>45357</v>
      </c>
      <c r="D9543" t="inlineStr">
        <is>
          <t>VÄSTERBOTTENS LÄN</t>
        </is>
      </c>
      <c r="E9543" t="inlineStr">
        <is>
          <t>SKELLEFTEÅ</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22580-2023</t>
        </is>
      </c>
      <c r="B9544" s="1" t="n">
        <v>45069</v>
      </c>
      <c r="C9544" s="1" t="n">
        <v>45357</v>
      </c>
      <c r="D9544" t="inlineStr">
        <is>
          <t>VÄSTERBOTTENS LÄN</t>
        </is>
      </c>
      <c r="E9544" t="inlineStr">
        <is>
          <t>DOROTEA</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22020-2023</t>
        </is>
      </c>
      <c r="B9545" s="1" t="n">
        <v>45069</v>
      </c>
      <c r="C9545" s="1" t="n">
        <v>45357</v>
      </c>
      <c r="D9545" t="inlineStr">
        <is>
          <t>VÄSTERBOTTENS LÄN</t>
        </is>
      </c>
      <c r="E9545" t="inlineStr">
        <is>
          <t>SKELLEFTEÅ</t>
        </is>
      </c>
      <c r="G9545" t="n">
        <v>4</v>
      </c>
      <c r="H9545" t="n">
        <v>0</v>
      </c>
      <c r="I9545" t="n">
        <v>0</v>
      </c>
      <c r="J9545" t="n">
        <v>0</v>
      </c>
      <c r="K9545" t="n">
        <v>0</v>
      </c>
      <c r="L9545" t="n">
        <v>0</v>
      </c>
      <c r="M9545" t="n">
        <v>0</v>
      </c>
      <c r="N9545" t="n">
        <v>0</v>
      </c>
      <c r="O9545" t="n">
        <v>0</v>
      </c>
      <c r="P9545" t="n">
        <v>0</v>
      </c>
      <c r="Q9545" t="n">
        <v>0</v>
      </c>
      <c r="R9545" s="2" t="inlineStr"/>
    </row>
    <row r="9546" ht="15" customHeight="1">
      <c r="A9546" t="inlineStr">
        <is>
          <t>A 22568-2023</t>
        </is>
      </c>
      <c r="B9546" s="1" t="n">
        <v>45069</v>
      </c>
      <c r="C9546" s="1" t="n">
        <v>45357</v>
      </c>
      <c r="D9546" t="inlineStr">
        <is>
          <t>VÄSTERBOTTENS LÄN</t>
        </is>
      </c>
      <c r="E9546" t="inlineStr">
        <is>
          <t>SORSELE</t>
        </is>
      </c>
      <c r="F9546" t="inlineStr">
        <is>
          <t>Sveaskog</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22292-2023</t>
        </is>
      </c>
      <c r="B9547" s="1" t="n">
        <v>45070</v>
      </c>
      <c r="C9547" s="1" t="n">
        <v>45357</v>
      </c>
      <c r="D9547" t="inlineStr">
        <is>
          <t>VÄSTERBOTTENS LÄN</t>
        </is>
      </c>
      <c r="E9547" t="inlineStr">
        <is>
          <t>UMEÅ</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22419-2023</t>
        </is>
      </c>
      <c r="B9548" s="1" t="n">
        <v>45070</v>
      </c>
      <c r="C9548" s="1" t="n">
        <v>45357</v>
      </c>
      <c r="D9548" t="inlineStr">
        <is>
          <t>VÄSTERBOTTENS LÄN</t>
        </is>
      </c>
      <c r="E9548" t="inlineStr">
        <is>
          <t>LYCKSELE</t>
        </is>
      </c>
      <c r="F9548" t="inlineStr">
        <is>
          <t>Naturvårdsverket</t>
        </is>
      </c>
      <c r="G9548" t="n">
        <v>9.4</v>
      </c>
      <c r="H9548" t="n">
        <v>0</v>
      </c>
      <c r="I9548" t="n">
        <v>0</v>
      </c>
      <c r="J9548" t="n">
        <v>0</v>
      </c>
      <c r="K9548" t="n">
        <v>0</v>
      </c>
      <c r="L9548" t="n">
        <v>0</v>
      </c>
      <c r="M9548" t="n">
        <v>0</v>
      </c>
      <c r="N9548" t="n">
        <v>0</v>
      </c>
      <c r="O9548" t="n">
        <v>0</v>
      </c>
      <c r="P9548" t="n">
        <v>0</v>
      </c>
      <c r="Q9548" t="n">
        <v>0</v>
      </c>
      <c r="R9548" s="2" t="inlineStr"/>
    </row>
    <row r="9549" ht="15" customHeight="1">
      <c r="A9549" t="inlineStr">
        <is>
          <t>A 22340-2023</t>
        </is>
      </c>
      <c r="B9549" s="1" t="n">
        <v>45070</v>
      </c>
      <c r="C9549" s="1" t="n">
        <v>45357</v>
      </c>
      <c r="D9549" t="inlineStr">
        <is>
          <t>VÄSTERBOTTENS LÄN</t>
        </is>
      </c>
      <c r="E9549" t="inlineStr">
        <is>
          <t>NORSJÖ</t>
        </is>
      </c>
      <c r="F9549" t="inlineStr">
        <is>
          <t>Holmen skog AB</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22463-2023</t>
        </is>
      </c>
      <c r="B9550" s="1" t="n">
        <v>45071</v>
      </c>
      <c r="C9550" s="1" t="n">
        <v>45357</v>
      </c>
      <c r="D9550" t="inlineStr">
        <is>
          <t>VÄSTERBOTTENS LÄN</t>
        </is>
      </c>
      <c r="E9550" t="inlineStr">
        <is>
          <t>SORSELE</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22291-2023</t>
        </is>
      </c>
      <c r="B9551" s="1" t="n">
        <v>45070</v>
      </c>
      <c r="C9551" s="1" t="n">
        <v>45357</v>
      </c>
      <c r="D9551" t="inlineStr">
        <is>
          <t>VÄSTERBOTTENS LÄN</t>
        </is>
      </c>
      <c r="E9551" t="inlineStr">
        <is>
          <t>UMEÅ</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22257-2023</t>
        </is>
      </c>
      <c r="B9552" s="1" t="n">
        <v>45070</v>
      </c>
      <c r="C9552" s="1" t="n">
        <v>45357</v>
      </c>
      <c r="D9552" t="inlineStr">
        <is>
          <t>VÄSTERBOTTENS LÄN</t>
        </is>
      </c>
      <c r="E9552" t="inlineStr">
        <is>
          <t>ROBERTSFORS</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22464-2023</t>
        </is>
      </c>
      <c r="B9553" s="1" t="n">
        <v>45071</v>
      </c>
      <c r="C9553" s="1" t="n">
        <v>45357</v>
      </c>
      <c r="D9553" t="inlineStr">
        <is>
          <t>VÄSTERBOTTENS LÄN</t>
        </is>
      </c>
      <c r="E9553" t="inlineStr">
        <is>
          <t>SORSELE</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22344-2023</t>
        </is>
      </c>
      <c r="B9554" s="1" t="n">
        <v>45070</v>
      </c>
      <c r="C9554" s="1" t="n">
        <v>45357</v>
      </c>
      <c r="D9554" t="inlineStr">
        <is>
          <t>VÄSTERBOTTENS LÄN</t>
        </is>
      </c>
      <c r="E9554" t="inlineStr">
        <is>
          <t>SKELLEFTEÅ</t>
        </is>
      </c>
      <c r="F9554" t="inlineStr">
        <is>
          <t>Sveaskog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22457-2023</t>
        </is>
      </c>
      <c r="B9555" s="1" t="n">
        <v>45071</v>
      </c>
      <c r="C9555" s="1" t="n">
        <v>45357</v>
      </c>
      <c r="D9555" t="inlineStr">
        <is>
          <t>VÄSTERBOTTENS LÄN</t>
        </is>
      </c>
      <c r="E9555" t="inlineStr">
        <is>
          <t>SORSELE</t>
        </is>
      </c>
      <c r="G9555" t="n">
        <v>16.7</v>
      </c>
      <c r="H9555" t="n">
        <v>0</v>
      </c>
      <c r="I9555" t="n">
        <v>0</v>
      </c>
      <c r="J9555" t="n">
        <v>0</v>
      </c>
      <c r="K9555" t="n">
        <v>0</v>
      </c>
      <c r="L9555" t="n">
        <v>0</v>
      </c>
      <c r="M9555" t="n">
        <v>0</v>
      </c>
      <c r="N9555" t="n">
        <v>0</v>
      </c>
      <c r="O9555" t="n">
        <v>0</v>
      </c>
      <c r="P9555" t="n">
        <v>0</v>
      </c>
      <c r="Q9555" t="n">
        <v>0</v>
      </c>
      <c r="R9555" s="2" t="inlineStr"/>
    </row>
    <row r="9556" ht="15" customHeight="1">
      <c r="A9556" t="inlineStr">
        <is>
          <t>A 22461-2023</t>
        </is>
      </c>
      <c r="B9556" s="1" t="n">
        <v>45071</v>
      </c>
      <c r="C9556" s="1" t="n">
        <v>45357</v>
      </c>
      <c r="D9556" t="inlineStr">
        <is>
          <t>VÄSTERBOTTENS LÄN</t>
        </is>
      </c>
      <c r="E9556" t="inlineStr">
        <is>
          <t>SKELLEFTEÅ</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22465-2023</t>
        </is>
      </c>
      <c r="B9557" s="1" t="n">
        <v>45071</v>
      </c>
      <c r="C9557" s="1" t="n">
        <v>45357</v>
      </c>
      <c r="D9557" t="inlineStr">
        <is>
          <t>VÄSTERBOTTENS LÄN</t>
        </is>
      </c>
      <c r="E9557" t="inlineStr">
        <is>
          <t>SORSELE</t>
        </is>
      </c>
      <c r="G9557" t="n">
        <v>23.5</v>
      </c>
      <c r="H9557" t="n">
        <v>0</v>
      </c>
      <c r="I9557" t="n">
        <v>0</v>
      </c>
      <c r="J9557" t="n">
        <v>0</v>
      </c>
      <c r="K9557" t="n">
        <v>0</v>
      </c>
      <c r="L9557" t="n">
        <v>0</v>
      </c>
      <c r="M9557" t="n">
        <v>0</v>
      </c>
      <c r="N9557" t="n">
        <v>0</v>
      </c>
      <c r="O9557" t="n">
        <v>0</v>
      </c>
      <c r="P9557" t="n">
        <v>0</v>
      </c>
      <c r="Q9557" t="n">
        <v>0</v>
      </c>
      <c r="R9557" s="2" t="inlineStr"/>
    </row>
    <row r="9558" ht="15" customHeight="1">
      <c r="A9558" t="inlineStr">
        <is>
          <t>A 22799-2023</t>
        </is>
      </c>
      <c r="B9558" s="1" t="n">
        <v>45070</v>
      </c>
      <c r="C9558" s="1" t="n">
        <v>45357</v>
      </c>
      <c r="D9558" t="inlineStr">
        <is>
          <t>VÄSTERBOTTENS LÄN</t>
        </is>
      </c>
      <c r="E9558" t="inlineStr">
        <is>
          <t>VÄNNÄS</t>
        </is>
      </c>
      <c r="G9558" t="n">
        <v>8.6</v>
      </c>
      <c r="H9558" t="n">
        <v>0</v>
      </c>
      <c r="I9558" t="n">
        <v>0</v>
      </c>
      <c r="J9558" t="n">
        <v>0</v>
      </c>
      <c r="K9558" t="n">
        <v>0</v>
      </c>
      <c r="L9558" t="n">
        <v>0</v>
      </c>
      <c r="M9558" t="n">
        <v>0</v>
      </c>
      <c r="N9558" t="n">
        <v>0</v>
      </c>
      <c r="O9558" t="n">
        <v>0</v>
      </c>
      <c r="P9558" t="n">
        <v>0</v>
      </c>
      <c r="Q9558" t="n">
        <v>0</v>
      </c>
      <c r="R9558" s="2" t="inlineStr"/>
    </row>
    <row r="9559" ht="15" customHeight="1">
      <c r="A9559" t="inlineStr">
        <is>
          <t>A 23053-2023</t>
        </is>
      </c>
      <c r="B9559" s="1" t="n">
        <v>45070</v>
      </c>
      <c r="C9559" s="1" t="n">
        <v>45357</v>
      </c>
      <c r="D9559" t="inlineStr">
        <is>
          <t>VÄSTERBOTTENS LÄN</t>
        </is>
      </c>
      <c r="E9559" t="inlineStr">
        <is>
          <t>VÄNNÄS</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22579-2023</t>
        </is>
      </c>
      <c r="B9560" s="1" t="n">
        <v>45071</v>
      </c>
      <c r="C9560" s="1" t="n">
        <v>45357</v>
      </c>
      <c r="D9560" t="inlineStr">
        <is>
          <t>VÄSTERBOTTENS LÄN</t>
        </is>
      </c>
      <c r="E9560" t="inlineStr">
        <is>
          <t>SKELLEFTEÅ</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22581-2023</t>
        </is>
      </c>
      <c r="B9561" s="1" t="n">
        <v>45071</v>
      </c>
      <c r="C9561" s="1" t="n">
        <v>45357</v>
      </c>
      <c r="D9561" t="inlineStr">
        <is>
          <t>VÄSTERBOTTENS LÄN</t>
        </is>
      </c>
      <c r="E9561" t="inlineStr">
        <is>
          <t>VÄNNÄS</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22654-2023</t>
        </is>
      </c>
      <c r="B9562" s="1" t="n">
        <v>45071</v>
      </c>
      <c r="C9562" s="1" t="n">
        <v>45357</v>
      </c>
      <c r="D9562" t="inlineStr">
        <is>
          <t>VÄSTERBOTTENS LÄN</t>
        </is>
      </c>
      <c r="E9562" t="inlineStr">
        <is>
          <t>NORSJÖ</t>
        </is>
      </c>
      <c r="F9562" t="inlineStr">
        <is>
          <t>Holmen skog AB</t>
        </is>
      </c>
      <c r="G9562" t="n">
        <v>18.1</v>
      </c>
      <c r="H9562" t="n">
        <v>0</v>
      </c>
      <c r="I9562" t="n">
        <v>0</v>
      </c>
      <c r="J9562" t="n">
        <v>0</v>
      </c>
      <c r="K9562" t="n">
        <v>0</v>
      </c>
      <c r="L9562" t="n">
        <v>0</v>
      </c>
      <c r="M9562" t="n">
        <v>0</v>
      </c>
      <c r="N9562" t="n">
        <v>0</v>
      </c>
      <c r="O9562" t="n">
        <v>0</v>
      </c>
      <c r="P9562" t="n">
        <v>0</v>
      </c>
      <c r="Q9562" t="n">
        <v>0</v>
      </c>
      <c r="R9562" s="2" t="inlineStr"/>
    </row>
    <row r="9563" ht="15" customHeight="1">
      <c r="A9563" t="inlineStr">
        <is>
          <t>A 22736-2023</t>
        </is>
      </c>
      <c r="B9563" s="1" t="n">
        <v>45072</v>
      </c>
      <c r="C9563" s="1" t="n">
        <v>45357</v>
      </c>
      <c r="D9563" t="inlineStr">
        <is>
          <t>VÄSTERBOTTENS LÄN</t>
        </is>
      </c>
      <c r="E9563" t="inlineStr">
        <is>
          <t>VINDELN</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22739-2023</t>
        </is>
      </c>
      <c r="B9564" s="1" t="n">
        <v>45072</v>
      </c>
      <c r="C9564" s="1" t="n">
        <v>45357</v>
      </c>
      <c r="D9564" t="inlineStr">
        <is>
          <t>VÄSTERBOTTENS LÄN</t>
        </is>
      </c>
      <c r="E9564" t="inlineStr">
        <is>
          <t>ÅSELE</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22734-2023</t>
        </is>
      </c>
      <c r="B9565" s="1" t="n">
        <v>45072</v>
      </c>
      <c r="C9565" s="1" t="n">
        <v>45357</v>
      </c>
      <c r="D9565" t="inlineStr">
        <is>
          <t>VÄSTERBOTTENS LÄN</t>
        </is>
      </c>
      <c r="E9565" t="inlineStr">
        <is>
          <t>NORDMALING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22733-2023</t>
        </is>
      </c>
      <c r="B9566" s="1" t="n">
        <v>45071</v>
      </c>
      <c r="C9566" s="1" t="n">
        <v>45357</v>
      </c>
      <c r="D9566" t="inlineStr">
        <is>
          <t>VÄSTERBOTTENS LÄN</t>
        </is>
      </c>
      <c r="E9566" t="inlineStr">
        <is>
          <t>DOROTEA</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22735-2023</t>
        </is>
      </c>
      <c r="B9567" s="1" t="n">
        <v>45071</v>
      </c>
      <c r="C9567" s="1" t="n">
        <v>45357</v>
      </c>
      <c r="D9567" t="inlineStr">
        <is>
          <t>VÄSTERBOTTENS LÄN</t>
        </is>
      </c>
      <c r="E9567" t="inlineStr">
        <is>
          <t>SKELLEFTEÅ</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23343-2023</t>
        </is>
      </c>
      <c r="B9568" s="1" t="n">
        <v>45071</v>
      </c>
      <c r="C9568" s="1" t="n">
        <v>45357</v>
      </c>
      <c r="D9568" t="inlineStr">
        <is>
          <t>VÄSTERBOTTENS LÄN</t>
        </is>
      </c>
      <c r="E9568" t="inlineStr">
        <is>
          <t>UMEÅ</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23340-2023</t>
        </is>
      </c>
      <c r="B9569" s="1" t="n">
        <v>45071</v>
      </c>
      <c r="C9569" s="1" t="n">
        <v>45357</v>
      </c>
      <c r="D9569" t="inlineStr">
        <is>
          <t>VÄSTERBOTTENS LÄN</t>
        </is>
      </c>
      <c r="E9569" t="inlineStr">
        <is>
          <t>UMEÅ</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22844-2023</t>
        </is>
      </c>
      <c r="B9570" s="1" t="n">
        <v>45072</v>
      </c>
      <c r="C9570" s="1" t="n">
        <v>45357</v>
      </c>
      <c r="D9570" t="inlineStr">
        <is>
          <t>VÄSTERBOTTENS LÄN</t>
        </is>
      </c>
      <c r="E9570" t="inlineStr">
        <is>
          <t>BJURHOLM</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22831-2023</t>
        </is>
      </c>
      <c r="B9571" s="1" t="n">
        <v>45072</v>
      </c>
      <c r="C9571" s="1" t="n">
        <v>45357</v>
      </c>
      <c r="D9571" t="inlineStr">
        <is>
          <t>VÄSTERBOTTENS LÄN</t>
        </is>
      </c>
      <c r="E9571" t="inlineStr">
        <is>
          <t>ÅSELE</t>
        </is>
      </c>
      <c r="F9571" t="inlineStr">
        <is>
          <t>Holmen skog AB</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22837-2023</t>
        </is>
      </c>
      <c r="B9572" s="1" t="n">
        <v>45072</v>
      </c>
      <c r="C9572" s="1" t="n">
        <v>45357</v>
      </c>
      <c r="D9572" t="inlineStr">
        <is>
          <t>VÄSTERBOTTENS LÄN</t>
        </is>
      </c>
      <c r="E9572" t="inlineStr">
        <is>
          <t>ÅSELE</t>
        </is>
      </c>
      <c r="F9572" t="inlineStr">
        <is>
          <t>Holmen skog AB</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22936-2023</t>
        </is>
      </c>
      <c r="B9573" s="1" t="n">
        <v>45072</v>
      </c>
      <c r="C9573" s="1" t="n">
        <v>45357</v>
      </c>
      <c r="D9573" t="inlineStr">
        <is>
          <t>VÄSTERBOTTENS LÄN</t>
        </is>
      </c>
      <c r="E9573" t="inlineStr">
        <is>
          <t>LYCKSELE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22951-2023</t>
        </is>
      </c>
      <c r="B9574" s="1" t="n">
        <v>45072</v>
      </c>
      <c r="C9574" s="1" t="n">
        <v>45357</v>
      </c>
      <c r="D9574" t="inlineStr">
        <is>
          <t>VÄSTERBOTTENS LÄN</t>
        </is>
      </c>
      <c r="E9574" t="inlineStr">
        <is>
          <t>VINDELN</t>
        </is>
      </c>
      <c r="F9574" t="inlineStr">
        <is>
          <t>Holmen skog AB</t>
        </is>
      </c>
      <c r="G9574" t="n">
        <v>22.4</v>
      </c>
      <c r="H9574" t="n">
        <v>0</v>
      </c>
      <c r="I9574" t="n">
        <v>0</v>
      </c>
      <c r="J9574" t="n">
        <v>0</v>
      </c>
      <c r="K9574" t="n">
        <v>0</v>
      </c>
      <c r="L9574" t="n">
        <v>0</v>
      </c>
      <c r="M9574" t="n">
        <v>0</v>
      </c>
      <c r="N9574" t="n">
        <v>0</v>
      </c>
      <c r="O9574" t="n">
        <v>0</v>
      </c>
      <c r="P9574" t="n">
        <v>0</v>
      </c>
      <c r="Q9574" t="n">
        <v>0</v>
      </c>
      <c r="R9574" s="2" t="inlineStr"/>
    </row>
    <row r="9575" ht="15" customHeight="1">
      <c r="A9575" t="inlineStr">
        <is>
          <t>A 22852-2023</t>
        </is>
      </c>
      <c r="B9575" s="1" t="n">
        <v>45072</v>
      </c>
      <c r="C9575" s="1" t="n">
        <v>45357</v>
      </c>
      <c r="D9575" t="inlineStr">
        <is>
          <t>VÄSTERBOTTENS LÄN</t>
        </is>
      </c>
      <c r="E9575" t="inlineStr">
        <is>
          <t>BJURHOLM</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23483-2023</t>
        </is>
      </c>
      <c r="B9576" s="1" t="n">
        <v>45072</v>
      </c>
      <c r="C9576" s="1" t="n">
        <v>45357</v>
      </c>
      <c r="D9576" t="inlineStr">
        <is>
          <t>VÄSTERBOTTENS LÄN</t>
        </is>
      </c>
      <c r="E9576" t="inlineStr">
        <is>
          <t>SORSELE</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23485-2023</t>
        </is>
      </c>
      <c r="B9577" s="1" t="n">
        <v>45072</v>
      </c>
      <c r="C9577" s="1" t="n">
        <v>45357</v>
      </c>
      <c r="D9577" t="inlineStr">
        <is>
          <t>VÄSTERBOTTENS LÄN</t>
        </is>
      </c>
      <c r="E9577" t="inlineStr">
        <is>
          <t>SORSELE</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23041-2023</t>
        </is>
      </c>
      <c r="B9578" s="1" t="n">
        <v>45074</v>
      </c>
      <c r="C9578" s="1" t="n">
        <v>45357</v>
      </c>
      <c r="D9578" t="inlineStr">
        <is>
          <t>VÄSTERBOTTENS LÄN</t>
        </is>
      </c>
      <c r="E9578" t="inlineStr">
        <is>
          <t>BJURHOLM</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23108-2023</t>
        </is>
      </c>
      <c r="B9579" s="1" t="n">
        <v>45075</v>
      </c>
      <c r="C9579" s="1" t="n">
        <v>45357</v>
      </c>
      <c r="D9579" t="inlineStr">
        <is>
          <t>VÄSTERBOTTENS LÄN</t>
        </is>
      </c>
      <c r="E9579" t="inlineStr">
        <is>
          <t>ROBERTSFORS</t>
        </is>
      </c>
      <c r="F9579" t="inlineStr">
        <is>
          <t>Holmen skog AB</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23084-2023</t>
        </is>
      </c>
      <c r="B9580" s="1" t="n">
        <v>45075</v>
      </c>
      <c r="C9580" s="1" t="n">
        <v>45357</v>
      </c>
      <c r="D9580" t="inlineStr">
        <is>
          <t>VÄSTERBOTTENS LÄN</t>
        </is>
      </c>
      <c r="E9580" t="inlineStr">
        <is>
          <t>NORSJÖ</t>
        </is>
      </c>
      <c r="F9580" t="inlineStr">
        <is>
          <t>Holmen skog AB</t>
        </is>
      </c>
      <c r="G9580" t="n">
        <v>10.9</v>
      </c>
      <c r="H9580" t="n">
        <v>0</v>
      </c>
      <c r="I9580" t="n">
        <v>0</v>
      </c>
      <c r="J9580" t="n">
        <v>0</v>
      </c>
      <c r="K9580" t="n">
        <v>0</v>
      </c>
      <c r="L9580" t="n">
        <v>0</v>
      </c>
      <c r="M9580" t="n">
        <v>0</v>
      </c>
      <c r="N9580" t="n">
        <v>0</v>
      </c>
      <c r="O9580" t="n">
        <v>0</v>
      </c>
      <c r="P9580" t="n">
        <v>0</v>
      </c>
      <c r="Q9580" t="n">
        <v>0</v>
      </c>
      <c r="R9580" s="2" t="inlineStr"/>
    </row>
    <row r="9581" ht="15" customHeight="1">
      <c r="A9581" t="inlineStr">
        <is>
          <t>A 23250-2023</t>
        </is>
      </c>
      <c r="B9581" s="1" t="n">
        <v>45075</v>
      </c>
      <c r="C9581" s="1" t="n">
        <v>45357</v>
      </c>
      <c r="D9581" t="inlineStr">
        <is>
          <t>VÄSTERBOTTENS LÄN</t>
        </is>
      </c>
      <c r="E9581" t="inlineStr">
        <is>
          <t>NORSJÖ</t>
        </is>
      </c>
      <c r="F9581" t="inlineStr">
        <is>
          <t>Holmen skog AB</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23138-2023</t>
        </is>
      </c>
      <c r="B9582" s="1" t="n">
        <v>45075</v>
      </c>
      <c r="C9582" s="1" t="n">
        <v>45357</v>
      </c>
      <c r="D9582" t="inlineStr">
        <is>
          <t>VÄSTERBOTTENS LÄN</t>
        </is>
      </c>
      <c r="E9582" t="inlineStr">
        <is>
          <t>STORUMAN</t>
        </is>
      </c>
      <c r="F9582" t="inlineStr">
        <is>
          <t>Sveaskog</t>
        </is>
      </c>
      <c r="G9582" t="n">
        <v>8.5</v>
      </c>
      <c r="H9582" t="n">
        <v>0</v>
      </c>
      <c r="I9582" t="n">
        <v>0</v>
      </c>
      <c r="J9582" t="n">
        <v>0</v>
      </c>
      <c r="K9582" t="n">
        <v>0</v>
      </c>
      <c r="L9582" t="n">
        <v>0</v>
      </c>
      <c r="M9582" t="n">
        <v>0</v>
      </c>
      <c r="N9582" t="n">
        <v>0</v>
      </c>
      <c r="O9582" t="n">
        <v>0</v>
      </c>
      <c r="P9582" t="n">
        <v>0</v>
      </c>
      <c r="Q9582" t="n">
        <v>0</v>
      </c>
      <c r="R9582" s="2" t="inlineStr"/>
    </row>
    <row r="9583" ht="15" customHeight="1">
      <c r="A9583" t="inlineStr">
        <is>
          <t>A 23171-2023</t>
        </is>
      </c>
      <c r="B9583" s="1" t="n">
        <v>45075</v>
      </c>
      <c r="C9583" s="1" t="n">
        <v>45357</v>
      </c>
      <c r="D9583" t="inlineStr">
        <is>
          <t>VÄSTERBOTTENS LÄN</t>
        </is>
      </c>
      <c r="E9583" t="inlineStr">
        <is>
          <t>SORSELE</t>
        </is>
      </c>
      <c r="F9583" t="inlineStr">
        <is>
          <t>Sveaskog</t>
        </is>
      </c>
      <c r="G9583" t="n">
        <v>15.7</v>
      </c>
      <c r="H9583" t="n">
        <v>0</v>
      </c>
      <c r="I9583" t="n">
        <v>0</v>
      </c>
      <c r="J9583" t="n">
        <v>0</v>
      </c>
      <c r="K9583" t="n">
        <v>0</v>
      </c>
      <c r="L9583" t="n">
        <v>0</v>
      </c>
      <c r="M9583" t="n">
        <v>0</v>
      </c>
      <c r="N9583" t="n">
        <v>0</v>
      </c>
      <c r="O9583" t="n">
        <v>0</v>
      </c>
      <c r="P9583" t="n">
        <v>0</v>
      </c>
      <c r="Q9583" t="n">
        <v>0</v>
      </c>
      <c r="R9583" s="2" t="inlineStr"/>
    </row>
    <row r="9584" ht="15" customHeight="1">
      <c r="A9584" t="inlineStr">
        <is>
          <t>A 23294-2023</t>
        </is>
      </c>
      <c r="B9584" s="1" t="n">
        <v>45075</v>
      </c>
      <c r="C9584" s="1" t="n">
        <v>45357</v>
      </c>
      <c r="D9584" t="inlineStr">
        <is>
          <t>VÄSTERBOTTENS LÄN</t>
        </is>
      </c>
      <c r="E9584" t="inlineStr">
        <is>
          <t>BJURHOLM</t>
        </is>
      </c>
      <c r="F9584" t="inlineStr">
        <is>
          <t>SCA</t>
        </is>
      </c>
      <c r="G9584" t="n">
        <v>109.4</v>
      </c>
      <c r="H9584" t="n">
        <v>0</v>
      </c>
      <c r="I9584" t="n">
        <v>0</v>
      </c>
      <c r="J9584" t="n">
        <v>0</v>
      </c>
      <c r="K9584" t="n">
        <v>0</v>
      </c>
      <c r="L9584" t="n">
        <v>0</v>
      </c>
      <c r="M9584" t="n">
        <v>0</v>
      </c>
      <c r="N9584" t="n">
        <v>0</v>
      </c>
      <c r="O9584" t="n">
        <v>0</v>
      </c>
      <c r="P9584" t="n">
        <v>0</v>
      </c>
      <c r="Q9584" t="n">
        <v>0</v>
      </c>
      <c r="R9584" s="2" t="inlineStr"/>
    </row>
    <row r="9585" ht="15" customHeight="1">
      <c r="A9585" t="inlineStr">
        <is>
          <t>A 23296-2023</t>
        </is>
      </c>
      <c r="B9585" s="1" t="n">
        <v>45075</v>
      </c>
      <c r="C9585" s="1" t="n">
        <v>45357</v>
      </c>
      <c r="D9585" t="inlineStr">
        <is>
          <t>VÄSTERBOTTENS LÄN</t>
        </is>
      </c>
      <c r="E9585" t="inlineStr">
        <is>
          <t>LYCKSELE</t>
        </is>
      </c>
      <c r="F9585" t="inlineStr">
        <is>
          <t>SCA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23300-2023</t>
        </is>
      </c>
      <c r="B9586" s="1" t="n">
        <v>45075</v>
      </c>
      <c r="C9586" s="1" t="n">
        <v>45357</v>
      </c>
      <c r="D9586" t="inlineStr">
        <is>
          <t>VÄSTERBOTTENS LÄN</t>
        </is>
      </c>
      <c r="E9586" t="inlineStr">
        <is>
          <t>DOROTEA</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23295-2023</t>
        </is>
      </c>
      <c r="B9587" s="1" t="n">
        <v>45075</v>
      </c>
      <c r="C9587" s="1" t="n">
        <v>45357</v>
      </c>
      <c r="D9587" t="inlineStr">
        <is>
          <t>VÄSTERBOTTENS LÄN</t>
        </is>
      </c>
      <c r="E9587" t="inlineStr">
        <is>
          <t>LYCKSELE</t>
        </is>
      </c>
      <c r="F9587" t="inlineStr">
        <is>
          <t>SCA</t>
        </is>
      </c>
      <c r="G9587" t="n">
        <v>7.4</v>
      </c>
      <c r="H9587" t="n">
        <v>0</v>
      </c>
      <c r="I9587" t="n">
        <v>0</v>
      </c>
      <c r="J9587" t="n">
        <v>0</v>
      </c>
      <c r="K9587" t="n">
        <v>0</v>
      </c>
      <c r="L9587" t="n">
        <v>0</v>
      </c>
      <c r="M9587" t="n">
        <v>0</v>
      </c>
      <c r="N9587" t="n">
        <v>0</v>
      </c>
      <c r="O9587" t="n">
        <v>0</v>
      </c>
      <c r="P9587" t="n">
        <v>0</v>
      </c>
      <c r="Q9587" t="n">
        <v>0</v>
      </c>
      <c r="R9587" s="2" t="inlineStr"/>
    </row>
    <row r="9588" ht="15" customHeight="1">
      <c r="A9588" t="inlineStr">
        <is>
          <t>A 23315-2023</t>
        </is>
      </c>
      <c r="B9588" s="1" t="n">
        <v>45075</v>
      </c>
      <c r="C9588" s="1" t="n">
        <v>45357</v>
      </c>
      <c r="D9588" t="inlineStr">
        <is>
          <t>VÄSTERBOTTENS LÄN</t>
        </is>
      </c>
      <c r="E9588" t="inlineStr">
        <is>
          <t>BJURHOLM</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23297-2023</t>
        </is>
      </c>
      <c r="B9589" s="1" t="n">
        <v>45075</v>
      </c>
      <c r="C9589" s="1" t="n">
        <v>45357</v>
      </c>
      <c r="D9589" t="inlineStr">
        <is>
          <t>VÄSTERBOTTENS LÄN</t>
        </is>
      </c>
      <c r="E9589" t="inlineStr">
        <is>
          <t>LYCKSELE</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23314-2023</t>
        </is>
      </c>
      <c r="B9590" s="1" t="n">
        <v>45075</v>
      </c>
      <c r="C9590" s="1" t="n">
        <v>45357</v>
      </c>
      <c r="D9590" t="inlineStr">
        <is>
          <t>VÄSTERBOTTENS LÄN</t>
        </is>
      </c>
      <c r="E9590" t="inlineStr">
        <is>
          <t>BJURHOLM</t>
        </is>
      </c>
      <c r="F9590" t="inlineStr">
        <is>
          <t>SCA</t>
        </is>
      </c>
      <c r="G9590" t="n">
        <v>16.2</v>
      </c>
      <c r="H9590" t="n">
        <v>0</v>
      </c>
      <c r="I9590" t="n">
        <v>0</v>
      </c>
      <c r="J9590" t="n">
        <v>0</v>
      </c>
      <c r="K9590" t="n">
        <v>0</v>
      </c>
      <c r="L9590" t="n">
        <v>0</v>
      </c>
      <c r="M9590" t="n">
        <v>0</v>
      </c>
      <c r="N9590" t="n">
        <v>0</v>
      </c>
      <c r="O9590" t="n">
        <v>0</v>
      </c>
      <c r="P9590" t="n">
        <v>0</v>
      </c>
      <c r="Q9590" t="n">
        <v>0</v>
      </c>
      <c r="R9590" s="2" t="inlineStr"/>
    </row>
    <row r="9591" ht="15" customHeight="1">
      <c r="A9591" t="inlineStr">
        <is>
          <t>A 23704-2023</t>
        </is>
      </c>
      <c r="B9591" s="1" t="n">
        <v>45075</v>
      </c>
      <c r="C9591" s="1" t="n">
        <v>45357</v>
      </c>
      <c r="D9591" t="inlineStr">
        <is>
          <t>VÄSTERBOTTENS LÄN</t>
        </is>
      </c>
      <c r="E9591" t="inlineStr">
        <is>
          <t>SKELLEFTEÅ</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23710-2023</t>
        </is>
      </c>
      <c r="B9592" s="1" t="n">
        <v>45075</v>
      </c>
      <c r="C9592" s="1" t="n">
        <v>45357</v>
      </c>
      <c r="D9592" t="inlineStr">
        <is>
          <t>VÄSTERBOTTENS LÄN</t>
        </is>
      </c>
      <c r="E9592" t="inlineStr">
        <is>
          <t>SKELLEFTEÅ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23709-2023</t>
        </is>
      </c>
      <c r="B9593" s="1" t="n">
        <v>45075</v>
      </c>
      <c r="C9593" s="1" t="n">
        <v>45357</v>
      </c>
      <c r="D9593" t="inlineStr">
        <is>
          <t>VÄSTERBOTTENS LÄN</t>
        </is>
      </c>
      <c r="E9593" t="inlineStr">
        <is>
          <t>SKELLEFTEÅ</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24712-2023</t>
        </is>
      </c>
      <c r="B9594" s="1" t="n">
        <v>45075</v>
      </c>
      <c r="C9594" s="1" t="n">
        <v>45357</v>
      </c>
      <c r="D9594" t="inlineStr">
        <is>
          <t>VÄSTERBOTTENS LÄN</t>
        </is>
      </c>
      <c r="E9594" t="inlineStr">
        <is>
          <t>NORDMALING</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24001-2023</t>
        </is>
      </c>
      <c r="B9595" s="1" t="n">
        <v>45075</v>
      </c>
      <c r="C9595" s="1" t="n">
        <v>45357</v>
      </c>
      <c r="D9595" t="inlineStr">
        <is>
          <t>VÄSTERBOTTENS LÄN</t>
        </is>
      </c>
      <c r="E9595" t="inlineStr">
        <is>
          <t>ROBERTSFORS</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23458-2023</t>
        </is>
      </c>
      <c r="B9596" s="1" t="n">
        <v>45076</v>
      </c>
      <c r="C9596" s="1" t="n">
        <v>45357</v>
      </c>
      <c r="D9596" t="inlineStr">
        <is>
          <t>VÄSTERBOTTENS LÄN</t>
        </is>
      </c>
      <c r="E9596" t="inlineStr">
        <is>
          <t>SKELLEFTEÅ</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23333-2023</t>
        </is>
      </c>
      <c r="B9597" s="1" t="n">
        <v>45076</v>
      </c>
      <c r="C9597" s="1" t="n">
        <v>45357</v>
      </c>
      <c r="D9597" t="inlineStr">
        <is>
          <t>VÄSTERBOTTENS LÄN</t>
        </is>
      </c>
      <c r="E9597" t="inlineStr">
        <is>
          <t>ROBERTSFORS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23321-2023</t>
        </is>
      </c>
      <c r="B9598" s="1" t="n">
        <v>45076</v>
      </c>
      <c r="C9598" s="1" t="n">
        <v>45357</v>
      </c>
      <c r="D9598" t="inlineStr">
        <is>
          <t>VÄSTERBOTTENS LÄN</t>
        </is>
      </c>
      <c r="E9598" t="inlineStr">
        <is>
          <t>BJURHOLM</t>
        </is>
      </c>
      <c r="G9598" t="n">
        <v>10.6</v>
      </c>
      <c r="H9598" t="n">
        <v>0</v>
      </c>
      <c r="I9598" t="n">
        <v>0</v>
      </c>
      <c r="J9598" t="n">
        <v>0</v>
      </c>
      <c r="K9598" t="n">
        <v>0</v>
      </c>
      <c r="L9598" t="n">
        <v>0</v>
      </c>
      <c r="M9598" t="n">
        <v>0</v>
      </c>
      <c r="N9598" t="n">
        <v>0</v>
      </c>
      <c r="O9598" t="n">
        <v>0</v>
      </c>
      <c r="P9598" t="n">
        <v>0</v>
      </c>
      <c r="Q9598" t="n">
        <v>0</v>
      </c>
      <c r="R9598" s="2" t="inlineStr"/>
    </row>
    <row r="9599" ht="15" customHeight="1">
      <c r="A9599" t="inlineStr">
        <is>
          <t>A 23325-2023</t>
        </is>
      </c>
      <c r="B9599" s="1" t="n">
        <v>45076</v>
      </c>
      <c r="C9599" s="1" t="n">
        <v>45357</v>
      </c>
      <c r="D9599" t="inlineStr">
        <is>
          <t>VÄSTERBOTTENS LÄN</t>
        </is>
      </c>
      <c r="E9599" t="inlineStr">
        <is>
          <t>BJURHOLM</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23331-2023</t>
        </is>
      </c>
      <c r="B9600" s="1" t="n">
        <v>45076</v>
      </c>
      <c r="C9600" s="1" t="n">
        <v>45357</v>
      </c>
      <c r="D9600" t="inlineStr">
        <is>
          <t>VÄSTERBOTTENS LÄN</t>
        </is>
      </c>
      <c r="E9600" t="inlineStr">
        <is>
          <t>ROBERTSFORS</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23420-2023</t>
        </is>
      </c>
      <c r="B9601" s="1" t="n">
        <v>45076</v>
      </c>
      <c r="C9601" s="1" t="n">
        <v>45357</v>
      </c>
      <c r="D9601" t="inlineStr">
        <is>
          <t>VÄSTERBOTTENS LÄN</t>
        </is>
      </c>
      <c r="E9601" t="inlineStr">
        <is>
          <t>SKELLEFTEÅ</t>
        </is>
      </c>
      <c r="F9601" t="inlineStr">
        <is>
          <t>Holmen skog AB</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23361-2023</t>
        </is>
      </c>
      <c r="B9602" s="1" t="n">
        <v>45076</v>
      </c>
      <c r="C9602" s="1" t="n">
        <v>45357</v>
      </c>
      <c r="D9602" t="inlineStr">
        <is>
          <t>VÄSTERBOTTENS LÄN</t>
        </is>
      </c>
      <c r="E9602" t="inlineStr">
        <is>
          <t>NORSJÖ</t>
        </is>
      </c>
      <c r="F9602" t="inlineStr">
        <is>
          <t>Holmen skog AB</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23411-2023</t>
        </is>
      </c>
      <c r="B9603" s="1" t="n">
        <v>45076</v>
      </c>
      <c r="C9603" s="1" t="n">
        <v>45357</v>
      </c>
      <c r="D9603" t="inlineStr">
        <is>
          <t>VÄSTERBOTTENS LÄN</t>
        </is>
      </c>
      <c r="E9603" t="inlineStr">
        <is>
          <t>LYCKSELE</t>
        </is>
      </c>
      <c r="G9603" t="n">
        <v>11.4</v>
      </c>
      <c r="H9603" t="n">
        <v>0</v>
      </c>
      <c r="I9603" t="n">
        <v>0</v>
      </c>
      <c r="J9603" t="n">
        <v>0</v>
      </c>
      <c r="K9603" t="n">
        <v>0</v>
      </c>
      <c r="L9603" t="n">
        <v>0</v>
      </c>
      <c r="M9603" t="n">
        <v>0</v>
      </c>
      <c r="N9603" t="n">
        <v>0</v>
      </c>
      <c r="O9603" t="n">
        <v>0</v>
      </c>
      <c r="P9603" t="n">
        <v>0</v>
      </c>
      <c r="Q9603" t="n">
        <v>0</v>
      </c>
      <c r="R9603" s="2" t="inlineStr"/>
    </row>
    <row r="9604" ht="15" customHeight="1">
      <c r="A9604" t="inlineStr">
        <is>
          <t>A 23430-2023</t>
        </is>
      </c>
      <c r="B9604" s="1" t="n">
        <v>45076</v>
      </c>
      <c r="C9604" s="1" t="n">
        <v>45357</v>
      </c>
      <c r="D9604" t="inlineStr">
        <is>
          <t>VÄSTERBOTTENS LÄN</t>
        </is>
      </c>
      <c r="E9604" t="inlineStr">
        <is>
          <t>SKELLEFTEÅ</t>
        </is>
      </c>
      <c r="F9604" t="inlineStr">
        <is>
          <t>Holmen skog AB</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23530-2023</t>
        </is>
      </c>
      <c r="B9605" s="1" t="n">
        <v>45077</v>
      </c>
      <c r="C9605" s="1" t="n">
        <v>45357</v>
      </c>
      <c r="D9605" t="inlineStr">
        <is>
          <t>VÄSTERBOTTENS LÄN</t>
        </is>
      </c>
      <c r="E9605" t="inlineStr">
        <is>
          <t>VINDELN</t>
        </is>
      </c>
      <c r="F9605" t="inlineStr">
        <is>
          <t>SCA</t>
        </is>
      </c>
      <c r="G9605" t="n">
        <v>9.5</v>
      </c>
      <c r="H9605" t="n">
        <v>0</v>
      </c>
      <c r="I9605" t="n">
        <v>0</v>
      </c>
      <c r="J9605" t="n">
        <v>0</v>
      </c>
      <c r="K9605" t="n">
        <v>0</v>
      </c>
      <c r="L9605" t="n">
        <v>0</v>
      </c>
      <c r="M9605" t="n">
        <v>0</v>
      </c>
      <c r="N9605" t="n">
        <v>0</v>
      </c>
      <c r="O9605" t="n">
        <v>0</v>
      </c>
      <c r="P9605" t="n">
        <v>0</v>
      </c>
      <c r="Q9605" t="n">
        <v>0</v>
      </c>
      <c r="R9605" s="2" t="inlineStr"/>
    </row>
    <row r="9606" ht="15" customHeight="1">
      <c r="A9606" t="inlineStr">
        <is>
          <t>A 24430-2023</t>
        </is>
      </c>
      <c r="B9606" s="1" t="n">
        <v>45076</v>
      </c>
      <c r="C9606" s="1" t="n">
        <v>45357</v>
      </c>
      <c r="D9606" t="inlineStr">
        <is>
          <t>VÄSTERBOTTENS LÄN</t>
        </is>
      </c>
      <c r="E9606" t="inlineStr">
        <is>
          <t>SKELLEFTEÅ</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23529-2023</t>
        </is>
      </c>
      <c r="B9607" s="1" t="n">
        <v>45076</v>
      </c>
      <c r="C9607" s="1" t="n">
        <v>45357</v>
      </c>
      <c r="D9607" t="inlineStr">
        <is>
          <t>VÄSTERBOTTENS LÄN</t>
        </is>
      </c>
      <c r="E9607" t="inlineStr">
        <is>
          <t>VINDELN</t>
        </is>
      </c>
      <c r="F9607" t="inlineStr">
        <is>
          <t>SCA</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23531-2023</t>
        </is>
      </c>
      <c r="B9608" s="1" t="n">
        <v>45076</v>
      </c>
      <c r="C9608" s="1" t="n">
        <v>45357</v>
      </c>
      <c r="D9608" t="inlineStr">
        <is>
          <t>VÄSTERBOTTENS LÄN</t>
        </is>
      </c>
      <c r="E9608" t="inlineStr">
        <is>
          <t>VINDELN</t>
        </is>
      </c>
      <c r="F9608" t="inlineStr">
        <is>
          <t>SCA</t>
        </is>
      </c>
      <c r="G9608" t="n">
        <v>9.199999999999999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24133-2023</t>
        </is>
      </c>
      <c r="B9609" s="1" t="n">
        <v>45076</v>
      </c>
      <c r="C9609" s="1" t="n">
        <v>45357</v>
      </c>
      <c r="D9609" t="inlineStr">
        <is>
          <t>VÄSTERBOTTENS LÄN</t>
        </is>
      </c>
      <c r="E9609" t="inlineStr">
        <is>
          <t>ROBERTSFORS</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23532-2023</t>
        </is>
      </c>
      <c r="B9610" s="1" t="n">
        <v>45077</v>
      </c>
      <c r="C9610" s="1" t="n">
        <v>45357</v>
      </c>
      <c r="D9610" t="inlineStr">
        <is>
          <t>VÄSTERBOTTENS LÄN</t>
        </is>
      </c>
      <c r="E9610" t="inlineStr">
        <is>
          <t>VINDELN</t>
        </is>
      </c>
      <c r="F9610" t="inlineStr">
        <is>
          <t>SCA</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24136-2023</t>
        </is>
      </c>
      <c r="B9611" s="1" t="n">
        <v>45076</v>
      </c>
      <c r="C9611" s="1" t="n">
        <v>45357</v>
      </c>
      <c r="D9611" t="inlineStr">
        <is>
          <t>VÄSTERBOTTENS LÄN</t>
        </is>
      </c>
      <c r="E9611" t="inlineStr">
        <is>
          <t>ROBERTSFORS</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24373-2023</t>
        </is>
      </c>
      <c r="B9612" s="1" t="n">
        <v>45076</v>
      </c>
      <c r="C9612" s="1" t="n">
        <v>45357</v>
      </c>
      <c r="D9612" t="inlineStr">
        <is>
          <t>VÄSTERBOTTENS LÄN</t>
        </is>
      </c>
      <c r="E9612" t="inlineStr">
        <is>
          <t>VILHELMINA</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24139-2023</t>
        </is>
      </c>
      <c r="B9613" s="1" t="n">
        <v>45076</v>
      </c>
      <c r="C9613" s="1" t="n">
        <v>45357</v>
      </c>
      <c r="D9613" t="inlineStr">
        <is>
          <t>VÄSTERBOTTENS LÄN</t>
        </is>
      </c>
      <c r="E9613" t="inlineStr">
        <is>
          <t>ROBERTSFORS</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24392-2023</t>
        </is>
      </c>
      <c r="B9614" s="1" t="n">
        <v>45076</v>
      </c>
      <c r="C9614" s="1" t="n">
        <v>45357</v>
      </c>
      <c r="D9614" t="inlineStr">
        <is>
          <t>VÄSTERBOTTENS LÄN</t>
        </is>
      </c>
      <c r="E9614" t="inlineStr">
        <is>
          <t>UMEÅ</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24453-2023</t>
        </is>
      </c>
      <c r="B9615" s="1" t="n">
        <v>45076</v>
      </c>
      <c r="C9615" s="1" t="n">
        <v>45357</v>
      </c>
      <c r="D9615" t="inlineStr">
        <is>
          <t>VÄSTERBOTTENS LÄN</t>
        </is>
      </c>
      <c r="E9615" t="inlineStr">
        <is>
          <t>NORSJÖ</t>
        </is>
      </c>
      <c r="G9615" t="n">
        <v>19.8</v>
      </c>
      <c r="H9615" t="n">
        <v>0</v>
      </c>
      <c r="I9615" t="n">
        <v>0</v>
      </c>
      <c r="J9615" t="n">
        <v>0</v>
      </c>
      <c r="K9615" t="n">
        <v>0</v>
      </c>
      <c r="L9615" t="n">
        <v>0</v>
      </c>
      <c r="M9615" t="n">
        <v>0</v>
      </c>
      <c r="N9615" t="n">
        <v>0</v>
      </c>
      <c r="O9615" t="n">
        <v>0</v>
      </c>
      <c r="P9615" t="n">
        <v>0</v>
      </c>
      <c r="Q9615" t="n">
        <v>0</v>
      </c>
      <c r="R9615" s="2" t="inlineStr"/>
    </row>
    <row r="9616" ht="15" customHeight="1">
      <c r="A9616" t="inlineStr">
        <is>
          <t>A 23604-2023</t>
        </is>
      </c>
      <c r="B9616" s="1" t="n">
        <v>45077</v>
      </c>
      <c r="C9616" s="1" t="n">
        <v>45357</v>
      </c>
      <c r="D9616" t="inlineStr">
        <is>
          <t>VÄSTERBOTTENS LÄN</t>
        </is>
      </c>
      <c r="E9616" t="inlineStr">
        <is>
          <t>ÅSELE</t>
        </is>
      </c>
      <c r="F9616" t="inlineStr">
        <is>
          <t>Holmen skog AB</t>
        </is>
      </c>
      <c r="G9616" t="n">
        <v>5.8</v>
      </c>
      <c r="H9616" t="n">
        <v>0</v>
      </c>
      <c r="I9616" t="n">
        <v>0</v>
      </c>
      <c r="J9616" t="n">
        <v>0</v>
      </c>
      <c r="K9616" t="n">
        <v>0</v>
      </c>
      <c r="L9616" t="n">
        <v>0</v>
      </c>
      <c r="M9616" t="n">
        <v>0</v>
      </c>
      <c r="N9616" t="n">
        <v>0</v>
      </c>
      <c r="O9616" t="n">
        <v>0</v>
      </c>
      <c r="P9616" t="n">
        <v>0</v>
      </c>
      <c r="Q9616" t="n">
        <v>0</v>
      </c>
      <c r="R9616" s="2" t="inlineStr"/>
    </row>
    <row r="9617" ht="15" customHeight="1">
      <c r="A9617" t="inlineStr">
        <is>
          <t>A 23697-2023</t>
        </is>
      </c>
      <c r="B9617" s="1" t="n">
        <v>45077</v>
      </c>
      <c r="C9617" s="1" t="n">
        <v>45357</v>
      </c>
      <c r="D9617" t="inlineStr">
        <is>
          <t>VÄSTERBOTTENS LÄN</t>
        </is>
      </c>
      <c r="E9617" t="inlineStr">
        <is>
          <t>UMEÅ</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23557-2023</t>
        </is>
      </c>
      <c r="B9618" s="1" t="n">
        <v>45077</v>
      </c>
      <c r="C9618" s="1" t="n">
        <v>45357</v>
      </c>
      <c r="D9618" t="inlineStr">
        <is>
          <t>VÄSTERBOTTENS LÄN</t>
        </is>
      </c>
      <c r="E9618" t="inlineStr">
        <is>
          <t>DOROTEA</t>
        </is>
      </c>
      <c r="G9618" t="n">
        <v>16.8</v>
      </c>
      <c r="H9618" t="n">
        <v>0</v>
      </c>
      <c r="I9618" t="n">
        <v>0</v>
      </c>
      <c r="J9618" t="n">
        <v>0</v>
      </c>
      <c r="K9618" t="n">
        <v>0</v>
      </c>
      <c r="L9618" t="n">
        <v>0</v>
      </c>
      <c r="M9618" t="n">
        <v>0</v>
      </c>
      <c r="N9618" t="n">
        <v>0</v>
      </c>
      <c r="O9618" t="n">
        <v>0</v>
      </c>
      <c r="P9618" t="n">
        <v>0</v>
      </c>
      <c r="Q9618" t="n">
        <v>0</v>
      </c>
      <c r="R9618" s="2" t="inlineStr"/>
    </row>
    <row r="9619" ht="15" customHeight="1">
      <c r="A9619" t="inlineStr">
        <is>
          <t>A 23585-2023</t>
        </is>
      </c>
      <c r="B9619" s="1" t="n">
        <v>45077</v>
      </c>
      <c r="C9619" s="1" t="n">
        <v>45357</v>
      </c>
      <c r="D9619" t="inlineStr">
        <is>
          <t>VÄSTERBOTTENS LÄN</t>
        </is>
      </c>
      <c r="E9619" t="inlineStr">
        <is>
          <t>NORSJÖ</t>
        </is>
      </c>
      <c r="F9619" t="inlineStr">
        <is>
          <t>Holmen skog AB</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23548-2023</t>
        </is>
      </c>
      <c r="B9620" s="1" t="n">
        <v>45077</v>
      </c>
      <c r="C9620" s="1" t="n">
        <v>45357</v>
      </c>
      <c r="D9620" t="inlineStr">
        <is>
          <t>VÄSTERBOTTENS LÄN</t>
        </is>
      </c>
      <c r="E9620" t="inlineStr">
        <is>
          <t>ÅSELE</t>
        </is>
      </c>
      <c r="G9620" t="n">
        <v>42.6</v>
      </c>
      <c r="H9620" t="n">
        <v>0</v>
      </c>
      <c r="I9620" t="n">
        <v>0</v>
      </c>
      <c r="J9620" t="n">
        <v>0</v>
      </c>
      <c r="K9620" t="n">
        <v>0</v>
      </c>
      <c r="L9620" t="n">
        <v>0</v>
      </c>
      <c r="M9620" t="n">
        <v>0</v>
      </c>
      <c r="N9620" t="n">
        <v>0</v>
      </c>
      <c r="O9620" t="n">
        <v>0</v>
      </c>
      <c r="P9620" t="n">
        <v>0</v>
      </c>
      <c r="Q9620" t="n">
        <v>0</v>
      </c>
      <c r="R9620" s="2" t="inlineStr"/>
    </row>
    <row r="9621" ht="15" customHeight="1">
      <c r="A9621" t="inlineStr">
        <is>
          <t>A 23553-2023</t>
        </is>
      </c>
      <c r="B9621" s="1" t="n">
        <v>45077</v>
      </c>
      <c r="C9621" s="1" t="n">
        <v>45357</v>
      </c>
      <c r="D9621" t="inlineStr">
        <is>
          <t>VÄSTERBOTTENS LÄN</t>
        </is>
      </c>
      <c r="E9621" t="inlineStr">
        <is>
          <t>DOROTEA</t>
        </is>
      </c>
      <c r="G9621" t="n">
        <v>5.2</v>
      </c>
      <c r="H9621" t="n">
        <v>0</v>
      </c>
      <c r="I9621" t="n">
        <v>0</v>
      </c>
      <c r="J9621" t="n">
        <v>0</v>
      </c>
      <c r="K9621" t="n">
        <v>0</v>
      </c>
      <c r="L9621" t="n">
        <v>0</v>
      </c>
      <c r="M9621" t="n">
        <v>0</v>
      </c>
      <c r="N9621" t="n">
        <v>0</v>
      </c>
      <c r="O9621" t="n">
        <v>0</v>
      </c>
      <c r="P9621" t="n">
        <v>0</v>
      </c>
      <c r="Q9621" t="n">
        <v>0</v>
      </c>
      <c r="R9621" s="2" t="inlineStr"/>
    </row>
    <row r="9622" ht="15" customHeight="1">
      <c r="A9622" t="inlineStr">
        <is>
          <t>A 23714-2023</t>
        </is>
      </c>
      <c r="B9622" s="1" t="n">
        <v>45077</v>
      </c>
      <c r="C9622" s="1" t="n">
        <v>45357</v>
      </c>
      <c r="D9622" t="inlineStr">
        <is>
          <t>VÄSTERBOTTENS LÄN</t>
        </is>
      </c>
      <c r="E9622" t="inlineStr">
        <is>
          <t>SKELLEFTEÅ</t>
        </is>
      </c>
      <c r="F9622" t="inlineStr">
        <is>
          <t>Holmen skog AB</t>
        </is>
      </c>
      <c r="G9622" t="n">
        <v>15.5</v>
      </c>
      <c r="H9622" t="n">
        <v>0</v>
      </c>
      <c r="I9622" t="n">
        <v>0</v>
      </c>
      <c r="J9622" t="n">
        <v>0</v>
      </c>
      <c r="K9622" t="n">
        <v>0</v>
      </c>
      <c r="L9622" t="n">
        <v>0</v>
      </c>
      <c r="M9622" t="n">
        <v>0</v>
      </c>
      <c r="N9622" t="n">
        <v>0</v>
      </c>
      <c r="O9622" t="n">
        <v>0</v>
      </c>
      <c r="P9622" t="n">
        <v>0</v>
      </c>
      <c r="Q9622" t="n">
        <v>0</v>
      </c>
      <c r="R9622" s="2" t="inlineStr"/>
    </row>
    <row r="9623" ht="15" customHeight="1">
      <c r="A9623" t="inlineStr">
        <is>
          <t>A 23718-2023</t>
        </is>
      </c>
      <c r="B9623" s="1" t="n">
        <v>45077</v>
      </c>
      <c r="C9623" s="1" t="n">
        <v>45357</v>
      </c>
      <c r="D9623" t="inlineStr">
        <is>
          <t>VÄSTERBOTTENS LÄN</t>
        </is>
      </c>
      <c r="E9623" t="inlineStr">
        <is>
          <t>UMEÅ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23753-2023</t>
        </is>
      </c>
      <c r="B9624" s="1" t="n">
        <v>45077</v>
      </c>
      <c r="C9624" s="1" t="n">
        <v>45357</v>
      </c>
      <c r="D9624" t="inlineStr">
        <is>
          <t>VÄSTERBOTTENS LÄN</t>
        </is>
      </c>
      <c r="E9624" t="inlineStr">
        <is>
          <t>NORDMALING</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23757-2023</t>
        </is>
      </c>
      <c r="B9625" s="1" t="n">
        <v>45077</v>
      </c>
      <c r="C9625" s="1" t="n">
        <v>45357</v>
      </c>
      <c r="D9625" t="inlineStr">
        <is>
          <t>VÄSTERBOTTENS LÄN</t>
        </is>
      </c>
      <c r="E9625" t="inlineStr">
        <is>
          <t>SKELLEFTEÅ</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23761-2023</t>
        </is>
      </c>
      <c r="B9626" s="1" t="n">
        <v>45077</v>
      </c>
      <c r="C9626" s="1" t="n">
        <v>45357</v>
      </c>
      <c r="D9626" t="inlineStr">
        <is>
          <t>VÄSTERBOTTENS LÄN</t>
        </is>
      </c>
      <c r="E9626" t="inlineStr">
        <is>
          <t>SKELLEFTEÅ</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23760-2023</t>
        </is>
      </c>
      <c r="B9627" s="1" t="n">
        <v>45077</v>
      </c>
      <c r="C9627" s="1" t="n">
        <v>45357</v>
      </c>
      <c r="D9627" t="inlineStr">
        <is>
          <t>VÄSTERBOTTENS LÄN</t>
        </is>
      </c>
      <c r="E9627" t="inlineStr">
        <is>
          <t>SKELLEFTEÅ</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23769-2023</t>
        </is>
      </c>
      <c r="B9628" s="1" t="n">
        <v>45078</v>
      </c>
      <c r="C9628" s="1" t="n">
        <v>45357</v>
      </c>
      <c r="D9628" t="inlineStr">
        <is>
          <t>VÄSTERBOTTENS LÄN</t>
        </is>
      </c>
      <c r="E9628" t="inlineStr">
        <is>
          <t>LYCKSELE</t>
        </is>
      </c>
      <c r="F9628" t="inlineStr">
        <is>
          <t>SCA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23733-2023</t>
        </is>
      </c>
      <c r="B9629" s="1" t="n">
        <v>45077</v>
      </c>
      <c r="C9629" s="1" t="n">
        <v>45357</v>
      </c>
      <c r="D9629" t="inlineStr">
        <is>
          <t>VÄSTERBOTTENS LÄN</t>
        </is>
      </c>
      <c r="E9629" t="inlineStr">
        <is>
          <t>UMEÅ</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23750-2023</t>
        </is>
      </c>
      <c r="B9630" s="1" t="n">
        <v>45077</v>
      </c>
      <c r="C9630" s="1" t="n">
        <v>45357</v>
      </c>
      <c r="D9630" t="inlineStr">
        <is>
          <t>VÄSTERBOTTENS LÄN</t>
        </is>
      </c>
      <c r="E9630" t="inlineStr">
        <is>
          <t>SKELLEFTEÅ</t>
        </is>
      </c>
      <c r="G9630" t="n">
        <v>11.2</v>
      </c>
      <c r="H9630" t="n">
        <v>0</v>
      </c>
      <c r="I9630" t="n">
        <v>0</v>
      </c>
      <c r="J9630" t="n">
        <v>0</v>
      </c>
      <c r="K9630" t="n">
        <v>0</v>
      </c>
      <c r="L9630" t="n">
        <v>0</v>
      </c>
      <c r="M9630" t="n">
        <v>0</v>
      </c>
      <c r="N9630" t="n">
        <v>0</v>
      </c>
      <c r="O9630" t="n">
        <v>0</v>
      </c>
      <c r="P9630" t="n">
        <v>0</v>
      </c>
      <c r="Q9630" t="n">
        <v>0</v>
      </c>
      <c r="R9630" s="2" t="inlineStr"/>
    </row>
    <row r="9631" ht="15" customHeight="1">
      <c r="A9631" t="inlineStr">
        <is>
          <t>A 23648-2023</t>
        </is>
      </c>
      <c r="B9631" s="1" t="n">
        <v>45077</v>
      </c>
      <c r="C9631" s="1" t="n">
        <v>45357</v>
      </c>
      <c r="D9631" t="inlineStr">
        <is>
          <t>VÄSTERBOTTENS LÄN</t>
        </is>
      </c>
      <c r="E9631" t="inlineStr">
        <is>
          <t>ÅSELE</t>
        </is>
      </c>
      <c r="F9631" t="inlineStr">
        <is>
          <t>Naturvårdsverket</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23676-2023</t>
        </is>
      </c>
      <c r="B9632" s="1" t="n">
        <v>45077</v>
      </c>
      <c r="C9632" s="1" t="n">
        <v>45357</v>
      </c>
      <c r="D9632" t="inlineStr">
        <is>
          <t>VÄSTERBOTTENS LÄN</t>
        </is>
      </c>
      <c r="E9632" t="inlineStr">
        <is>
          <t>ÅSELE</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23751-2023</t>
        </is>
      </c>
      <c r="B9633" s="1" t="n">
        <v>45078</v>
      </c>
      <c r="C9633" s="1" t="n">
        <v>45357</v>
      </c>
      <c r="D9633" t="inlineStr">
        <is>
          <t>VÄSTERBOTTENS LÄN</t>
        </is>
      </c>
      <c r="E9633" t="inlineStr">
        <is>
          <t>NORSJÖ</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23759-2023</t>
        </is>
      </c>
      <c r="B9634" s="1" t="n">
        <v>45077</v>
      </c>
      <c r="C9634" s="1" t="n">
        <v>45357</v>
      </c>
      <c r="D9634" t="inlineStr">
        <is>
          <t>VÄSTERBOTTENS LÄN</t>
        </is>
      </c>
      <c r="E9634" t="inlineStr">
        <is>
          <t>SKELLEFTEÅ</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23768-2023</t>
        </is>
      </c>
      <c r="B9635" s="1" t="n">
        <v>45078</v>
      </c>
      <c r="C9635" s="1" t="n">
        <v>45357</v>
      </c>
      <c r="D9635" t="inlineStr">
        <is>
          <t>VÄSTERBOTTENS LÄN</t>
        </is>
      </c>
      <c r="E9635" t="inlineStr">
        <is>
          <t>LYCKSELE</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24691-2023</t>
        </is>
      </c>
      <c r="B9636" s="1" t="n">
        <v>45077</v>
      </c>
      <c r="C9636" s="1" t="n">
        <v>45357</v>
      </c>
      <c r="D9636" t="inlineStr">
        <is>
          <t>VÄSTERBOTTENS LÄN</t>
        </is>
      </c>
      <c r="E9636" t="inlineStr">
        <is>
          <t>STORUMAN</t>
        </is>
      </c>
      <c r="G9636" t="n">
        <v>929</v>
      </c>
      <c r="H9636" t="n">
        <v>0</v>
      </c>
      <c r="I9636" t="n">
        <v>0</v>
      </c>
      <c r="J9636" t="n">
        <v>0</v>
      </c>
      <c r="K9636" t="n">
        <v>0</v>
      </c>
      <c r="L9636" t="n">
        <v>0</v>
      </c>
      <c r="M9636" t="n">
        <v>0</v>
      </c>
      <c r="N9636" t="n">
        <v>0</v>
      </c>
      <c r="O9636" t="n">
        <v>0</v>
      </c>
      <c r="P9636" t="n">
        <v>0</v>
      </c>
      <c r="Q9636" t="n">
        <v>0</v>
      </c>
      <c r="R9636" s="2" t="inlineStr"/>
    </row>
    <row r="9637" ht="15" customHeight="1">
      <c r="A9637" t="inlineStr">
        <is>
          <t>A 24460-2023</t>
        </is>
      </c>
      <c r="B9637" s="1" t="n">
        <v>45077</v>
      </c>
      <c r="C9637" s="1" t="n">
        <v>45357</v>
      </c>
      <c r="D9637" t="inlineStr">
        <is>
          <t>VÄSTERBOTTENS LÄN</t>
        </is>
      </c>
      <c r="E9637" t="inlineStr">
        <is>
          <t>LYCKSELE</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23806-2023</t>
        </is>
      </c>
      <c r="B9638" s="1" t="n">
        <v>45078</v>
      </c>
      <c r="C9638" s="1" t="n">
        <v>45357</v>
      </c>
      <c r="D9638" t="inlineStr">
        <is>
          <t>VÄSTERBOTTENS LÄN</t>
        </is>
      </c>
      <c r="E9638" t="inlineStr">
        <is>
          <t>BJURHOLM</t>
        </is>
      </c>
      <c r="F9638" t="inlineStr">
        <is>
          <t>Holmen skog AB</t>
        </is>
      </c>
      <c r="G9638" t="n">
        <v>9.6</v>
      </c>
      <c r="H9638" t="n">
        <v>0</v>
      </c>
      <c r="I9638" t="n">
        <v>0</v>
      </c>
      <c r="J9638" t="n">
        <v>0</v>
      </c>
      <c r="K9638" t="n">
        <v>0</v>
      </c>
      <c r="L9638" t="n">
        <v>0</v>
      </c>
      <c r="M9638" t="n">
        <v>0</v>
      </c>
      <c r="N9638" t="n">
        <v>0</v>
      </c>
      <c r="O9638" t="n">
        <v>0</v>
      </c>
      <c r="P9638" t="n">
        <v>0</v>
      </c>
      <c r="Q9638" t="n">
        <v>0</v>
      </c>
      <c r="R9638" s="2" t="inlineStr"/>
    </row>
    <row r="9639" ht="15" customHeight="1">
      <c r="A9639" t="inlineStr">
        <is>
          <t>A 23888-2023</t>
        </is>
      </c>
      <c r="B9639" s="1" t="n">
        <v>45078</v>
      </c>
      <c r="C9639" s="1" t="n">
        <v>45357</v>
      </c>
      <c r="D9639" t="inlineStr">
        <is>
          <t>VÄSTERBOTTENS LÄN</t>
        </is>
      </c>
      <c r="E9639" t="inlineStr">
        <is>
          <t>UMEÅ</t>
        </is>
      </c>
      <c r="F9639" t="inlineStr">
        <is>
          <t>Holmen skog AB</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23901-2023</t>
        </is>
      </c>
      <c r="B9640" s="1" t="n">
        <v>45078</v>
      </c>
      <c r="C9640" s="1" t="n">
        <v>45357</v>
      </c>
      <c r="D9640" t="inlineStr">
        <is>
          <t>VÄSTERBOTTENS LÄN</t>
        </is>
      </c>
      <c r="E9640" t="inlineStr">
        <is>
          <t>ÅSELE</t>
        </is>
      </c>
      <c r="F9640" t="inlineStr">
        <is>
          <t>Holmen skog AB</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23915-2023</t>
        </is>
      </c>
      <c r="B9641" s="1" t="n">
        <v>45078</v>
      </c>
      <c r="C9641" s="1" t="n">
        <v>45357</v>
      </c>
      <c r="D9641" t="inlineStr">
        <is>
          <t>VÄSTERBOTTENS LÄN</t>
        </is>
      </c>
      <c r="E9641" t="inlineStr">
        <is>
          <t>ÅSELE</t>
        </is>
      </c>
      <c r="F9641" t="inlineStr">
        <is>
          <t>Holmen skog AB</t>
        </is>
      </c>
      <c r="G9641" t="n">
        <v>11.5</v>
      </c>
      <c r="H9641" t="n">
        <v>0</v>
      </c>
      <c r="I9641" t="n">
        <v>0</v>
      </c>
      <c r="J9641" t="n">
        <v>0</v>
      </c>
      <c r="K9641" t="n">
        <v>0</v>
      </c>
      <c r="L9641" t="n">
        <v>0</v>
      </c>
      <c r="M9641" t="n">
        <v>0</v>
      </c>
      <c r="N9641" t="n">
        <v>0</v>
      </c>
      <c r="O9641" t="n">
        <v>0</v>
      </c>
      <c r="P9641" t="n">
        <v>0</v>
      </c>
      <c r="Q9641" t="n">
        <v>0</v>
      </c>
      <c r="R9641" s="2" t="inlineStr"/>
    </row>
    <row r="9642" ht="15" customHeight="1">
      <c r="A9642" t="inlineStr">
        <is>
          <t>A 23852-2023</t>
        </is>
      </c>
      <c r="B9642" s="1" t="n">
        <v>45078</v>
      </c>
      <c r="C9642" s="1" t="n">
        <v>45357</v>
      </c>
      <c r="D9642" t="inlineStr">
        <is>
          <t>VÄSTERBOTTENS LÄN</t>
        </is>
      </c>
      <c r="E9642" t="inlineStr">
        <is>
          <t>BJURHOLM</t>
        </is>
      </c>
      <c r="F9642" t="inlineStr">
        <is>
          <t>Holmen skog AB</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23913-2023</t>
        </is>
      </c>
      <c r="B9643" s="1" t="n">
        <v>45078</v>
      </c>
      <c r="C9643" s="1" t="n">
        <v>45357</v>
      </c>
      <c r="D9643" t="inlineStr">
        <is>
          <t>VÄSTERBOTTENS LÄN</t>
        </is>
      </c>
      <c r="E9643" t="inlineStr">
        <is>
          <t>ÅSELE</t>
        </is>
      </c>
      <c r="F9643" t="inlineStr">
        <is>
          <t>Holmen skog AB</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23972-2023</t>
        </is>
      </c>
      <c r="B9644" s="1" t="n">
        <v>45078</v>
      </c>
      <c r="C9644" s="1" t="n">
        <v>45357</v>
      </c>
      <c r="D9644" t="inlineStr">
        <is>
          <t>VÄSTERBOTTENS LÄN</t>
        </is>
      </c>
      <c r="E9644" t="inlineStr">
        <is>
          <t>ÅSELE</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23983-2023</t>
        </is>
      </c>
      <c r="B9645" s="1" t="n">
        <v>45078</v>
      </c>
      <c r="C9645" s="1" t="n">
        <v>45357</v>
      </c>
      <c r="D9645" t="inlineStr">
        <is>
          <t>VÄSTERBOTTENS LÄN</t>
        </is>
      </c>
      <c r="E9645" t="inlineStr">
        <is>
          <t>UMEÅ</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24000-2023</t>
        </is>
      </c>
      <c r="B9646" s="1" t="n">
        <v>45078</v>
      </c>
      <c r="C9646" s="1" t="n">
        <v>45357</v>
      </c>
      <c r="D9646" t="inlineStr">
        <is>
          <t>VÄSTERBOTTENS LÄN</t>
        </is>
      </c>
      <c r="E9646" t="inlineStr">
        <is>
          <t>UMEÅ</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23831-2023</t>
        </is>
      </c>
      <c r="B9647" s="1" t="n">
        <v>45078</v>
      </c>
      <c r="C9647" s="1" t="n">
        <v>45357</v>
      </c>
      <c r="D9647" t="inlineStr">
        <is>
          <t>VÄSTERBOTTENS LÄN</t>
        </is>
      </c>
      <c r="E9647" t="inlineStr">
        <is>
          <t>NORSJÖ</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23896-2023</t>
        </is>
      </c>
      <c r="B9648" s="1" t="n">
        <v>45078</v>
      </c>
      <c r="C9648" s="1" t="n">
        <v>45357</v>
      </c>
      <c r="D9648" t="inlineStr">
        <is>
          <t>VÄSTERBOTTENS LÄN</t>
        </is>
      </c>
      <c r="E9648" t="inlineStr">
        <is>
          <t>ÅSELE</t>
        </is>
      </c>
      <c r="F9648" t="inlineStr">
        <is>
          <t>Holmen skog AB</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23949-2023</t>
        </is>
      </c>
      <c r="B9649" s="1" t="n">
        <v>45078</v>
      </c>
      <c r="C9649" s="1" t="n">
        <v>45357</v>
      </c>
      <c r="D9649" t="inlineStr">
        <is>
          <t>VÄSTERBOTTENS LÄN</t>
        </is>
      </c>
      <c r="E9649" t="inlineStr">
        <is>
          <t>ÅSELE</t>
        </is>
      </c>
      <c r="F9649" t="inlineStr">
        <is>
          <t>Naturvårdsverket</t>
        </is>
      </c>
      <c r="G9649" t="n">
        <v>20.5</v>
      </c>
      <c r="H9649" t="n">
        <v>0</v>
      </c>
      <c r="I9649" t="n">
        <v>0</v>
      </c>
      <c r="J9649" t="n">
        <v>0</v>
      </c>
      <c r="K9649" t="n">
        <v>0</v>
      </c>
      <c r="L9649" t="n">
        <v>0</v>
      </c>
      <c r="M9649" t="n">
        <v>0</v>
      </c>
      <c r="N9649" t="n">
        <v>0</v>
      </c>
      <c r="O9649" t="n">
        <v>0</v>
      </c>
      <c r="P9649" t="n">
        <v>0</v>
      </c>
      <c r="Q9649" t="n">
        <v>0</v>
      </c>
      <c r="R9649" s="2" t="inlineStr"/>
    </row>
    <row r="9650" ht="15" customHeight="1">
      <c r="A9650" t="inlineStr">
        <is>
          <t>A 23998-2023</t>
        </is>
      </c>
      <c r="B9650" s="1" t="n">
        <v>45078</v>
      </c>
      <c r="C9650" s="1" t="n">
        <v>45357</v>
      </c>
      <c r="D9650" t="inlineStr">
        <is>
          <t>VÄSTERBOTTENS LÄN</t>
        </is>
      </c>
      <c r="E9650" t="inlineStr">
        <is>
          <t>ÅSELE</t>
        </is>
      </c>
      <c r="F9650" t="inlineStr">
        <is>
          <t>Holmen skog AB</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23997-2023</t>
        </is>
      </c>
      <c r="B9651" s="1" t="n">
        <v>45078</v>
      </c>
      <c r="C9651" s="1" t="n">
        <v>45357</v>
      </c>
      <c r="D9651" t="inlineStr">
        <is>
          <t>VÄSTERBOTTENS LÄN</t>
        </is>
      </c>
      <c r="E9651" t="inlineStr">
        <is>
          <t>ÅSELE</t>
        </is>
      </c>
      <c r="F9651" t="inlineStr">
        <is>
          <t>Holmen skog AB</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24041-2023</t>
        </is>
      </c>
      <c r="B9652" s="1" t="n">
        <v>45078</v>
      </c>
      <c r="C9652" s="1" t="n">
        <v>45357</v>
      </c>
      <c r="D9652" t="inlineStr">
        <is>
          <t>VÄSTERBOTTENS LÄN</t>
        </is>
      </c>
      <c r="E9652" t="inlineStr">
        <is>
          <t>LYCKSELE</t>
        </is>
      </c>
      <c r="F9652" t="inlineStr">
        <is>
          <t>SCA</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24067-2023</t>
        </is>
      </c>
      <c r="B9653" s="1" t="n">
        <v>45079</v>
      </c>
      <c r="C9653" s="1" t="n">
        <v>45357</v>
      </c>
      <c r="D9653" t="inlineStr">
        <is>
          <t>VÄSTERBOTTENS LÄN</t>
        </is>
      </c>
      <c r="E9653" t="inlineStr">
        <is>
          <t>ÅSELE</t>
        </is>
      </c>
      <c r="F9653" t="inlineStr">
        <is>
          <t>SCA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25087-2023</t>
        </is>
      </c>
      <c r="B9654" s="1" t="n">
        <v>45078</v>
      </c>
      <c r="C9654" s="1" t="n">
        <v>45357</v>
      </c>
      <c r="D9654" t="inlineStr">
        <is>
          <t>VÄSTERBOTTENS LÄN</t>
        </is>
      </c>
      <c r="E9654" t="inlineStr">
        <is>
          <t>ÅSELE</t>
        </is>
      </c>
      <c r="F9654" t="inlineStr">
        <is>
          <t>Kommuner</t>
        </is>
      </c>
      <c r="G9654" t="n">
        <v>7.6</v>
      </c>
      <c r="H9654" t="n">
        <v>0</v>
      </c>
      <c r="I9654" t="n">
        <v>0</v>
      </c>
      <c r="J9654" t="n">
        <v>0</v>
      </c>
      <c r="K9654" t="n">
        <v>0</v>
      </c>
      <c r="L9654" t="n">
        <v>0</v>
      </c>
      <c r="M9654" t="n">
        <v>0</v>
      </c>
      <c r="N9654" t="n">
        <v>0</v>
      </c>
      <c r="O9654" t="n">
        <v>0</v>
      </c>
      <c r="P9654" t="n">
        <v>0</v>
      </c>
      <c r="Q9654" t="n">
        <v>0</v>
      </c>
      <c r="R9654" s="2" t="inlineStr"/>
    </row>
    <row r="9655" ht="15" customHeight="1">
      <c r="A9655" t="inlineStr">
        <is>
          <t>A 25110-2023</t>
        </is>
      </c>
      <c r="B9655" s="1" t="n">
        <v>45078</v>
      </c>
      <c r="C9655" s="1" t="n">
        <v>45357</v>
      </c>
      <c r="D9655" t="inlineStr">
        <is>
          <t>VÄSTERBOTTENS LÄN</t>
        </is>
      </c>
      <c r="E9655" t="inlineStr">
        <is>
          <t>ÅSELE</t>
        </is>
      </c>
      <c r="F9655" t="inlineStr">
        <is>
          <t>Kommuner</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24875-2023</t>
        </is>
      </c>
      <c r="B9656" s="1" t="n">
        <v>45078</v>
      </c>
      <c r="C9656" s="1" t="n">
        <v>45357</v>
      </c>
      <c r="D9656" t="inlineStr">
        <is>
          <t>VÄSTERBOTTENS LÄN</t>
        </is>
      </c>
      <c r="E9656" t="inlineStr">
        <is>
          <t>UMEÅ</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25111-2023</t>
        </is>
      </c>
      <c r="B9657" s="1" t="n">
        <v>45078</v>
      </c>
      <c r="C9657" s="1" t="n">
        <v>45357</v>
      </c>
      <c r="D9657" t="inlineStr">
        <is>
          <t>VÄSTERBOTTENS LÄN</t>
        </is>
      </c>
      <c r="E9657" t="inlineStr">
        <is>
          <t>STORUMAN</t>
        </is>
      </c>
      <c r="F9657" t="inlineStr">
        <is>
          <t>Övriga statliga verk och myndigheter</t>
        </is>
      </c>
      <c r="G9657" t="n">
        <v>445.5</v>
      </c>
      <c r="H9657" t="n">
        <v>0</v>
      </c>
      <c r="I9657" t="n">
        <v>0</v>
      </c>
      <c r="J9657" t="n">
        <v>0</v>
      </c>
      <c r="K9657" t="n">
        <v>0</v>
      </c>
      <c r="L9657" t="n">
        <v>0</v>
      </c>
      <c r="M9657" t="n">
        <v>0</v>
      </c>
      <c r="N9657" t="n">
        <v>0</v>
      </c>
      <c r="O9657" t="n">
        <v>0</v>
      </c>
      <c r="P9657" t="n">
        <v>0</v>
      </c>
      <c r="Q9657" t="n">
        <v>0</v>
      </c>
      <c r="R9657" s="2" t="inlineStr"/>
    </row>
    <row r="9658" ht="15" customHeight="1">
      <c r="A9658" t="inlineStr">
        <is>
          <t>A 24879-2023</t>
        </is>
      </c>
      <c r="B9658" s="1" t="n">
        <v>45078</v>
      </c>
      <c r="C9658" s="1" t="n">
        <v>45357</v>
      </c>
      <c r="D9658" t="inlineStr">
        <is>
          <t>VÄSTERBOTTENS LÄN</t>
        </is>
      </c>
      <c r="E9658" t="inlineStr">
        <is>
          <t>UMEÅ</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25126-2023</t>
        </is>
      </c>
      <c r="B9659" s="1" t="n">
        <v>45078</v>
      </c>
      <c r="C9659" s="1" t="n">
        <v>45357</v>
      </c>
      <c r="D9659" t="inlineStr">
        <is>
          <t>VÄSTERBOTTENS LÄN</t>
        </is>
      </c>
      <c r="E9659" t="inlineStr">
        <is>
          <t>STORUMAN</t>
        </is>
      </c>
      <c r="G9659" t="n">
        <v>261</v>
      </c>
      <c r="H9659" t="n">
        <v>0</v>
      </c>
      <c r="I9659" t="n">
        <v>0</v>
      </c>
      <c r="J9659" t="n">
        <v>0</v>
      </c>
      <c r="K9659" t="n">
        <v>0</v>
      </c>
      <c r="L9659" t="n">
        <v>0</v>
      </c>
      <c r="M9659" t="n">
        <v>0</v>
      </c>
      <c r="N9659" t="n">
        <v>0</v>
      </c>
      <c r="O9659" t="n">
        <v>0</v>
      </c>
      <c r="P9659" t="n">
        <v>0</v>
      </c>
      <c r="Q9659" t="n">
        <v>0</v>
      </c>
      <c r="R9659" s="2" t="inlineStr"/>
    </row>
    <row r="9660" ht="15" customHeight="1">
      <c r="A9660" t="inlineStr">
        <is>
          <t>A 24855-2023</t>
        </is>
      </c>
      <c r="B9660" s="1" t="n">
        <v>45078</v>
      </c>
      <c r="C9660" s="1" t="n">
        <v>45357</v>
      </c>
      <c r="D9660" t="inlineStr">
        <is>
          <t>VÄSTERBOTTENS LÄN</t>
        </is>
      </c>
      <c r="E9660" t="inlineStr">
        <is>
          <t>BJURHOLM</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25106-2023</t>
        </is>
      </c>
      <c r="B9661" s="1" t="n">
        <v>45078</v>
      </c>
      <c r="C9661" s="1" t="n">
        <v>45357</v>
      </c>
      <c r="D9661" t="inlineStr">
        <is>
          <t>VÄSTERBOTTENS LÄN</t>
        </is>
      </c>
      <c r="E9661" t="inlineStr">
        <is>
          <t>ÅSELE</t>
        </is>
      </c>
      <c r="F9661" t="inlineStr">
        <is>
          <t>Kommuner</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25100-2023</t>
        </is>
      </c>
      <c r="B9662" s="1" t="n">
        <v>45078</v>
      </c>
      <c r="C9662" s="1" t="n">
        <v>45357</v>
      </c>
      <c r="D9662" t="inlineStr">
        <is>
          <t>VÄSTERBOTTENS LÄN</t>
        </is>
      </c>
      <c r="E9662" t="inlineStr">
        <is>
          <t>ÅSELE</t>
        </is>
      </c>
      <c r="F9662" t="inlineStr">
        <is>
          <t>Kommuner</t>
        </is>
      </c>
      <c r="G9662" t="n">
        <v>9.199999999999999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24294-2023</t>
        </is>
      </c>
      <c r="B9663" s="1" t="n">
        <v>45079</v>
      </c>
      <c r="C9663" s="1" t="n">
        <v>45357</v>
      </c>
      <c r="D9663" t="inlineStr">
        <is>
          <t>VÄSTERBOTTENS LÄN</t>
        </is>
      </c>
      <c r="E9663" t="inlineStr">
        <is>
          <t>ROBERTSFORS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25225-2023</t>
        </is>
      </c>
      <c r="B9664" s="1" t="n">
        <v>45079</v>
      </c>
      <c r="C9664" s="1" t="n">
        <v>45357</v>
      </c>
      <c r="D9664" t="inlineStr">
        <is>
          <t>VÄSTERBOTTENS LÄN</t>
        </is>
      </c>
      <c r="E9664" t="inlineStr">
        <is>
          <t>ÅSELE</t>
        </is>
      </c>
      <c r="F9664" t="inlineStr">
        <is>
          <t>Kommuner</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24234-2023</t>
        </is>
      </c>
      <c r="B9665" s="1" t="n">
        <v>45079</v>
      </c>
      <c r="C9665" s="1" t="n">
        <v>45357</v>
      </c>
      <c r="D9665" t="inlineStr">
        <is>
          <t>VÄSTERBOTTENS LÄN</t>
        </is>
      </c>
      <c r="E9665" t="inlineStr">
        <is>
          <t>LYCKSELE</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24291-2023</t>
        </is>
      </c>
      <c r="B9666" s="1" t="n">
        <v>45079</v>
      </c>
      <c r="C9666" s="1" t="n">
        <v>45357</v>
      </c>
      <c r="D9666" t="inlineStr">
        <is>
          <t>VÄSTERBOTTENS LÄN</t>
        </is>
      </c>
      <c r="E9666" t="inlineStr">
        <is>
          <t>ROBERTSFORS</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24295-2023</t>
        </is>
      </c>
      <c r="B9667" s="1" t="n">
        <v>45079</v>
      </c>
      <c r="C9667" s="1" t="n">
        <v>45357</v>
      </c>
      <c r="D9667" t="inlineStr">
        <is>
          <t>VÄSTERBOTTENS LÄN</t>
        </is>
      </c>
      <c r="E9667" t="inlineStr">
        <is>
          <t>ROBERTSFORS</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24289-2023</t>
        </is>
      </c>
      <c r="B9668" s="1" t="n">
        <v>45080</v>
      </c>
      <c r="C9668" s="1" t="n">
        <v>45357</v>
      </c>
      <c r="D9668" t="inlineStr">
        <is>
          <t>VÄSTERBOTTENS LÄN</t>
        </is>
      </c>
      <c r="E9668" t="inlineStr">
        <is>
          <t>LYCKSELE</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24297-2023</t>
        </is>
      </c>
      <c r="B9669" s="1" t="n">
        <v>45079</v>
      </c>
      <c r="C9669" s="1" t="n">
        <v>45357</v>
      </c>
      <c r="D9669" t="inlineStr">
        <is>
          <t>VÄSTERBOTTENS LÄN</t>
        </is>
      </c>
      <c r="E9669" t="inlineStr">
        <is>
          <t>DOROTEA</t>
        </is>
      </c>
      <c r="F9669" t="inlineStr">
        <is>
          <t>SCA</t>
        </is>
      </c>
      <c r="G9669" t="n">
        <v>8.1</v>
      </c>
      <c r="H9669" t="n">
        <v>0</v>
      </c>
      <c r="I9669" t="n">
        <v>0</v>
      </c>
      <c r="J9669" t="n">
        <v>0</v>
      </c>
      <c r="K9669" t="n">
        <v>0</v>
      </c>
      <c r="L9669" t="n">
        <v>0</v>
      </c>
      <c r="M9669" t="n">
        <v>0</v>
      </c>
      <c r="N9669" t="n">
        <v>0</v>
      </c>
      <c r="O9669" t="n">
        <v>0</v>
      </c>
      <c r="P9669" t="n">
        <v>0</v>
      </c>
      <c r="Q9669" t="n">
        <v>0</v>
      </c>
      <c r="R9669" s="2" t="inlineStr"/>
    </row>
    <row r="9670" ht="15" customHeight="1">
      <c r="A9670" t="inlineStr">
        <is>
          <t>A 24292-2023</t>
        </is>
      </c>
      <c r="B9670" s="1" t="n">
        <v>45079</v>
      </c>
      <c r="C9670" s="1" t="n">
        <v>45357</v>
      </c>
      <c r="D9670" t="inlineStr">
        <is>
          <t>VÄSTERBOTTENS LÄN</t>
        </is>
      </c>
      <c r="E9670" t="inlineStr">
        <is>
          <t>STORUMAN</t>
        </is>
      </c>
      <c r="G9670" t="n">
        <v>17.5</v>
      </c>
      <c r="H9670" t="n">
        <v>0</v>
      </c>
      <c r="I9670" t="n">
        <v>0</v>
      </c>
      <c r="J9670" t="n">
        <v>0</v>
      </c>
      <c r="K9670" t="n">
        <v>0</v>
      </c>
      <c r="L9670" t="n">
        <v>0</v>
      </c>
      <c r="M9670" t="n">
        <v>0</v>
      </c>
      <c r="N9670" t="n">
        <v>0</v>
      </c>
      <c r="O9670" t="n">
        <v>0</v>
      </c>
      <c r="P9670" t="n">
        <v>0</v>
      </c>
      <c r="Q9670" t="n">
        <v>0</v>
      </c>
      <c r="R9670" s="2" t="inlineStr"/>
    </row>
    <row r="9671" ht="15" customHeight="1">
      <c r="A9671" t="inlineStr">
        <is>
          <t>A 25232-2023</t>
        </is>
      </c>
      <c r="B9671" s="1" t="n">
        <v>45079</v>
      </c>
      <c r="C9671" s="1" t="n">
        <v>45357</v>
      </c>
      <c r="D9671" t="inlineStr">
        <is>
          <t>VÄSTERBOTTENS LÄN</t>
        </is>
      </c>
      <c r="E9671" t="inlineStr">
        <is>
          <t>ÅSELE</t>
        </is>
      </c>
      <c r="F9671" t="inlineStr">
        <is>
          <t>Kommuner</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25256-2023</t>
        </is>
      </c>
      <c r="B9672" s="1" t="n">
        <v>45079</v>
      </c>
      <c r="C9672" s="1" t="n">
        <v>45357</v>
      </c>
      <c r="D9672" t="inlineStr">
        <is>
          <t>VÄSTERBOTTENS LÄN</t>
        </is>
      </c>
      <c r="E9672" t="inlineStr">
        <is>
          <t>SKELLEFTEÅ</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25211-2023</t>
        </is>
      </c>
      <c r="B9673" s="1" t="n">
        <v>45079</v>
      </c>
      <c r="C9673" s="1" t="n">
        <v>45357</v>
      </c>
      <c r="D9673" t="inlineStr">
        <is>
          <t>VÄSTERBOTTENS LÄN</t>
        </is>
      </c>
      <c r="E9673" t="inlineStr">
        <is>
          <t>ÅSELE</t>
        </is>
      </c>
      <c r="G9673" t="n">
        <v>16.6</v>
      </c>
      <c r="H9673" t="n">
        <v>0</v>
      </c>
      <c r="I9673" t="n">
        <v>0</v>
      </c>
      <c r="J9673" t="n">
        <v>0</v>
      </c>
      <c r="K9673" t="n">
        <v>0</v>
      </c>
      <c r="L9673" t="n">
        <v>0</v>
      </c>
      <c r="M9673" t="n">
        <v>0</v>
      </c>
      <c r="N9673" t="n">
        <v>0</v>
      </c>
      <c r="O9673" t="n">
        <v>0</v>
      </c>
      <c r="P9673" t="n">
        <v>0</v>
      </c>
      <c r="Q9673" t="n">
        <v>0</v>
      </c>
      <c r="R9673" s="2" t="inlineStr"/>
    </row>
    <row r="9674" ht="15" customHeight="1">
      <c r="A9674" t="inlineStr">
        <is>
          <t>A 25237-2023</t>
        </is>
      </c>
      <c r="B9674" s="1" t="n">
        <v>45079</v>
      </c>
      <c r="C9674" s="1" t="n">
        <v>45357</v>
      </c>
      <c r="D9674" t="inlineStr">
        <is>
          <t>VÄSTERBOTTENS LÄN</t>
        </is>
      </c>
      <c r="E9674" t="inlineStr">
        <is>
          <t>SKELLEFTEÅ</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24327-2023</t>
        </is>
      </c>
      <c r="B9675" s="1" t="n">
        <v>45080</v>
      </c>
      <c r="C9675" s="1" t="n">
        <v>45357</v>
      </c>
      <c r="D9675" t="inlineStr">
        <is>
          <t>VÄSTERBOTTENS LÄN</t>
        </is>
      </c>
      <c r="E9675" t="inlineStr">
        <is>
          <t>SKELLEFTEÅ</t>
        </is>
      </c>
      <c r="F9675" t="inlineStr">
        <is>
          <t>SCA</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24320-2023</t>
        </is>
      </c>
      <c r="B9676" s="1" t="n">
        <v>45080</v>
      </c>
      <c r="C9676" s="1" t="n">
        <v>45357</v>
      </c>
      <c r="D9676" t="inlineStr">
        <is>
          <t>VÄSTERBOTTENS LÄN</t>
        </is>
      </c>
      <c r="E9676" t="inlineStr">
        <is>
          <t>SKELLEFTEÅ</t>
        </is>
      </c>
      <c r="F9676" t="inlineStr">
        <is>
          <t>Sveaskog</t>
        </is>
      </c>
      <c r="G9676" t="n">
        <v>27.5</v>
      </c>
      <c r="H9676" t="n">
        <v>0</v>
      </c>
      <c r="I9676" t="n">
        <v>0</v>
      </c>
      <c r="J9676" t="n">
        <v>0</v>
      </c>
      <c r="K9676" t="n">
        <v>0</v>
      </c>
      <c r="L9676" t="n">
        <v>0</v>
      </c>
      <c r="M9676" t="n">
        <v>0</v>
      </c>
      <c r="N9676" t="n">
        <v>0</v>
      </c>
      <c r="O9676" t="n">
        <v>0</v>
      </c>
      <c r="P9676" t="n">
        <v>0</v>
      </c>
      <c r="Q9676" t="n">
        <v>0</v>
      </c>
      <c r="R9676" s="2" t="inlineStr"/>
    </row>
    <row r="9677" ht="15" customHeight="1">
      <c r="A9677" t="inlineStr">
        <is>
          <t>A 24425-2023</t>
        </is>
      </c>
      <c r="B9677" s="1" t="n">
        <v>45082</v>
      </c>
      <c r="C9677" s="1" t="n">
        <v>45357</v>
      </c>
      <c r="D9677" t="inlineStr">
        <is>
          <t>VÄSTERBOTTENS LÄN</t>
        </is>
      </c>
      <c r="E9677" t="inlineStr">
        <is>
          <t>NORSJÖ</t>
        </is>
      </c>
      <c r="F9677" t="inlineStr">
        <is>
          <t>Holmen skog AB</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24394-2023</t>
        </is>
      </c>
      <c r="B9678" s="1" t="n">
        <v>45082</v>
      </c>
      <c r="C9678" s="1" t="n">
        <v>45357</v>
      </c>
      <c r="D9678" t="inlineStr">
        <is>
          <t>VÄSTERBOTTENS LÄN</t>
        </is>
      </c>
      <c r="E9678" t="inlineStr">
        <is>
          <t>NORSJÖ</t>
        </is>
      </c>
      <c r="F9678" t="inlineStr">
        <is>
          <t>Holmen skog AB</t>
        </is>
      </c>
      <c r="G9678" t="n">
        <v>6.9</v>
      </c>
      <c r="H9678" t="n">
        <v>0</v>
      </c>
      <c r="I9678" t="n">
        <v>0</v>
      </c>
      <c r="J9678" t="n">
        <v>0</v>
      </c>
      <c r="K9678" t="n">
        <v>0</v>
      </c>
      <c r="L9678" t="n">
        <v>0</v>
      </c>
      <c r="M9678" t="n">
        <v>0</v>
      </c>
      <c r="N9678" t="n">
        <v>0</v>
      </c>
      <c r="O9678" t="n">
        <v>0</v>
      </c>
      <c r="P9678" t="n">
        <v>0</v>
      </c>
      <c r="Q9678" t="n">
        <v>0</v>
      </c>
      <c r="R9678" s="2" t="inlineStr"/>
    </row>
    <row r="9679" ht="15" customHeight="1">
      <c r="A9679" t="inlineStr">
        <is>
          <t>A 24440-2023</t>
        </is>
      </c>
      <c r="B9679" s="1" t="n">
        <v>45082</v>
      </c>
      <c r="C9679" s="1" t="n">
        <v>45357</v>
      </c>
      <c r="D9679" t="inlineStr">
        <is>
          <t>VÄSTERBOTTENS LÄN</t>
        </is>
      </c>
      <c r="E9679" t="inlineStr">
        <is>
          <t>NORSJÖ</t>
        </is>
      </c>
      <c r="F9679" t="inlineStr">
        <is>
          <t>Holmen skog AB</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24547-2023</t>
        </is>
      </c>
      <c r="B9680" s="1" t="n">
        <v>45082</v>
      </c>
      <c r="C9680" s="1" t="n">
        <v>45357</v>
      </c>
      <c r="D9680" t="inlineStr">
        <is>
          <t>VÄSTERBOTTENS LÄN</t>
        </is>
      </c>
      <c r="E9680" t="inlineStr">
        <is>
          <t>LYCKSELE</t>
        </is>
      </c>
      <c r="F9680" t="inlineStr">
        <is>
          <t>SCA</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24532-2023</t>
        </is>
      </c>
      <c r="B9681" s="1" t="n">
        <v>45082</v>
      </c>
      <c r="C9681" s="1" t="n">
        <v>45357</v>
      </c>
      <c r="D9681" t="inlineStr">
        <is>
          <t>VÄSTERBOTTENS LÄN</t>
        </is>
      </c>
      <c r="E9681" t="inlineStr">
        <is>
          <t>UMEÅ</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25572-2023</t>
        </is>
      </c>
      <c r="B9682" s="1" t="n">
        <v>45082</v>
      </c>
      <c r="C9682" s="1" t="n">
        <v>45357</v>
      </c>
      <c r="D9682" t="inlineStr">
        <is>
          <t>VÄSTERBOTTENS LÄN</t>
        </is>
      </c>
      <c r="E9682" t="inlineStr">
        <is>
          <t>ROBERTSFORS</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24598-2023</t>
        </is>
      </c>
      <c r="B9683" s="1" t="n">
        <v>45084</v>
      </c>
      <c r="C9683" s="1" t="n">
        <v>45357</v>
      </c>
      <c r="D9683" t="inlineStr">
        <is>
          <t>VÄSTERBOTTENS LÄN</t>
        </is>
      </c>
      <c r="E9683" t="inlineStr">
        <is>
          <t>VILHELMINA</t>
        </is>
      </c>
      <c r="F9683" t="inlineStr">
        <is>
          <t>SCA</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24610-2023</t>
        </is>
      </c>
      <c r="B9684" s="1" t="n">
        <v>45084</v>
      </c>
      <c r="C9684" s="1" t="n">
        <v>45357</v>
      </c>
      <c r="D9684" t="inlineStr">
        <is>
          <t>VÄSTERBOTTENS LÄN</t>
        </is>
      </c>
      <c r="E9684" t="inlineStr">
        <is>
          <t>VINDELN</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24631-2023</t>
        </is>
      </c>
      <c r="B9685" s="1" t="n">
        <v>45084</v>
      </c>
      <c r="C9685" s="1" t="n">
        <v>45357</v>
      </c>
      <c r="D9685" t="inlineStr">
        <is>
          <t>VÄSTERBOTTENS LÄN</t>
        </is>
      </c>
      <c r="E9685" t="inlineStr">
        <is>
          <t>ROBERTSFORS</t>
        </is>
      </c>
      <c r="F9685" t="inlineStr">
        <is>
          <t>Holmen skog AB</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24763-2023</t>
        </is>
      </c>
      <c r="B9686" s="1" t="n">
        <v>45084</v>
      </c>
      <c r="C9686" s="1" t="n">
        <v>45357</v>
      </c>
      <c r="D9686" t="inlineStr">
        <is>
          <t>VÄSTERBOTTENS LÄN</t>
        </is>
      </c>
      <c r="E9686" t="inlineStr">
        <is>
          <t>NORSJÖ</t>
        </is>
      </c>
      <c r="F9686" t="inlineStr">
        <is>
          <t>Holmen skog AB</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24797-2023</t>
        </is>
      </c>
      <c r="B9687" s="1" t="n">
        <v>45084</v>
      </c>
      <c r="C9687" s="1" t="n">
        <v>45357</v>
      </c>
      <c r="D9687" t="inlineStr">
        <is>
          <t>VÄSTERBOTTENS LÄN</t>
        </is>
      </c>
      <c r="E9687" t="inlineStr">
        <is>
          <t>UMEÅ</t>
        </is>
      </c>
      <c r="F9687" t="inlineStr">
        <is>
          <t>Holmen skog AB</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24805-2023</t>
        </is>
      </c>
      <c r="B9688" s="1" t="n">
        <v>45084</v>
      </c>
      <c r="C9688" s="1" t="n">
        <v>45357</v>
      </c>
      <c r="D9688" t="inlineStr">
        <is>
          <t>VÄSTERBOTTENS LÄN</t>
        </is>
      </c>
      <c r="E9688" t="inlineStr">
        <is>
          <t>SKELLEFTEÅ</t>
        </is>
      </c>
      <c r="F9688" t="inlineStr">
        <is>
          <t>Sveaskog</t>
        </is>
      </c>
      <c r="G9688" t="n">
        <v>16.7</v>
      </c>
      <c r="H9688" t="n">
        <v>0</v>
      </c>
      <c r="I9688" t="n">
        <v>0</v>
      </c>
      <c r="J9688" t="n">
        <v>0</v>
      </c>
      <c r="K9688" t="n">
        <v>0</v>
      </c>
      <c r="L9688" t="n">
        <v>0</v>
      </c>
      <c r="M9688" t="n">
        <v>0</v>
      </c>
      <c r="N9688" t="n">
        <v>0</v>
      </c>
      <c r="O9688" t="n">
        <v>0</v>
      </c>
      <c r="P9688" t="n">
        <v>0</v>
      </c>
      <c r="Q9688" t="n">
        <v>0</v>
      </c>
      <c r="R9688" s="2" t="inlineStr"/>
    </row>
    <row r="9689" ht="15" customHeight="1">
      <c r="A9689" t="inlineStr">
        <is>
          <t>A 24819-2023</t>
        </is>
      </c>
      <c r="B9689" s="1" t="n">
        <v>45084</v>
      </c>
      <c r="C9689" s="1" t="n">
        <v>45357</v>
      </c>
      <c r="D9689" t="inlineStr">
        <is>
          <t>VÄSTERBOTTENS LÄN</t>
        </is>
      </c>
      <c r="E9689" t="inlineStr">
        <is>
          <t>NORSJÖ</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24827-2023</t>
        </is>
      </c>
      <c r="B9690" s="1" t="n">
        <v>45084</v>
      </c>
      <c r="C9690" s="1" t="n">
        <v>45357</v>
      </c>
      <c r="D9690" t="inlineStr">
        <is>
          <t>VÄSTERBOTTENS LÄN</t>
        </is>
      </c>
      <c r="E9690" t="inlineStr">
        <is>
          <t>ÅSELE</t>
        </is>
      </c>
      <c r="F9690" t="inlineStr">
        <is>
          <t>SCA</t>
        </is>
      </c>
      <c r="G9690" t="n">
        <v>18.2</v>
      </c>
      <c r="H9690" t="n">
        <v>0</v>
      </c>
      <c r="I9690" t="n">
        <v>0</v>
      </c>
      <c r="J9690" t="n">
        <v>0</v>
      </c>
      <c r="K9690" t="n">
        <v>0</v>
      </c>
      <c r="L9690" t="n">
        <v>0</v>
      </c>
      <c r="M9690" t="n">
        <v>0</v>
      </c>
      <c r="N9690" t="n">
        <v>0</v>
      </c>
      <c r="O9690" t="n">
        <v>0</v>
      </c>
      <c r="P9690" t="n">
        <v>0</v>
      </c>
      <c r="Q9690" t="n">
        <v>0</v>
      </c>
      <c r="R9690" s="2" t="inlineStr"/>
    </row>
    <row r="9691" ht="15" customHeight="1">
      <c r="A9691" t="inlineStr">
        <is>
          <t>A 24829-2023</t>
        </is>
      </c>
      <c r="B9691" s="1" t="n">
        <v>45084</v>
      </c>
      <c r="C9691" s="1" t="n">
        <v>45357</v>
      </c>
      <c r="D9691" t="inlineStr">
        <is>
          <t>VÄSTERBOTTENS LÄN</t>
        </is>
      </c>
      <c r="E9691" t="inlineStr">
        <is>
          <t>VILHELMINA</t>
        </is>
      </c>
      <c r="F9691" t="inlineStr">
        <is>
          <t>SCA</t>
        </is>
      </c>
      <c r="G9691" t="n">
        <v>15.1</v>
      </c>
      <c r="H9691" t="n">
        <v>0</v>
      </c>
      <c r="I9691" t="n">
        <v>0</v>
      </c>
      <c r="J9691" t="n">
        <v>0</v>
      </c>
      <c r="K9691" t="n">
        <v>0</v>
      </c>
      <c r="L9691" t="n">
        <v>0</v>
      </c>
      <c r="M9691" t="n">
        <v>0</v>
      </c>
      <c r="N9691" t="n">
        <v>0</v>
      </c>
      <c r="O9691" t="n">
        <v>0</v>
      </c>
      <c r="P9691" t="n">
        <v>0</v>
      </c>
      <c r="Q9691" t="n">
        <v>0</v>
      </c>
      <c r="R9691" s="2" t="inlineStr"/>
    </row>
    <row r="9692" ht="15" customHeight="1">
      <c r="A9692" t="inlineStr">
        <is>
          <t>A 25632-2023</t>
        </is>
      </c>
      <c r="B9692" s="1" t="n">
        <v>45084</v>
      </c>
      <c r="C9692" s="1" t="n">
        <v>45357</v>
      </c>
      <c r="D9692" t="inlineStr">
        <is>
          <t>VÄSTERBOTTENS LÄN</t>
        </is>
      </c>
      <c r="E9692" t="inlineStr">
        <is>
          <t>SKELLEFTEÅ</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24818-2023</t>
        </is>
      </c>
      <c r="B9693" s="1" t="n">
        <v>45085</v>
      </c>
      <c r="C9693" s="1" t="n">
        <v>45357</v>
      </c>
      <c r="D9693" t="inlineStr">
        <is>
          <t>VÄSTERBOTTENS LÄN</t>
        </is>
      </c>
      <c r="E9693" t="inlineStr">
        <is>
          <t>LYCKSELE</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24816-2023</t>
        </is>
      </c>
      <c r="B9694" s="1" t="n">
        <v>45084</v>
      </c>
      <c r="C9694" s="1" t="n">
        <v>45357</v>
      </c>
      <c r="D9694" t="inlineStr">
        <is>
          <t>VÄSTERBOTTENS LÄN</t>
        </is>
      </c>
      <c r="E9694" t="inlineStr">
        <is>
          <t>UMEÅ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24828-2023</t>
        </is>
      </c>
      <c r="B9695" s="1" t="n">
        <v>45084</v>
      </c>
      <c r="C9695" s="1" t="n">
        <v>45357</v>
      </c>
      <c r="D9695" t="inlineStr">
        <is>
          <t>VÄSTERBOTTENS LÄN</t>
        </is>
      </c>
      <c r="E9695" t="inlineStr">
        <is>
          <t>VILHELMINA</t>
        </is>
      </c>
      <c r="F9695" t="inlineStr">
        <is>
          <t>SCA</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25634-2023</t>
        </is>
      </c>
      <c r="B9696" s="1" t="n">
        <v>45084</v>
      </c>
      <c r="C9696" s="1" t="n">
        <v>45357</v>
      </c>
      <c r="D9696" t="inlineStr">
        <is>
          <t>VÄSTERBOTTENS LÄN</t>
        </is>
      </c>
      <c r="E9696" t="inlineStr">
        <is>
          <t>SKELLEFTEÅ</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25626-2023</t>
        </is>
      </c>
      <c r="B9697" s="1" t="n">
        <v>45084</v>
      </c>
      <c r="C9697" s="1" t="n">
        <v>45357</v>
      </c>
      <c r="D9697" t="inlineStr">
        <is>
          <t>VÄSTERBOTTENS LÄN</t>
        </is>
      </c>
      <c r="E9697" t="inlineStr">
        <is>
          <t>SKELLEFTEÅ</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25638-2023</t>
        </is>
      </c>
      <c r="B9698" s="1" t="n">
        <v>45084</v>
      </c>
      <c r="C9698" s="1" t="n">
        <v>45357</v>
      </c>
      <c r="D9698" t="inlineStr">
        <is>
          <t>VÄSTERBOTTENS LÄN</t>
        </is>
      </c>
      <c r="E9698" t="inlineStr">
        <is>
          <t>SKELLEFTEÅ</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25751-2023</t>
        </is>
      </c>
      <c r="B9699" s="1" t="n">
        <v>45084</v>
      </c>
      <c r="C9699" s="1" t="n">
        <v>45357</v>
      </c>
      <c r="D9699" t="inlineStr">
        <is>
          <t>VÄSTERBOTTENS LÄN</t>
        </is>
      </c>
      <c r="E9699" t="inlineStr">
        <is>
          <t>SORSELE</t>
        </is>
      </c>
      <c r="G9699" t="n">
        <v>11.2</v>
      </c>
      <c r="H9699" t="n">
        <v>0</v>
      </c>
      <c r="I9699" t="n">
        <v>0</v>
      </c>
      <c r="J9699" t="n">
        <v>0</v>
      </c>
      <c r="K9699" t="n">
        <v>0</v>
      </c>
      <c r="L9699" t="n">
        <v>0</v>
      </c>
      <c r="M9699" t="n">
        <v>0</v>
      </c>
      <c r="N9699" t="n">
        <v>0</v>
      </c>
      <c r="O9699" t="n">
        <v>0</v>
      </c>
      <c r="P9699" t="n">
        <v>0</v>
      </c>
      <c r="Q9699" t="n">
        <v>0</v>
      </c>
      <c r="R9699" s="2" t="inlineStr"/>
    </row>
    <row r="9700" ht="15" customHeight="1">
      <c r="A9700" t="inlineStr">
        <is>
          <t>A 24854-2023</t>
        </is>
      </c>
      <c r="B9700" s="1" t="n">
        <v>45085</v>
      </c>
      <c r="C9700" s="1" t="n">
        <v>45357</v>
      </c>
      <c r="D9700" t="inlineStr">
        <is>
          <t>VÄSTERBOTTENS LÄN</t>
        </is>
      </c>
      <c r="E9700" t="inlineStr">
        <is>
          <t>BJURHOLM</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24851-2023</t>
        </is>
      </c>
      <c r="B9701" s="1" t="n">
        <v>45085</v>
      </c>
      <c r="C9701" s="1" t="n">
        <v>45357</v>
      </c>
      <c r="D9701" t="inlineStr">
        <is>
          <t>VÄSTERBOTTENS LÄN</t>
        </is>
      </c>
      <c r="E9701" t="inlineStr">
        <is>
          <t>BJURHOLM</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24868-2023</t>
        </is>
      </c>
      <c r="B9702" s="1" t="n">
        <v>45085</v>
      </c>
      <c r="C9702" s="1" t="n">
        <v>45357</v>
      </c>
      <c r="D9702" t="inlineStr">
        <is>
          <t>VÄSTERBOTTENS LÄN</t>
        </is>
      </c>
      <c r="E9702" t="inlineStr">
        <is>
          <t>NORSJÖ</t>
        </is>
      </c>
      <c r="F9702" t="inlineStr">
        <is>
          <t>Holmen skog AB</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24906-2023</t>
        </is>
      </c>
      <c r="B9703" s="1" t="n">
        <v>45085</v>
      </c>
      <c r="C9703" s="1" t="n">
        <v>45357</v>
      </c>
      <c r="D9703" t="inlineStr">
        <is>
          <t>VÄSTERBOTTENS LÄN</t>
        </is>
      </c>
      <c r="E9703" t="inlineStr">
        <is>
          <t>VÄNNÄS</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25027-2023</t>
        </is>
      </c>
      <c r="B9704" s="1" t="n">
        <v>45086</v>
      </c>
      <c r="C9704" s="1" t="n">
        <v>45357</v>
      </c>
      <c r="D9704" t="inlineStr">
        <is>
          <t>VÄSTERBOTTENS LÄN</t>
        </is>
      </c>
      <c r="E9704" t="inlineStr">
        <is>
          <t>NORSJÖ</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24963-2023</t>
        </is>
      </c>
      <c r="B9705" s="1" t="n">
        <v>45085</v>
      </c>
      <c r="C9705" s="1" t="n">
        <v>45357</v>
      </c>
      <c r="D9705" t="inlineStr">
        <is>
          <t>VÄSTERBOTTENS LÄN</t>
        </is>
      </c>
      <c r="E9705" t="inlineStr">
        <is>
          <t>SKELLEFTEÅ</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25002-2023</t>
        </is>
      </c>
      <c r="B9706" s="1" t="n">
        <v>45085</v>
      </c>
      <c r="C9706" s="1" t="n">
        <v>45357</v>
      </c>
      <c r="D9706" t="inlineStr">
        <is>
          <t>VÄSTERBOTTENS LÄN</t>
        </is>
      </c>
      <c r="E9706" t="inlineStr">
        <is>
          <t>NORSJÖ</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25029-2023</t>
        </is>
      </c>
      <c r="B9707" s="1" t="n">
        <v>45086</v>
      </c>
      <c r="C9707" s="1" t="n">
        <v>45357</v>
      </c>
      <c r="D9707" t="inlineStr">
        <is>
          <t>VÄSTERBOTTENS LÄN</t>
        </is>
      </c>
      <c r="E9707" t="inlineStr">
        <is>
          <t>NORSJÖ</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25768-2023</t>
        </is>
      </c>
      <c r="B9708" s="1" t="n">
        <v>45085</v>
      </c>
      <c r="C9708" s="1" t="n">
        <v>45357</v>
      </c>
      <c r="D9708" t="inlineStr">
        <is>
          <t>VÄSTERBOTTENS LÄN</t>
        </is>
      </c>
      <c r="E9708" t="inlineStr">
        <is>
          <t>LYCKSELE</t>
        </is>
      </c>
      <c r="G9708" t="n">
        <v>16.1</v>
      </c>
      <c r="H9708" t="n">
        <v>0</v>
      </c>
      <c r="I9708" t="n">
        <v>0</v>
      </c>
      <c r="J9708" t="n">
        <v>0</v>
      </c>
      <c r="K9708" t="n">
        <v>0</v>
      </c>
      <c r="L9708" t="n">
        <v>0</v>
      </c>
      <c r="M9708" t="n">
        <v>0</v>
      </c>
      <c r="N9708" t="n">
        <v>0</v>
      </c>
      <c r="O9708" t="n">
        <v>0</v>
      </c>
      <c r="P9708" t="n">
        <v>0</v>
      </c>
      <c r="Q9708" t="n">
        <v>0</v>
      </c>
      <c r="R9708" s="2" t="inlineStr"/>
    </row>
    <row r="9709" ht="15" customHeight="1">
      <c r="A9709" t="inlineStr">
        <is>
          <t>A 25019-2023</t>
        </is>
      </c>
      <c r="B9709" s="1" t="n">
        <v>45085</v>
      </c>
      <c r="C9709" s="1" t="n">
        <v>45357</v>
      </c>
      <c r="D9709" t="inlineStr">
        <is>
          <t>VÄSTERBOTTENS LÄN</t>
        </is>
      </c>
      <c r="E9709" t="inlineStr">
        <is>
          <t>SKELLEFTEÅ</t>
        </is>
      </c>
      <c r="F9709" t="inlineStr">
        <is>
          <t>Sveaskog</t>
        </is>
      </c>
      <c r="G9709" t="n">
        <v>11.6</v>
      </c>
      <c r="H9709" t="n">
        <v>0</v>
      </c>
      <c r="I9709" t="n">
        <v>0</v>
      </c>
      <c r="J9709" t="n">
        <v>0</v>
      </c>
      <c r="K9709" t="n">
        <v>0</v>
      </c>
      <c r="L9709" t="n">
        <v>0</v>
      </c>
      <c r="M9709" t="n">
        <v>0</v>
      </c>
      <c r="N9709" t="n">
        <v>0</v>
      </c>
      <c r="O9709" t="n">
        <v>0</v>
      </c>
      <c r="P9709" t="n">
        <v>0</v>
      </c>
      <c r="Q9709" t="n">
        <v>0</v>
      </c>
      <c r="R9709" s="2" t="inlineStr"/>
    </row>
    <row r="9710" ht="15" customHeight="1">
      <c r="A9710" t="inlineStr">
        <is>
          <t>A 25028-2023</t>
        </is>
      </c>
      <c r="B9710" s="1" t="n">
        <v>45086</v>
      </c>
      <c r="C9710" s="1" t="n">
        <v>45357</v>
      </c>
      <c r="D9710" t="inlineStr">
        <is>
          <t>VÄSTERBOTTENS LÄN</t>
        </is>
      </c>
      <c r="E9710" t="inlineStr">
        <is>
          <t>NORSJÖ</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25036-2023</t>
        </is>
      </c>
      <c r="B9711" s="1" t="n">
        <v>45085</v>
      </c>
      <c r="C9711" s="1" t="n">
        <v>45357</v>
      </c>
      <c r="D9711" t="inlineStr">
        <is>
          <t>VÄSTERBOTTENS LÄN</t>
        </is>
      </c>
      <c r="E9711" t="inlineStr">
        <is>
          <t>NORSJÖ</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25872-2023</t>
        </is>
      </c>
      <c r="B9712" s="1" t="n">
        <v>45085</v>
      </c>
      <c r="C9712" s="1" t="n">
        <v>45357</v>
      </c>
      <c r="D9712" t="inlineStr">
        <is>
          <t>VÄSTERBOTTENS LÄN</t>
        </is>
      </c>
      <c r="E9712" t="inlineStr">
        <is>
          <t>UMEÅ</t>
        </is>
      </c>
      <c r="G9712" t="n">
        <v>8.5</v>
      </c>
      <c r="H9712" t="n">
        <v>0</v>
      </c>
      <c r="I9712" t="n">
        <v>0</v>
      </c>
      <c r="J9712" t="n">
        <v>0</v>
      </c>
      <c r="K9712" t="n">
        <v>0</v>
      </c>
      <c r="L9712" t="n">
        <v>0</v>
      </c>
      <c r="M9712" t="n">
        <v>0</v>
      </c>
      <c r="N9712" t="n">
        <v>0</v>
      </c>
      <c r="O9712" t="n">
        <v>0</v>
      </c>
      <c r="P9712" t="n">
        <v>0</v>
      </c>
      <c r="Q9712" t="n">
        <v>0</v>
      </c>
      <c r="R9712" s="2" t="inlineStr"/>
    </row>
    <row r="9713" ht="15" customHeight="1">
      <c r="A9713" t="inlineStr">
        <is>
          <t>A 25030-2023</t>
        </is>
      </c>
      <c r="B9713" s="1" t="n">
        <v>45086</v>
      </c>
      <c r="C9713" s="1" t="n">
        <v>45357</v>
      </c>
      <c r="D9713" t="inlineStr">
        <is>
          <t>VÄSTERBOTTENS LÄN</t>
        </is>
      </c>
      <c r="E9713" t="inlineStr">
        <is>
          <t>NORSJÖ</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25934-2023</t>
        </is>
      </c>
      <c r="B9714" s="1" t="n">
        <v>45085</v>
      </c>
      <c r="C9714" s="1" t="n">
        <v>45357</v>
      </c>
      <c r="D9714" t="inlineStr">
        <is>
          <t>VÄSTERBOTTENS LÄN</t>
        </is>
      </c>
      <c r="E9714" t="inlineStr">
        <is>
          <t>NORDMALING</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25765-2023</t>
        </is>
      </c>
      <c r="B9715" s="1" t="n">
        <v>45085</v>
      </c>
      <c r="C9715" s="1" t="n">
        <v>45357</v>
      </c>
      <c r="D9715" t="inlineStr">
        <is>
          <t>VÄSTERBOTTENS LÄN</t>
        </is>
      </c>
      <c r="E9715" t="inlineStr">
        <is>
          <t>LYCKSELE</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25889-2023</t>
        </is>
      </c>
      <c r="B9716" s="1" t="n">
        <v>45085</v>
      </c>
      <c r="C9716" s="1" t="n">
        <v>45357</v>
      </c>
      <c r="D9716" t="inlineStr">
        <is>
          <t>VÄSTERBOTTENS LÄN</t>
        </is>
      </c>
      <c r="E9716" t="inlineStr">
        <is>
          <t>UMEÅ</t>
        </is>
      </c>
      <c r="G9716" t="n">
        <v>8.1</v>
      </c>
      <c r="H9716" t="n">
        <v>0</v>
      </c>
      <c r="I9716" t="n">
        <v>0</v>
      </c>
      <c r="J9716" t="n">
        <v>0</v>
      </c>
      <c r="K9716" t="n">
        <v>0</v>
      </c>
      <c r="L9716" t="n">
        <v>0</v>
      </c>
      <c r="M9716" t="n">
        <v>0</v>
      </c>
      <c r="N9716" t="n">
        <v>0</v>
      </c>
      <c r="O9716" t="n">
        <v>0</v>
      </c>
      <c r="P9716" t="n">
        <v>0</v>
      </c>
      <c r="Q9716" t="n">
        <v>0</v>
      </c>
      <c r="R9716" s="2" t="inlineStr"/>
    </row>
    <row r="9717" ht="15" customHeight="1">
      <c r="A9717" t="inlineStr">
        <is>
          <t>A 25145-2023</t>
        </is>
      </c>
      <c r="B9717" s="1" t="n">
        <v>45086</v>
      </c>
      <c r="C9717" s="1" t="n">
        <v>45357</v>
      </c>
      <c r="D9717" t="inlineStr">
        <is>
          <t>VÄSTERBOTTENS LÄN</t>
        </is>
      </c>
      <c r="E9717" t="inlineStr">
        <is>
          <t>LYCKSELE</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25307-2023</t>
        </is>
      </c>
      <c r="B9718" s="1" t="n">
        <v>45087</v>
      </c>
      <c r="C9718" s="1" t="n">
        <v>45357</v>
      </c>
      <c r="D9718" t="inlineStr">
        <is>
          <t>VÄSTERBOTTENS LÄN</t>
        </is>
      </c>
      <c r="E9718" t="inlineStr">
        <is>
          <t>VINDELN</t>
        </is>
      </c>
      <c r="F9718" t="inlineStr">
        <is>
          <t>SCA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26056-2023</t>
        </is>
      </c>
      <c r="B9719" s="1" t="n">
        <v>45086</v>
      </c>
      <c r="C9719" s="1" t="n">
        <v>45357</v>
      </c>
      <c r="D9719" t="inlineStr">
        <is>
          <t>VÄSTERBOTTENS LÄN</t>
        </is>
      </c>
      <c r="E9719" t="inlineStr">
        <is>
          <t>SORSELE</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25313-2023</t>
        </is>
      </c>
      <c r="B9720" s="1" t="n">
        <v>45087</v>
      </c>
      <c r="C9720" s="1" t="n">
        <v>45357</v>
      </c>
      <c r="D9720" t="inlineStr">
        <is>
          <t>VÄSTERBOTTENS LÄN</t>
        </is>
      </c>
      <c r="E9720" t="inlineStr">
        <is>
          <t>VILHELMINA</t>
        </is>
      </c>
      <c r="F9720" t="inlineStr">
        <is>
          <t>SCA</t>
        </is>
      </c>
      <c r="G9720" t="n">
        <v>9.5</v>
      </c>
      <c r="H9720" t="n">
        <v>0</v>
      </c>
      <c r="I9720" t="n">
        <v>0</v>
      </c>
      <c r="J9720" t="n">
        <v>0</v>
      </c>
      <c r="K9720" t="n">
        <v>0</v>
      </c>
      <c r="L9720" t="n">
        <v>0</v>
      </c>
      <c r="M9720" t="n">
        <v>0</v>
      </c>
      <c r="N9720" t="n">
        <v>0</v>
      </c>
      <c r="O9720" t="n">
        <v>0</v>
      </c>
      <c r="P9720" t="n">
        <v>0</v>
      </c>
      <c r="Q9720" t="n">
        <v>0</v>
      </c>
      <c r="R9720" s="2" t="inlineStr"/>
    </row>
    <row r="9721" ht="15" customHeight="1">
      <c r="A9721" t="inlineStr">
        <is>
          <t>A 26247-2023</t>
        </is>
      </c>
      <c r="B9721" s="1" t="n">
        <v>45086</v>
      </c>
      <c r="C9721" s="1" t="n">
        <v>45357</v>
      </c>
      <c r="D9721" t="inlineStr">
        <is>
          <t>VÄSTERBOTTENS LÄN</t>
        </is>
      </c>
      <c r="E9721" t="inlineStr">
        <is>
          <t>UMEÅ</t>
        </is>
      </c>
      <c r="G9721" t="n">
        <v>13.3</v>
      </c>
      <c r="H9721" t="n">
        <v>0</v>
      </c>
      <c r="I9721" t="n">
        <v>0</v>
      </c>
      <c r="J9721" t="n">
        <v>0</v>
      </c>
      <c r="K9721" t="n">
        <v>0</v>
      </c>
      <c r="L9721" t="n">
        <v>0</v>
      </c>
      <c r="M9721" t="n">
        <v>0</v>
      </c>
      <c r="N9721" t="n">
        <v>0</v>
      </c>
      <c r="O9721" t="n">
        <v>0</v>
      </c>
      <c r="P9721" t="n">
        <v>0</v>
      </c>
      <c r="Q9721" t="n">
        <v>0</v>
      </c>
      <c r="R9721" s="2" t="inlineStr"/>
    </row>
    <row r="9722" ht="15" customHeight="1">
      <c r="A9722" t="inlineStr">
        <is>
          <t>A 26329-2023</t>
        </is>
      </c>
      <c r="B9722" s="1" t="n">
        <v>45086</v>
      </c>
      <c r="C9722" s="1" t="n">
        <v>45357</v>
      </c>
      <c r="D9722" t="inlineStr">
        <is>
          <t>VÄSTERBOTTENS LÄN</t>
        </is>
      </c>
      <c r="E9722" t="inlineStr">
        <is>
          <t>LYCKSELE</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26322-2023</t>
        </is>
      </c>
      <c r="B9723" s="1" t="n">
        <v>45086</v>
      </c>
      <c r="C9723" s="1" t="n">
        <v>45357</v>
      </c>
      <c r="D9723" t="inlineStr">
        <is>
          <t>VÄSTERBOTTENS LÄN</t>
        </is>
      </c>
      <c r="E9723" t="inlineStr">
        <is>
          <t>VÄNNÄS</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26242-2023</t>
        </is>
      </c>
      <c r="B9724" s="1" t="n">
        <v>45086</v>
      </c>
      <c r="C9724" s="1" t="n">
        <v>45357</v>
      </c>
      <c r="D9724" t="inlineStr">
        <is>
          <t>VÄSTERBOTTENS LÄN</t>
        </is>
      </c>
      <c r="E9724" t="inlineStr">
        <is>
          <t>MALÅ</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26328-2023</t>
        </is>
      </c>
      <c r="B9725" s="1" t="n">
        <v>45086</v>
      </c>
      <c r="C9725" s="1" t="n">
        <v>45357</v>
      </c>
      <c r="D9725" t="inlineStr">
        <is>
          <t>VÄSTERBOTTENS LÄN</t>
        </is>
      </c>
      <c r="E9725" t="inlineStr">
        <is>
          <t>LYCKSELE</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26250-2023</t>
        </is>
      </c>
      <c r="B9726" s="1" t="n">
        <v>45086</v>
      </c>
      <c r="C9726" s="1" t="n">
        <v>45357</v>
      </c>
      <c r="D9726" t="inlineStr">
        <is>
          <t>VÄSTERBOTTENS LÄN</t>
        </is>
      </c>
      <c r="E9726" t="inlineStr">
        <is>
          <t>UMEÅ</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26307-2023</t>
        </is>
      </c>
      <c r="B9727" s="1" t="n">
        <v>45086</v>
      </c>
      <c r="C9727" s="1" t="n">
        <v>45357</v>
      </c>
      <c r="D9727" t="inlineStr">
        <is>
          <t>VÄSTERBOTTENS LÄN</t>
        </is>
      </c>
      <c r="E9727" t="inlineStr">
        <is>
          <t>VÄNNÄS</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25365-2023</t>
        </is>
      </c>
      <c r="B9728" s="1" t="n">
        <v>45088</v>
      </c>
      <c r="C9728" s="1" t="n">
        <v>45357</v>
      </c>
      <c r="D9728" t="inlineStr">
        <is>
          <t>VÄSTERBOTTENS LÄN</t>
        </is>
      </c>
      <c r="E9728" t="inlineStr">
        <is>
          <t>UMEÅ</t>
        </is>
      </c>
      <c r="F9728" t="inlineStr">
        <is>
          <t>Holmen skog AB</t>
        </is>
      </c>
      <c r="G9728" t="n">
        <v>6.3</v>
      </c>
      <c r="H9728" t="n">
        <v>0</v>
      </c>
      <c r="I9728" t="n">
        <v>0</v>
      </c>
      <c r="J9728" t="n">
        <v>0</v>
      </c>
      <c r="K9728" t="n">
        <v>0</v>
      </c>
      <c r="L9728" t="n">
        <v>0</v>
      </c>
      <c r="M9728" t="n">
        <v>0</v>
      </c>
      <c r="N9728" t="n">
        <v>0</v>
      </c>
      <c r="O9728" t="n">
        <v>0</v>
      </c>
      <c r="P9728" t="n">
        <v>0</v>
      </c>
      <c r="Q9728" t="n">
        <v>0</v>
      </c>
      <c r="R9728" s="2" t="inlineStr"/>
    </row>
    <row r="9729" ht="15" customHeight="1">
      <c r="A9729" t="inlineStr">
        <is>
          <t>A 25367-2023</t>
        </is>
      </c>
      <c r="B9729" s="1" t="n">
        <v>45089</v>
      </c>
      <c r="C9729" s="1" t="n">
        <v>45357</v>
      </c>
      <c r="D9729" t="inlineStr">
        <is>
          <t>VÄSTERBOTTENS LÄN</t>
        </is>
      </c>
      <c r="E9729" t="inlineStr">
        <is>
          <t>UMEÅ</t>
        </is>
      </c>
      <c r="F9729" t="inlineStr">
        <is>
          <t>Holmen skog AB</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25421-2023</t>
        </is>
      </c>
      <c r="B9730" s="1" t="n">
        <v>45089</v>
      </c>
      <c r="C9730" s="1" t="n">
        <v>45357</v>
      </c>
      <c r="D9730" t="inlineStr">
        <is>
          <t>VÄSTERBOTTENS LÄN</t>
        </is>
      </c>
      <c r="E9730" t="inlineStr">
        <is>
          <t>NORSJÖ</t>
        </is>
      </c>
      <c r="F9730" t="inlineStr">
        <is>
          <t>Holmen skog AB</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25451-2023</t>
        </is>
      </c>
      <c r="B9731" s="1" t="n">
        <v>45089</v>
      </c>
      <c r="C9731" s="1" t="n">
        <v>45357</v>
      </c>
      <c r="D9731" t="inlineStr">
        <is>
          <t>VÄSTERBOTTENS LÄN</t>
        </is>
      </c>
      <c r="E9731" t="inlineStr">
        <is>
          <t>LYCKSELE</t>
        </is>
      </c>
      <c r="F9731" t="inlineStr">
        <is>
          <t>Sveaskog</t>
        </is>
      </c>
      <c r="G9731" t="n">
        <v>9.4</v>
      </c>
      <c r="H9731" t="n">
        <v>0</v>
      </c>
      <c r="I9731" t="n">
        <v>0</v>
      </c>
      <c r="J9731" t="n">
        <v>0</v>
      </c>
      <c r="K9731" t="n">
        <v>0</v>
      </c>
      <c r="L9731" t="n">
        <v>0</v>
      </c>
      <c r="M9731" t="n">
        <v>0</v>
      </c>
      <c r="N9731" t="n">
        <v>0</v>
      </c>
      <c r="O9731" t="n">
        <v>0</v>
      </c>
      <c r="P9731" t="n">
        <v>0</v>
      </c>
      <c r="Q9731" t="n">
        <v>0</v>
      </c>
      <c r="R9731" s="2" t="inlineStr"/>
    </row>
    <row r="9732" ht="15" customHeight="1">
      <c r="A9732" t="inlineStr">
        <is>
          <t>A 25401-2023</t>
        </is>
      </c>
      <c r="B9732" s="1" t="n">
        <v>45089</v>
      </c>
      <c r="C9732" s="1" t="n">
        <v>45357</v>
      </c>
      <c r="D9732" t="inlineStr">
        <is>
          <t>VÄSTERBOTTENS LÄN</t>
        </is>
      </c>
      <c r="E9732" t="inlineStr">
        <is>
          <t>SKELLEFTEÅ</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25457-2023</t>
        </is>
      </c>
      <c r="B9733" s="1" t="n">
        <v>45089</v>
      </c>
      <c r="C9733" s="1" t="n">
        <v>45357</v>
      </c>
      <c r="D9733" t="inlineStr">
        <is>
          <t>VÄSTERBOTTENS LÄN</t>
        </is>
      </c>
      <c r="E9733" t="inlineStr">
        <is>
          <t>UMEÅ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25476-2023</t>
        </is>
      </c>
      <c r="B9734" s="1" t="n">
        <v>45089</v>
      </c>
      <c r="C9734" s="1" t="n">
        <v>45357</v>
      </c>
      <c r="D9734" t="inlineStr">
        <is>
          <t>VÄSTERBOTTENS LÄN</t>
        </is>
      </c>
      <c r="E9734" t="inlineStr">
        <is>
          <t>LYCKSELE</t>
        </is>
      </c>
      <c r="F9734" t="inlineStr">
        <is>
          <t>Sveaskog</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25530-2023</t>
        </is>
      </c>
      <c r="B9735" s="1" t="n">
        <v>45089</v>
      </c>
      <c r="C9735" s="1" t="n">
        <v>45357</v>
      </c>
      <c r="D9735" t="inlineStr">
        <is>
          <t>VÄSTERBOTTENS LÄN</t>
        </is>
      </c>
      <c r="E9735" t="inlineStr">
        <is>
          <t>NORSJÖ</t>
        </is>
      </c>
      <c r="F9735" t="inlineStr">
        <is>
          <t>Holmen skog AB</t>
        </is>
      </c>
      <c r="G9735" t="n">
        <v>7.6</v>
      </c>
      <c r="H9735" t="n">
        <v>0</v>
      </c>
      <c r="I9735" t="n">
        <v>0</v>
      </c>
      <c r="J9735" t="n">
        <v>0</v>
      </c>
      <c r="K9735" t="n">
        <v>0</v>
      </c>
      <c r="L9735" t="n">
        <v>0</v>
      </c>
      <c r="M9735" t="n">
        <v>0</v>
      </c>
      <c r="N9735" t="n">
        <v>0</v>
      </c>
      <c r="O9735" t="n">
        <v>0</v>
      </c>
      <c r="P9735" t="n">
        <v>0</v>
      </c>
      <c r="Q9735" t="n">
        <v>0</v>
      </c>
      <c r="R9735" s="2" t="inlineStr"/>
    </row>
    <row r="9736" ht="15" customHeight="1">
      <c r="A9736" t="inlineStr">
        <is>
          <t>A 25569-2023</t>
        </is>
      </c>
      <c r="B9736" s="1" t="n">
        <v>45089</v>
      </c>
      <c r="C9736" s="1" t="n">
        <v>45357</v>
      </c>
      <c r="D9736" t="inlineStr">
        <is>
          <t>VÄSTERBOTTENS LÄN</t>
        </is>
      </c>
      <c r="E9736" t="inlineStr">
        <is>
          <t>ROBERTSFORS</t>
        </is>
      </c>
      <c r="F9736" t="inlineStr">
        <is>
          <t>Holmen skog AB</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25413-2023</t>
        </is>
      </c>
      <c r="B9737" s="1" t="n">
        <v>45089</v>
      </c>
      <c r="C9737" s="1" t="n">
        <v>45357</v>
      </c>
      <c r="D9737" t="inlineStr">
        <is>
          <t>VÄSTERBOTTENS LÄN</t>
        </is>
      </c>
      <c r="E9737" t="inlineStr">
        <is>
          <t>LYCKSELE</t>
        </is>
      </c>
      <c r="F9737" t="inlineStr">
        <is>
          <t>Holmen skog AB</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25473-2023</t>
        </is>
      </c>
      <c r="B9738" s="1" t="n">
        <v>45089</v>
      </c>
      <c r="C9738" s="1" t="n">
        <v>45357</v>
      </c>
      <c r="D9738" t="inlineStr">
        <is>
          <t>VÄSTERBOTTENS LÄN</t>
        </is>
      </c>
      <c r="E9738" t="inlineStr">
        <is>
          <t>LYCKSELE</t>
        </is>
      </c>
      <c r="F9738" t="inlineStr">
        <is>
          <t>Sveaskog</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25478-2023</t>
        </is>
      </c>
      <c r="B9739" s="1" t="n">
        <v>45089</v>
      </c>
      <c r="C9739" s="1" t="n">
        <v>45357</v>
      </c>
      <c r="D9739" t="inlineStr">
        <is>
          <t>VÄSTERBOTTENS LÄN</t>
        </is>
      </c>
      <c r="E9739" t="inlineStr">
        <is>
          <t>LYCKSELE</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25505-2023</t>
        </is>
      </c>
      <c r="B9740" s="1" t="n">
        <v>45089</v>
      </c>
      <c r="C9740" s="1" t="n">
        <v>45357</v>
      </c>
      <c r="D9740" t="inlineStr">
        <is>
          <t>VÄSTERBOTTENS LÄN</t>
        </is>
      </c>
      <c r="E9740" t="inlineStr">
        <is>
          <t>UMEÅ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25546-2023</t>
        </is>
      </c>
      <c r="B9741" s="1" t="n">
        <v>45089</v>
      </c>
      <c r="C9741" s="1" t="n">
        <v>45357</v>
      </c>
      <c r="D9741" t="inlineStr">
        <is>
          <t>VÄSTERBOTTENS LÄN</t>
        </is>
      </c>
      <c r="E9741" t="inlineStr">
        <is>
          <t>NORSJÖ</t>
        </is>
      </c>
      <c r="F9741" t="inlineStr">
        <is>
          <t>Holmen skog AB</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26474-2023</t>
        </is>
      </c>
      <c r="B9742" s="1" t="n">
        <v>45089</v>
      </c>
      <c r="C9742" s="1" t="n">
        <v>45357</v>
      </c>
      <c r="D9742" t="inlineStr">
        <is>
          <t>VÄSTERBOTTENS LÄN</t>
        </is>
      </c>
      <c r="E9742" t="inlineStr">
        <is>
          <t>ROBERTSFORS</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26553-2023</t>
        </is>
      </c>
      <c r="B9743" s="1" t="n">
        <v>45089</v>
      </c>
      <c r="C9743" s="1" t="n">
        <v>45357</v>
      </c>
      <c r="D9743" t="inlineStr">
        <is>
          <t>VÄSTERBOTTENS LÄN</t>
        </is>
      </c>
      <c r="E9743" t="inlineStr">
        <is>
          <t>VILHELMINA</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26564-2023</t>
        </is>
      </c>
      <c r="B9744" s="1" t="n">
        <v>45089</v>
      </c>
      <c r="C9744" s="1" t="n">
        <v>45357</v>
      </c>
      <c r="D9744" t="inlineStr">
        <is>
          <t>VÄSTERBOTTENS LÄN</t>
        </is>
      </c>
      <c r="E9744" t="inlineStr">
        <is>
          <t>VILHELMINA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25679-2023</t>
        </is>
      </c>
      <c r="B9745" s="1" t="n">
        <v>45090</v>
      </c>
      <c r="C9745" s="1" t="n">
        <v>45357</v>
      </c>
      <c r="D9745" t="inlineStr">
        <is>
          <t>VÄSTERBOTTENS LÄN</t>
        </is>
      </c>
      <c r="E9745" t="inlineStr">
        <is>
          <t>LYCKSELE</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26557-2023</t>
        </is>
      </c>
      <c r="B9746" s="1" t="n">
        <v>45089</v>
      </c>
      <c r="C9746" s="1" t="n">
        <v>45357</v>
      </c>
      <c r="D9746" t="inlineStr">
        <is>
          <t>VÄSTERBOTTENS LÄN</t>
        </is>
      </c>
      <c r="E9746" t="inlineStr">
        <is>
          <t>VILHELMINA</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25735-2023</t>
        </is>
      </c>
      <c r="B9747" s="1" t="n">
        <v>45090</v>
      </c>
      <c r="C9747" s="1" t="n">
        <v>45357</v>
      </c>
      <c r="D9747" t="inlineStr">
        <is>
          <t>VÄSTERBOTTENS LÄN</t>
        </is>
      </c>
      <c r="E9747" t="inlineStr">
        <is>
          <t>NORSJÖ</t>
        </is>
      </c>
      <c r="F9747" t="inlineStr">
        <is>
          <t>Holmen skog AB</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25734-2023</t>
        </is>
      </c>
      <c r="B9748" s="1" t="n">
        <v>45090</v>
      </c>
      <c r="C9748" s="1" t="n">
        <v>45357</v>
      </c>
      <c r="D9748" t="inlineStr">
        <is>
          <t>VÄSTERBOTTENS LÄN</t>
        </is>
      </c>
      <c r="E9748" t="inlineStr">
        <is>
          <t>NORSJÖ</t>
        </is>
      </c>
      <c r="F9748" t="inlineStr">
        <is>
          <t>Holmen skog AB</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25748-2023</t>
        </is>
      </c>
      <c r="B9749" s="1" t="n">
        <v>45090</v>
      </c>
      <c r="C9749" s="1" t="n">
        <v>45357</v>
      </c>
      <c r="D9749" t="inlineStr">
        <is>
          <t>VÄSTERBOTTENS LÄN</t>
        </is>
      </c>
      <c r="E9749" t="inlineStr">
        <is>
          <t>NORSJÖ</t>
        </is>
      </c>
      <c r="F9749" t="inlineStr">
        <is>
          <t>Holmen skog AB</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25836-2023</t>
        </is>
      </c>
      <c r="B9750" s="1" t="n">
        <v>45090</v>
      </c>
      <c r="C9750" s="1" t="n">
        <v>45357</v>
      </c>
      <c r="D9750" t="inlineStr">
        <is>
          <t>VÄSTERBOTTENS LÄN</t>
        </is>
      </c>
      <c r="E9750" t="inlineStr">
        <is>
          <t>DOROTEA</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25921-2023</t>
        </is>
      </c>
      <c r="B9751" s="1" t="n">
        <v>45090</v>
      </c>
      <c r="C9751" s="1" t="n">
        <v>45357</v>
      </c>
      <c r="D9751" t="inlineStr">
        <is>
          <t>VÄSTERBOTTENS LÄN</t>
        </is>
      </c>
      <c r="E9751" t="inlineStr">
        <is>
          <t>NORSJÖ</t>
        </is>
      </c>
      <c r="F9751" t="inlineStr">
        <is>
          <t>Holmen skog AB</t>
        </is>
      </c>
      <c r="G9751" t="n">
        <v>9.4</v>
      </c>
      <c r="H9751" t="n">
        <v>0</v>
      </c>
      <c r="I9751" t="n">
        <v>0</v>
      </c>
      <c r="J9751" t="n">
        <v>0</v>
      </c>
      <c r="K9751" t="n">
        <v>0</v>
      </c>
      <c r="L9751" t="n">
        <v>0</v>
      </c>
      <c r="M9751" t="n">
        <v>0</v>
      </c>
      <c r="N9751" t="n">
        <v>0</v>
      </c>
      <c r="O9751" t="n">
        <v>0</v>
      </c>
      <c r="P9751" t="n">
        <v>0</v>
      </c>
      <c r="Q9751" t="n">
        <v>0</v>
      </c>
      <c r="R9751" s="2" t="inlineStr"/>
    </row>
    <row r="9752" ht="15" customHeight="1">
      <c r="A9752" t="inlineStr">
        <is>
          <t>A 25944-2023</t>
        </is>
      </c>
      <c r="B9752" s="1" t="n">
        <v>45090</v>
      </c>
      <c r="C9752" s="1" t="n">
        <v>45357</v>
      </c>
      <c r="D9752" t="inlineStr">
        <is>
          <t>VÄSTERBOTTENS LÄN</t>
        </is>
      </c>
      <c r="E9752" t="inlineStr">
        <is>
          <t>BJURHOLM</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26000-2023</t>
        </is>
      </c>
      <c r="B9753" s="1" t="n">
        <v>45090</v>
      </c>
      <c r="C9753" s="1" t="n">
        <v>45357</v>
      </c>
      <c r="D9753" t="inlineStr">
        <is>
          <t>VÄSTERBOTTENS LÄN</t>
        </is>
      </c>
      <c r="E9753" t="inlineStr">
        <is>
          <t>VILHELMINA</t>
        </is>
      </c>
      <c r="F9753" t="inlineStr">
        <is>
          <t>SCA</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26748-2023</t>
        </is>
      </c>
      <c r="B9754" s="1" t="n">
        <v>45090</v>
      </c>
      <c r="C9754" s="1" t="n">
        <v>45357</v>
      </c>
      <c r="D9754" t="inlineStr">
        <is>
          <t>VÄSTERBOTTENS LÄN</t>
        </is>
      </c>
      <c r="E9754" t="inlineStr">
        <is>
          <t>ROBERTSFORS</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26788-2023</t>
        </is>
      </c>
      <c r="B9755" s="1" t="n">
        <v>45090</v>
      </c>
      <c r="C9755" s="1" t="n">
        <v>45357</v>
      </c>
      <c r="D9755" t="inlineStr">
        <is>
          <t>VÄSTERBOTTENS LÄN</t>
        </is>
      </c>
      <c r="E9755" t="inlineStr">
        <is>
          <t>ROBERTSFORS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25787-2023</t>
        </is>
      </c>
      <c r="B9756" s="1" t="n">
        <v>45090</v>
      </c>
      <c r="C9756" s="1" t="n">
        <v>45357</v>
      </c>
      <c r="D9756" t="inlineStr">
        <is>
          <t>VÄSTERBOTTENS LÄN</t>
        </is>
      </c>
      <c r="E9756" t="inlineStr">
        <is>
          <t>SKELLEFTEÅ</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25899-2023</t>
        </is>
      </c>
      <c r="B9757" s="1" t="n">
        <v>45090</v>
      </c>
      <c r="C9757" s="1" t="n">
        <v>45357</v>
      </c>
      <c r="D9757" t="inlineStr">
        <is>
          <t>VÄSTERBOTTENS LÄN</t>
        </is>
      </c>
      <c r="E9757" t="inlineStr">
        <is>
          <t>LYCKSELE</t>
        </is>
      </c>
      <c r="F9757" t="inlineStr">
        <is>
          <t>Sveaskog</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25993-2023</t>
        </is>
      </c>
      <c r="B9758" s="1" t="n">
        <v>45091</v>
      </c>
      <c r="C9758" s="1" t="n">
        <v>45357</v>
      </c>
      <c r="D9758" t="inlineStr">
        <is>
          <t>VÄSTERBOTTENS LÄN</t>
        </is>
      </c>
      <c r="E9758" t="inlineStr">
        <is>
          <t>ÅSELE</t>
        </is>
      </c>
      <c r="G9758" t="n">
        <v>4.4</v>
      </c>
      <c r="H9758" t="n">
        <v>0</v>
      </c>
      <c r="I9758" t="n">
        <v>0</v>
      </c>
      <c r="J9758" t="n">
        <v>0</v>
      </c>
      <c r="K9758" t="n">
        <v>0</v>
      </c>
      <c r="L9758" t="n">
        <v>0</v>
      </c>
      <c r="M9758" t="n">
        <v>0</v>
      </c>
      <c r="N9758" t="n">
        <v>0</v>
      </c>
      <c r="O9758" t="n">
        <v>0</v>
      </c>
      <c r="P9758" t="n">
        <v>0</v>
      </c>
      <c r="Q9758" t="n">
        <v>0</v>
      </c>
      <c r="R9758" s="2" t="inlineStr"/>
    </row>
    <row r="9759" ht="15" customHeight="1">
      <c r="A9759" t="inlineStr">
        <is>
          <t>A 25997-2023</t>
        </is>
      </c>
      <c r="B9759" s="1" t="n">
        <v>45090</v>
      </c>
      <c r="C9759" s="1" t="n">
        <v>45357</v>
      </c>
      <c r="D9759" t="inlineStr">
        <is>
          <t>VÄSTERBOTTENS LÄN</t>
        </is>
      </c>
      <c r="E9759" t="inlineStr">
        <is>
          <t>VILHELMINA</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26582-2023</t>
        </is>
      </c>
      <c r="B9760" s="1" t="n">
        <v>45090</v>
      </c>
      <c r="C9760" s="1" t="n">
        <v>45357</v>
      </c>
      <c r="D9760" t="inlineStr">
        <is>
          <t>VÄSTERBOTTENS LÄN</t>
        </is>
      </c>
      <c r="E9760" t="inlineStr">
        <is>
          <t>SORSELE</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25994-2023</t>
        </is>
      </c>
      <c r="B9761" s="1" t="n">
        <v>45091</v>
      </c>
      <c r="C9761" s="1" t="n">
        <v>45357</v>
      </c>
      <c r="D9761" t="inlineStr">
        <is>
          <t>VÄSTERBOTTENS LÄN</t>
        </is>
      </c>
      <c r="E9761" t="inlineStr">
        <is>
          <t>ÅSELE</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26792-2023</t>
        </is>
      </c>
      <c r="B9762" s="1" t="n">
        <v>45090</v>
      </c>
      <c r="C9762" s="1" t="n">
        <v>45357</v>
      </c>
      <c r="D9762" t="inlineStr">
        <is>
          <t>VÄSTERBOTTENS LÄN</t>
        </is>
      </c>
      <c r="E9762" t="inlineStr">
        <is>
          <t>ROBERTSFORS</t>
        </is>
      </c>
      <c r="G9762" t="n">
        <v>7.6</v>
      </c>
      <c r="H9762" t="n">
        <v>0</v>
      </c>
      <c r="I9762" t="n">
        <v>0</v>
      </c>
      <c r="J9762" t="n">
        <v>0</v>
      </c>
      <c r="K9762" t="n">
        <v>0</v>
      </c>
      <c r="L9762" t="n">
        <v>0</v>
      </c>
      <c r="M9762" t="n">
        <v>0</v>
      </c>
      <c r="N9762" t="n">
        <v>0</v>
      </c>
      <c r="O9762" t="n">
        <v>0</v>
      </c>
      <c r="P9762" t="n">
        <v>0</v>
      </c>
      <c r="Q9762" t="n">
        <v>0</v>
      </c>
      <c r="R9762" s="2" t="inlineStr"/>
    </row>
    <row r="9763" ht="15" customHeight="1">
      <c r="A9763" t="inlineStr">
        <is>
          <t>A 26783-2023</t>
        </is>
      </c>
      <c r="B9763" s="1" t="n">
        <v>45090</v>
      </c>
      <c r="C9763" s="1" t="n">
        <v>45357</v>
      </c>
      <c r="D9763" t="inlineStr">
        <is>
          <t>VÄSTERBOTTENS LÄN</t>
        </is>
      </c>
      <c r="E9763" t="inlineStr">
        <is>
          <t>SKELLEFTEÅ</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26797-2023</t>
        </is>
      </c>
      <c r="B9764" s="1" t="n">
        <v>45090</v>
      </c>
      <c r="C9764" s="1" t="n">
        <v>45357</v>
      </c>
      <c r="D9764" t="inlineStr">
        <is>
          <t>VÄSTERBOTTENS LÄN</t>
        </is>
      </c>
      <c r="E9764" t="inlineStr">
        <is>
          <t>ROBERTSFORS</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26817-2023</t>
        </is>
      </c>
      <c r="B9765" s="1" t="n">
        <v>45090</v>
      </c>
      <c r="C9765" s="1" t="n">
        <v>45357</v>
      </c>
      <c r="D9765" t="inlineStr">
        <is>
          <t>VÄSTERBOTTENS LÄN</t>
        </is>
      </c>
      <c r="E9765" t="inlineStr">
        <is>
          <t>STORUMAN</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26767-2023</t>
        </is>
      </c>
      <c r="B9766" s="1" t="n">
        <v>45090</v>
      </c>
      <c r="C9766" s="1" t="n">
        <v>45357</v>
      </c>
      <c r="D9766" t="inlineStr">
        <is>
          <t>VÄSTERBOTTENS LÄN</t>
        </is>
      </c>
      <c r="E9766" t="inlineStr">
        <is>
          <t>SKELLEFTEÅ</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26791-2023</t>
        </is>
      </c>
      <c r="B9767" s="1" t="n">
        <v>45090</v>
      </c>
      <c r="C9767" s="1" t="n">
        <v>45357</v>
      </c>
      <c r="D9767" t="inlineStr">
        <is>
          <t>VÄSTERBOTTENS LÄN</t>
        </is>
      </c>
      <c r="E9767" t="inlineStr">
        <is>
          <t>ROBERTSFORS</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26160-2023</t>
        </is>
      </c>
      <c r="B9768" s="1" t="n">
        <v>45091</v>
      </c>
      <c r="C9768" s="1" t="n">
        <v>45357</v>
      </c>
      <c r="D9768" t="inlineStr">
        <is>
          <t>VÄSTERBOTTENS LÄN</t>
        </is>
      </c>
      <c r="E9768" t="inlineStr">
        <is>
          <t>SKELLEFTEÅ</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26217-2023</t>
        </is>
      </c>
      <c r="B9769" s="1" t="n">
        <v>45091</v>
      </c>
      <c r="C9769" s="1" t="n">
        <v>45357</v>
      </c>
      <c r="D9769" t="inlineStr">
        <is>
          <t>VÄSTERBOTTENS LÄN</t>
        </is>
      </c>
      <c r="E9769" t="inlineStr">
        <is>
          <t>SKELLEFTEÅ</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26249-2023</t>
        </is>
      </c>
      <c r="B9770" s="1" t="n">
        <v>45091</v>
      </c>
      <c r="C9770" s="1" t="n">
        <v>45357</v>
      </c>
      <c r="D9770" t="inlineStr">
        <is>
          <t>VÄSTERBOTTENS LÄN</t>
        </is>
      </c>
      <c r="E9770" t="inlineStr">
        <is>
          <t>BJURHOLM</t>
        </is>
      </c>
      <c r="F9770" t="inlineStr">
        <is>
          <t>Holmen skog AB</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26267-2023</t>
        </is>
      </c>
      <c r="B9771" s="1" t="n">
        <v>45091</v>
      </c>
      <c r="C9771" s="1" t="n">
        <v>45357</v>
      </c>
      <c r="D9771" t="inlineStr">
        <is>
          <t>VÄSTERBOTTENS LÄN</t>
        </is>
      </c>
      <c r="E9771" t="inlineStr">
        <is>
          <t>BJURHOLM</t>
        </is>
      </c>
      <c r="F9771" t="inlineStr">
        <is>
          <t>Holmen skog AB</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26219-2023</t>
        </is>
      </c>
      <c r="B9772" s="1" t="n">
        <v>45091</v>
      </c>
      <c r="C9772" s="1" t="n">
        <v>45357</v>
      </c>
      <c r="D9772" t="inlineStr">
        <is>
          <t>VÄSTERBOTTENS LÄN</t>
        </is>
      </c>
      <c r="E9772" t="inlineStr">
        <is>
          <t>ROBERTSFORS</t>
        </is>
      </c>
      <c r="F9772" t="inlineStr">
        <is>
          <t>Holmen skog AB</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26286-2023</t>
        </is>
      </c>
      <c r="B9773" s="1" t="n">
        <v>45091</v>
      </c>
      <c r="C9773" s="1" t="n">
        <v>45357</v>
      </c>
      <c r="D9773" t="inlineStr">
        <is>
          <t>VÄSTERBOTTENS LÄN</t>
        </is>
      </c>
      <c r="E9773" t="inlineStr">
        <is>
          <t>NORSJÖ</t>
        </is>
      </c>
      <c r="F9773" t="inlineStr">
        <is>
          <t>Holmen skog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26218-2023</t>
        </is>
      </c>
      <c r="B9774" s="1" t="n">
        <v>45091</v>
      </c>
      <c r="C9774" s="1" t="n">
        <v>45357</v>
      </c>
      <c r="D9774" t="inlineStr">
        <is>
          <t>VÄSTERBOTTENS LÄN</t>
        </is>
      </c>
      <c r="E9774" t="inlineStr">
        <is>
          <t>LYCKSELE</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26256-2023</t>
        </is>
      </c>
      <c r="B9775" s="1" t="n">
        <v>45091</v>
      </c>
      <c r="C9775" s="1" t="n">
        <v>45357</v>
      </c>
      <c r="D9775" t="inlineStr">
        <is>
          <t>VÄSTERBOTTENS LÄN</t>
        </is>
      </c>
      <c r="E9775" t="inlineStr">
        <is>
          <t>BJURHOLM</t>
        </is>
      </c>
      <c r="F9775" t="inlineStr">
        <is>
          <t>Holmen skog AB</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26334-2023</t>
        </is>
      </c>
      <c r="B9776" s="1" t="n">
        <v>45091</v>
      </c>
      <c r="C9776" s="1" t="n">
        <v>45357</v>
      </c>
      <c r="D9776" t="inlineStr">
        <is>
          <t>VÄSTERBOTTENS LÄN</t>
        </is>
      </c>
      <c r="E9776" t="inlineStr">
        <is>
          <t>SKELLEFTEÅ</t>
        </is>
      </c>
      <c r="F9776" t="inlineStr">
        <is>
          <t>Sveaskog</t>
        </is>
      </c>
      <c r="G9776" t="n">
        <v>20.4</v>
      </c>
      <c r="H9776" t="n">
        <v>0</v>
      </c>
      <c r="I9776" t="n">
        <v>0</v>
      </c>
      <c r="J9776" t="n">
        <v>0</v>
      </c>
      <c r="K9776" t="n">
        <v>0</v>
      </c>
      <c r="L9776" t="n">
        <v>0</v>
      </c>
      <c r="M9776" t="n">
        <v>0</v>
      </c>
      <c r="N9776" t="n">
        <v>0</v>
      </c>
      <c r="O9776" t="n">
        <v>0</v>
      </c>
      <c r="P9776" t="n">
        <v>0</v>
      </c>
      <c r="Q9776" t="n">
        <v>0</v>
      </c>
      <c r="R9776" s="2" t="inlineStr"/>
    </row>
    <row r="9777" ht="15" customHeight="1">
      <c r="A9777" t="inlineStr">
        <is>
          <t>A 26342-2023</t>
        </is>
      </c>
      <c r="B9777" s="1" t="n">
        <v>45092</v>
      </c>
      <c r="C9777" s="1" t="n">
        <v>45357</v>
      </c>
      <c r="D9777" t="inlineStr">
        <is>
          <t>VÄSTERBOTTENS LÄN</t>
        </is>
      </c>
      <c r="E9777" t="inlineStr">
        <is>
          <t>NORDMALING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26047-2023</t>
        </is>
      </c>
      <c r="B9778" s="1" t="n">
        <v>45091</v>
      </c>
      <c r="C9778" s="1" t="n">
        <v>45357</v>
      </c>
      <c r="D9778" t="inlineStr">
        <is>
          <t>VÄSTERBOTTENS LÄN</t>
        </is>
      </c>
      <c r="E9778" t="inlineStr">
        <is>
          <t>BJURHOLM</t>
        </is>
      </c>
      <c r="F9778" t="inlineStr">
        <is>
          <t>Holmen skog AB</t>
        </is>
      </c>
      <c r="G9778" t="n">
        <v>11.4</v>
      </c>
      <c r="H9778" t="n">
        <v>0</v>
      </c>
      <c r="I9778" t="n">
        <v>0</v>
      </c>
      <c r="J9778" t="n">
        <v>0</v>
      </c>
      <c r="K9778" t="n">
        <v>0</v>
      </c>
      <c r="L9778" t="n">
        <v>0</v>
      </c>
      <c r="M9778" t="n">
        <v>0</v>
      </c>
      <c r="N9778" t="n">
        <v>0</v>
      </c>
      <c r="O9778" t="n">
        <v>0</v>
      </c>
      <c r="P9778" t="n">
        <v>0</v>
      </c>
      <c r="Q9778" t="n">
        <v>0</v>
      </c>
      <c r="R9778" s="2" t="inlineStr"/>
    </row>
    <row r="9779" ht="15" customHeight="1">
      <c r="A9779" t="inlineStr">
        <is>
          <t>A 26019-2023</t>
        </is>
      </c>
      <c r="B9779" s="1" t="n">
        <v>45091</v>
      </c>
      <c r="C9779" s="1" t="n">
        <v>45357</v>
      </c>
      <c r="D9779" t="inlineStr">
        <is>
          <t>VÄSTERBOTTENS LÄN</t>
        </is>
      </c>
      <c r="E9779" t="inlineStr">
        <is>
          <t>SKELLEFTEÅ</t>
        </is>
      </c>
      <c r="G9779" t="n">
        <v>8.1</v>
      </c>
      <c r="H9779" t="n">
        <v>0</v>
      </c>
      <c r="I9779" t="n">
        <v>0</v>
      </c>
      <c r="J9779" t="n">
        <v>0</v>
      </c>
      <c r="K9779" t="n">
        <v>0</v>
      </c>
      <c r="L9779" t="n">
        <v>0</v>
      </c>
      <c r="M9779" t="n">
        <v>0</v>
      </c>
      <c r="N9779" t="n">
        <v>0</v>
      </c>
      <c r="O9779" t="n">
        <v>0</v>
      </c>
      <c r="P9779" t="n">
        <v>0</v>
      </c>
      <c r="Q9779" t="n">
        <v>0</v>
      </c>
      <c r="R9779" s="2" t="inlineStr"/>
    </row>
    <row r="9780" ht="15" customHeight="1">
      <c r="A9780" t="inlineStr">
        <is>
          <t>A 26027-2023</t>
        </is>
      </c>
      <c r="B9780" s="1" t="n">
        <v>45091</v>
      </c>
      <c r="C9780" s="1" t="n">
        <v>45357</v>
      </c>
      <c r="D9780" t="inlineStr">
        <is>
          <t>VÄSTERBOTTENS LÄN</t>
        </is>
      </c>
      <c r="E9780" t="inlineStr">
        <is>
          <t>BJURHOLM</t>
        </is>
      </c>
      <c r="F9780" t="inlineStr">
        <is>
          <t>Holmen skog AB</t>
        </is>
      </c>
      <c r="G9780" t="n">
        <v>11.8</v>
      </c>
      <c r="H9780" t="n">
        <v>0</v>
      </c>
      <c r="I9780" t="n">
        <v>0</v>
      </c>
      <c r="J9780" t="n">
        <v>0</v>
      </c>
      <c r="K9780" t="n">
        <v>0</v>
      </c>
      <c r="L9780" t="n">
        <v>0</v>
      </c>
      <c r="M9780" t="n">
        <v>0</v>
      </c>
      <c r="N9780" t="n">
        <v>0</v>
      </c>
      <c r="O9780" t="n">
        <v>0</v>
      </c>
      <c r="P9780" t="n">
        <v>0</v>
      </c>
      <c r="Q9780" t="n">
        <v>0</v>
      </c>
      <c r="R9780" s="2" t="inlineStr"/>
    </row>
    <row r="9781" ht="15" customHeight="1">
      <c r="A9781" t="inlineStr">
        <is>
          <t>A 26177-2023</t>
        </is>
      </c>
      <c r="B9781" s="1" t="n">
        <v>45091</v>
      </c>
      <c r="C9781" s="1" t="n">
        <v>45357</v>
      </c>
      <c r="D9781" t="inlineStr">
        <is>
          <t>VÄSTERBOTTENS LÄN</t>
        </is>
      </c>
      <c r="E9781" t="inlineStr">
        <is>
          <t>UMEÅ</t>
        </is>
      </c>
      <c r="G9781" t="n">
        <v>12.7</v>
      </c>
      <c r="H9781" t="n">
        <v>0</v>
      </c>
      <c r="I9781" t="n">
        <v>0</v>
      </c>
      <c r="J9781" t="n">
        <v>0</v>
      </c>
      <c r="K9781" t="n">
        <v>0</v>
      </c>
      <c r="L9781" t="n">
        <v>0</v>
      </c>
      <c r="M9781" t="n">
        <v>0</v>
      </c>
      <c r="N9781" t="n">
        <v>0</v>
      </c>
      <c r="O9781" t="n">
        <v>0</v>
      </c>
      <c r="P9781" t="n">
        <v>0</v>
      </c>
      <c r="Q9781" t="n">
        <v>0</v>
      </c>
      <c r="R9781" s="2" t="inlineStr"/>
    </row>
    <row r="9782" ht="15" customHeight="1">
      <c r="A9782" t="inlineStr">
        <is>
          <t>A 26062-2023</t>
        </is>
      </c>
      <c r="B9782" s="1" t="n">
        <v>45091</v>
      </c>
      <c r="C9782" s="1" t="n">
        <v>45357</v>
      </c>
      <c r="D9782" t="inlineStr">
        <is>
          <t>VÄSTERBOTTENS LÄN</t>
        </is>
      </c>
      <c r="E9782" t="inlineStr">
        <is>
          <t>SKELLEFTEÅ</t>
        </is>
      </c>
      <c r="F9782" t="inlineStr">
        <is>
          <t>Holmen skog AB</t>
        </is>
      </c>
      <c r="G9782" t="n">
        <v>16.2</v>
      </c>
      <c r="H9782" t="n">
        <v>0</v>
      </c>
      <c r="I9782" t="n">
        <v>0</v>
      </c>
      <c r="J9782" t="n">
        <v>0</v>
      </c>
      <c r="K9782" t="n">
        <v>0</v>
      </c>
      <c r="L9782" t="n">
        <v>0</v>
      </c>
      <c r="M9782" t="n">
        <v>0</v>
      </c>
      <c r="N9782" t="n">
        <v>0</v>
      </c>
      <c r="O9782" t="n">
        <v>0</v>
      </c>
      <c r="P9782" t="n">
        <v>0</v>
      </c>
      <c r="Q9782" t="n">
        <v>0</v>
      </c>
      <c r="R9782" s="2" t="inlineStr"/>
    </row>
    <row r="9783" ht="15" customHeight="1">
      <c r="A9783" t="inlineStr">
        <is>
          <t>A 26128-2023</t>
        </is>
      </c>
      <c r="B9783" s="1" t="n">
        <v>45091</v>
      </c>
      <c r="C9783" s="1" t="n">
        <v>45357</v>
      </c>
      <c r="D9783" t="inlineStr">
        <is>
          <t>VÄSTERBOTTENS LÄN</t>
        </is>
      </c>
      <c r="E9783" t="inlineStr">
        <is>
          <t>ROBERTSFORS</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26118-2023</t>
        </is>
      </c>
      <c r="B9784" s="1" t="n">
        <v>45091</v>
      </c>
      <c r="C9784" s="1" t="n">
        <v>45357</v>
      </c>
      <c r="D9784" t="inlineStr">
        <is>
          <t>VÄSTERBOTTENS LÄN</t>
        </is>
      </c>
      <c r="E9784" t="inlineStr">
        <is>
          <t>ROBERTSFORS</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26137-2023</t>
        </is>
      </c>
      <c r="B9785" s="1" t="n">
        <v>45091</v>
      </c>
      <c r="C9785" s="1" t="n">
        <v>45357</v>
      </c>
      <c r="D9785" t="inlineStr">
        <is>
          <t>VÄSTERBOTTENS LÄN</t>
        </is>
      </c>
      <c r="E9785" t="inlineStr">
        <is>
          <t>UMEÅ</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26355-2023</t>
        </is>
      </c>
      <c r="B9786" s="1" t="n">
        <v>45092</v>
      </c>
      <c r="C9786" s="1" t="n">
        <v>45357</v>
      </c>
      <c r="D9786" t="inlineStr">
        <is>
          <t>VÄSTERBOTTENS LÄN</t>
        </is>
      </c>
      <c r="E9786" t="inlineStr">
        <is>
          <t>LYCKSELE</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26358-2023</t>
        </is>
      </c>
      <c r="B9787" s="1" t="n">
        <v>45091</v>
      </c>
      <c r="C9787" s="1" t="n">
        <v>45357</v>
      </c>
      <c r="D9787" t="inlineStr">
        <is>
          <t>VÄSTERBOTTENS LÄN</t>
        </is>
      </c>
      <c r="E9787" t="inlineStr">
        <is>
          <t>LYCKSELE</t>
        </is>
      </c>
      <c r="F9787" t="inlineStr">
        <is>
          <t>SCA</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26354-2023</t>
        </is>
      </c>
      <c r="B9788" s="1" t="n">
        <v>45092</v>
      </c>
      <c r="C9788" s="1" t="n">
        <v>45357</v>
      </c>
      <c r="D9788" t="inlineStr">
        <is>
          <t>VÄSTERBOTTENS LÄN</t>
        </is>
      </c>
      <c r="E9788" t="inlineStr">
        <is>
          <t>LYCKSELE</t>
        </is>
      </c>
      <c r="F9788" t="inlineStr">
        <is>
          <t>SCA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26366-2023</t>
        </is>
      </c>
      <c r="B9789" s="1" t="n">
        <v>45092</v>
      </c>
      <c r="C9789" s="1" t="n">
        <v>45357</v>
      </c>
      <c r="D9789" t="inlineStr">
        <is>
          <t>VÄSTERBOTTENS LÄN</t>
        </is>
      </c>
      <c r="E9789" t="inlineStr">
        <is>
          <t>ÅSELE</t>
        </is>
      </c>
      <c r="F9789" t="inlineStr">
        <is>
          <t>SCA</t>
        </is>
      </c>
      <c r="G9789" t="n">
        <v>10.4</v>
      </c>
      <c r="H9789" t="n">
        <v>0</v>
      </c>
      <c r="I9789" t="n">
        <v>0</v>
      </c>
      <c r="J9789" t="n">
        <v>0</v>
      </c>
      <c r="K9789" t="n">
        <v>0</v>
      </c>
      <c r="L9789" t="n">
        <v>0</v>
      </c>
      <c r="M9789" t="n">
        <v>0</v>
      </c>
      <c r="N9789" t="n">
        <v>0</v>
      </c>
      <c r="O9789" t="n">
        <v>0</v>
      </c>
      <c r="P9789" t="n">
        <v>0</v>
      </c>
      <c r="Q9789" t="n">
        <v>0</v>
      </c>
      <c r="R9789" s="2" t="inlineStr"/>
    </row>
    <row r="9790" ht="15" customHeight="1">
      <c r="A9790" t="inlineStr">
        <is>
          <t>A 26095-2023</t>
        </is>
      </c>
      <c r="B9790" s="1" t="n">
        <v>45091</v>
      </c>
      <c r="C9790" s="1" t="n">
        <v>45357</v>
      </c>
      <c r="D9790" t="inlineStr">
        <is>
          <t>VÄSTERBOTTENS LÄN</t>
        </is>
      </c>
      <c r="E9790" t="inlineStr">
        <is>
          <t>SKELLEFTEÅ</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26970-2023</t>
        </is>
      </c>
      <c r="B9791" s="1" t="n">
        <v>45091</v>
      </c>
      <c r="C9791" s="1" t="n">
        <v>45357</v>
      </c>
      <c r="D9791" t="inlineStr">
        <is>
          <t>VÄSTERBOTTENS LÄN</t>
        </is>
      </c>
      <c r="E9791" t="inlineStr">
        <is>
          <t>UMEÅ</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26117-2023</t>
        </is>
      </c>
      <c r="B9792" s="1" t="n">
        <v>45091</v>
      </c>
      <c r="C9792" s="1" t="n">
        <v>45357</v>
      </c>
      <c r="D9792" t="inlineStr">
        <is>
          <t>VÄSTERBOTTENS LÄN</t>
        </is>
      </c>
      <c r="E9792" t="inlineStr">
        <is>
          <t>ROBERTSFORS</t>
        </is>
      </c>
      <c r="G9792" t="n">
        <v>10.5</v>
      </c>
      <c r="H9792" t="n">
        <v>0</v>
      </c>
      <c r="I9792" t="n">
        <v>0</v>
      </c>
      <c r="J9792" t="n">
        <v>0</v>
      </c>
      <c r="K9792" t="n">
        <v>0</v>
      </c>
      <c r="L9792" t="n">
        <v>0</v>
      </c>
      <c r="M9792" t="n">
        <v>0</v>
      </c>
      <c r="N9792" t="n">
        <v>0</v>
      </c>
      <c r="O9792" t="n">
        <v>0</v>
      </c>
      <c r="P9792" t="n">
        <v>0</v>
      </c>
      <c r="Q9792" t="n">
        <v>0</v>
      </c>
      <c r="R9792" s="2" t="inlineStr"/>
    </row>
    <row r="9793" ht="15" customHeight="1">
      <c r="A9793" t="inlineStr">
        <is>
          <t>A 26359-2023</t>
        </is>
      </c>
      <c r="B9793" s="1" t="n">
        <v>45091</v>
      </c>
      <c r="C9793" s="1" t="n">
        <v>45357</v>
      </c>
      <c r="D9793" t="inlineStr">
        <is>
          <t>VÄSTERBOTTENS LÄN</t>
        </is>
      </c>
      <c r="E9793" t="inlineStr">
        <is>
          <t>DOROTEA</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26154-2023</t>
        </is>
      </c>
      <c r="B9794" s="1" t="n">
        <v>45091</v>
      </c>
      <c r="C9794" s="1" t="n">
        <v>45357</v>
      </c>
      <c r="D9794" t="inlineStr">
        <is>
          <t>VÄSTERBOTTENS LÄN</t>
        </is>
      </c>
      <c r="E9794" t="inlineStr">
        <is>
          <t>SKELLEFTEÅ</t>
        </is>
      </c>
      <c r="G9794" t="n">
        <v>8.1</v>
      </c>
      <c r="H9794" t="n">
        <v>0</v>
      </c>
      <c r="I9794" t="n">
        <v>0</v>
      </c>
      <c r="J9794" t="n">
        <v>0</v>
      </c>
      <c r="K9794" t="n">
        <v>0</v>
      </c>
      <c r="L9794" t="n">
        <v>0</v>
      </c>
      <c r="M9794" t="n">
        <v>0</v>
      </c>
      <c r="N9794" t="n">
        <v>0</v>
      </c>
      <c r="O9794" t="n">
        <v>0</v>
      </c>
      <c r="P9794" t="n">
        <v>0</v>
      </c>
      <c r="Q9794" t="n">
        <v>0</v>
      </c>
      <c r="R9794" s="2" t="inlineStr"/>
    </row>
    <row r="9795" ht="15" customHeight="1">
      <c r="A9795" t="inlineStr">
        <is>
          <t>A 26357-2023</t>
        </is>
      </c>
      <c r="B9795" s="1" t="n">
        <v>45091</v>
      </c>
      <c r="C9795" s="1" t="n">
        <v>45357</v>
      </c>
      <c r="D9795" t="inlineStr">
        <is>
          <t>VÄSTERBOTTENS LÄN</t>
        </is>
      </c>
      <c r="E9795" t="inlineStr">
        <is>
          <t>LYCKSELE</t>
        </is>
      </c>
      <c r="F9795" t="inlineStr">
        <is>
          <t>SCA</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26955-2023</t>
        </is>
      </c>
      <c r="B9796" s="1" t="n">
        <v>45091</v>
      </c>
      <c r="C9796" s="1" t="n">
        <v>45357</v>
      </c>
      <c r="D9796" t="inlineStr">
        <is>
          <t>VÄSTERBOTTENS LÄN</t>
        </is>
      </c>
      <c r="E9796" t="inlineStr">
        <is>
          <t>SKELLEFTEÅ</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26978-2023</t>
        </is>
      </c>
      <c r="B9797" s="1" t="n">
        <v>45091</v>
      </c>
      <c r="C9797" s="1" t="n">
        <v>45357</v>
      </c>
      <c r="D9797" t="inlineStr">
        <is>
          <t>VÄSTERBOTTENS LÄN</t>
        </is>
      </c>
      <c r="E9797" t="inlineStr">
        <is>
          <t>SKELLEFTEÅ</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26138-2023</t>
        </is>
      </c>
      <c r="B9798" s="1" t="n">
        <v>45091</v>
      </c>
      <c r="C9798" s="1" t="n">
        <v>45357</v>
      </c>
      <c r="D9798" t="inlineStr">
        <is>
          <t>VÄSTERBOTTENS LÄN</t>
        </is>
      </c>
      <c r="E9798" t="inlineStr">
        <is>
          <t>UMEÅ</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26356-2023</t>
        </is>
      </c>
      <c r="B9799" s="1" t="n">
        <v>45091</v>
      </c>
      <c r="C9799" s="1" t="n">
        <v>45357</v>
      </c>
      <c r="D9799" t="inlineStr">
        <is>
          <t>VÄSTERBOTTENS LÄN</t>
        </is>
      </c>
      <c r="E9799" t="inlineStr">
        <is>
          <t>LYCKSELE</t>
        </is>
      </c>
      <c r="F9799" t="inlineStr">
        <is>
          <t>SCA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26967-2023</t>
        </is>
      </c>
      <c r="B9800" s="1" t="n">
        <v>45091</v>
      </c>
      <c r="C9800" s="1" t="n">
        <v>45357</v>
      </c>
      <c r="D9800" t="inlineStr">
        <is>
          <t>VÄSTERBOTTENS LÄN</t>
        </is>
      </c>
      <c r="E9800" t="inlineStr">
        <is>
          <t>UMEÅ</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26447-2023</t>
        </is>
      </c>
      <c r="B9801" s="1" t="n">
        <v>45092</v>
      </c>
      <c r="C9801" s="1" t="n">
        <v>45357</v>
      </c>
      <c r="D9801" t="inlineStr">
        <is>
          <t>VÄSTERBOTTENS LÄN</t>
        </is>
      </c>
      <c r="E9801" t="inlineStr">
        <is>
          <t>ÅSELE</t>
        </is>
      </c>
      <c r="F9801" t="inlineStr">
        <is>
          <t>Holmen skog AB</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26462-2023</t>
        </is>
      </c>
      <c r="B9802" s="1" t="n">
        <v>45092</v>
      </c>
      <c r="C9802" s="1" t="n">
        <v>45357</v>
      </c>
      <c r="D9802" t="inlineStr">
        <is>
          <t>VÄSTERBOTTENS LÄN</t>
        </is>
      </c>
      <c r="E9802" t="inlineStr">
        <is>
          <t>SKELLEFTEÅ</t>
        </is>
      </c>
      <c r="F9802" t="inlineStr">
        <is>
          <t>Holmen skog AB</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26483-2023</t>
        </is>
      </c>
      <c r="B9803" s="1" t="n">
        <v>45092</v>
      </c>
      <c r="C9803" s="1" t="n">
        <v>45357</v>
      </c>
      <c r="D9803" t="inlineStr">
        <is>
          <t>VÄSTERBOTTENS LÄN</t>
        </is>
      </c>
      <c r="E9803" t="inlineStr">
        <is>
          <t>STORUMAN</t>
        </is>
      </c>
      <c r="F9803" t="inlineStr">
        <is>
          <t>Holmen skog AB</t>
        </is>
      </c>
      <c r="G9803" t="n">
        <v>7.8</v>
      </c>
      <c r="H9803" t="n">
        <v>0</v>
      </c>
      <c r="I9803" t="n">
        <v>0</v>
      </c>
      <c r="J9803" t="n">
        <v>0</v>
      </c>
      <c r="K9803" t="n">
        <v>0</v>
      </c>
      <c r="L9803" t="n">
        <v>0</v>
      </c>
      <c r="M9803" t="n">
        <v>0</v>
      </c>
      <c r="N9803" t="n">
        <v>0</v>
      </c>
      <c r="O9803" t="n">
        <v>0</v>
      </c>
      <c r="P9803" t="n">
        <v>0</v>
      </c>
      <c r="Q9803" t="n">
        <v>0</v>
      </c>
      <c r="R9803" s="2" t="inlineStr"/>
    </row>
    <row r="9804" ht="15" customHeight="1">
      <c r="A9804" t="inlineStr">
        <is>
          <t>A 26558-2023</t>
        </is>
      </c>
      <c r="B9804" s="1" t="n">
        <v>45092</v>
      </c>
      <c r="C9804" s="1" t="n">
        <v>45357</v>
      </c>
      <c r="D9804" t="inlineStr">
        <is>
          <t>VÄSTERBOTTENS LÄN</t>
        </is>
      </c>
      <c r="E9804" t="inlineStr">
        <is>
          <t>VÄNNÄS</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26562-2023</t>
        </is>
      </c>
      <c r="B9805" s="1" t="n">
        <v>45092</v>
      </c>
      <c r="C9805" s="1" t="n">
        <v>45357</v>
      </c>
      <c r="D9805" t="inlineStr">
        <is>
          <t>VÄSTERBOTTENS LÄN</t>
        </is>
      </c>
      <c r="E9805" t="inlineStr">
        <is>
          <t>VÄNNÄS</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26395-2023</t>
        </is>
      </c>
      <c r="B9806" s="1" t="n">
        <v>45092</v>
      </c>
      <c r="C9806" s="1" t="n">
        <v>45357</v>
      </c>
      <c r="D9806" t="inlineStr">
        <is>
          <t>VÄSTERBOTTENS LÄN</t>
        </is>
      </c>
      <c r="E9806" t="inlineStr">
        <is>
          <t>ÅSELE</t>
        </is>
      </c>
      <c r="F9806" t="inlineStr">
        <is>
          <t>Holmen skog AB</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26383-2023</t>
        </is>
      </c>
      <c r="B9807" s="1" t="n">
        <v>45092</v>
      </c>
      <c r="C9807" s="1" t="n">
        <v>45357</v>
      </c>
      <c r="D9807" t="inlineStr">
        <is>
          <t>VÄSTERBOTTENS LÄN</t>
        </is>
      </c>
      <c r="E9807" t="inlineStr">
        <is>
          <t>ÅSELE</t>
        </is>
      </c>
      <c r="F9807" t="inlineStr">
        <is>
          <t>Naturvårdsverket</t>
        </is>
      </c>
      <c r="G9807" t="n">
        <v>10.5</v>
      </c>
      <c r="H9807" t="n">
        <v>0</v>
      </c>
      <c r="I9807" t="n">
        <v>0</v>
      </c>
      <c r="J9807" t="n">
        <v>0</v>
      </c>
      <c r="K9807" t="n">
        <v>0</v>
      </c>
      <c r="L9807" t="n">
        <v>0</v>
      </c>
      <c r="M9807" t="n">
        <v>0</v>
      </c>
      <c r="N9807" t="n">
        <v>0</v>
      </c>
      <c r="O9807" t="n">
        <v>0</v>
      </c>
      <c r="P9807" t="n">
        <v>0</v>
      </c>
      <c r="Q9807" t="n">
        <v>0</v>
      </c>
      <c r="R9807" s="2" t="inlineStr"/>
    </row>
    <row r="9808" ht="15" customHeight="1">
      <c r="A9808" t="inlineStr">
        <is>
          <t>A 26420-2023</t>
        </is>
      </c>
      <c r="B9808" s="1" t="n">
        <v>45092</v>
      </c>
      <c r="C9808" s="1" t="n">
        <v>45357</v>
      </c>
      <c r="D9808" t="inlineStr">
        <is>
          <t>VÄSTERBOTTENS LÄN</t>
        </is>
      </c>
      <c r="E9808" t="inlineStr">
        <is>
          <t>LYCKSELE</t>
        </is>
      </c>
      <c r="F9808" t="inlineStr">
        <is>
          <t>Holmen skog AB</t>
        </is>
      </c>
      <c r="G9808" t="n">
        <v>14.2</v>
      </c>
      <c r="H9808" t="n">
        <v>0</v>
      </c>
      <c r="I9808" t="n">
        <v>0</v>
      </c>
      <c r="J9808" t="n">
        <v>0</v>
      </c>
      <c r="K9808" t="n">
        <v>0</v>
      </c>
      <c r="L9808" t="n">
        <v>0</v>
      </c>
      <c r="M9808" t="n">
        <v>0</v>
      </c>
      <c r="N9808" t="n">
        <v>0</v>
      </c>
      <c r="O9808" t="n">
        <v>0</v>
      </c>
      <c r="P9808" t="n">
        <v>0</v>
      </c>
      <c r="Q9808" t="n">
        <v>0</v>
      </c>
      <c r="R9808" s="2" t="inlineStr"/>
    </row>
    <row r="9809" ht="15" customHeight="1">
      <c r="A9809" t="inlineStr">
        <is>
          <t>A 26627-2023</t>
        </is>
      </c>
      <c r="B9809" s="1" t="n">
        <v>45092</v>
      </c>
      <c r="C9809" s="1" t="n">
        <v>45357</v>
      </c>
      <c r="D9809" t="inlineStr">
        <is>
          <t>VÄSTERBOTTENS LÄN</t>
        </is>
      </c>
      <c r="E9809" t="inlineStr">
        <is>
          <t>VINDELN</t>
        </is>
      </c>
      <c r="F9809" t="inlineStr">
        <is>
          <t>Sveaskog</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26632-2023</t>
        </is>
      </c>
      <c r="B9810" s="1" t="n">
        <v>45092</v>
      </c>
      <c r="C9810" s="1" t="n">
        <v>45357</v>
      </c>
      <c r="D9810" t="inlineStr">
        <is>
          <t>VÄSTERBOTTENS LÄN</t>
        </is>
      </c>
      <c r="E9810" t="inlineStr">
        <is>
          <t>SKELLEFTEÅ</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26648-2023</t>
        </is>
      </c>
      <c r="B9811" s="1" t="n">
        <v>45093</v>
      </c>
      <c r="C9811" s="1" t="n">
        <v>45357</v>
      </c>
      <c r="D9811" t="inlineStr">
        <is>
          <t>VÄSTERBOTTENS LÄN</t>
        </is>
      </c>
      <c r="E9811" t="inlineStr">
        <is>
          <t>SKELLEFTEÅ</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26649-2023</t>
        </is>
      </c>
      <c r="B9812" s="1" t="n">
        <v>45093</v>
      </c>
      <c r="C9812" s="1" t="n">
        <v>45357</v>
      </c>
      <c r="D9812" t="inlineStr">
        <is>
          <t>VÄSTERBOTTENS LÄN</t>
        </is>
      </c>
      <c r="E9812" t="inlineStr">
        <is>
          <t>SKELLEFTEÅ</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26645-2023</t>
        </is>
      </c>
      <c r="B9813" s="1" t="n">
        <v>45093</v>
      </c>
      <c r="C9813" s="1" t="n">
        <v>45357</v>
      </c>
      <c r="D9813" t="inlineStr">
        <is>
          <t>VÄSTERBOTTENS LÄN</t>
        </is>
      </c>
      <c r="E9813" t="inlineStr">
        <is>
          <t>SKELLEFTEÅ</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26657-2023</t>
        </is>
      </c>
      <c r="B9814" s="1" t="n">
        <v>45092</v>
      </c>
      <c r="C9814" s="1" t="n">
        <v>45357</v>
      </c>
      <c r="D9814" t="inlineStr">
        <is>
          <t>VÄSTERBOTTENS LÄN</t>
        </is>
      </c>
      <c r="E9814" t="inlineStr">
        <is>
          <t>VILHELMINA</t>
        </is>
      </c>
      <c r="F9814" t="inlineStr">
        <is>
          <t>SCA</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26663-2023</t>
        </is>
      </c>
      <c r="B9815" s="1" t="n">
        <v>45093</v>
      </c>
      <c r="C9815" s="1" t="n">
        <v>45357</v>
      </c>
      <c r="D9815" t="inlineStr">
        <is>
          <t>VÄSTERBOTTENS LÄN</t>
        </is>
      </c>
      <c r="E9815" t="inlineStr">
        <is>
          <t>VILHELMINA</t>
        </is>
      </c>
      <c r="F9815" t="inlineStr">
        <is>
          <t>SCA</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26631-2023</t>
        </is>
      </c>
      <c r="B9816" s="1" t="n">
        <v>45092</v>
      </c>
      <c r="C9816" s="1" t="n">
        <v>45357</v>
      </c>
      <c r="D9816" t="inlineStr">
        <is>
          <t>VÄSTERBOTTENS LÄN</t>
        </is>
      </c>
      <c r="E9816" t="inlineStr">
        <is>
          <t>SKELLEFTEÅ</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26656-2023</t>
        </is>
      </c>
      <c r="B9817" s="1" t="n">
        <v>45092</v>
      </c>
      <c r="C9817" s="1" t="n">
        <v>45357</v>
      </c>
      <c r="D9817" t="inlineStr">
        <is>
          <t>VÄSTERBOTTENS LÄN</t>
        </is>
      </c>
      <c r="E9817" t="inlineStr">
        <is>
          <t>VILHELMINA</t>
        </is>
      </c>
      <c r="F9817" t="inlineStr">
        <is>
          <t>SCA</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27426-2023</t>
        </is>
      </c>
      <c r="B9818" s="1" t="n">
        <v>45092</v>
      </c>
      <c r="C9818" s="1" t="n">
        <v>45357</v>
      </c>
      <c r="D9818" t="inlineStr">
        <is>
          <t>VÄSTERBOTTENS LÄN</t>
        </is>
      </c>
      <c r="E9818" t="inlineStr">
        <is>
          <t>ÅSELE</t>
        </is>
      </c>
      <c r="F9818" t="inlineStr">
        <is>
          <t>Övriga Aktiebolag</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27483-2023</t>
        </is>
      </c>
      <c r="B9819" s="1" t="n">
        <v>45092</v>
      </c>
      <c r="C9819" s="1" t="n">
        <v>45357</v>
      </c>
      <c r="D9819" t="inlineStr">
        <is>
          <t>VÄSTERBOTTENS LÄN</t>
        </is>
      </c>
      <c r="E9819" t="inlineStr">
        <is>
          <t>ÅSELE</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27420-2023</t>
        </is>
      </c>
      <c r="B9820" s="1" t="n">
        <v>45092</v>
      </c>
      <c r="C9820" s="1" t="n">
        <v>45357</v>
      </c>
      <c r="D9820" t="inlineStr">
        <is>
          <t>VÄSTERBOTTENS LÄN</t>
        </is>
      </c>
      <c r="E9820" t="inlineStr">
        <is>
          <t>ÅSELE</t>
        </is>
      </c>
      <c r="F9820" t="inlineStr">
        <is>
          <t>Övriga Aktiebolag</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27473-2023</t>
        </is>
      </c>
      <c r="B9821" s="1" t="n">
        <v>45092</v>
      </c>
      <c r="C9821" s="1" t="n">
        <v>45357</v>
      </c>
      <c r="D9821" t="inlineStr">
        <is>
          <t>VÄSTERBOTTENS LÄN</t>
        </is>
      </c>
      <c r="E9821" t="inlineStr">
        <is>
          <t>ÅSELE</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27436-2023</t>
        </is>
      </c>
      <c r="B9822" s="1" t="n">
        <v>45092</v>
      </c>
      <c r="C9822" s="1" t="n">
        <v>45357</v>
      </c>
      <c r="D9822" t="inlineStr">
        <is>
          <t>VÄSTERBOTTENS LÄN</t>
        </is>
      </c>
      <c r="E9822" t="inlineStr">
        <is>
          <t>ÅSELE</t>
        </is>
      </c>
      <c r="F9822" t="inlineStr">
        <is>
          <t>Övriga Aktiebolag</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27601-2023</t>
        </is>
      </c>
      <c r="B9823" s="1" t="n">
        <v>45092</v>
      </c>
      <c r="C9823" s="1" t="n">
        <v>45357</v>
      </c>
      <c r="D9823" t="inlineStr">
        <is>
          <t>VÄSTERBOTTENS LÄN</t>
        </is>
      </c>
      <c r="E9823" t="inlineStr">
        <is>
          <t>VILHELMINA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27568-2023</t>
        </is>
      </c>
      <c r="B9824" s="1" t="n">
        <v>45092</v>
      </c>
      <c r="C9824" s="1" t="n">
        <v>45357</v>
      </c>
      <c r="D9824" t="inlineStr">
        <is>
          <t>VÄSTERBOTTENS LÄN</t>
        </is>
      </c>
      <c r="E9824" t="inlineStr">
        <is>
          <t>NORDMALING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26686-2023</t>
        </is>
      </c>
      <c r="B9825" s="1" t="n">
        <v>45093</v>
      </c>
      <c r="C9825" s="1" t="n">
        <v>45357</v>
      </c>
      <c r="D9825" t="inlineStr">
        <is>
          <t>VÄSTERBOTTENS LÄN</t>
        </is>
      </c>
      <c r="E9825" t="inlineStr">
        <is>
          <t>SKELLEFTEÅ</t>
        </is>
      </c>
      <c r="G9825" t="n">
        <v>8.6</v>
      </c>
      <c r="H9825" t="n">
        <v>0</v>
      </c>
      <c r="I9825" t="n">
        <v>0</v>
      </c>
      <c r="J9825" t="n">
        <v>0</v>
      </c>
      <c r="K9825" t="n">
        <v>0</v>
      </c>
      <c r="L9825" t="n">
        <v>0</v>
      </c>
      <c r="M9825" t="n">
        <v>0</v>
      </c>
      <c r="N9825" t="n">
        <v>0</v>
      </c>
      <c r="O9825" t="n">
        <v>0</v>
      </c>
      <c r="P9825" t="n">
        <v>0</v>
      </c>
      <c r="Q9825" t="n">
        <v>0</v>
      </c>
      <c r="R9825" s="2" t="inlineStr"/>
    </row>
    <row r="9826" ht="15" customHeight="1">
      <c r="A9826" t="inlineStr">
        <is>
          <t>A 26690-2023</t>
        </is>
      </c>
      <c r="B9826" s="1" t="n">
        <v>45093</v>
      </c>
      <c r="C9826" s="1" t="n">
        <v>45357</v>
      </c>
      <c r="D9826" t="inlineStr">
        <is>
          <t>VÄSTERBOTTENS LÄN</t>
        </is>
      </c>
      <c r="E9826" t="inlineStr">
        <is>
          <t>SKELLEFTEÅ</t>
        </is>
      </c>
      <c r="F9826" t="inlineStr">
        <is>
          <t>Kyrkan</t>
        </is>
      </c>
      <c r="G9826" t="n">
        <v>7.5</v>
      </c>
      <c r="H9826" t="n">
        <v>0</v>
      </c>
      <c r="I9826" t="n">
        <v>0</v>
      </c>
      <c r="J9826" t="n">
        <v>0</v>
      </c>
      <c r="K9826" t="n">
        <v>0</v>
      </c>
      <c r="L9826" t="n">
        <v>0</v>
      </c>
      <c r="M9826" t="n">
        <v>0</v>
      </c>
      <c r="N9826" t="n">
        <v>0</v>
      </c>
      <c r="O9826" t="n">
        <v>0</v>
      </c>
      <c r="P9826" t="n">
        <v>0</v>
      </c>
      <c r="Q9826" t="n">
        <v>0</v>
      </c>
      <c r="R9826" s="2" t="inlineStr"/>
    </row>
    <row r="9827" ht="15" customHeight="1">
      <c r="A9827" t="inlineStr">
        <is>
          <t>A 26677-2023</t>
        </is>
      </c>
      <c r="B9827" s="1" t="n">
        <v>45093</v>
      </c>
      <c r="C9827" s="1" t="n">
        <v>45357</v>
      </c>
      <c r="D9827" t="inlineStr">
        <is>
          <t>VÄSTERBOTTENS LÄN</t>
        </is>
      </c>
      <c r="E9827" t="inlineStr">
        <is>
          <t>ÅSELE</t>
        </is>
      </c>
      <c r="F9827" t="inlineStr">
        <is>
          <t>Sveaskog</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26676-2023</t>
        </is>
      </c>
      <c r="B9828" s="1" t="n">
        <v>45093</v>
      </c>
      <c r="C9828" s="1" t="n">
        <v>45357</v>
      </c>
      <c r="D9828" t="inlineStr">
        <is>
          <t>VÄSTERBOTTENS LÄN</t>
        </is>
      </c>
      <c r="E9828" t="inlineStr">
        <is>
          <t>ÅSELE</t>
        </is>
      </c>
      <c r="F9828" t="inlineStr">
        <is>
          <t>Sveaskog</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26826-2023</t>
        </is>
      </c>
      <c r="B9829" s="1" t="n">
        <v>45093</v>
      </c>
      <c r="C9829" s="1" t="n">
        <v>45357</v>
      </c>
      <c r="D9829" t="inlineStr">
        <is>
          <t>VÄSTERBOTTENS LÄN</t>
        </is>
      </c>
      <c r="E9829" t="inlineStr">
        <is>
          <t>VINDELN</t>
        </is>
      </c>
      <c r="G9829" t="n">
        <v>3.4</v>
      </c>
      <c r="H9829" t="n">
        <v>0</v>
      </c>
      <c r="I9829" t="n">
        <v>0</v>
      </c>
      <c r="J9829" t="n">
        <v>0</v>
      </c>
      <c r="K9829" t="n">
        <v>0</v>
      </c>
      <c r="L9829" t="n">
        <v>0</v>
      </c>
      <c r="M9829" t="n">
        <v>0</v>
      </c>
      <c r="N9829" t="n">
        <v>0</v>
      </c>
      <c r="O9829" t="n">
        <v>0</v>
      </c>
      <c r="P9829" t="n">
        <v>0</v>
      </c>
      <c r="Q9829" t="n">
        <v>0</v>
      </c>
      <c r="R9829" s="2" t="inlineStr"/>
      <c r="U9829">
        <f>HYPERLINK("https://klasma.github.io/Logging_2404/knärot/A 26826-2023 karta knärot.png", "A 26826-2023")</f>
        <v/>
      </c>
      <c r="V9829">
        <f>HYPERLINK("https://klasma.github.io/Logging_2404/klagomål/A 26826-2023 FSC-klagomål.docx", "A 26826-2023")</f>
        <v/>
      </c>
      <c r="W9829">
        <f>HYPERLINK("https://klasma.github.io/Logging_2404/klagomålsmail/A 26826-2023 FSC-klagomål mail.docx", "A 26826-2023")</f>
        <v/>
      </c>
      <c r="X9829">
        <f>HYPERLINK("https://klasma.github.io/Logging_2404/tillsyn/A 26826-2023 tillsynsbegäran.docx", "A 26826-2023")</f>
        <v/>
      </c>
      <c r="Y9829">
        <f>HYPERLINK("https://klasma.github.io/Logging_2404/tillsynsmail/A 26826-2023 tillsynsbegäran mail.docx", "A 26826-2023")</f>
        <v/>
      </c>
    </row>
    <row r="9830" ht="15" customHeight="1">
      <c r="A9830" t="inlineStr">
        <is>
          <t>A 26836-2023</t>
        </is>
      </c>
      <c r="B9830" s="1" t="n">
        <v>45093</v>
      </c>
      <c r="C9830" s="1" t="n">
        <v>45357</v>
      </c>
      <c r="D9830" t="inlineStr">
        <is>
          <t>VÄSTERBOTTENS LÄN</t>
        </is>
      </c>
      <c r="E9830" t="inlineStr">
        <is>
          <t>VINDELN</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26862-2023</t>
        </is>
      </c>
      <c r="B9831" s="1" t="n">
        <v>45093</v>
      </c>
      <c r="C9831" s="1" t="n">
        <v>45357</v>
      </c>
      <c r="D9831" t="inlineStr">
        <is>
          <t>VÄSTERBOTTENS LÄN</t>
        </is>
      </c>
      <c r="E9831" t="inlineStr">
        <is>
          <t>NORSJÖ</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26869-2023</t>
        </is>
      </c>
      <c r="B9832" s="1" t="n">
        <v>45093</v>
      </c>
      <c r="C9832" s="1" t="n">
        <v>45357</v>
      </c>
      <c r="D9832" t="inlineStr">
        <is>
          <t>VÄSTERBOTTENS LÄN</t>
        </is>
      </c>
      <c r="E9832" t="inlineStr">
        <is>
          <t>SKELLEFTEÅ</t>
        </is>
      </c>
      <c r="F9832" t="inlineStr">
        <is>
          <t>Holmen skog AB</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26897-2023</t>
        </is>
      </c>
      <c r="B9833" s="1" t="n">
        <v>45093</v>
      </c>
      <c r="C9833" s="1" t="n">
        <v>45357</v>
      </c>
      <c r="D9833" t="inlineStr">
        <is>
          <t>VÄSTERBOTTENS LÄN</t>
        </is>
      </c>
      <c r="E9833" t="inlineStr">
        <is>
          <t>ÅSELE</t>
        </is>
      </c>
      <c r="F9833" t="inlineStr">
        <is>
          <t>Sveaskog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26848-2023</t>
        </is>
      </c>
      <c r="B9834" s="1" t="n">
        <v>45093</v>
      </c>
      <c r="C9834" s="1" t="n">
        <v>45357</v>
      </c>
      <c r="D9834" t="inlineStr">
        <is>
          <t>VÄSTERBOTTENS LÄN</t>
        </is>
      </c>
      <c r="E9834" t="inlineStr">
        <is>
          <t>LYCKSELE</t>
        </is>
      </c>
      <c r="F9834" t="inlineStr">
        <is>
          <t>Sveaskog</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26856-2023</t>
        </is>
      </c>
      <c r="B9835" s="1" t="n">
        <v>45093</v>
      </c>
      <c r="C9835" s="1" t="n">
        <v>45357</v>
      </c>
      <c r="D9835" t="inlineStr">
        <is>
          <t>VÄSTERBOTTENS LÄN</t>
        </is>
      </c>
      <c r="E9835" t="inlineStr">
        <is>
          <t>LYCKSELE</t>
        </is>
      </c>
      <c r="F9835" t="inlineStr">
        <is>
          <t>Sveaskog</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26864-2023</t>
        </is>
      </c>
      <c r="B9836" s="1" t="n">
        <v>45093</v>
      </c>
      <c r="C9836" s="1" t="n">
        <v>45357</v>
      </c>
      <c r="D9836" t="inlineStr">
        <is>
          <t>VÄSTERBOTTENS LÄN</t>
        </is>
      </c>
      <c r="E9836" t="inlineStr">
        <is>
          <t>LYCKSELE</t>
        </is>
      </c>
      <c r="F9836" t="inlineStr">
        <is>
          <t>Sveaskog</t>
        </is>
      </c>
      <c r="G9836" t="n">
        <v>8</v>
      </c>
      <c r="H9836" t="n">
        <v>0</v>
      </c>
      <c r="I9836" t="n">
        <v>0</v>
      </c>
      <c r="J9836" t="n">
        <v>0</v>
      </c>
      <c r="K9836" t="n">
        <v>0</v>
      </c>
      <c r="L9836" t="n">
        <v>0</v>
      </c>
      <c r="M9836" t="n">
        <v>0</v>
      </c>
      <c r="N9836" t="n">
        <v>0</v>
      </c>
      <c r="O9836" t="n">
        <v>0</v>
      </c>
      <c r="P9836" t="n">
        <v>0</v>
      </c>
      <c r="Q9836" t="n">
        <v>0</v>
      </c>
      <c r="R9836" s="2" t="inlineStr"/>
    </row>
    <row r="9837" ht="15" customHeight="1">
      <c r="A9837" t="inlineStr">
        <is>
          <t>A 26720-2023</t>
        </is>
      </c>
      <c r="B9837" s="1" t="n">
        <v>45093</v>
      </c>
      <c r="C9837" s="1" t="n">
        <v>45357</v>
      </c>
      <c r="D9837" t="inlineStr">
        <is>
          <t>VÄSTERBOTTENS LÄN</t>
        </is>
      </c>
      <c r="E9837" t="inlineStr">
        <is>
          <t>SKELLEFTEÅ</t>
        </is>
      </c>
      <c r="F9837" t="inlineStr">
        <is>
          <t>Kyrkan</t>
        </is>
      </c>
      <c r="G9837" t="n">
        <v>25.4</v>
      </c>
      <c r="H9837" t="n">
        <v>0</v>
      </c>
      <c r="I9837" t="n">
        <v>0</v>
      </c>
      <c r="J9837" t="n">
        <v>0</v>
      </c>
      <c r="K9837" t="n">
        <v>0</v>
      </c>
      <c r="L9837" t="n">
        <v>0</v>
      </c>
      <c r="M9837" t="n">
        <v>0</v>
      </c>
      <c r="N9837" t="n">
        <v>0</v>
      </c>
      <c r="O9837" t="n">
        <v>0</v>
      </c>
      <c r="P9837" t="n">
        <v>0</v>
      </c>
      <c r="Q9837" t="n">
        <v>0</v>
      </c>
      <c r="R9837" s="2" t="inlineStr"/>
    </row>
    <row r="9838" ht="15" customHeight="1">
      <c r="A9838" t="inlineStr">
        <is>
          <t>A 26868-2023</t>
        </is>
      </c>
      <c r="B9838" s="1" t="n">
        <v>45093</v>
      </c>
      <c r="C9838" s="1" t="n">
        <v>45357</v>
      </c>
      <c r="D9838" t="inlineStr">
        <is>
          <t>VÄSTERBOTTENS LÄN</t>
        </is>
      </c>
      <c r="E9838" t="inlineStr">
        <is>
          <t>LYCKSELE</t>
        </is>
      </c>
      <c r="F9838" t="inlineStr">
        <is>
          <t>Sveaskog</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26900-2023</t>
        </is>
      </c>
      <c r="B9839" s="1" t="n">
        <v>45093</v>
      </c>
      <c r="C9839" s="1" t="n">
        <v>45357</v>
      </c>
      <c r="D9839" t="inlineStr">
        <is>
          <t>VÄSTERBOTTENS LÄN</t>
        </is>
      </c>
      <c r="E9839" t="inlineStr">
        <is>
          <t>SKELLEFTEÅ</t>
        </is>
      </c>
      <c r="F9839" t="inlineStr">
        <is>
          <t>Holmen skog AB</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26784-2023</t>
        </is>
      </c>
      <c r="B9840" s="1" t="n">
        <v>45093</v>
      </c>
      <c r="C9840" s="1" t="n">
        <v>45357</v>
      </c>
      <c r="D9840" t="inlineStr">
        <is>
          <t>VÄSTERBOTTENS LÄN</t>
        </is>
      </c>
      <c r="E9840" t="inlineStr">
        <is>
          <t>SKELLEFTEÅ</t>
        </is>
      </c>
      <c r="G9840" t="n">
        <v>19.5</v>
      </c>
      <c r="H9840" t="n">
        <v>0</v>
      </c>
      <c r="I9840" t="n">
        <v>0</v>
      </c>
      <c r="J9840" t="n">
        <v>0</v>
      </c>
      <c r="K9840" t="n">
        <v>0</v>
      </c>
      <c r="L9840" t="n">
        <v>0</v>
      </c>
      <c r="M9840" t="n">
        <v>0</v>
      </c>
      <c r="N9840" t="n">
        <v>0</v>
      </c>
      <c r="O9840" t="n">
        <v>0</v>
      </c>
      <c r="P9840" t="n">
        <v>0</v>
      </c>
      <c r="Q9840" t="n">
        <v>0</v>
      </c>
      <c r="R9840" s="2" t="inlineStr"/>
    </row>
    <row r="9841" ht="15" customHeight="1">
      <c r="A9841" t="inlineStr">
        <is>
          <t>A 26999-2023</t>
        </is>
      </c>
      <c r="B9841" s="1" t="n">
        <v>45093</v>
      </c>
      <c r="C9841" s="1" t="n">
        <v>45357</v>
      </c>
      <c r="D9841" t="inlineStr">
        <is>
          <t>VÄSTERBOTTENS LÄN</t>
        </is>
      </c>
      <c r="E9841" t="inlineStr">
        <is>
          <t>LYCKSELE</t>
        </is>
      </c>
      <c r="F9841" t="inlineStr">
        <is>
          <t>SCA</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26997-2023</t>
        </is>
      </c>
      <c r="B9842" s="1" t="n">
        <v>45093</v>
      </c>
      <c r="C9842" s="1" t="n">
        <v>45357</v>
      </c>
      <c r="D9842" t="inlineStr">
        <is>
          <t>VÄSTERBOTTENS LÄN</t>
        </is>
      </c>
      <c r="E9842" t="inlineStr">
        <is>
          <t>VILHELMINA</t>
        </is>
      </c>
      <c r="F9842" t="inlineStr">
        <is>
          <t>SCA</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26998-2023</t>
        </is>
      </c>
      <c r="B9843" s="1" t="n">
        <v>45093</v>
      </c>
      <c r="C9843" s="1" t="n">
        <v>45357</v>
      </c>
      <c r="D9843" t="inlineStr">
        <is>
          <t>VÄSTERBOTTENS LÄN</t>
        </is>
      </c>
      <c r="E9843" t="inlineStr">
        <is>
          <t>VINDELN</t>
        </is>
      </c>
      <c r="F9843" t="inlineStr">
        <is>
          <t>SCA</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27763-2023</t>
        </is>
      </c>
      <c r="B9844" s="1" t="n">
        <v>45093</v>
      </c>
      <c r="C9844" s="1" t="n">
        <v>45357</v>
      </c>
      <c r="D9844" t="inlineStr">
        <is>
          <t>VÄSTERBOTTENS LÄN</t>
        </is>
      </c>
      <c r="E9844" t="inlineStr">
        <is>
          <t>VILHELMINA</t>
        </is>
      </c>
      <c r="G9844" t="n">
        <v>21.5</v>
      </c>
      <c r="H9844" t="n">
        <v>0</v>
      </c>
      <c r="I9844" t="n">
        <v>0</v>
      </c>
      <c r="J9844" t="n">
        <v>0</v>
      </c>
      <c r="K9844" t="n">
        <v>0</v>
      </c>
      <c r="L9844" t="n">
        <v>0</v>
      </c>
      <c r="M9844" t="n">
        <v>0</v>
      </c>
      <c r="N9844" t="n">
        <v>0</v>
      </c>
      <c r="O9844" t="n">
        <v>0</v>
      </c>
      <c r="P9844" t="n">
        <v>0</v>
      </c>
      <c r="Q9844" t="n">
        <v>0</v>
      </c>
      <c r="R9844" s="2" t="inlineStr"/>
    </row>
    <row r="9845" ht="15" customHeight="1">
      <c r="A9845" t="inlineStr">
        <is>
          <t>A 27785-2023</t>
        </is>
      </c>
      <c r="B9845" s="1" t="n">
        <v>45093</v>
      </c>
      <c r="C9845" s="1" t="n">
        <v>45357</v>
      </c>
      <c r="D9845" t="inlineStr">
        <is>
          <t>VÄSTERBOTTENS LÄN</t>
        </is>
      </c>
      <c r="E9845" t="inlineStr">
        <is>
          <t>SKELLEFTEÅ</t>
        </is>
      </c>
      <c r="G9845" t="n">
        <v>18.5</v>
      </c>
      <c r="H9845" t="n">
        <v>0</v>
      </c>
      <c r="I9845" t="n">
        <v>0</v>
      </c>
      <c r="J9845" t="n">
        <v>0</v>
      </c>
      <c r="K9845" t="n">
        <v>0</v>
      </c>
      <c r="L9845" t="n">
        <v>0</v>
      </c>
      <c r="M9845" t="n">
        <v>0</v>
      </c>
      <c r="N9845" t="n">
        <v>0</v>
      </c>
      <c r="O9845" t="n">
        <v>0</v>
      </c>
      <c r="P9845" t="n">
        <v>0</v>
      </c>
      <c r="Q9845" t="n">
        <v>0</v>
      </c>
      <c r="R9845" s="2" t="inlineStr"/>
    </row>
    <row r="9846" ht="15" customHeight="1">
      <c r="A9846" t="inlineStr">
        <is>
          <t>A 27043-2023</t>
        </is>
      </c>
      <c r="B9846" s="1" t="n">
        <v>45095</v>
      </c>
      <c r="C9846" s="1" t="n">
        <v>45357</v>
      </c>
      <c r="D9846" t="inlineStr">
        <is>
          <t>VÄSTERBOTTENS LÄN</t>
        </is>
      </c>
      <c r="E9846" t="inlineStr">
        <is>
          <t>LYCKSELE</t>
        </is>
      </c>
      <c r="F9846" t="inlineStr">
        <is>
          <t>Holmen skog AB</t>
        </is>
      </c>
      <c r="G9846" t="n">
        <v>20</v>
      </c>
      <c r="H9846" t="n">
        <v>0</v>
      </c>
      <c r="I9846" t="n">
        <v>0</v>
      </c>
      <c r="J9846" t="n">
        <v>0</v>
      </c>
      <c r="K9846" t="n">
        <v>0</v>
      </c>
      <c r="L9846" t="n">
        <v>0</v>
      </c>
      <c r="M9846" t="n">
        <v>0</v>
      </c>
      <c r="N9846" t="n">
        <v>0</v>
      </c>
      <c r="O9846" t="n">
        <v>0</v>
      </c>
      <c r="P9846" t="n">
        <v>0</v>
      </c>
      <c r="Q9846" t="n">
        <v>0</v>
      </c>
      <c r="R9846" s="2" t="inlineStr"/>
    </row>
    <row r="9847" ht="15" customHeight="1">
      <c r="A9847" t="inlineStr">
        <is>
          <t>A 27103-2023</t>
        </is>
      </c>
      <c r="B9847" s="1" t="n">
        <v>45096</v>
      </c>
      <c r="C9847" s="1" t="n">
        <v>45357</v>
      </c>
      <c r="D9847" t="inlineStr">
        <is>
          <t>VÄSTERBOTTENS LÄN</t>
        </is>
      </c>
      <c r="E9847" t="inlineStr">
        <is>
          <t>NORSJÖ</t>
        </is>
      </c>
      <c r="F9847" t="inlineStr">
        <is>
          <t>Holmen skog AB</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27097-2023</t>
        </is>
      </c>
      <c r="B9848" s="1" t="n">
        <v>45096</v>
      </c>
      <c r="C9848" s="1" t="n">
        <v>45357</v>
      </c>
      <c r="D9848" t="inlineStr">
        <is>
          <t>VÄSTERBOTTENS LÄN</t>
        </is>
      </c>
      <c r="E9848" t="inlineStr">
        <is>
          <t>SKELLEFTEÅ</t>
        </is>
      </c>
      <c r="F9848" t="inlineStr">
        <is>
          <t>Holmen skog AB</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27134-2023</t>
        </is>
      </c>
      <c r="B9849" s="1" t="n">
        <v>45096</v>
      </c>
      <c r="C9849" s="1" t="n">
        <v>45357</v>
      </c>
      <c r="D9849" t="inlineStr">
        <is>
          <t>VÄSTERBOTTENS LÄN</t>
        </is>
      </c>
      <c r="E9849" t="inlineStr">
        <is>
          <t>SKELLEFTEÅ</t>
        </is>
      </c>
      <c r="F9849" t="inlineStr">
        <is>
          <t>Holmen skog AB</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27210-2023</t>
        </is>
      </c>
      <c r="B9850" s="1" t="n">
        <v>45096</v>
      </c>
      <c r="C9850" s="1" t="n">
        <v>45357</v>
      </c>
      <c r="D9850" t="inlineStr">
        <is>
          <t>VÄSTERBOTTENS LÄN</t>
        </is>
      </c>
      <c r="E9850" t="inlineStr">
        <is>
          <t>SKELLEFTEÅ</t>
        </is>
      </c>
      <c r="F9850" t="inlineStr">
        <is>
          <t>Holmen skog AB</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27247-2023</t>
        </is>
      </c>
      <c r="B9851" s="1" t="n">
        <v>45096</v>
      </c>
      <c r="C9851" s="1" t="n">
        <v>45357</v>
      </c>
      <c r="D9851" t="inlineStr">
        <is>
          <t>VÄSTERBOTTENS LÄN</t>
        </is>
      </c>
      <c r="E9851" t="inlineStr">
        <is>
          <t>ÅSELE</t>
        </is>
      </c>
      <c r="G9851" t="n">
        <v>18.9</v>
      </c>
      <c r="H9851" t="n">
        <v>0</v>
      </c>
      <c r="I9851" t="n">
        <v>0</v>
      </c>
      <c r="J9851" t="n">
        <v>0</v>
      </c>
      <c r="K9851" t="n">
        <v>0</v>
      </c>
      <c r="L9851" t="n">
        <v>0</v>
      </c>
      <c r="M9851" t="n">
        <v>0</v>
      </c>
      <c r="N9851" t="n">
        <v>0</v>
      </c>
      <c r="O9851" t="n">
        <v>0</v>
      </c>
      <c r="P9851" t="n">
        <v>0</v>
      </c>
      <c r="Q9851" t="n">
        <v>0</v>
      </c>
      <c r="R9851" s="2" t="inlineStr"/>
    </row>
    <row r="9852" ht="15" customHeight="1">
      <c r="A9852" t="inlineStr">
        <is>
          <t>A 27185-2023</t>
        </is>
      </c>
      <c r="B9852" s="1" t="n">
        <v>45096</v>
      </c>
      <c r="C9852" s="1" t="n">
        <v>45357</v>
      </c>
      <c r="D9852" t="inlineStr">
        <is>
          <t>VÄSTERBOTTENS LÄN</t>
        </is>
      </c>
      <c r="E9852" t="inlineStr">
        <is>
          <t>LYCKSELE</t>
        </is>
      </c>
      <c r="F9852" t="inlineStr">
        <is>
          <t>Sveaskog</t>
        </is>
      </c>
      <c r="G9852" t="n">
        <v>14.1</v>
      </c>
      <c r="H9852" t="n">
        <v>0</v>
      </c>
      <c r="I9852" t="n">
        <v>0</v>
      </c>
      <c r="J9852" t="n">
        <v>0</v>
      </c>
      <c r="K9852" t="n">
        <v>0</v>
      </c>
      <c r="L9852" t="n">
        <v>0</v>
      </c>
      <c r="M9852" t="n">
        <v>0</v>
      </c>
      <c r="N9852" t="n">
        <v>0</v>
      </c>
      <c r="O9852" t="n">
        <v>0</v>
      </c>
      <c r="P9852" t="n">
        <v>0</v>
      </c>
      <c r="Q9852" t="n">
        <v>0</v>
      </c>
      <c r="R9852" s="2" t="inlineStr"/>
    </row>
    <row r="9853" ht="15" customHeight="1">
      <c r="A9853" t="inlineStr">
        <is>
          <t>A 27200-2023</t>
        </is>
      </c>
      <c r="B9853" s="1" t="n">
        <v>45096</v>
      </c>
      <c r="C9853" s="1" t="n">
        <v>45357</v>
      </c>
      <c r="D9853" t="inlineStr">
        <is>
          <t>VÄSTERBOTTENS LÄN</t>
        </is>
      </c>
      <c r="E9853" t="inlineStr">
        <is>
          <t>SKELLEFTEÅ</t>
        </is>
      </c>
      <c r="F9853" t="inlineStr">
        <is>
          <t>Holmen skog AB</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27285-2023</t>
        </is>
      </c>
      <c r="B9854" s="1" t="n">
        <v>45096</v>
      </c>
      <c r="C9854" s="1" t="n">
        <v>45357</v>
      </c>
      <c r="D9854" t="inlineStr">
        <is>
          <t>VÄSTERBOTTENS LÄN</t>
        </is>
      </c>
      <c r="E9854" t="inlineStr">
        <is>
          <t>VINDELN</t>
        </is>
      </c>
      <c r="F9854" t="inlineStr">
        <is>
          <t>Holmen skog AB</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27333-2023</t>
        </is>
      </c>
      <c r="B9855" s="1" t="n">
        <v>45096</v>
      </c>
      <c r="C9855" s="1" t="n">
        <v>45357</v>
      </c>
      <c r="D9855" t="inlineStr">
        <is>
          <t>VÄSTERBOTTENS LÄN</t>
        </is>
      </c>
      <c r="E9855" t="inlineStr">
        <is>
          <t>SKELLEFTEÅ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27357-2023</t>
        </is>
      </c>
      <c r="B9856" s="1" t="n">
        <v>45096</v>
      </c>
      <c r="C9856" s="1" t="n">
        <v>45357</v>
      </c>
      <c r="D9856" t="inlineStr">
        <is>
          <t>VÄSTERBOTTENS LÄN</t>
        </is>
      </c>
      <c r="E9856" t="inlineStr">
        <is>
          <t>VILHELMINA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27369-2023</t>
        </is>
      </c>
      <c r="B9857" s="1" t="n">
        <v>45097</v>
      </c>
      <c r="C9857" s="1" t="n">
        <v>45357</v>
      </c>
      <c r="D9857" t="inlineStr">
        <is>
          <t>VÄSTERBOTTENS LÄN</t>
        </is>
      </c>
      <c r="E9857" t="inlineStr">
        <is>
          <t>NORDMALING</t>
        </is>
      </c>
      <c r="F9857" t="inlineStr">
        <is>
          <t>SCA</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27338-2023</t>
        </is>
      </c>
      <c r="B9858" s="1" t="n">
        <v>45096</v>
      </c>
      <c r="C9858" s="1" t="n">
        <v>45357</v>
      </c>
      <c r="D9858" t="inlineStr">
        <is>
          <t>VÄSTERBOTTENS LÄN</t>
        </is>
      </c>
      <c r="E9858" t="inlineStr">
        <is>
          <t>UMEÅ</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27323-2023</t>
        </is>
      </c>
      <c r="B9859" s="1" t="n">
        <v>45096</v>
      </c>
      <c r="C9859" s="1" t="n">
        <v>45357</v>
      </c>
      <c r="D9859" t="inlineStr">
        <is>
          <t>VÄSTERBOTTENS LÄN</t>
        </is>
      </c>
      <c r="E9859" t="inlineStr">
        <is>
          <t>SKELLEFTEÅ</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27370-2023</t>
        </is>
      </c>
      <c r="B9860" s="1" t="n">
        <v>45097</v>
      </c>
      <c r="C9860" s="1" t="n">
        <v>45357</v>
      </c>
      <c r="D9860" t="inlineStr">
        <is>
          <t>VÄSTERBOTTENS LÄN</t>
        </is>
      </c>
      <c r="E9860" t="inlineStr">
        <is>
          <t>NORDMALING</t>
        </is>
      </c>
      <c r="F9860" t="inlineStr">
        <is>
          <t>SCA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27372-2023</t>
        </is>
      </c>
      <c r="B9861" s="1" t="n">
        <v>45097</v>
      </c>
      <c r="C9861" s="1" t="n">
        <v>45357</v>
      </c>
      <c r="D9861" t="inlineStr">
        <is>
          <t>VÄSTERBOTTENS LÄN</t>
        </is>
      </c>
      <c r="E9861" t="inlineStr">
        <is>
          <t>NORDMALING</t>
        </is>
      </c>
      <c r="F9861" t="inlineStr">
        <is>
          <t>SCA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28153-2023</t>
        </is>
      </c>
      <c r="B9862" s="1" t="n">
        <v>45096</v>
      </c>
      <c r="C9862" s="1" t="n">
        <v>45357</v>
      </c>
      <c r="D9862" t="inlineStr">
        <is>
          <t>VÄSTERBOTTENS LÄN</t>
        </is>
      </c>
      <c r="E9862" t="inlineStr">
        <is>
          <t>SKELLEFTEÅ</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28166-2023</t>
        </is>
      </c>
      <c r="B9863" s="1" t="n">
        <v>45096</v>
      </c>
      <c r="C9863" s="1" t="n">
        <v>45357</v>
      </c>
      <c r="D9863" t="inlineStr">
        <is>
          <t>VÄSTERBOTTENS LÄN</t>
        </is>
      </c>
      <c r="E9863" t="inlineStr">
        <is>
          <t>SKELLEFTEÅ</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28113-2023</t>
        </is>
      </c>
      <c r="B9864" s="1" t="n">
        <v>45096</v>
      </c>
      <c r="C9864" s="1" t="n">
        <v>45357</v>
      </c>
      <c r="D9864" t="inlineStr">
        <is>
          <t>VÄSTERBOTTENS LÄN</t>
        </is>
      </c>
      <c r="E9864" t="inlineStr">
        <is>
          <t>SKELLEFTEÅ</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28158-2023</t>
        </is>
      </c>
      <c r="B9865" s="1" t="n">
        <v>45096</v>
      </c>
      <c r="C9865" s="1" t="n">
        <v>45357</v>
      </c>
      <c r="D9865" t="inlineStr">
        <is>
          <t>VÄSTERBOTTENS LÄN</t>
        </is>
      </c>
      <c r="E9865" t="inlineStr">
        <is>
          <t>SKELLEFTEÅ</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28171-2023</t>
        </is>
      </c>
      <c r="B9866" s="1" t="n">
        <v>45096</v>
      </c>
      <c r="C9866" s="1" t="n">
        <v>45357</v>
      </c>
      <c r="D9866" t="inlineStr">
        <is>
          <t>VÄSTERBOTTENS LÄN</t>
        </is>
      </c>
      <c r="E9866" t="inlineStr">
        <is>
          <t>SKELLEFTEÅ</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28203-2023</t>
        </is>
      </c>
      <c r="B9867" s="1" t="n">
        <v>45096</v>
      </c>
      <c r="C9867" s="1" t="n">
        <v>45357</v>
      </c>
      <c r="D9867" t="inlineStr">
        <is>
          <t>VÄSTERBOTTENS LÄN</t>
        </is>
      </c>
      <c r="E9867" t="inlineStr">
        <is>
          <t>SKELLEFTEÅ</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28970-2023</t>
        </is>
      </c>
      <c r="B9868" s="1" t="n">
        <v>45096</v>
      </c>
      <c r="C9868" s="1" t="n">
        <v>45357</v>
      </c>
      <c r="D9868" t="inlineStr">
        <is>
          <t>VÄSTERBOTTENS LÄN</t>
        </is>
      </c>
      <c r="E9868" t="inlineStr">
        <is>
          <t>UMEÅ</t>
        </is>
      </c>
      <c r="G9868" t="n">
        <v>6.7</v>
      </c>
      <c r="H9868" t="n">
        <v>0</v>
      </c>
      <c r="I9868" t="n">
        <v>0</v>
      </c>
      <c r="J9868" t="n">
        <v>0</v>
      </c>
      <c r="K9868" t="n">
        <v>0</v>
      </c>
      <c r="L9868" t="n">
        <v>0</v>
      </c>
      <c r="M9868" t="n">
        <v>0</v>
      </c>
      <c r="N9868" t="n">
        <v>0</v>
      </c>
      <c r="O9868" t="n">
        <v>0</v>
      </c>
      <c r="P9868" t="n">
        <v>0</v>
      </c>
      <c r="Q9868" t="n">
        <v>0</v>
      </c>
      <c r="R9868" s="2" t="inlineStr"/>
    </row>
    <row r="9869" ht="15" customHeight="1">
      <c r="A9869" t="inlineStr">
        <is>
          <t>A 27355-2023</t>
        </is>
      </c>
      <c r="B9869" s="1" t="n">
        <v>45096</v>
      </c>
      <c r="C9869" s="1" t="n">
        <v>45357</v>
      </c>
      <c r="D9869" t="inlineStr">
        <is>
          <t>VÄSTERBOTTENS LÄN</t>
        </is>
      </c>
      <c r="E9869" t="inlineStr">
        <is>
          <t>VILHELMINA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27322-2023</t>
        </is>
      </c>
      <c r="B9870" s="1" t="n">
        <v>45096</v>
      </c>
      <c r="C9870" s="1" t="n">
        <v>45357</v>
      </c>
      <c r="D9870" t="inlineStr">
        <is>
          <t>VÄSTERBOTTENS LÄN</t>
        </is>
      </c>
      <c r="E9870" t="inlineStr">
        <is>
          <t>SKELLEFTEÅ</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27371-2023</t>
        </is>
      </c>
      <c r="B9871" s="1" t="n">
        <v>45097</v>
      </c>
      <c r="C9871" s="1" t="n">
        <v>45357</v>
      </c>
      <c r="D9871" t="inlineStr">
        <is>
          <t>VÄSTERBOTTENS LÄN</t>
        </is>
      </c>
      <c r="E9871" t="inlineStr">
        <is>
          <t>NORDMALING</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28191-2023</t>
        </is>
      </c>
      <c r="B9872" s="1" t="n">
        <v>45096</v>
      </c>
      <c r="C9872" s="1" t="n">
        <v>45357</v>
      </c>
      <c r="D9872" t="inlineStr">
        <is>
          <t>VÄSTERBOTTENS LÄN</t>
        </is>
      </c>
      <c r="E9872" t="inlineStr">
        <is>
          <t>SKELLEFTEÅ</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28877-2023</t>
        </is>
      </c>
      <c r="B9873" s="1" t="n">
        <v>45096</v>
      </c>
      <c r="C9873" s="1" t="n">
        <v>45357</v>
      </c>
      <c r="D9873" t="inlineStr">
        <is>
          <t>VÄSTERBOTTENS LÄN</t>
        </is>
      </c>
      <c r="E9873" t="inlineStr">
        <is>
          <t>UMEÅ</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29447-2023</t>
        </is>
      </c>
      <c r="B9874" s="1" t="n">
        <v>45096</v>
      </c>
      <c r="C9874" s="1" t="n">
        <v>45357</v>
      </c>
      <c r="D9874" t="inlineStr">
        <is>
          <t>VÄSTERBOTTENS LÄN</t>
        </is>
      </c>
      <c r="E9874" t="inlineStr">
        <is>
          <t>UMEÅ</t>
        </is>
      </c>
      <c r="G9874" t="n">
        <v>19.7</v>
      </c>
      <c r="H9874" t="n">
        <v>0</v>
      </c>
      <c r="I9874" t="n">
        <v>0</v>
      </c>
      <c r="J9874" t="n">
        <v>0</v>
      </c>
      <c r="K9874" t="n">
        <v>0</v>
      </c>
      <c r="L9874" t="n">
        <v>0</v>
      </c>
      <c r="M9874" t="n">
        <v>0</v>
      </c>
      <c r="N9874" t="n">
        <v>0</v>
      </c>
      <c r="O9874" t="n">
        <v>0</v>
      </c>
      <c r="P9874" t="n">
        <v>0</v>
      </c>
      <c r="Q9874" t="n">
        <v>0</v>
      </c>
      <c r="R9874" s="2" t="inlineStr"/>
    </row>
    <row r="9875" ht="15" customHeight="1">
      <c r="A9875" t="inlineStr">
        <is>
          <t>A 28192-2023</t>
        </is>
      </c>
      <c r="B9875" s="1" t="n">
        <v>45096</v>
      </c>
      <c r="C9875" s="1" t="n">
        <v>45357</v>
      </c>
      <c r="D9875" t="inlineStr">
        <is>
          <t>VÄSTERBOTTENS LÄN</t>
        </is>
      </c>
      <c r="E9875" t="inlineStr">
        <is>
          <t>SKELLEFTEÅ</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27378-2023</t>
        </is>
      </c>
      <c r="B9876" s="1" t="n">
        <v>45097</v>
      </c>
      <c r="C9876" s="1" t="n">
        <v>45357</v>
      </c>
      <c r="D9876" t="inlineStr">
        <is>
          <t>VÄSTERBOTTENS LÄN</t>
        </is>
      </c>
      <c r="E9876" t="inlineStr">
        <is>
          <t>NORDMALING</t>
        </is>
      </c>
      <c r="F9876" t="inlineStr">
        <is>
          <t>SCA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28175-2023</t>
        </is>
      </c>
      <c r="B9877" s="1" t="n">
        <v>45096</v>
      </c>
      <c r="C9877" s="1" t="n">
        <v>45357</v>
      </c>
      <c r="D9877" t="inlineStr">
        <is>
          <t>VÄSTERBOTTENS LÄN</t>
        </is>
      </c>
      <c r="E9877" t="inlineStr">
        <is>
          <t>SKELLEFTEÅ</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28679-2023</t>
        </is>
      </c>
      <c r="B9878" s="1" t="n">
        <v>45096</v>
      </c>
      <c r="C9878" s="1" t="n">
        <v>45357</v>
      </c>
      <c r="D9878" t="inlineStr">
        <is>
          <t>VÄSTERBOTTENS LÄN</t>
        </is>
      </c>
      <c r="E9878" t="inlineStr">
        <is>
          <t>UMEÅ</t>
        </is>
      </c>
      <c r="G9878" t="n">
        <v>13.3</v>
      </c>
      <c r="H9878" t="n">
        <v>0</v>
      </c>
      <c r="I9878" t="n">
        <v>0</v>
      </c>
      <c r="J9878" t="n">
        <v>0</v>
      </c>
      <c r="K9878" t="n">
        <v>0</v>
      </c>
      <c r="L9878" t="n">
        <v>0</v>
      </c>
      <c r="M9878" t="n">
        <v>0</v>
      </c>
      <c r="N9878" t="n">
        <v>0</v>
      </c>
      <c r="O9878" t="n">
        <v>0</v>
      </c>
      <c r="P9878" t="n">
        <v>0</v>
      </c>
      <c r="Q9878" t="n">
        <v>0</v>
      </c>
      <c r="R9878" s="2" t="inlineStr"/>
    </row>
    <row r="9879" ht="15" customHeight="1">
      <c r="A9879" t="inlineStr">
        <is>
          <t>A 27433-2023</t>
        </is>
      </c>
      <c r="B9879" s="1" t="n">
        <v>45097</v>
      </c>
      <c r="C9879" s="1" t="n">
        <v>45357</v>
      </c>
      <c r="D9879" t="inlineStr">
        <is>
          <t>VÄSTERBOTTENS LÄN</t>
        </is>
      </c>
      <c r="E9879" t="inlineStr">
        <is>
          <t>SKELLEFTEÅ</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27435-2023</t>
        </is>
      </c>
      <c r="B9880" s="1" t="n">
        <v>45097</v>
      </c>
      <c r="C9880" s="1" t="n">
        <v>45357</v>
      </c>
      <c r="D9880" t="inlineStr">
        <is>
          <t>VÄSTERBOTTENS LÄN</t>
        </is>
      </c>
      <c r="E9880" t="inlineStr">
        <is>
          <t>VINDELN</t>
        </is>
      </c>
      <c r="F9880" t="inlineStr">
        <is>
          <t>Holmen skog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27504-2023</t>
        </is>
      </c>
      <c r="B9881" s="1" t="n">
        <v>45097</v>
      </c>
      <c r="C9881" s="1" t="n">
        <v>45357</v>
      </c>
      <c r="D9881" t="inlineStr">
        <is>
          <t>VÄSTERBOTTENS LÄN</t>
        </is>
      </c>
      <c r="E9881" t="inlineStr">
        <is>
          <t>SKELLEFTEÅ</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27477-2023</t>
        </is>
      </c>
      <c r="B9882" s="1" t="n">
        <v>45097</v>
      </c>
      <c r="C9882" s="1" t="n">
        <v>45357</v>
      </c>
      <c r="D9882" t="inlineStr">
        <is>
          <t>VÄSTERBOTTENS LÄN</t>
        </is>
      </c>
      <c r="E9882" t="inlineStr">
        <is>
          <t>DOROTEA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27508-2023</t>
        </is>
      </c>
      <c r="B9883" s="1" t="n">
        <v>45097</v>
      </c>
      <c r="C9883" s="1" t="n">
        <v>45357</v>
      </c>
      <c r="D9883" t="inlineStr">
        <is>
          <t>VÄSTERBOTTENS LÄN</t>
        </is>
      </c>
      <c r="E9883" t="inlineStr">
        <is>
          <t>SKELLEFTEÅ</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27614-2023</t>
        </is>
      </c>
      <c r="B9884" s="1" t="n">
        <v>45097</v>
      </c>
      <c r="C9884" s="1" t="n">
        <v>45357</v>
      </c>
      <c r="D9884" t="inlineStr">
        <is>
          <t>VÄSTERBOTTENS LÄN</t>
        </is>
      </c>
      <c r="E9884" t="inlineStr">
        <is>
          <t>SKELLEFTEÅ</t>
        </is>
      </c>
      <c r="F9884" t="inlineStr">
        <is>
          <t>Holmen skog AB</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27609-2023</t>
        </is>
      </c>
      <c r="B9885" s="1" t="n">
        <v>45097</v>
      </c>
      <c r="C9885" s="1" t="n">
        <v>45357</v>
      </c>
      <c r="D9885" t="inlineStr">
        <is>
          <t>VÄSTERBOTTENS LÄN</t>
        </is>
      </c>
      <c r="E9885" t="inlineStr">
        <is>
          <t>LYCKSELE</t>
        </is>
      </c>
      <c r="F9885" t="inlineStr">
        <is>
          <t>Holmen skog AB</t>
        </is>
      </c>
      <c r="G9885" t="n">
        <v>8.6</v>
      </c>
      <c r="H9885" t="n">
        <v>0</v>
      </c>
      <c r="I9885" t="n">
        <v>0</v>
      </c>
      <c r="J9885" t="n">
        <v>0</v>
      </c>
      <c r="K9885" t="n">
        <v>0</v>
      </c>
      <c r="L9885" t="n">
        <v>0</v>
      </c>
      <c r="M9885" t="n">
        <v>0</v>
      </c>
      <c r="N9885" t="n">
        <v>0</v>
      </c>
      <c r="O9885" t="n">
        <v>0</v>
      </c>
      <c r="P9885" t="n">
        <v>0</v>
      </c>
      <c r="Q9885" t="n">
        <v>0</v>
      </c>
      <c r="R9885" s="2" t="inlineStr"/>
    </row>
    <row r="9886" ht="15" customHeight="1">
      <c r="A9886" t="inlineStr">
        <is>
          <t>A 27595-2023</t>
        </is>
      </c>
      <c r="B9886" s="1" t="n">
        <v>45097</v>
      </c>
      <c r="C9886" s="1" t="n">
        <v>45357</v>
      </c>
      <c r="D9886" t="inlineStr">
        <is>
          <t>VÄSTERBOTTENS LÄN</t>
        </is>
      </c>
      <c r="E9886" t="inlineStr">
        <is>
          <t>LYCKSELE</t>
        </is>
      </c>
      <c r="F9886" t="inlineStr">
        <is>
          <t>Holmen skog AB</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27663-2023</t>
        </is>
      </c>
      <c r="B9887" s="1" t="n">
        <v>45097</v>
      </c>
      <c r="C9887" s="1" t="n">
        <v>45357</v>
      </c>
      <c r="D9887" t="inlineStr">
        <is>
          <t>VÄSTERBOTTENS LÄN</t>
        </is>
      </c>
      <c r="E9887" t="inlineStr">
        <is>
          <t>BJURHOLM</t>
        </is>
      </c>
      <c r="F9887" t="inlineStr">
        <is>
          <t>Holmen skog AB</t>
        </is>
      </c>
      <c r="G9887" t="n">
        <v>10.6</v>
      </c>
      <c r="H9887" t="n">
        <v>0</v>
      </c>
      <c r="I9887" t="n">
        <v>0</v>
      </c>
      <c r="J9887" t="n">
        <v>0</v>
      </c>
      <c r="K9887" t="n">
        <v>0</v>
      </c>
      <c r="L9887" t="n">
        <v>0</v>
      </c>
      <c r="M9887" t="n">
        <v>0</v>
      </c>
      <c r="N9887" t="n">
        <v>0</v>
      </c>
      <c r="O9887" t="n">
        <v>0</v>
      </c>
      <c r="P9887" t="n">
        <v>0</v>
      </c>
      <c r="Q9887" t="n">
        <v>0</v>
      </c>
      <c r="R9887" s="2" t="inlineStr"/>
    </row>
    <row r="9888" ht="15" customHeight="1">
      <c r="A9888" t="inlineStr">
        <is>
          <t>A 27669-2023</t>
        </is>
      </c>
      <c r="B9888" s="1" t="n">
        <v>45097</v>
      </c>
      <c r="C9888" s="1" t="n">
        <v>45357</v>
      </c>
      <c r="D9888" t="inlineStr">
        <is>
          <t>VÄSTERBOTTENS LÄN</t>
        </is>
      </c>
      <c r="E9888" t="inlineStr">
        <is>
          <t>BJURHOLM</t>
        </is>
      </c>
      <c r="F9888" t="inlineStr">
        <is>
          <t>Holmen skog AB</t>
        </is>
      </c>
      <c r="G9888" t="n">
        <v>9.6</v>
      </c>
      <c r="H9888" t="n">
        <v>0</v>
      </c>
      <c r="I9888" t="n">
        <v>0</v>
      </c>
      <c r="J9888" t="n">
        <v>0</v>
      </c>
      <c r="K9888" t="n">
        <v>0</v>
      </c>
      <c r="L9888" t="n">
        <v>0</v>
      </c>
      <c r="M9888" t="n">
        <v>0</v>
      </c>
      <c r="N9888" t="n">
        <v>0</v>
      </c>
      <c r="O9888" t="n">
        <v>0</v>
      </c>
      <c r="P9888" t="n">
        <v>0</v>
      </c>
      <c r="Q9888" t="n">
        <v>0</v>
      </c>
      <c r="R9888" s="2" t="inlineStr"/>
    </row>
    <row r="9889" ht="15" customHeight="1">
      <c r="A9889" t="inlineStr">
        <is>
          <t>A 27672-2023</t>
        </is>
      </c>
      <c r="B9889" s="1" t="n">
        <v>45098</v>
      </c>
      <c r="C9889" s="1" t="n">
        <v>45357</v>
      </c>
      <c r="D9889" t="inlineStr">
        <is>
          <t>VÄSTERBOTTENS LÄN</t>
        </is>
      </c>
      <c r="E9889" t="inlineStr">
        <is>
          <t>NORDMALING</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27670-2023</t>
        </is>
      </c>
      <c r="B9890" s="1" t="n">
        <v>45097</v>
      </c>
      <c r="C9890" s="1" t="n">
        <v>45357</v>
      </c>
      <c r="D9890" t="inlineStr">
        <is>
          <t>VÄSTERBOTTENS LÄN</t>
        </is>
      </c>
      <c r="E9890" t="inlineStr">
        <is>
          <t>SKELLEFTEÅ</t>
        </is>
      </c>
      <c r="F9890" t="inlineStr">
        <is>
          <t>Sveaskog</t>
        </is>
      </c>
      <c r="G9890" t="n">
        <v>11.6</v>
      </c>
      <c r="H9890" t="n">
        <v>0</v>
      </c>
      <c r="I9890" t="n">
        <v>0</v>
      </c>
      <c r="J9890" t="n">
        <v>0</v>
      </c>
      <c r="K9890" t="n">
        <v>0</v>
      </c>
      <c r="L9890" t="n">
        <v>0</v>
      </c>
      <c r="M9890" t="n">
        <v>0</v>
      </c>
      <c r="N9890" t="n">
        <v>0</v>
      </c>
      <c r="O9890" t="n">
        <v>0</v>
      </c>
      <c r="P9890" t="n">
        <v>0</v>
      </c>
      <c r="Q9890" t="n">
        <v>0</v>
      </c>
      <c r="R9890" s="2" t="inlineStr"/>
    </row>
    <row r="9891" ht="15" customHeight="1">
      <c r="A9891" t="inlineStr">
        <is>
          <t>A 27678-2023</t>
        </is>
      </c>
      <c r="B9891" s="1" t="n">
        <v>45097</v>
      </c>
      <c r="C9891" s="1" t="n">
        <v>45357</v>
      </c>
      <c r="D9891" t="inlineStr">
        <is>
          <t>VÄSTERBOTTENS LÄN</t>
        </is>
      </c>
      <c r="E9891" t="inlineStr">
        <is>
          <t>ROBERTSFORS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27694-2023</t>
        </is>
      </c>
      <c r="B9892" s="1" t="n">
        <v>45098</v>
      </c>
      <c r="C9892" s="1" t="n">
        <v>45357</v>
      </c>
      <c r="D9892" t="inlineStr">
        <is>
          <t>VÄSTERBOTTENS LÄN</t>
        </is>
      </c>
      <c r="E9892" t="inlineStr">
        <is>
          <t>VINDELN</t>
        </is>
      </c>
      <c r="F9892" t="inlineStr">
        <is>
          <t>SCA</t>
        </is>
      </c>
      <c r="G9892" t="n">
        <v>10.3</v>
      </c>
      <c r="H9892" t="n">
        <v>0</v>
      </c>
      <c r="I9892" t="n">
        <v>0</v>
      </c>
      <c r="J9892" t="n">
        <v>0</v>
      </c>
      <c r="K9892" t="n">
        <v>0</v>
      </c>
      <c r="L9892" t="n">
        <v>0</v>
      </c>
      <c r="M9892" t="n">
        <v>0</v>
      </c>
      <c r="N9892" t="n">
        <v>0</v>
      </c>
      <c r="O9892" t="n">
        <v>0</v>
      </c>
      <c r="P9892" t="n">
        <v>0</v>
      </c>
      <c r="Q9892" t="n">
        <v>0</v>
      </c>
      <c r="R9892" s="2" t="inlineStr"/>
    </row>
    <row r="9893" ht="15" customHeight="1">
      <c r="A9893" t="inlineStr">
        <is>
          <t>A 27738-2023</t>
        </is>
      </c>
      <c r="B9893" s="1" t="n">
        <v>45098</v>
      </c>
      <c r="C9893" s="1" t="n">
        <v>45357</v>
      </c>
      <c r="D9893" t="inlineStr">
        <is>
          <t>VÄSTERBOTTENS LÄN</t>
        </is>
      </c>
      <c r="E9893" t="inlineStr">
        <is>
          <t>VINDELN</t>
        </is>
      </c>
      <c r="F9893" t="inlineStr">
        <is>
          <t>Naturvårdsverket</t>
        </is>
      </c>
      <c r="G9893" t="n">
        <v>15.9</v>
      </c>
      <c r="H9893" t="n">
        <v>0</v>
      </c>
      <c r="I9893" t="n">
        <v>0</v>
      </c>
      <c r="J9893" t="n">
        <v>0</v>
      </c>
      <c r="K9893" t="n">
        <v>0</v>
      </c>
      <c r="L9893" t="n">
        <v>0</v>
      </c>
      <c r="M9893" t="n">
        <v>0</v>
      </c>
      <c r="N9893" t="n">
        <v>0</v>
      </c>
      <c r="O9893" t="n">
        <v>0</v>
      </c>
      <c r="P9893" t="n">
        <v>0</v>
      </c>
      <c r="Q9893" t="n">
        <v>0</v>
      </c>
      <c r="R9893" s="2" t="inlineStr"/>
    </row>
    <row r="9894" ht="15" customHeight="1">
      <c r="A9894" t="inlineStr">
        <is>
          <t>A 27766-2023</t>
        </is>
      </c>
      <c r="B9894" s="1" t="n">
        <v>45098</v>
      </c>
      <c r="C9894" s="1" t="n">
        <v>45357</v>
      </c>
      <c r="D9894" t="inlineStr">
        <is>
          <t>VÄSTERBOTTENS LÄN</t>
        </is>
      </c>
      <c r="E9894" t="inlineStr">
        <is>
          <t>SKELLEFTEÅ</t>
        </is>
      </c>
      <c r="F9894" t="inlineStr">
        <is>
          <t>Holmen skog AB</t>
        </is>
      </c>
      <c r="G9894" t="n">
        <v>10.3</v>
      </c>
      <c r="H9894" t="n">
        <v>0</v>
      </c>
      <c r="I9894" t="n">
        <v>0</v>
      </c>
      <c r="J9894" t="n">
        <v>0</v>
      </c>
      <c r="K9894" t="n">
        <v>0</v>
      </c>
      <c r="L9894" t="n">
        <v>0</v>
      </c>
      <c r="M9894" t="n">
        <v>0</v>
      </c>
      <c r="N9894" t="n">
        <v>0</v>
      </c>
      <c r="O9894" t="n">
        <v>0</v>
      </c>
      <c r="P9894" t="n">
        <v>0</v>
      </c>
      <c r="Q9894" t="n">
        <v>0</v>
      </c>
      <c r="R9894" s="2" t="inlineStr"/>
    </row>
    <row r="9895" ht="15" customHeight="1">
      <c r="A9895" t="inlineStr">
        <is>
          <t>A 27800-2023</t>
        </is>
      </c>
      <c r="B9895" s="1" t="n">
        <v>45098</v>
      </c>
      <c r="C9895" s="1" t="n">
        <v>45357</v>
      </c>
      <c r="D9895" t="inlineStr">
        <is>
          <t>VÄSTERBOTTENS LÄN</t>
        </is>
      </c>
      <c r="E9895" t="inlineStr">
        <is>
          <t>LYCKSELE</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27808-2023</t>
        </is>
      </c>
      <c r="B9896" s="1" t="n">
        <v>45098</v>
      </c>
      <c r="C9896" s="1" t="n">
        <v>45357</v>
      </c>
      <c r="D9896" t="inlineStr">
        <is>
          <t>VÄSTERBOTTENS LÄN</t>
        </is>
      </c>
      <c r="E9896" t="inlineStr">
        <is>
          <t>BJURHOLM</t>
        </is>
      </c>
      <c r="F9896" t="inlineStr">
        <is>
          <t>Sveaskog</t>
        </is>
      </c>
      <c r="G9896" t="n">
        <v>13.6</v>
      </c>
      <c r="H9896" t="n">
        <v>0</v>
      </c>
      <c r="I9896" t="n">
        <v>0</v>
      </c>
      <c r="J9896" t="n">
        <v>0</v>
      </c>
      <c r="K9896" t="n">
        <v>0</v>
      </c>
      <c r="L9896" t="n">
        <v>0</v>
      </c>
      <c r="M9896" t="n">
        <v>0</v>
      </c>
      <c r="N9896" t="n">
        <v>0</v>
      </c>
      <c r="O9896" t="n">
        <v>0</v>
      </c>
      <c r="P9896" t="n">
        <v>0</v>
      </c>
      <c r="Q9896" t="n">
        <v>0</v>
      </c>
      <c r="R9896" s="2" t="inlineStr"/>
    </row>
    <row r="9897" ht="15" customHeight="1">
      <c r="A9897" t="inlineStr">
        <is>
          <t>A 27829-2023</t>
        </is>
      </c>
      <c r="B9897" s="1" t="n">
        <v>45098</v>
      </c>
      <c r="C9897" s="1" t="n">
        <v>45357</v>
      </c>
      <c r="D9897" t="inlineStr">
        <is>
          <t>VÄSTERBOTTENS LÄN</t>
        </is>
      </c>
      <c r="E9897" t="inlineStr">
        <is>
          <t>SKELLEFTEÅ</t>
        </is>
      </c>
      <c r="F9897" t="inlineStr">
        <is>
          <t>Holmen skog AB</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27807-2023</t>
        </is>
      </c>
      <c r="B9898" s="1" t="n">
        <v>45098</v>
      </c>
      <c r="C9898" s="1" t="n">
        <v>45357</v>
      </c>
      <c r="D9898" t="inlineStr">
        <is>
          <t>VÄSTERBOTTENS LÄN</t>
        </is>
      </c>
      <c r="E9898" t="inlineStr">
        <is>
          <t>SKELLEFTEÅ</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27878-2023</t>
        </is>
      </c>
      <c r="B9899" s="1" t="n">
        <v>45098</v>
      </c>
      <c r="C9899" s="1" t="n">
        <v>45357</v>
      </c>
      <c r="D9899" t="inlineStr">
        <is>
          <t>VÄSTERBOTTENS LÄN</t>
        </is>
      </c>
      <c r="E9899" t="inlineStr">
        <is>
          <t>LYCKSELE</t>
        </is>
      </c>
      <c r="F9899" t="inlineStr">
        <is>
          <t>Sveaskog</t>
        </is>
      </c>
      <c r="G9899" t="n">
        <v>19.3</v>
      </c>
      <c r="H9899" t="n">
        <v>0</v>
      </c>
      <c r="I9899" t="n">
        <v>0</v>
      </c>
      <c r="J9899" t="n">
        <v>0</v>
      </c>
      <c r="K9899" t="n">
        <v>0</v>
      </c>
      <c r="L9899" t="n">
        <v>0</v>
      </c>
      <c r="M9899" t="n">
        <v>0</v>
      </c>
      <c r="N9899" t="n">
        <v>0</v>
      </c>
      <c r="O9899" t="n">
        <v>0</v>
      </c>
      <c r="P9899" t="n">
        <v>0</v>
      </c>
      <c r="Q9899" t="n">
        <v>0</v>
      </c>
      <c r="R9899" s="2" t="inlineStr"/>
    </row>
    <row r="9900" ht="15" customHeight="1">
      <c r="A9900" t="inlineStr">
        <is>
          <t>A 27869-2023</t>
        </is>
      </c>
      <c r="B9900" s="1" t="n">
        <v>45098</v>
      </c>
      <c r="C9900" s="1" t="n">
        <v>45357</v>
      </c>
      <c r="D9900" t="inlineStr">
        <is>
          <t>VÄSTERBOTTENS LÄN</t>
        </is>
      </c>
      <c r="E9900" t="inlineStr">
        <is>
          <t>LYCKSELE</t>
        </is>
      </c>
      <c r="F9900" t="inlineStr">
        <is>
          <t>Sveaskog</t>
        </is>
      </c>
      <c r="G9900" t="n">
        <v>13.7</v>
      </c>
      <c r="H9900" t="n">
        <v>0</v>
      </c>
      <c r="I9900" t="n">
        <v>0</v>
      </c>
      <c r="J9900" t="n">
        <v>0</v>
      </c>
      <c r="K9900" t="n">
        <v>0</v>
      </c>
      <c r="L9900" t="n">
        <v>0</v>
      </c>
      <c r="M9900" t="n">
        <v>0</v>
      </c>
      <c r="N9900" t="n">
        <v>0</v>
      </c>
      <c r="O9900" t="n">
        <v>0</v>
      </c>
      <c r="P9900" t="n">
        <v>0</v>
      </c>
      <c r="Q9900" t="n">
        <v>0</v>
      </c>
      <c r="R9900" s="2" t="inlineStr"/>
    </row>
    <row r="9901" ht="15" customHeight="1">
      <c r="A9901" t="inlineStr">
        <is>
          <t>A 27881-2023</t>
        </is>
      </c>
      <c r="B9901" s="1" t="n">
        <v>45098</v>
      </c>
      <c r="C9901" s="1" t="n">
        <v>45357</v>
      </c>
      <c r="D9901" t="inlineStr">
        <is>
          <t>VÄSTERBOTTENS LÄN</t>
        </is>
      </c>
      <c r="E9901" t="inlineStr">
        <is>
          <t>LYCKSELE</t>
        </is>
      </c>
      <c r="F9901" t="inlineStr">
        <is>
          <t>Sveaskog</t>
        </is>
      </c>
      <c r="G9901" t="n">
        <v>14.5</v>
      </c>
      <c r="H9901" t="n">
        <v>0</v>
      </c>
      <c r="I9901" t="n">
        <v>0</v>
      </c>
      <c r="J9901" t="n">
        <v>0</v>
      </c>
      <c r="K9901" t="n">
        <v>0</v>
      </c>
      <c r="L9901" t="n">
        <v>0</v>
      </c>
      <c r="M9901" t="n">
        <v>0</v>
      </c>
      <c r="N9901" t="n">
        <v>0</v>
      </c>
      <c r="O9901" t="n">
        <v>0</v>
      </c>
      <c r="P9901" t="n">
        <v>0</v>
      </c>
      <c r="Q9901" t="n">
        <v>0</v>
      </c>
      <c r="R9901" s="2" t="inlineStr"/>
    </row>
    <row r="9902" ht="15" customHeight="1">
      <c r="A9902" t="inlineStr">
        <is>
          <t>A 27887-2023</t>
        </is>
      </c>
      <c r="B9902" s="1" t="n">
        <v>45098</v>
      </c>
      <c r="C9902" s="1" t="n">
        <v>45357</v>
      </c>
      <c r="D9902" t="inlineStr">
        <is>
          <t>VÄSTERBOTTENS LÄN</t>
        </is>
      </c>
      <c r="E9902" t="inlineStr">
        <is>
          <t>VINDELN</t>
        </is>
      </c>
      <c r="F9902" t="inlineStr">
        <is>
          <t>Sveaskog</t>
        </is>
      </c>
      <c r="G9902" t="n">
        <v>15.3</v>
      </c>
      <c r="H9902" t="n">
        <v>0</v>
      </c>
      <c r="I9902" t="n">
        <v>0</v>
      </c>
      <c r="J9902" t="n">
        <v>0</v>
      </c>
      <c r="K9902" t="n">
        <v>0</v>
      </c>
      <c r="L9902" t="n">
        <v>0</v>
      </c>
      <c r="M9902" t="n">
        <v>0</v>
      </c>
      <c r="N9902" t="n">
        <v>0</v>
      </c>
      <c r="O9902" t="n">
        <v>0</v>
      </c>
      <c r="P9902" t="n">
        <v>0</v>
      </c>
      <c r="Q9902" t="n">
        <v>0</v>
      </c>
      <c r="R9902" s="2" t="inlineStr"/>
    </row>
    <row r="9903" ht="15" customHeight="1">
      <c r="A9903" t="inlineStr">
        <is>
          <t>A 27900-2023</t>
        </is>
      </c>
      <c r="B9903" s="1" t="n">
        <v>45098</v>
      </c>
      <c r="C9903" s="1" t="n">
        <v>45357</v>
      </c>
      <c r="D9903" t="inlineStr">
        <is>
          <t>VÄSTERBOTTENS LÄN</t>
        </is>
      </c>
      <c r="E9903" t="inlineStr">
        <is>
          <t>SKELLEFTEÅ</t>
        </is>
      </c>
      <c r="F9903" t="inlineStr">
        <is>
          <t>Holmen skog AB</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27904-2023</t>
        </is>
      </c>
      <c r="B9904" s="1" t="n">
        <v>45098</v>
      </c>
      <c r="C9904" s="1" t="n">
        <v>45357</v>
      </c>
      <c r="D9904" t="inlineStr">
        <is>
          <t>VÄSTERBOTTENS LÄN</t>
        </is>
      </c>
      <c r="E9904" t="inlineStr">
        <is>
          <t>VINDELN</t>
        </is>
      </c>
      <c r="F9904" t="inlineStr">
        <is>
          <t>Sveaskog</t>
        </is>
      </c>
      <c r="G9904" t="n">
        <v>26.8</v>
      </c>
      <c r="H9904" t="n">
        <v>0</v>
      </c>
      <c r="I9904" t="n">
        <v>0</v>
      </c>
      <c r="J9904" t="n">
        <v>0</v>
      </c>
      <c r="K9904" t="n">
        <v>0</v>
      </c>
      <c r="L9904" t="n">
        <v>0</v>
      </c>
      <c r="M9904" t="n">
        <v>0</v>
      </c>
      <c r="N9904" t="n">
        <v>0</v>
      </c>
      <c r="O9904" t="n">
        <v>0</v>
      </c>
      <c r="P9904" t="n">
        <v>0</v>
      </c>
      <c r="Q9904" t="n">
        <v>0</v>
      </c>
      <c r="R9904" s="2" t="inlineStr"/>
    </row>
    <row r="9905" ht="15" customHeight="1">
      <c r="A9905" t="inlineStr">
        <is>
          <t>A 27925-2023</t>
        </is>
      </c>
      <c r="B9905" s="1" t="n">
        <v>45098</v>
      </c>
      <c r="C9905" s="1" t="n">
        <v>45357</v>
      </c>
      <c r="D9905" t="inlineStr">
        <is>
          <t>VÄSTERBOTTENS LÄN</t>
        </is>
      </c>
      <c r="E9905" t="inlineStr">
        <is>
          <t>SKELLEFTEÅ</t>
        </is>
      </c>
      <c r="G9905" t="n">
        <v>7.6</v>
      </c>
      <c r="H9905" t="n">
        <v>0</v>
      </c>
      <c r="I9905" t="n">
        <v>0</v>
      </c>
      <c r="J9905" t="n">
        <v>0</v>
      </c>
      <c r="K9905" t="n">
        <v>0</v>
      </c>
      <c r="L9905" t="n">
        <v>0</v>
      </c>
      <c r="M9905" t="n">
        <v>0</v>
      </c>
      <c r="N9905" t="n">
        <v>0</v>
      </c>
      <c r="O9905" t="n">
        <v>0</v>
      </c>
      <c r="P9905" t="n">
        <v>0</v>
      </c>
      <c r="Q9905" t="n">
        <v>0</v>
      </c>
      <c r="R9905" s="2" t="inlineStr"/>
    </row>
    <row r="9906" ht="15" customHeight="1">
      <c r="A9906" t="inlineStr">
        <is>
          <t>A 27794-2023</t>
        </is>
      </c>
      <c r="B9906" s="1" t="n">
        <v>45098</v>
      </c>
      <c r="C9906" s="1" t="n">
        <v>45357</v>
      </c>
      <c r="D9906" t="inlineStr">
        <is>
          <t>VÄSTERBOTTENS LÄN</t>
        </is>
      </c>
      <c r="E9906" t="inlineStr">
        <is>
          <t>SKELLEFTEÅ</t>
        </is>
      </c>
      <c r="F9906" t="inlineStr">
        <is>
          <t>Holmen skog AB</t>
        </is>
      </c>
      <c r="G9906" t="n">
        <v>10.1</v>
      </c>
      <c r="H9906" t="n">
        <v>0</v>
      </c>
      <c r="I9906" t="n">
        <v>0</v>
      </c>
      <c r="J9906" t="n">
        <v>0</v>
      </c>
      <c r="K9906" t="n">
        <v>0</v>
      </c>
      <c r="L9906" t="n">
        <v>0</v>
      </c>
      <c r="M9906" t="n">
        <v>0</v>
      </c>
      <c r="N9906" t="n">
        <v>0</v>
      </c>
      <c r="O9906" t="n">
        <v>0</v>
      </c>
      <c r="P9906" t="n">
        <v>0</v>
      </c>
      <c r="Q9906" t="n">
        <v>0</v>
      </c>
      <c r="R9906" s="2" t="inlineStr"/>
    </row>
    <row r="9907" ht="15" customHeight="1">
      <c r="A9907" t="inlineStr">
        <is>
          <t>A 27802-2023</t>
        </is>
      </c>
      <c r="B9907" s="1" t="n">
        <v>45098</v>
      </c>
      <c r="C9907" s="1" t="n">
        <v>45357</v>
      </c>
      <c r="D9907" t="inlineStr">
        <is>
          <t>VÄSTERBOTTENS LÄN</t>
        </is>
      </c>
      <c r="E9907" t="inlineStr">
        <is>
          <t>VINDELN</t>
        </is>
      </c>
      <c r="F9907" t="inlineStr">
        <is>
          <t>Sveaskog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27864-2023</t>
        </is>
      </c>
      <c r="B9908" s="1" t="n">
        <v>45098</v>
      </c>
      <c r="C9908" s="1" t="n">
        <v>45357</v>
      </c>
      <c r="D9908" t="inlineStr">
        <is>
          <t>VÄSTERBOTTENS LÄN</t>
        </is>
      </c>
      <c r="E9908" t="inlineStr">
        <is>
          <t>ÅSELE</t>
        </is>
      </c>
      <c r="F9908" t="inlineStr">
        <is>
          <t>Sveaskog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27868-2023</t>
        </is>
      </c>
      <c r="B9909" s="1" t="n">
        <v>45098</v>
      </c>
      <c r="C9909" s="1" t="n">
        <v>45357</v>
      </c>
      <c r="D9909" t="inlineStr">
        <is>
          <t>VÄSTERBOTTENS LÄN</t>
        </is>
      </c>
      <c r="E9909" t="inlineStr">
        <is>
          <t>ÅSELE</t>
        </is>
      </c>
      <c r="F9909" t="inlineStr">
        <is>
          <t>Sveaskog</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27876-2023</t>
        </is>
      </c>
      <c r="B9910" s="1" t="n">
        <v>45098</v>
      </c>
      <c r="C9910" s="1" t="n">
        <v>45357</v>
      </c>
      <c r="D9910" t="inlineStr">
        <is>
          <t>VÄSTERBOTTENS LÄN</t>
        </is>
      </c>
      <c r="E9910" t="inlineStr">
        <is>
          <t>BJURHOLM</t>
        </is>
      </c>
      <c r="F9910" t="inlineStr">
        <is>
          <t>Sveaskog</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27898-2023</t>
        </is>
      </c>
      <c r="B9911" s="1" t="n">
        <v>45098</v>
      </c>
      <c r="C9911" s="1" t="n">
        <v>45357</v>
      </c>
      <c r="D9911" t="inlineStr">
        <is>
          <t>VÄSTERBOTTENS LÄN</t>
        </is>
      </c>
      <c r="E9911" t="inlineStr">
        <is>
          <t>NORSJÖ</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27884-2023</t>
        </is>
      </c>
      <c r="B9912" s="1" t="n">
        <v>45098</v>
      </c>
      <c r="C9912" s="1" t="n">
        <v>45357</v>
      </c>
      <c r="D9912" t="inlineStr">
        <is>
          <t>VÄSTERBOTTENS LÄN</t>
        </is>
      </c>
      <c r="E9912" t="inlineStr">
        <is>
          <t>LYCKSELE</t>
        </is>
      </c>
      <c r="F9912" t="inlineStr">
        <is>
          <t>Sveaskog</t>
        </is>
      </c>
      <c r="G9912" t="n">
        <v>31.1</v>
      </c>
      <c r="H9912" t="n">
        <v>0</v>
      </c>
      <c r="I9912" t="n">
        <v>0</v>
      </c>
      <c r="J9912" t="n">
        <v>0</v>
      </c>
      <c r="K9912" t="n">
        <v>0</v>
      </c>
      <c r="L9912" t="n">
        <v>0</v>
      </c>
      <c r="M9912" t="n">
        <v>0</v>
      </c>
      <c r="N9912" t="n">
        <v>0</v>
      </c>
      <c r="O9912" t="n">
        <v>0</v>
      </c>
      <c r="P9912" t="n">
        <v>0</v>
      </c>
      <c r="Q9912" t="n">
        <v>0</v>
      </c>
      <c r="R9912" s="2" t="inlineStr"/>
    </row>
    <row r="9913" ht="15" customHeight="1">
      <c r="A9913" t="inlineStr">
        <is>
          <t>A 27964-2023</t>
        </is>
      </c>
      <c r="B9913" s="1" t="n">
        <v>45098</v>
      </c>
      <c r="C9913" s="1" t="n">
        <v>45357</v>
      </c>
      <c r="D9913" t="inlineStr">
        <is>
          <t>VÄSTERBOTTENS LÄN</t>
        </is>
      </c>
      <c r="E9913" t="inlineStr">
        <is>
          <t>LYCKSELE</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28011-2023</t>
        </is>
      </c>
      <c r="B9914" s="1" t="n">
        <v>45098</v>
      </c>
      <c r="C9914" s="1" t="n">
        <v>45357</v>
      </c>
      <c r="D9914" t="inlineStr">
        <is>
          <t>VÄSTERBOTTENS LÄN</t>
        </is>
      </c>
      <c r="E9914" t="inlineStr">
        <is>
          <t>VILHELMINA</t>
        </is>
      </c>
      <c r="F9914" t="inlineStr">
        <is>
          <t>SCA</t>
        </is>
      </c>
      <c r="G9914" t="n">
        <v>5.3</v>
      </c>
      <c r="H9914" t="n">
        <v>0</v>
      </c>
      <c r="I9914" t="n">
        <v>0</v>
      </c>
      <c r="J9914" t="n">
        <v>0</v>
      </c>
      <c r="K9914" t="n">
        <v>0</v>
      </c>
      <c r="L9914" t="n">
        <v>0</v>
      </c>
      <c r="M9914" t="n">
        <v>0</v>
      </c>
      <c r="N9914" t="n">
        <v>0</v>
      </c>
      <c r="O9914" t="n">
        <v>0</v>
      </c>
      <c r="P9914" t="n">
        <v>0</v>
      </c>
      <c r="Q9914" t="n">
        <v>0</v>
      </c>
      <c r="R9914" s="2" t="inlineStr"/>
    </row>
    <row r="9915" ht="15" customHeight="1">
      <c r="A9915" t="inlineStr">
        <is>
          <t>A 28000-2023</t>
        </is>
      </c>
      <c r="B9915" s="1" t="n">
        <v>45098</v>
      </c>
      <c r="C9915" s="1" t="n">
        <v>45357</v>
      </c>
      <c r="D9915" t="inlineStr">
        <is>
          <t>VÄSTERBOTTENS LÄN</t>
        </is>
      </c>
      <c r="E9915" t="inlineStr">
        <is>
          <t>MALÅ</t>
        </is>
      </c>
      <c r="G9915" t="n">
        <v>10.1</v>
      </c>
      <c r="H9915" t="n">
        <v>0</v>
      </c>
      <c r="I9915" t="n">
        <v>0</v>
      </c>
      <c r="J9915" t="n">
        <v>0</v>
      </c>
      <c r="K9915" t="n">
        <v>0</v>
      </c>
      <c r="L9915" t="n">
        <v>0</v>
      </c>
      <c r="M9915" t="n">
        <v>0</v>
      </c>
      <c r="N9915" t="n">
        <v>0</v>
      </c>
      <c r="O9915" t="n">
        <v>0</v>
      </c>
      <c r="P9915" t="n">
        <v>0</v>
      </c>
      <c r="Q9915" t="n">
        <v>0</v>
      </c>
      <c r="R9915" s="2" t="inlineStr"/>
    </row>
    <row r="9916" ht="15" customHeight="1">
      <c r="A9916" t="inlineStr">
        <is>
          <t>A 28012-2023</t>
        </is>
      </c>
      <c r="B9916" s="1" t="n">
        <v>45098</v>
      </c>
      <c r="C9916" s="1" t="n">
        <v>45357</v>
      </c>
      <c r="D9916" t="inlineStr">
        <is>
          <t>VÄSTERBOTTENS LÄN</t>
        </is>
      </c>
      <c r="E9916" t="inlineStr">
        <is>
          <t>VILHELMINA</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28019-2023</t>
        </is>
      </c>
      <c r="B9917" s="1" t="n">
        <v>45098</v>
      </c>
      <c r="C9917" s="1" t="n">
        <v>45357</v>
      </c>
      <c r="D9917" t="inlineStr">
        <is>
          <t>VÄSTERBOTTENS LÄN</t>
        </is>
      </c>
      <c r="E9917" t="inlineStr">
        <is>
          <t>STORUMAN</t>
        </is>
      </c>
      <c r="G9917" t="n">
        <v>11.4</v>
      </c>
      <c r="H9917" t="n">
        <v>0</v>
      </c>
      <c r="I9917" t="n">
        <v>0</v>
      </c>
      <c r="J9917" t="n">
        <v>0</v>
      </c>
      <c r="K9917" t="n">
        <v>0</v>
      </c>
      <c r="L9917" t="n">
        <v>0</v>
      </c>
      <c r="M9917" t="n">
        <v>0</v>
      </c>
      <c r="N9917" t="n">
        <v>0</v>
      </c>
      <c r="O9917" t="n">
        <v>0</v>
      </c>
      <c r="P9917" t="n">
        <v>0</v>
      </c>
      <c r="Q9917" t="n">
        <v>0</v>
      </c>
      <c r="R9917" s="2" t="inlineStr"/>
    </row>
    <row r="9918" ht="15" customHeight="1">
      <c r="A9918" t="inlineStr">
        <is>
          <t>A 28017-2023</t>
        </is>
      </c>
      <c r="B9918" s="1" t="n">
        <v>45098</v>
      </c>
      <c r="C9918" s="1" t="n">
        <v>45357</v>
      </c>
      <c r="D9918" t="inlineStr">
        <is>
          <t>VÄSTERBOTTENS LÄN</t>
        </is>
      </c>
      <c r="E9918" t="inlineStr">
        <is>
          <t>STORUMAN</t>
        </is>
      </c>
      <c r="G9918" t="n">
        <v>16.6</v>
      </c>
      <c r="H9918" t="n">
        <v>0</v>
      </c>
      <c r="I9918" t="n">
        <v>0</v>
      </c>
      <c r="J9918" t="n">
        <v>0</v>
      </c>
      <c r="K9918" t="n">
        <v>0</v>
      </c>
      <c r="L9918" t="n">
        <v>0</v>
      </c>
      <c r="M9918" t="n">
        <v>0</v>
      </c>
      <c r="N9918" t="n">
        <v>0</v>
      </c>
      <c r="O9918" t="n">
        <v>0</v>
      </c>
      <c r="P9918" t="n">
        <v>0</v>
      </c>
      <c r="Q9918" t="n">
        <v>0</v>
      </c>
      <c r="R9918" s="2" t="inlineStr"/>
    </row>
    <row r="9919" ht="15" customHeight="1">
      <c r="A9919" t="inlineStr">
        <is>
          <t>A 29454-2023</t>
        </is>
      </c>
      <c r="B9919" s="1" t="n">
        <v>45098</v>
      </c>
      <c r="C9919" s="1" t="n">
        <v>45357</v>
      </c>
      <c r="D9919" t="inlineStr">
        <is>
          <t>VÄSTERBOTTENS LÄN</t>
        </is>
      </c>
      <c r="E9919" t="inlineStr">
        <is>
          <t>UMEÅ</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29375-2023</t>
        </is>
      </c>
      <c r="B9920" s="1" t="n">
        <v>45098</v>
      </c>
      <c r="C9920" s="1" t="n">
        <v>45357</v>
      </c>
      <c r="D9920" t="inlineStr">
        <is>
          <t>VÄSTERBOTTENS LÄN</t>
        </is>
      </c>
      <c r="E9920" t="inlineStr">
        <is>
          <t>MALÅ</t>
        </is>
      </c>
      <c r="G9920" t="n">
        <v>10.5</v>
      </c>
      <c r="H9920" t="n">
        <v>0</v>
      </c>
      <c r="I9920" t="n">
        <v>0</v>
      </c>
      <c r="J9920" t="n">
        <v>0</v>
      </c>
      <c r="K9920" t="n">
        <v>0</v>
      </c>
      <c r="L9920" t="n">
        <v>0</v>
      </c>
      <c r="M9920" t="n">
        <v>0</v>
      </c>
      <c r="N9920" t="n">
        <v>0</v>
      </c>
      <c r="O9920" t="n">
        <v>0</v>
      </c>
      <c r="P9920" t="n">
        <v>0</v>
      </c>
      <c r="Q9920" t="n">
        <v>0</v>
      </c>
      <c r="R9920" s="2" t="inlineStr"/>
    </row>
    <row r="9921" ht="15" customHeight="1">
      <c r="A9921" t="inlineStr">
        <is>
          <t>A 29601-2023</t>
        </is>
      </c>
      <c r="B9921" s="1" t="n">
        <v>45098</v>
      </c>
      <c r="C9921" s="1" t="n">
        <v>45357</v>
      </c>
      <c r="D9921" t="inlineStr">
        <is>
          <t>VÄSTERBOTTENS LÄN</t>
        </is>
      </c>
      <c r="E9921" t="inlineStr">
        <is>
          <t>SKELLEFTEÅ</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29573-2023</t>
        </is>
      </c>
      <c r="B9922" s="1" t="n">
        <v>45098</v>
      </c>
      <c r="C9922" s="1" t="n">
        <v>45357</v>
      </c>
      <c r="D9922" t="inlineStr">
        <is>
          <t>VÄSTERBOTTENS LÄN</t>
        </is>
      </c>
      <c r="E9922" t="inlineStr">
        <is>
          <t>VÄNNÄS</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29641-2023</t>
        </is>
      </c>
      <c r="B9923" s="1" t="n">
        <v>45098</v>
      </c>
      <c r="C9923" s="1" t="n">
        <v>45357</v>
      </c>
      <c r="D9923" t="inlineStr">
        <is>
          <t>VÄSTERBOTTENS LÄN</t>
        </is>
      </c>
      <c r="E9923" t="inlineStr">
        <is>
          <t>DOROTEA</t>
        </is>
      </c>
      <c r="G9923" t="n">
        <v>23.6</v>
      </c>
      <c r="H9923" t="n">
        <v>0</v>
      </c>
      <c r="I9923" t="n">
        <v>0</v>
      </c>
      <c r="J9923" t="n">
        <v>0</v>
      </c>
      <c r="K9923" t="n">
        <v>0</v>
      </c>
      <c r="L9923" t="n">
        <v>0</v>
      </c>
      <c r="M9923" t="n">
        <v>0</v>
      </c>
      <c r="N9923" t="n">
        <v>0</v>
      </c>
      <c r="O9923" t="n">
        <v>0</v>
      </c>
      <c r="P9923" t="n">
        <v>0</v>
      </c>
      <c r="Q9923" t="n">
        <v>0</v>
      </c>
      <c r="R9923" s="2" t="inlineStr"/>
    </row>
    <row r="9924" ht="15" customHeight="1">
      <c r="A9924" t="inlineStr">
        <is>
          <t>A 29643-2023</t>
        </is>
      </c>
      <c r="B9924" s="1" t="n">
        <v>45098</v>
      </c>
      <c r="C9924" s="1" t="n">
        <v>45357</v>
      </c>
      <c r="D9924" t="inlineStr">
        <is>
          <t>VÄSTERBOTTENS LÄN</t>
        </is>
      </c>
      <c r="E9924" t="inlineStr">
        <is>
          <t>DOROTEA</t>
        </is>
      </c>
      <c r="G9924" t="n">
        <v>21.6</v>
      </c>
      <c r="H9924" t="n">
        <v>0</v>
      </c>
      <c r="I9924" t="n">
        <v>0</v>
      </c>
      <c r="J9924" t="n">
        <v>0</v>
      </c>
      <c r="K9924" t="n">
        <v>0</v>
      </c>
      <c r="L9924" t="n">
        <v>0</v>
      </c>
      <c r="M9924" t="n">
        <v>0</v>
      </c>
      <c r="N9924" t="n">
        <v>0</v>
      </c>
      <c r="O9924" t="n">
        <v>0</v>
      </c>
      <c r="P9924" t="n">
        <v>0</v>
      </c>
      <c r="Q9924" t="n">
        <v>0</v>
      </c>
      <c r="R9924" s="2" t="inlineStr"/>
    </row>
    <row r="9925" ht="15" customHeight="1">
      <c r="A9925" t="inlineStr">
        <is>
          <t>A 29645-2023</t>
        </is>
      </c>
      <c r="B9925" s="1" t="n">
        <v>45098</v>
      </c>
      <c r="C9925" s="1" t="n">
        <v>45357</v>
      </c>
      <c r="D9925" t="inlineStr">
        <is>
          <t>VÄSTERBOTTENS LÄN</t>
        </is>
      </c>
      <c r="E9925" t="inlineStr">
        <is>
          <t>DOROTEA</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28148-2023</t>
        </is>
      </c>
      <c r="B9926" s="1" t="n">
        <v>45099</v>
      </c>
      <c r="C9926" s="1" t="n">
        <v>45357</v>
      </c>
      <c r="D9926" t="inlineStr">
        <is>
          <t>VÄSTERBOTTENS LÄN</t>
        </is>
      </c>
      <c r="E9926" t="inlineStr">
        <is>
          <t>SKELLEFTEÅ</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28075-2023</t>
        </is>
      </c>
      <c r="B9927" s="1" t="n">
        <v>45099</v>
      </c>
      <c r="C9927" s="1" t="n">
        <v>45357</v>
      </c>
      <c r="D9927" t="inlineStr">
        <is>
          <t>VÄSTERBOTTENS LÄN</t>
        </is>
      </c>
      <c r="E9927" t="inlineStr">
        <is>
          <t>NORSJÖ</t>
        </is>
      </c>
      <c r="F9927" t="inlineStr">
        <is>
          <t>Holmen skog AB</t>
        </is>
      </c>
      <c r="G9927" t="n">
        <v>8</v>
      </c>
      <c r="H9927" t="n">
        <v>0</v>
      </c>
      <c r="I9927" t="n">
        <v>0</v>
      </c>
      <c r="J9927" t="n">
        <v>0</v>
      </c>
      <c r="K9927" t="n">
        <v>0</v>
      </c>
      <c r="L9927" t="n">
        <v>0</v>
      </c>
      <c r="M9927" t="n">
        <v>0</v>
      </c>
      <c r="N9927" t="n">
        <v>0</v>
      </c>
      <c r="O9927" t="n">
        <v>0</v>
      </c>
      <c r="P9927" t="n">
        <v>0</v>
      </c>
      <c r="Q9927" t="n">
        <v>0</v>
      </c>
      <c r="R9927" s="2" t="inlineStr"/>
    </row>
    <row r="9928" ht="15" customHeight="1">
      <c r="A9928" t="inlineStr">
        <is>
          <t>A 28087-2023</t>
        </is>
      </c>
      <c r="B9928" s="1" t="n">
        <v>45099</v>
      </c>
      <c r="C9928" s="1" t="n">
        <v>45357</v>
      </c>
      <c r="D9928" t="inlineStr">
        <is>
          <t>VÄSTERBOTTENS LÄN</t>
        </is>
      </c>
      <c r="E9928" t="inlineStr">
        <is>
          <t>ÅSELE</t>
        </is>
      </c>
      <c r="F9928" t="inlineStr">
        <is>
          <t>Holmen skog AB</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28099-2023</t>
        </is>
      </c>
      <c r="B9929" s="1" t="n">
        <v>45099</v>
      </c>
      <c r="C9929" s="1" t="n">
        <v>45357</v>
      </c>
      <c r="D9929" t="inlineStr">
        <is>
          <t>VÄSTERBOTTENS LÄN</t>
        </is>
      </c>
      <c r="E9929" t="inlineStr">
        <is>
          <t>UMEÅ</t>
        </is>
      </c>
      <c r="F9929" t="inlineStr">
        <is>
          <t>Holmen skog AB</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28093-2023</t>
        </is>
      </c>
      <c r="B9930" s="1" t="n">
        <v>45099</v>
      </c>
      <c r="C9930" s="1" t="n">
        <v>45357</v>
      </c>
      <c r="D9930" t="inlineStr">
        <is>
          <t>VÄSTERBOTTENS LÄN</t>
        </is>
      </c>
      <c r="E9930" t="inlineStr">
        <is>
          <t>NORSJÖ</t>
        </is>
      </c>
      <c r="F9930" t="inlineStr">
        <is>
          <t>Holmen skog AB</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28097-2023</t>
        </is>
      </c>
      <c r="B9931" s="1" t="n">
        <v>45099</v>
      </c>
      <c r="C9931" s="1" t="n">
        <v>45357</v>
      </c>
      <c r="D9931" t="inlineStr">
        <is>
          <t>VÄSTERBOTTENS LÄN</t>
        </is>
      </c>
      <c r="E9931" t="inlineStr">
        <is>
          <t>ÅSELE</t>
        </is>
      </c>
      <c r="F9931" t="inlineStr">
        <is>
          <t>Holmen skog AB</t>
        </is>
      </c>
      <c r="G9931" t="n">
        <v>12.2</v>
      </c>
      <c r="H9931" t="n">
        <v>0</v>
      </c>
      <c r="I9931" t="n">
        <v>0</v>
      </c>
      <c r="J9931" t="n">
        <v>0</v>
      </c>
      <c r="K9931" t="n">
        <v>0</v>
      </c>
      <c r="L9931" t="n">
        <v>0</v>
      </c>
      <c r="M9931" t="n">
        <v>0</v>
      </c>
      <c r="N9931" t="n">
        <v>0</v>
      </c>
      <c r="O9931" t="n">
        <v>0</v>
      </c>
      <c r="P9931" t="n">
        <v>0</v>
      </c>
      <c r="Q9931" t="n">
        <v>0</v>
      </c>
      <c r="R9931" s="2" t="inlineStr"/>
    </row>
    <row r="9932" ht="15" customHeight="1">
      <c r="A9932" t="inlineStr">
        <is>
          <t>A 28142-2023</t>
        </is>
      </c>
      <c r="B9932" s="1" t="n">
        <v>45099</v>
      </c>
      <c r="C9932" s="1" t="n">
        <v>45357</v>
      </c>
      <c r="D9932" t="inlineStr">
        <is>
          <t>VÄSTERBOTTENS LÄN</t>
        </is>
      </c>
      <c r="E9932" t="inlineStr">
        <is>
          <t>SKELLEFTEÅ</t>
        </is>
      </c>
      <c r="G9932" t="n">
        <v>12.7</v>
      </c>
      <c r="H9932" t="n">
        <v>0</v>
      </c>
      <c r="I9932" t="n">
        <v>0</v>
      </c>
      <c r="J9932" t="n">
        <v>0</v>
      </c>
      <c r="K9932" t="n">
        <v>0</v>
      </c>
      <c r="L9932" t="n">
        <v>0</v>
      </c>
      <c r="M9932" t="n">
        <v>0</v>
      </c>
      <c r="N9932" t="n">
        <v>0</v>
      </c>
      <c r="O9932" t="n">
        <v>0</v>
      </c>
      <c r="P9932" t="n">
        <v>0</v>
      </c>
      <c r="Q9932" t="n">
        <v>0</v>
      </c>
      <c r="R9932" s="2" t="inlineStr"/>
    </row>
    <row r="9933" ht="15" customHeight="1">
      <c r="A9933" t="inlineStr">
        <is>
          <t>A 28164-2023</t>
        </is>
      </c>
      <c r="B9933" s="1" t="n">
        <v>45099</v>
      </c>
      <c r="C9933" s="1" t="n">
        <v>45357</v>
      </c>
      <c r="D9933" t="inlineStr">
        <is>
          <t>VÄSTERBOTTENS LÄN</t>
        </is>
      </c>
      <c r="E9933" t="inlineStr">
        <is>
          <t>UMEÅ</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28193-2023</t>
        </is>
      </c>
      <c r="B9934" s="1" t="n">
        <v>45099</v>
      </c>
      <c r="C9934" s="1" t="n">
        <v>45357</v>
      </c>
      <c r="D9934" t="inlineStr">
        <is>
          <t>VÄSTERBOTTENS LÄN</t>
        </is>
      </c>
      <c r="E9934" t="inlineStr">
        <is>
          <t>UMEÅ</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28185-2023</t>
        </is>
      </c>
      <c r="B9935" s="1" t="n">
        <v>45099</v>
      </c>
      <c r="C9935" s="1" t="n">
        <v>45357</v>
      </c>
      <c r="D9935" t="inlineStr">
        <is>
          <t>VÄSTERBOTTENS LÄN</t>
        </is>
      </c>
      <c r="E9935" t="inlineStr">
        <is>
          <t>SKELLEFTEÅ</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28242-2023</t>
        </is>
      </c>
      <c r="B9936" s="1" t="n">
        <v>45099</v>
      </c>
      <c r="C9936" s="1" t="n">
        <v>45357</v>
      </c>
      <c r="D9936" t="inlineStr">
        <is>
          <t>VÄSTERBOTTENS LÄN</t>
        </is>
      </c>
      <c r="E9936" t="inlineStr">
        <is>
          <t>SKELLEFTEÅ</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28160-2023</t>
        </is>
      </c>
      <c r="B9937" s="1" t="n">
        <v>45099</v>
      </c>
      <c r="C9937" s="1" t="n">
        <v>45357</v>
      </c>
      <c r="D9937" t="inlineStr">
        <is>
          <t>VÄSTERBOTTENS LÄN</t>
        </is>
      </c>
      <c r="E9937" t="inlineStr">
        <is>
          <t>SKELLEFTEÅ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28199-2023</t>
        </is>
      </c>
      <c r="B9938" s="1" t="n">
        <v>45099</v>
      </c>
      <c r="C9938" s="1" t="n">
        <v>45357</v>
      </c>
      <c r="D9938" t="inlineStr">
        <is>
          <t>VÄSTERBOTTENS LÄN</t>
        </is>
      </c>
      <c r="E9938" t="inlineStr">
        <is>
          <t>SKELLEFTEÅ</t>
        </is>
      </c>
      <c r="G9938" t="n">
        <v>6.8</v>
      </c>
      <c r="H9938" t="n">
        <v>0</v>
      </c>
      <c r="I9938" t="n">
        <v>0</v>
      </c>
      <c r="J9938" t="n">
        <v>0</v>
      </c>
      <c r="K9938" t="n">
        <v>0</v>
      </c>
      <c r="L9938" t="n">
        <v>0</v>
      </c>
      <c r="M9938" t="n">
        <v>0</v>
      </c>
      <c r="N9938" t="n">
        <v>0</v>
      </c>
      <c r="O9938" t="n">
        <v>0</v>
      </c>
      <c r="P9938" t="n">
        <v>0</v>
      </c>
      <c r="Q9938" t="n">
        <v>0</v>
      </c>
      <c r="R9938" s="2" t="inlineStr"/>
    </row>
    <row r="9939" ht="15" customHeight="1">
      <c r="A9939" t="inlineStr">
        <is>
          <t>A 28276-2023</t>
        </is>
      </c>
      <c r="B9939" s="1" t="n">
        <v>45099</v>
      </c>
      <c r="C9939" s="1" t="n">
        <v>45357</v>
      </c>
      <c r="D9939" t="inlineStr">
        <is>
          <t>VÄSTERBOTTENS LÄN</t>
        </is>
      </c>
      <c r="E9939" t="inlineStr">
        <is>
          <t>ÅSELE</t>
        </is>
      </c>
      <c r="F9939" t="inlineStr">
        <is>
          <t>Sveaskog</t>
        </is>
      </c>
      <c r="G9939" t="n">
        <v>14.2</v>
      </c>
      <c r="H9939" t="n">
        <v>0</v>
      </c>
      <c r="I9939" t="n">
        <v>0</v>
      </c>
      <c r="J9939" t="n">
        <v>0</v>
      </c>
      <c r="K9939" t="n">
        <v>0</v>
      </c>
      <c r="L9939" t="n">
        <v>0</v>
      </c>
      <c r="M9939" t="n">
        <v>0</v>
      </c>
      <c r="N9939" t="n">
        <v>0</v>
      </c>
      <c r="O9939" t="n">
        <v>0</v>
      </c>
      <c r="P9939" t="n">
        <v>0</v>
      </c>
      <c r="Q9939" t="n">
        <v>0</v>
      </c>
      <c r="R9939" s="2" t="inlineStr"/>
    </row>
    <row r="9940" ht="15" customHeight="1">
      <c r="A9940" t="inlineStr">
        <is>
          <t>A 28279-2023</t>
        </is>
      </c>
      <c r="B9940" s="1" t="n">
        <v>45099</v>
      </c>
      <c r="C9940" s="1" t="n">
        <v>45357</v>
      </c>
      <c r="D9940" t="inlineStr">
        <is>
          <t>VÄSTERBOTTENS LÄN</t>
        </is>
      </c>
      <c r="E9940" t="inlineStr">
        <is>
          <t>ÅSELE</t>
        </is>
      </c>
      <c r="F9940" t="inlineStr">
        <is>
          <t>Sveaskog</t>
        </is>
      </c>
      <c r="G9940" t="n">
        <v>16.6</v>
      </c>
      <c r="H9940" t="n">
        <v>0</v>
      </c>
      <c r="I9940" t="n">
        <v>0</v>
      </c>
      <c r="J9940" t="n">
        <v>0</v>
      </c>
      <c r="K9940" t="n">
        <v>0</v>
      </c>
      <c r="L9940" t="n">
        <v>0</v>
      </c>
      <c r="M9940" t="n">
        <v>0</v>
      </c>
      <c r="N9940" t="n">
        <v>0</v>
      </c>
      <c r="O9940" t="n">
        <v>0</v>
      </c>
      <c r="P9940" t="n">
        <v>0</v>
      </c>
      <c r="Q9940" t="n">
        <v>0</v>
      </c>
      <c r="R9940" s="2" t="inlineStr"/>
    </row>
    <row r="9941" ht="15" customHeight="1">
      <c r="A9941" t="inlineStr">
        <is>
          <t>A 28283-2023</t>
        </is>
      </c>
      <c r="B9941" s="1" t="n">
        <v>45099</v>
      </c>
      <c r="C9941" s="1" t="n">
        <v>45357</v>
      </c>
      <c r="D9941" t="inlineStr">
        <is>
          <t>VÄSTERBOTTENS LÄN</t>
        </is>
      </c>
      <c r="E9941" t="inlineStr">
        <is>
          <t>VINDELN</t>
        </is>
      </c>
      <c r="F9941" t="inlineStr">
        <is>
          <t>Sveaskog</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28360-2023</t>
        </is>
      </c>
      <c r="B9942" s="1" t="n">
        <v>45100</v>
      </c>
      <c r="C9942" s="1" t="n">
        <v>45357</v>
      </c>
      <c r="D9942" t="inlineStr">
        <is>
          <t>VÄSTERBOTTENS LÄN</t>
        </is>
      </c>
      <c r="E9942" t="inlineStr">
        <is>
          <t>SKELLEFTEÅ</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28278-2023</t>
        </is>
      </c>
      <c r="B9943" s="1" t="n">
        <v>45099</v>
      </c>
      <c r="C9943" s="1" t="n">
        <v>45357</v>
      </c>
      <c r="D9943" t="inlineStr">
        <is>
          <t>VÄSTERBOTTENS LÄN</t>
        </is>
      </c>
      <c r="E9943" t="inlineStr">
        <is>
          <t>VINDELN</t>
        </is>
      </c>
      <c r="F9943" t="inlineStr">
        <is>
          <t>Sveaskog</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28282-2023</t>
        </is>
      </c>
      <c r="B9944" s="1" t="n">
        <v>45099</v>
      </c>
      <c r="C9944" s="1" t="n">
        <v>45357</v>
      </c>
      <c r="D9944" t="inlineStr">
        <is>
          <t>VÄSTERBOTTENS LÄN</t>
        </is>
      </c>
      <c r="E9944" t="inlineStr">
        <is>
          <t>ÅSELE</t>
        </is>
      </c>
      <c r="F9944" t="inlineStr">
        <is>
          <t>Sveaskog</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28386-2023</t>
        </is>
      </c>
      <c r="B9945" s="1" t="n">
        <v>45100</v>
      </c>
      <c r="C9945" s="1" t="n">
        <v>45357</v>
      </c>
      <c r="D9945" t="inlineStr">
        <is>
          <t>VÄSTERBOTTENS LÄN</t>
        </is>
      </c>
      <c r="E9945" t="inlineStr">
        <is>
          <t>DOROTEA</t>
        </is>
      </c>
      <c r="F9945" t="inlineStr">
        <is>
          <t>SCA</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28358-2023</t>
        </is>
      </c>
      <c r="B9946" s="1" t="n">
        <v>45100</v>
      </c>
      <c r="C9946" s="1" t="n">
        <v>45357</v>
      </c>
      <c r="D9946" t="inlineStr">
        <is>
          <t>VÄSTERBOTTENS LÄN</t>
        </is>
      </c>
      <c r="E9946" t="inlineStr">
        <is>
          <t>SKELLEFTEÅ</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29921-2023</t>
        </is>
      </c>
      <c r="B9947" s="1" t="n">
        <v>45099</v>
      </c>
      <c r="C9947" s="1" t="n">
        <v>45357</v>
      </c>
      <c r="D9947" t="inlineStr">
        <is>
          <t>VÄSTERBOTTENS LÄN</t>
        </is>
      </c>
      <c r="E9947" t="inlineStr">
        <is>
          <t>SKELLEFTEÅ</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30097-2023</t>
        </is>
      </c>
      <c r="B9948" s="1" t="n">
        <v>45099</v>
      </c>
      <c r="C9948" s="1" t="n">
        <v>45357</v>
      </c>
      <c r="D9948" t="inlineStr">
        <is>
          <t>VÄSTERBOTTENS LÄN</t>
        </is>
      </c>
      <c r="E9948" t="inlineStr">
        <is>
          <t>SKELLEFTEÅ</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30210-2023</t>
        </is>
      </c>
      <c r="B9949" s="1" t="n">
        <v>45099</v>
      </c>
      <c r="C9949" s="1" t="n">
        <v>45357</v>
      </c>
      <c r="D9949" t="inlineStr">
        <is>
          <t>VÄSTERBOTTENS LÄN</t>
        </is>
      </c>
      <c r="E9949" t="inlineStr">
        <is>
          <t>UMEÅ</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30173-2023</t>
        </is>
      </c>
      <c r="B9950" s="1" t="n">
        <v>45099</v>
      </c>
      <c r="C9950" s="1" t="n">
        <v>45357</v>
      </c>
      <c r="D9950" t="inlineStr">
        <is>
          <t>VÄSTERBOTTENS LÄN</t>
        </is>
      </c>
      <c r="E9950" t="inlineStr">
        <is>
          <t>BJURHOLM</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30221-2023</t>
        </is>
      </c>
      <c r="B9951" s="1" t="n">
        <v>45099</v>
      </c>
      <c r="C9951" s="1" t="n">
        <v>45357</v>
      </c>
      <c r="D9951" t="inlineStr">
        <is>
          <t>VÄSTERBOTTENS LÄN</t>
        </is>
      </c>
      <c r="E9951" t="inlineStr">
        <is>
          <t>VÄNNÄS</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30103-2023</t>
        </is>
      </c>
      <c r="B9952" s="1" t="n">
        <v>45099</v>
      </c>
      <c r="C9952" s="1" t="n">
        <v>45357</v>
      </c>
      <c r="D9952" t="inlineStr">
        <is>
          <t>VÄSTERBOTTENS LÄN</t>
        </is>
      </c>
      <c r="E9952" t="inlineStr">
        <is>
          <t>SKELLEFTEÅ</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28380-2023</t>
        </is>
      </c>
      <c r="B9953" s="1" t="n">
        <v>45099</v>
      </c>
      <c r="C9953" s="1" t="n">
        <v>45357</v>
      </c>
      <c r="D9953" t="inlineStr">
        <is>
          <t>VÄSTERBOTTENS LÄN</t>
        </is>
      </c>
      <c r="E9953" t="inlineStr">
        <is>
          <t>VILHELMINA</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30166-2023</t>
        </is>
      </c>
      <c r="B9954" s="1" t="n">
        <v>45099</v>
      </c>
      <c r="C9954" s="1" t="n">
        <v>45357</v>
      </c>
      <c r="D9954" t="inlineStr">
        <is>
          <t>VÄSTERBOTTENS LÄN</t>
        </is>
      </c>
      <c r="E9954" t="inlineStr">
        <is>
          <t>DOROTEA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31119-2023</t>
        </is>
      </c>
      <c r="B9955" s="1" t="n">
        <v>45099</v>
      </c>
      <c r="C9955" s="1" t="n">
        <v>45357</v>
      </c>
      <c r="D9955" t="inlineStr">
        <is>
          <t>VÄSTERBOTTENS LÄN</t>
        </is>
      </c>
      <c r="E9955" t="inlineStr">
        <is>
          <t>ÅSELE</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30437-2023</t>
        </is>
      </c>
      <c r="B9956" s="1" t="n">
        <v>45099</v>
      </c>
      <c r="C9956" s="1" t="n">
        <v>45357</v>
      </c>
      <c r="D9956" t="inlineStr">
        <is>
          <t>VÄSTERBOTTENS LÄN</t>
        </is>
      </c>
      <c r="E9956" t="inlineStr">
        <is>
          <t>SKELLEFTEÅ</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30378-2023</t>
        </is>
      </c>
      <c r="B9957" s="1" t="n">
        <v>45099</v>
      </c>
      <c r="C9957" s="1" t="n">
        <v>45357</v>
      </c>
      <c r="D9957" t="inlineStr">
        <is>
          <t>VÄSTERBOTTENS LÄN</t>
        </is>
      </c>
      <c r="E9957" t="inlineStr">
        <is>
          <t>SKELLEFTEÅ</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30182-2023</t>
        </is>
      </c>
      <c r="B9958" s="1" t="n">
        <v>45099</v>
      </c>
      <c r="C9958" s="1" t="n">
        <v>45357</v>
      </c>
      <c r="D9958" t="inlineStr">
        <is>
          <t>VÄSTERBOTTENS LÄN</t>
        </is>
      </c>
      <c r="E9958" t="inlineStr">
        <is>
          <t>BJURHOLM</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28408-2023</t>
        </is>
      </c>
      <c r="B9959" s="1" t="n">
        <v>45101</v>
      </c>
      <c r="C9959" s="1" t="n">
        <v>45357</v>
      </c>
      <c r="D9959" t="inlineStr">
        <is>
          <t>VÄSTERBOTTENS LÄN</t>
        </is>
      </c>
      <c r="E9959" t="inlineStr">
        <is>
          <t>LYCKSELE</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28409-2023</t>
        </is>
      </c>
      <c r="B9960" s="1" t="n">
        <v>45101</v>
      </c>
      <c r="C9960" s="1" t="n">
        <v>45357</v>
      </c>
      <c r="D9960" t="inlineStr">
        <is>
          <t>VÄSTERBOTTENS LÄN</t>
        </is>
      </c>
      <c r="E9960" t="inlineStr">
        <is>
          <t>LYCKSELE</t>
        </is>
      </c>
      <c r="G9960" t="n">
        <v>12.9</v>
      </c>
      <c r="H9960" t="n">
        <v>0</v>
      </c>
      <c r="I9960" t="n">
        <v>0</v>
      </c>
      <c r="J9960" t="n">
        <v>0</v>
      </c>
      <c r="K9960" t="n">
        <v>0</v>
      </c>
      <c r="L9960" t="n">
        <v>0</v>
      </c>
      <c r="M9960" t="n">
        <v>0</v>
      </c>
      <c r="N9960" t="n">
        <v>0</v>
      </c>
      <c r="O9960" t="n">
        <v>0</v>
      </c>
      <c r="P9960" t="n">
        <v>0</v>
      </c>
      <c r="Q9960" t="n">
        <v>0</v>
      </c>
      <c r="R9960" s="2" t="inlineStr"/>
    </row>
    <row r="9961" ht="15" customHeight="1">
      <c r="A9961" t="inlineStr">
        <is>
          <t>A 28426-2023</t>
        </is>
      </c>
      <c r="B9961" s="1" t="n">
        <v>45102</v>
      </c>
      <c r="C9961" s="1" t="n">
        <v>45357</v>
      </c>
      <c r="D9961" t="inlineStr">
        <is>
          <t>VÄSTERBOTTENS LÄN</t>
        </is>
      </c>
      <c r="E9961" t="inlineStr">
        <is>
          <t>BJURHOLM</t>
        </is>
      </c>
      <c r="F9961" t="inlineStr">
        <is>
          <t>Holmen skog AB</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28431-2023</t>
        </is>
      </c>
      <c r="B9962" s="1" t="n">
        <v>45102</v>
      </c>
      <c r="C9962" s="1" t="n">
        <v>45357</v>
      </c>
      <c r="D9962" t="inlineStr">
        <is>
          <t>VÄSTERBOTTENS LÄN</t>
        </is>
      </c>
      <c r="E9962" t="inlineStr">
        <is>
          <t>SKELLEFTEÅ</t>
        </is>
      </c>
      <c r="G9962" t="n">
        <v>8.9</v>
      </c>
      <c r="H9962" t="n">
        <v>0</v>
      </c>
      <c r="I9962" t="n">
        <v>0</v>
      </c>
      <c r="J9962" t="n">
        <v>0</v>
      </c>
      <c r="K9962" t="n">
        <v>0</v>
      </c>
      <c r="L9962" t="n">
        <v>0</v>
      </c>
      <c r="M9962" t="n">
        <v>0</v>
      </c>
      <c r="N9962" t="n">
        <v>0</v>
      </c>
      <c r="O9962" t="n">
        <v>0</v>
      </c>
      <c r="P9962" t="n">
        <v>0</v>
      </c>
      <c r="Q9962" t="n">
        <v>0</v>
      </c>
      <c r="R9962" s="2" t="inlineStr"/>
      <c r="U9962">
        <f>HYPERLINK("https://klasma.github.io/Logging_2482/knärot/A 28431-2023 karta knärot.png", "A 28431-2023")</f>
        <v/>
      </c>
      <c r="V9962">
        <f>HYPERLINK("https://klasma.github.io/Logging_2482/klagomål/A 28431-2023 FSC-klagomål.docx", "A 28431-2023")</f>
        <v/>
      </c>
      <c r="W9962">
        <f>HYPERLINK("https://klasma.github.io/Logging_2482/klagomålsmail/A 28431-2023 FSC-klagomål mail.docx", "A 28431-2023")</f>
        <v/>
      </c>
      <c r="X9962">
        <f>HYPERLINK("https://klasma.github.io/Logging_2482/tillsyn/A 28431-2023 tillsynsbegäran.docx", "A 28431-2023")</f>
        <v/>
      </c>
      <c r="Y9962">
        <f>HYPERLINK("https://klasma.github.io/Logging_2482/tillsynsmail/A 28431-2023 tillsynsbegäran mail.docx", "A 28431-2023")</f>
        <v/>
      </c>
    </row>
    <row r="9963" ht="15" customHeight="1">
      <c r="A9963" t="inlineStr">
        <is>
          <t>A 28424-2023</t>
        </is>
      </c>
      <c r="B9963" s="1" t="n">
        <v>45102</v>
      </c>
      <c r="C9963" s="1" t="n">
        <v>45357</v>
      </c>
      <c r="D9963" t="inlineStr">
        <is>
          <t>VÄSTERBOTTENS LÄN</t>
        </is>
      </c>
      <c r="E9963" t="inlineStr">
        <is>
          <t>BJURHOLM</t>
        </is>
      </c>
      <c r="F9963" t="inlineStr">
        <is>
          <t>Holmen skog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28443-2023</t>
        </is>
      </c>
      <c r="B9964" s="1" t="n">
        <v>45102</v>
      </c>
      <c r="C9964" s="1" t="n">
        <v>45357</v>
      </c>
      <c r="D9964" t="inlineStr">
        <is>
          <t>VÄSTERBOTTENS LÄN</t>
        </is>
      </c>
      <c r="E9964" t="inlineStr">
        <is>
          <t>NORDMALING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28433-2023</t>
        </is>
      </c>
      <c r="B9965" s="1" t="n">
        <v>45102</v>
      </c>
      <c r="C9965" s="1" t="n">
        <v>45357</v>
      </c>
      <c r="D9965" t="inlineStr">
        <is>
          <t>VÄSTERBOTTENS LÄN</t>
        </is>
      </c>
      <c r="E9965" t="inlineStr">
        <is>
          <t>SKELLEFTEÅ</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28455-2023</t>
        </is>
      </c>
      <c r="B9966" s="1" t="n">
        <v>45103</v>
      </c>
      <c r="C9966" s="1" t="n">
        <v>45357</v>
      </c>
      <c r="D9966" t="inlineStr">
        <is>
          <t>VÄSTERBOTTENS LÄN</t>
        </is>
      </c>
      <c r="E9966" t="inlineStr">
        <is>
          <t>ROBERTSFORS</t>
        </is>
      </c>
      <c r="F9966" t="inlineStr">
        <is>
          <t>Holmen skog AB</t>
        </is>
      </c>
      <c r="G9966" t="n">
        <v>13.8</v>
      </c>
      <c r="H9966" t="n">
        <v>0</v>
      </c>
      <c r="I9966" t="n">
        <v>0</v>
      </c>
      <c r="J9966" t="n">
        <v>0</v>
      </c>
      <c r="K9966" t="n">
        <v>0</v>
      </c>
      <c r="L9966" t="n">
        <v>0</v>
      </c>
      <c r="M9966" t="n">
        <v>0</v>
      </c>
      <c r="N9966" t="n">
        <v>0</v>
      </c>
      <c r="O9966" t="n">
        <v>0</v>
      </c>
      <c r="P9966" t="n">
        <v>0</v>
      </c>
      <c r="Q9966" t="n">
        <v>0</v>
      </c>
      <c r="R9966" s="2" t="inlineStr"/>
    </row>
    <row r="9967" ht="15" customHeight="1">
      <c r="A9967" t="inlineStr">
        <is>
          <t>A 28509-2023</t>
        </is>
      </c>
      <c r="B9967" s="1" t="n">
        <v>45103</v>
      </c>
      <c r="C9967" s="1" t="n">
        <v>45357</v>
      </c>
      <c r="D9967" t="inlineStr">
        <is>
          <t>VÄSTERBOTTENS LÄN</t>
        </is>
      </c>
      <c r="E9967" t="inlineStr">
        <is>
          <t>SKELLEFTEÅ</t>
        </is>
      </c>
      <c r="G9967" t="n">
        <v>11.7</v>
      </c>
      <c r="H9967" t="n">
        <v>0</v>
      </c>
      <c r="I9967" t="n">
        <v>0</v>
      </c>
      <c r="J9967" t="n">
        <v>0</v>
      </c>
      <c r="K9967" t="n">
        <v>0</v>
      </c>
      <c r="L9967" t="n">
        <v>0</v>
      </c>
      <c r="M9967" t="n">
        <v>0</v>
      </c>
      <c r="N9967" t="n">
        <v>0</v>
      </c>
      <c r="O9967" t="n">
        <v>0</v>
      </c>
      <c r="P9967" t="n">
        <v>0</v>
      </c>
      <c r="Q9967" t="n">
        <v>0</v>
      </c>
      <c r="R9967" s="2" t="inlineStr"/>
    </row>
    <row r="9968" ht="15" customHeight="1">
      <c r="A9968" t="inlineStr">
        <is>
          <t>A 28540-2023</t>
        </is>
      </c>
      <c r="B9968" s="1" t="n">
        <v>45103</v>
      </c>
      <c r="C9968" s="1" t="n">
        <v>45357</v>
      </c>
      <c r="D9968" t="inlineStr">
        <is>
          <t>VÄSTERBOTTENS LÄN</t>
        </is>
      </c>
      <c r="E9968" t="inlineStr">
        <is>
          <t>LYCKSELE</t>
        </is>
      </c>
      <c r="F9968" t="inlineStr">
        <is>
          <t>Sveaskog</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28552-2023</t>
        </is>
      </c>
      <c r="B9969" s="1" t="n">
        <v>45103</v>
      </c>
      <c r="C9969" s="1" t="n">
        <v>45357</v>
      </c>
      <c r="D9969" t="inlineStr">
        <is>
          <t>VÄSTERBOTTENS LÄN</t>
        </is>
      </c>
      <c r="E9969" t="inlineStr">
        <is>
          <t>LYCKSELE</t>
        </is>
      </c>
      <c r="F9969" t="inlineStr">
        <is>
          <t>Sveaskog</t>
        </is>
      </c>
      <c r="G9969" t="n">
        <v>8.699999999999999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28528-2023</t>
        </is>
      </c>
      <c r="B9970" s="1" t="n">
        <v>45103</v>
      </c>
      <c r="C9970" s="1" t="n">
        <v>45357</v>
      </c>
      <c r="D9970" t="inlineStr">
        <is>
          <t>VÄSTERBOTTENS LÄN</t>
        </is>
      </c>
      <c r="E9970" t="inlineStr">
        <is>
          <t>LYCKSELE</t>
        </is>
      </c>
      <c r="F9970" t="inlineStr">
        <is>
          <t>Sveaskog</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28536-2023</t>
        </is>
      </c>
      <c r="B9971" s="1" t="n">
        <v>45103</v>
      </c>
      <c r="C9971" s="1" t="n">
        <v>45357</v>
      </c>
      <c r="D9971" t="inlineStr">
        <is>
          <t>VÄSTERBOTTENS LÄN</t>
        </is>
      </c>
      <c r="E9971" t="inlineStr">
        <is>
          <t>LYCKSELE</t>
        </is>
      </c>
      <c r="F9971" t="inlineStr">
        <is>
          <t>Sveaskog</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28545-2023</t>
        </is>
      </c>
      <c r="B9972" s="1" t="n">
        <v>45103</v>
      </c>
      <c r="C9972" s="1" t="n">
        <v>45357</v>
      </c>
      <c r="D9972" t="inlineStr">
        <is>
          <t>VÄSTERBOTTENS LÄN</t>
        </is>
      </c>
      <c r="E9972" t="inlineStr">
        <is>
          <t>LYCKSELE</t>
        </is>
      </c>
      <c r="F9972" t="inlineStr">
        <is>
          <t>Sveaskog</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28549-2023</t>
        </is>
      </c>
      <c r="B9973" s="1" t="n">
        <v>45103</v>
      </c>
      <c r="C9973" s="1" t="n">
        <v>45357</v>
      </c>
      <c r="D9973" t="inlineStr">
        <is>
          <t>VÄSTERBOTTENS LÄN</t>
        </is>
      </c>
      <c r="E9973" t="inlineStr">
        <is>
          <t>DOROTEA</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28628-2023</t>
        </is>
      </c>
      <c r="B9974" s="1" t="n">
        <v>45103</v>
      </c>
      <c r="C9974" s="1" t="n">
        <v>45357</v>
      </c>
      <c r="D9974" t="inlineStr">
        <is>
          <t>VÄSTERBOTTENS LÄN</t>
        </is>
      </c>
      <c r="E9974" t="inlineStr">
        <is>
          <t>UMEÅ</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28641-2023</t>
        </is>
      </c>
      <c r="B9975" s="1" t="n">
        <v>45103</v>
      </c>
      <c r="C9975" s="1" t="n">
        <v>45357</v>
      </c>
      <c r="D9975" t="inlineStr">
        <is>
          <t>VÄSTERBOTTENS LÄN</t>
        </is>
      </c>
      <c r="E9975" t="inlineStr">
        <is>
          <t>SKELLEFTEÅ</t>
        </is>
      </c>
      <c r="F9975" t="inlineStr">
        <is>
          <t>Holmen skog AB</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28720-2023</t>
        </is>
      </c>
      <c r="B9976" s="1" t="n">
        <v>45103</v>
      </c>
      <c r="C9976" s="1" t="n">
        <v>45357</v>
      </c>
      <c r="D9976" t="inlineStr">
        <is>
          <t>VÄSTERBOTTENS LÄN</t>
        </is>
      </c>
      <c r="E9976" t="inlineStr">
        <is>
          <t>ÅSELE</t>
        </is>
      </c>
      <c r="F9976" t="inlineStr">
        <is>
          <t>Sveaskog</t>
        </is>
      </c>
      <c r="G9976" t="n">
        <v>34.9</v>
      </c>
      <c r="H9976" t="n">
        <v>0</v>
      </c>
      <c r="I9976" t="n">
        <v>0</v>
      </c>
      <c r="J9976" t="n">
        <v>0</v>
      </c>
      <c r="K9976" t="n">
        <v>0</v>
      </c>
      <c r="L9976" t="n">
        <v>0</v>
      </c>
      <c r="M9976" t="n">
        <v>0</v>
      </c>
      <c r="N9976" t="n">
        <v>0</v>
      </c>
      <c r="O9976" t="n">
        <v>0</v>
      </c>
      <c r="P9976" t="n">
        <v>0</v>
      </c>
      <c r="Q9976" t="n">
        <v>0</v>
      </c>
      <c r="R9976" s="2" t="inlineStr"/>
    </row>
    <row r="9977" ht="15" customHeight="1">
      <c r="A9977" t="inlineStr">
        <is>
          <t>A 28724-2023</t>
        </is>
      </c>
      <c r="B9977" s="1" t="n">
        <v>45103</v>
      </c>
      <c r="C9977" s="1" t="n">
        <v>45357</v>
      </c>
      <c r="D9977" t="inlineStr">
        <is>
          <t>VÄSTERBOTTENS LÄN</t>
        </is>
      </c>
      <c r="E9977" t="inlineStr">
        <is>
          <t>ÅSELE</t>
        </is>
      </c>
      <c r="F9977" t="inlineStr">
        <is>
          <t>Sveaskog</t>
        </is>
      </c>
      <c r="G9977" t="n">
        <v>9.199999999999999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28728-2023</t>
        </is>
      </c>
      <c r="B9978" s="1" t="n">
        <v>45103</v>
      </c>
      <c r="C9978" s="1" t="n">
        <v>45357</v>
      </c>
      <c r="D9978" t="inlineStr">
        <is>
          <t>VÄSTERBOTTENS LÄN</t>
        </is>
      </c>
      <c r="E9978" t="inlineStr">
        <is>
          <t>ÅSELE</t>
        </is>
      </c>
      <c r="F9978" t="inlineStr">
        <is>
          <t>Sveaskog</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28748-2023</t>
        </is>
      </c>
      <c r="B9979" s="1" t="n">
        <v>45103</v>
      </c>
      <c r="C9979" s="1" t="n">
        <v>45357</v>
      </c>
      <c r="D9979" t="inlineStr">
        <is>
          <t>VÄSTERBOTTENS LÄN</t>
        </is>
      </c>
      <c r="E9979" t="inlineStr">
        <is>
          <t>MALÅ</t>
        </is>
      </c>
      <c r="F9979" t="inlineStr">
        <is>
          <t>SCA</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28688-2023</t>
        </is>
      </c>
      <c r="B9980" s="1" t="n">
        <v>45103</v>
      </c>
      <c r="C9980" s="1" t="n">
        <v>45357</v>
      </c>
      <c r="D9980" t="inlineStr">
        <is>
          <t>VÄSTERBOTTENS LÄN</t>
        </is>
      </c>
      <c r="E9980" t="inlineStr">
        <is>
          <t>SORSELE</t>
        </is>
      </c>
      <c r="F9980" t="inlineStr">
        <is>
          <t>Sveaskog</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28721-2023</t>
        </is>
      </c>
      <c r="B9981" s="1" t="n">
        <v>45103</v>
      </c>
      <c r="C9981" s="1" t="n">
        <v>45357</v>
      </c>
      <c r="D9981" t="inlineStr">
        <is>
          <t>VÄSTERBOTTENS LÄN</t>
        </is>
      </c>
      <c r="E9981" t="inlineStr">
        <is>
          <t>ÅSELE</t>
        </is>
      </c>
      <c r="F9981" t="inlineStr">
        <is>
          <t>Sveaskog</t>
        </is>
      </c>
      <c r="G9981" t="n">
        <v>8.9</v>
      </c>
      <c r="H9981" t="n">
        <v>0</v>
      </c>
      <c r="I9981" t="n">
        <v>0</v>
      </c>
      <c r="J9981" t="n">
        <v>0</v>
      </c>
      <c r="K9981" t="n">
        <v>0</v>
      </c>
      <c r="L9981" t="n">
        <v>0</v>
      </c>
      <c r="M9981" t="n">
        <v>0</v>
      </c>
      <c r="N9981" t="n">
        <v>0</v>
      </c>
      <c r="O9981" t="n">
        <v>0</v>
      </c>
      <c r="P9981" t="n">
        <v>0</v>
      </c>
      <c r="Q9981" t="n">
        <v>0</v>
      </c>
      <c r="R9981" s="2" t="inlineStr"/>
    </row>
    <row r="9982" ht="15" customHeight="1">
      <c r="A9982" t="inlineStr">
        <is>
          <t>A 28718-2023</t>
        </is>
      </c>
      <c r="B9982" s="1" t="n">
        <v>45103</v>
      </c>
      <c r="C9982" s="1" t="n">
        <v>45357</v>
      </c>
      <c r="D9982" t="inlineStr">
        <is>
          <t>VÄSTERBOTTENS LÄN</t>
        </is>
      </c>
      <c r="E9982" t="inlineStr">
        <is>
          <t>VILHELMINA</t>
        </is>
      </c>
      <c r="F9982" t="inlineStr">
        <is>
          <t>Sveaskog</t>
        </is>
      </c>
      <c r="G9982" t="n">
        <v>8.6</v>
      </c>
      <c r="H9982" t="n">
        <v>0</v>
      </c>
      <c r="I9982" t="n">
        <v>0</v>
      </c>
      <c r="J9982" t="n">
        <v>0</v>
      </c>
      <c r="K9982" t="n">
        <v>0</v>
      </c>
      <c r="L9982" t="n">
        <v>0</v>
      </c>
      <c r="M9982" t="n">
        <v>0</v>
      </c>
      <c r="N9982" t="n">
        <v>0</v>
      </c>
      <c r="O9982" t="n">
        <v>0</v>
      </c>
      <c r="P9982" t="n">
        <v>0</v>
      </c>
      <c r="Q9982" t="n">
        <v>0</v>
      </c>
      <c r="R9982" s="2" t="inlineStr"/>
    </row>
    <row r="9983" ht="15" customHeight="1">
      <c r="A9983" t="inlineStr">
        <is>
          <t>A 28726-2023</t>
        </is>
      </c>
      <c r="B9983" s="1" t="n">
        <v>45103</v>
      </c>
      <c r="C9983" s="1" t="n">
        <v>45357</v>
      </c>
      <c r="D9983" t="inlineStr">
        <is>
          <t>VÄSTERBOTTENS LÄN</t>
        </is>
      </c>
      <c r="E9983" t="inlineStr">
        <is>
          <t>ÅSELE</t>
        </is>
      </c>
      <c r="F9983" t="inlineStr">
        <is>
          <t>Sveaskog</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28738-2023</t>
        </is>
      </c>
      <c r="B9984" s="1" t="n">
        <v>45104</v>
      </c>
      <c r="C9984" s="1" t="n">
        <v>45357</v>
      </c>
      <c r="D9984" t="inlineStr">
        <is>
          <t>VÄSTERBOTTENS LÄN</t>
        </is>
      </c>
      <c r="E9984" t="inlineStr">
        <is>
          <t>VINDELN</t>
        </is>
      </c>
      <c r="G9984" t="n">
        <v>11.7</v>
      </c>
      <c r="H9984" t="n">
        <v>0</v>
      </c>
      <c r="I9984" t="n">
        <v>0</v>
      </c>
      <c r="J9984" t="n">
        <v>0</v>
      </c>
      <c r="K9984" t="n">
        <v>0</v>
      </c>
      <c r="L9984" t="n">
        <v>0</v>
      </c>
      <c r="M9984" t="n">
        <v>0</v>
      </c>
      <c r="N9984" t="n">
        <v>0</v>
      </c>
      <c r="O9984" t="n">
        <v>0</v>
      </c>
      <c r="P9984" t="n">
        <v>0</v>
      </c>
      <c r="Q9984" t="n">
        <v>0</v>
      </c>
      <c r="R9984" s="2" t="inlineStr"/>
    </row>
    <row r="9985" ht="15" customHeight="1">
      <c r="A9985" t="inlineStr">
        <is>
          <t>A 28725-2023</t>
        </is>
      </c>
      <c r="B9985" s="1" t="n">
        <v>45103</v>
      </c>
      <c r="C9985" s="1" t="n">
        <v>45357</v>
      </c>
      <c r="D9985" t="inlineStr">
        <is>
          <t>VÄSTERBOTTENS LÄN</t>
        </is>
      </c>
      <c r="E9985" t="inlineStr">
        <is>
          <t>ÅSELE</t>
        </is>
      </c>
      <c r="F9985" t="inlineStr">
        <is>
          <t>Sveaskog</t>
        </is>
      </c>
      <c r="G9985" t="n">
        <v>9.1</v>
      </c>
      <c r="H9985" t="n">
        <v>0</v>
      </c>
      <c r="I9985" t="n">
        <v>0</v>
      </c>
      <c r="J9985" t="n">
        <v>0</v>
      </c>
      <c r="K9985" t="n">
        <v>0</v>
      </c>
      <c r="L9985" t="n">
        <v>0</v>
      </c>
      <c r="M9985" t="n">
        <v>0</v>
      </c>
      <c r="N9985" t="n">
        <v>0</v>
      </c>
      <c r="O9985" t="n">
        <v>0</v>
      </c>
      <c r="P9985" t="n">
        <v>0</v>
      </c>
      <c r="Q9985" t="n">
        <v>0</v>
      </c>
      <c r="R9985" s="2" t="inlineStr"/>
    </row>
    <row r="9986" ht="15" customHeight="1">
      <c r="A9986" t="inlineStr">
        <is>
          <t>A 28737-2023</t>
        </is>
      </c>
      <c r="B9986" s="1" t="n">
        <v>45104</v>
      </c>
      <c r="C9986" s="1" t="n">
        <v>45357</v>
      </c>
      <c r="D9986" t="inlineStr">
        <is>
          <t>VÄSTERBOTTENS LÄN</t>
        </is>
      </c>
      <c r="E9986" t="inlineStr">
        <is>
          <t>LYCKSELE</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30401-2023</t>
        </is>
      </c>
      <c r="B9987" s="1" t="n">
        <v>45103</v>
      </c>
      <c r="C9987" s="1" t="n">
        <v>45357</v>
      </c>
      <c r="D9987" t="inlineStr">
        <is>
          <t>VÄSTERBOTTENS LÄN</t>
        </is>
      </c>
      <c r="E9987" t="inlineStr">
        <is>
          <t>LYCKSELE</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31132-2023</t>
        </is>
      </c>
      <c r="B9988" s="1" t="n">
        <v>45103</v>
      </c>
      <c r="C9988" s="1" t="n">
        <v>45357</v>
      </c>
      <c r="D9988" t="inlineStr">
        <is>
          <t>VÄSTERBOTTENS LÄN</t>
        </is>
      </c>
      <c r="E9988" t="inlineStr">
        <is>
          <t>VÄNNÄS</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28525-2023</t>
        </is>
      </c>
      <c r="B9989" s="1" t="n">
        <v>45103</v>
      </c>
      <c r="C9989" s="1" t="n">
        <v>45357</v>
      </c>
      <c r="D9989" t="inlineStr">
        <is>
          <t>VÄSTERBOTTENS LÄN</t>
        </is>
      </c>
      <c r="E9989" t="inlineStr">
        <is>
          <t>LYCKSELE</t>
        </is>
      </c>
      <c r="F9989" t="inlineStr">
        <is>
          <t>Sveaskog</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28537-2023</t>
        </is>
      </c>
      <c r="B9990" s="1" t="n">
        <v>45103</v>
      </c>
      <c r="C9990" s="1" t="n">
        <v>45357</v>
      </c>
      <c r="D9990" t="inlineStr">
        <is>
          <t>VÄSTERBOTTENS LÄN</t>
        </is>
      </c>
      <c r="E9990" t="inlineStr">
        <is>
          <t>LYCKSELE</t>
        </is>
      </c>
      <c r="F9990" t="inlineStr">
        <is>
          <t>Sveaskog</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28550-2023</t>
        </is>
      </c>
      <c r="B9991" s="1" t="n">
        <v>45103</v>
      </c>
      <c r="C9991" s="1" t="n">
        <v>45357</v>
      </c>
      <c r="D9991" t="inlineStr">
        <is>
          <t>VÄSTERBOTTENS LÄN</t>
        </is>
      </c>
      <c r="E9991" t="inlineStr">
        <is>
          <t>LYCKSELE</t>
        </is>
      </c>
      <c r="F9991" t="inlineStr">
        <is>
          <t>Sveaskog</t>
        </is>
      </c>
      <c r="G9991" t="n">
        <v>8.300000000000001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28615-2023</t>
        </is>
      </c>
      <c r="B9992" s="1" t="n">
        <v>45103</v>
      </c>
      <c r="C9992" s="1" t="n">
        <v>45357</v>
      </c>
      <c r="D9992" t="inlineStr">
        <is>
          <t>VÄSTERBOTTENS LÄN</t>
        </is>
      </c>
      <c r="E9992" t="inlineStr">
        <is>
          <t>VÄNNÄS</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28710-2023</t>
        </is>
      </c>
      <c r="B9993" s="1" t="n">
        <v>45103</v>
      </c>
      <c r="C9993" s="1" t="n">
        <v>45357</v>
      </c>
      <c r="D9993" t="inlineStr">
        <is>
          <t>VÄSTERBOTTENS LÄN</t>
        </is>
      </c>
      <c r="E9993" t="inlineStr">
        <is>
          <t>SKELLEFTEÅ</t>
        </is>
      </c>
      <c r="F9993" t="inlineStr">
        <is>
          <t>Sveaskog</t>
        </is>
      </c>
      <c r="G9993" t="n">
        <v>9.6</v>
      </c>
      <c r="H9993" t="n">
        <v>0</v>
      </c>
      <c r="I9993" t="n">
        <v>0</v>
      </c>
      <c r="J9993" t="n">
        <v>0</v>
      </c>
      <c r="K9993" t="n">
        <v>0</v>
      </c>
      <c r="L9993" t="n">
        <v>0</v>
      </c>
      <c r="M9993" t="n">
        <v>0</v>
      </c>
      <c r="N9993" t="n">
        <v>0</v>
      </c>
      <c r="O9993" t="n">
        <v>0</v>
      </c>
      <c r="P9993" t="n">
        <v>0</v>
      </c>
      <c r="Q9993" t="n">
        <v>0</v>
      </c>
      <c r="R9993" s="2" t="inlineStr"/>
    </row>
    <row r="9994" ht="15" customHeight="1">
      <c r="A9994" t="inlineStr">
        <is>
          <t>A 28719-2023</t>
        </is>
      </c>
      <c r="B9994" s="1" t="n">
        <v>45103</v>
      </c>
      <c r="C9994" s="1" t="n">
        <v>45357</v>
      </c>
      <c r="D9994" t="inlineStr">
        <is>
          <t>VÄSTERBOTTENS LÄN</t>
        </is>
      </c>
      <c r="E9994" t="inlineStr">
        <is>
          <t>ÅSELE</t>
        </is>
      </c>
      <c r="F9994" t="inlineStr">
        <is>
          <t>Sveaskog</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28723-2023</t>
        </is>
      </c>
      <c r="B9995" s="1" t="n">
        <v>45103</v>
      </c>
      <c r="C9995" s="1" t="n">
        <v>45357</v>
      </c>
      <c r="D9995" t="inlineStr">
        <is>
          <t>VÄSTERBOTTENS LÄN</t>
        </is>
      </c>
      <c r="E9995" t="inlineStr">
        <is>
          <t>ÅSELE</t>
        </is>
      </c>
      <c r="F9995" t="inlineStr">
        <is>
          <t>Sveaskog</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28727-2023</t>
        </is>
      </c>
      <c r="B9996" s="1" t="n">
        <v>45103</v>
      </c>
      <c r="C9996" s="1" t="n">
        <v>45357</v>
      </c>
      <c r="D9996" t="inlineStr">
        <is>
          <t>VÄSTERBOTTENS LÄN</t>
        </is>
      </c>
      <c r="E9996" t="inlineStr">
        <is>
          <t>ÅSELE</t>
        </is>
      </c>
      <c r="F9996" t="inlineStr">
        <is>
          <t>Sveaskog</t>
        </is>
      </c>
      <c r="G9996" t="n">
        <v>16.9</v>
      </c>
      <c r="H9996" t="n">
        <v>0</v>
      </c>
      <c r="I9996" t="n">
        <v>0</v>
      </c>
      <c r="J9996" t="n">
        <v>0</v>
      </c>
      <c r="K9996" t="n">
        <v>0</v>
      </c>
      <c r="L9996" t="n">
        <v>0</v>
      </c>
      <c r="M9996" t="n">
        <v>0</v>
      </c>
      <c r="N9996" t="n">
        <v>0</v>
      </c>
      <c r="O9996" t="n">
        <v>0</v>
      </c>
      <c r="P9996" t="n">
        <v>0</v>
      </c>
      <c r="Q9996" t="n">
        <v>0</v>
      </c>
      <c r="R9996" s="2" t="inlineStr"/>
    </row>
    <row r="9997" ht="15" customHeight="1">
      <c r="A9997" t="inlineStr">
        <is>
          <t>A 28731-2023</t>
        </is>
      </c>
      <c r="B9997" s="1" t="n">
        <v>45103</v>
      </c>
      <c r="C9997" s="1" t="n">
        <v>45357</v>
      </c>
      <c r="D9997" t="inlineStr">
        <is>
          <t>VÄSTERBOTTENS LÄN</t>
        </is>
      </c>
      <c r="E9997" t="inlineStr">
        <is>
          <t>ÅSELE</t>
        </is>
      </c>
      <c r="F9997" t="inlineStr">
        <is>
          <t>Sveaskog</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28739-2023</t>
        </is>
      </c>
      <c r="B9998" s="1" t="n">
        <v>45103</v>
      </c>
      <c r="C9998" s="1" t="n">
        <v>45357</v>
      </c>
      <c r="D9998" t="inlineStr">
        <is>
          <t>VÄSTERBOTTENS LÄN</t>
        </is>
      </c>
      <c r="E9998" t="inlineStr">
        <is>
          <t>VINDELN</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30409-2023</t>
        </is>
      </c>
      <c r="B9999" s="1" t="n">
        <v>45103</v>
      </c>
      <c r="C9999" s="1" t="n">
        <v>45357</v>
      </c>
      <c r="D9999" t="inlineStr">
        <is>
          <t>VÄSTERBOTTENS LÄN</t>
        </is>
      </c>
      <c r="E9999" t="inlineStr">
        <is>
          <t>LYCKSELE</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31006-2023</t>
        </is>
      </c>
      <c r="B10000" s="1" t="n">
        <v>45103</v>
      </c>
      <c r="C10000" s="1" t="n">
        <v>45357</v>
      </c>
      <c r="D10000" t="inlineStr">
        <is>
          <t>VÄSTERBOTTENS LÄN</t>
        </is>
      </c>
      <c r="E10000" t="inlineStr">
        <is>
          <t>SKELLEFTEÅ</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31096-2023</t>
        </is>
      </c>
      <c r="B10001" s="1" t="n">
        <v>45103</v>
      </c>
      <c r="C10001" s="1" t="n">
        <v>45357</v>
      </c>
      <c r="D10001" t="inlineStr">
        <is>
          <t>VÄSTERBOTTENS LÄN</t>
        </is>
      </c>
      <c r="E10001" t="inlineStr">
        <is>
          <t>VÄNNÄS</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31133-2023</t>
        </is>
      </c>
      <c r="B10002" s="1" t="n">
        <v>45103</v>
      </c>
      <c r="C10002" s="1" t="n">
        <v>45357</v>
      </c>
      <c r="D10002" t="inlineStr">
        <is>
          <t>VÄSTERBOTTENS LÄN</t>
        </is>
      </c>
      <c r="E10002" t="inlineStr">
        <is>
          <t>VÄNNÄS</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28769-2023</t>
        </is>
      </c>
      <c r="B10003" s="1" t="n">
        <v>45104</v>
      </c>
      <c r="C10003" s="1" t="n">
        <v>45357</v>
      </c>
      <c r="D10003" t="inlineStr">
        <is>
          <t>VÄSTERBOTTENS LÄN</t>
        </is>
      </c>
      <c r="E10003" t="inlineStr">
        <is>
          <t>BJURHOLM</t>
        </is>
      </c>
      <c r="F10003" t="inlineStr">
        <is>
          <t>Holmen skog AB</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28846-2023</t>
        </is>
      </c>
      <c r="B10004" s="1" t="n">
        <v>45104</v>
      </c>
      <c r="C10004" s="1" t="n">
        <v>45357</v>
      </c>
      <c r="D10004" t="inlineStr">
        <is>
          <t>VÄSTERBOTTENS LÄN</t>
        </is>
      </c>
      <c r="E10004" t="inlineStr">
        <is>
          <t>VINDELN</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28854-2023</t>
        </is>
      </c>
      <c r="B10005" s="1" t="n">
        <v>45104</v>
      </c>
      <c r="C10005" s="1" t="n">
        <v>45357</v>
      </c>
      <c r="D10005" t="inlineStr">
        <is>
          <t>VÄSTERBOTTENS LÄN</t>
        </is>
      </c>
      <c r="E10005" t="inlineStr">
        <is>
          <t>ÅSELE</t>
        </is>
      </c>
      <c r="F10005" t="inlineStr">
        <is>
          <t>Naturvårdsverket</t>
        </is>
      </c>
      <c r="G10005" t="n">
        <v>15.8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28908-2023</t>
        </is>
      </c>
      <c r="B10006" s="1" t="n">
        <v>45104</v>
      </c>
      <c r="C10006" s="1" t="n">
        <v>45357</v>
      </c>
      <c r="D10006" t="inlineStr">
        <is>
          <t>VÄSTERBOTTENS LÄN</t>
        </is>
      </c>
      <c r="E10006" t="inlineStr">
        <is>
          <t>VINDELN</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28957-2023</t>
        </is>
      </c>
      <c r="B10007" s="1" t="n">
        <v>45104</v>
      </c>
      <c r="C10007" s="1" t="n">
        <v>45357</v>
      </c>
      <c r="D10007" t="inlineStr">
        <is>
          <t>VÄSTERBOTTENS LÄN</t>
        </is>
      </c>
      <c r="E10007" t="inlineStr">
        <is>
          <t>STORUMAN</t>
        </is>
      </c>
      <c r="F10007" t="inlineStr">
        <is>
          <t>Sveaskog</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28966-2023</t>
        </is>
      </c>
      <c r="B10008" s="1" t="n">
        <v>45104</v>
      </c>
      <c r="C10008" s="1" t="n">
        <v>45357</v>
      </c>
      <c r="D10008" t="inlineStr">
        <is>
          <t>VÄSTERBOTTENS LÄN</t>
        </is>
      </c>
      <c r="E10008" t="inlineStr">
        <is>
          <t>NORSJÖ</t>
        </is>
      </c>
      <c r="F10008" t="inlineStr">
        <is>
          <t>Sveaskog</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28982-2023</t>
        </is>
      </c>
      <c r="B10009" s="1" t="n">
        <v>45104</v>
      </c>
      <c r="C10009" s="1" t="n">
        <v>45357</v>
      </c>
      <c r="D10009" t="inlineStr">
        <is>
          <t>VÄSTERBOTTENS LÄN</t>
        </is>
      </c>
      <c r="E10009" t="inlineStr">
        <is>
          <t>VILHELMINA</t>
        </is>
      </c>
      <c r="F10009" t="inlineStr">
        <is>
          <t>Sveaskog</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28986-2023</t>
        </is>
      </c>
      <c r="B10010" s="1" t="n">
        <v>45104</v>
      </c>
      <c r="C10010" s="1" t="n">
        <v>45357</v>
      </c>
      <c r="D10010" t="inlineStr">
        <is>
          <t>VÄSTERBOTTENS LÄN</t>
        </is>
      </c>
      <c r="E10010" t="inlineStr">
        <is>
          <t>VILHELMINA</t>
        </is>
      </c>
      <c r="F10010" t="inlineStr">
        <is>
          <t>Sveaskog</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28991-2023</t>
        </is>
      </c>
      <c r="B10011" s="1" t="n">
        <v>45104</v>
      </c>
      <c r="C10011" s="1" t="n">
        <v>45357</v>
      </c>
      <c r="D10011" t="inlineStr">
        <is>
          <t>VÄSTERBOTTENS LÄN</t>
        </is>
      </c>
      <c r="E10011" t="inlineStr">
        <is>
          <t>VILHELMINA</t>
        </is>
      </c>
      <c r="F10011" t="inlineStr">
        <is>
          <t>Sveaskog</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28906-2023</t>
        </is>
      </c>
      <c r="B10012" s="1" t="n">
        <v>45104</v>
      </c>
      <c r="C10012" s="1" t="n">
        <v>45357</v>
      </c>
      <c r="D10012" t="inlineStr">
        <is>
          <t>VÄSTERBOTTENS LÄN</t>
        </is>
      </c>
      <c r="E10012" t="inlineStr">
        <is>
          <t>ROBERTSFORS</t>
        </is>
      </c>
      <c r="F10012" t="inlineStr">
        <is>
          <t>Holmen skog AB</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28942-2023</t>
        </is>
      </c>
      <c r="B10013" s="1" t="n">
        <v>45104</v>
      </c>
      <c r="C10013" s="1" t="n">
        <v>45357</v>
      </c>
      <c r="D10013" t="inlineStr">
        <is>
          <t>VÄSTERBOTTENS LÄN</t>
        </is>
      </c>
      <c r="E10013" t="inlineStr">
        <is>
          <t>NORSJÖ</t>
        </is>
      </c>
      <c r="F10013" t="inlineStr">
        <is>
          <t>Sveaskog</t>
        </is>
      </c>
      <c r="G10013" t="n">
        <v>15.9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28959-2023</t>
        </is>
      </c>
      <c r="B10014" s="1" t="n">
        <v>45104</v>
      </c>
      <c r="C10014" s="1" t="n">
        <v>45357</v>
      </c>
      <c r="D10014" t="inlineStr">
        <is>
          <t>VÄSTERBOTTENS LÄN</t>
        </is>
      </c>
      <c r="E10014" t="inlineStr">
        <is>
          <t>SORSELE</t>
        </is>
      </c>
      <c r="F10014" t="inlineStr">
        <is>
          <t>Sveaskog</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28984-2023</t>
        </is>
      </c>
      <c r="B10015" s="1" t="n">
        <v>45104</v>
      </c>
      <c r="C10015" s="1" t="n">
        <v>45357</v>
      </c>
      <c r="D10015" t="inlineStr">
        <is>
          <t>VÄSTERBOTTENS LÄN</t>
        </is>
      </c>
      <c r="E10015" t="inlineStr">
        <is>
          <t>VILHELMINA</t>
        </is>
      </c>
      <c r="F10015" t="inlineStr">
        <is>
          <t>Sveaskog</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28768-2023</t>
        </is>
      </c>
      <c r="B10016" s="1" t="n">
        <v>45104</v>
      </c>
      <c r="C10016" s="1" t="n">
        <v>45357</v>
      </c>
      <c r="D10016" t="inlineStr">
        <is>
          <t>VÄSTERBOTTENS LÄN</t>
        </is>
      </c>
      <c r="E10016" t="inlineStr">
        <is>
          <t>BJURHOLM</t>
        </is>
      </c>
      <c r="F10016" t="inlineStr">
        <is>
          <t>Holmen skog AB</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28781-2023</t>
        </is>
      </c>
      <c r="B10017" s="1" t="n">
        <v>45104</v>
      </c>
      <c r="C10017" s="1" t="n">
        <v>45357</v>
      </c>
      <c r="D10017" t="inlineStr">
        <is>
          <t>VÄSTERBOTTENS LÄN</t>
        </is>
      </c>
      <c r="E10017" t="inlineStr">
        <is>
          <t>VINDELN</t>
        </is>
      </c>
      <c r="F10017" t="inlineStr">
        <is>
          <t>Holmen skog AB</t>
        </is>
      </c>
      <c r="G10017" t="n">
        <v>8.5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28807-2023</t>
        </is>
      </c>
      <c r="B10018" s="1" t="n">
        <v>45104</v>
      </c>
      <c r="C10018" s="1" t="n">
        <v>45357</v>
      </c>
      <c r="D10018" t="inlineStr">
        <is>
          <t>VÄSTERBOTTENS LÄN</t>
        </is>
      </c>
      <c r="E10018" t="inlineStr">
        <is>
          <t>ÅSELE</t>
        </is>
      </c>
      <c r="F10018" t="inlineStr">
        <is>
          <t>Holmen skog AB</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28825-2023</t>
        </is>
      </c>
      <c r="B10019" s="1" t="n">
        <v>45104</v>
      </c>
      <c r="C10019" s="1" t="n">
        <v>45357</v>
      </c>
      <c r="D10019" t="inlineStr">
        <is>
          <t>VÄSTERBOTTENS LÄN</t>
        </is>
      </c>
      <c r="E10019" t="inlineStr">
        <is>
          <t>VINDELN</t>
        </is>
      </c>
      <c r="F10019" t="inlineStr">
        <is>
          <t>Holmen skog AB</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28956-2023</t>
        </is>
      </c>
      <c r="B10020" s="1" t="n">
        <v>45104</v>
      </c>
      <c r="C10020" s="1" t="n">
        <v>45357</v>
      </c>
      <c r="D10020" t="inlineStr">
        <is>
          <t>VÄSTERBOTTENS LÄN</t>
        </is>
      </c>
      <c r="E10020" t="inlineStr">
        <is>
          <t>NORDMALING</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28949-2023</t>
        </is>
      </c>
      <c r="B10021" s="1" t="n">
        <v>45104</v>
      </c>
      <c r="C10021" s="1" t="n">
        <v>45357</v>
      </c>
      <c r="D10021" t="inlineStr">
        <is>
          <t>VÄSTERBOTTENS LÄN</t>
        </is>
      </c>
      <c r="E10021" t="inlineStr">
        <is>
          <t>NORSJÖ</t>
        </is>
      </c>
      <c r="F10021" t="inlineStr">
        <is>
          <t>Sveaskog</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29006-2023</t>
        </is>
      </c>
      <c r="B10022" s="1" t="n">
        <v>45104</v>
      </c>
      <c r="C10022" s="1" t="n">
        <v>45357</v>
      </c>
      <c r="D10022" t="inlineStr">
        <is>
          <t>VÄSTERBOTTENS LÄN</t>
        </is>
      </c>
      <c r="E10022" t="inlineStr">
        <is>
          <t>BJURHOLM</t>
        </is>
      </c>
      <c r="F10022" t="inlineStr">
        <is>
          <t>Holmen skog AB</t>
        </is>
      </c>
      <c r="G10022" t="n">
        <v>17.2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29051-2023</t>
        </is>
      </c>
      <c r="B10023" s="1" t="n">
        <v>45104</v>
      </c>
      <c r="C10023" s="1" t="n">
        <v>45357</v>
      </c>
      <c r="D10023" t="inlineStr">
        <is>
          <t>VÄSTERBOTTENS LÄN</t>
        </is>
      </c>
      <c r="E10023" t="inlineStr">
        <is>
          <t>STORUMAN</t>
        </is>
      </c>
      <c r="G10023" t="n">
        <v>11.5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29055-2023</t>
        </is>
      </c>
      <c r="B10024" s="1" t="n">
        <v>45105</v>
      </c>
      <c r="C10024" s="1" t="n">
        <v>45357</v>
      </c>
      <c r="D10024" t="inlineStr">
        <is>
          <t>VÄSTERBOTTENS LÄN</t>
        </is>
      </c>
      <c r="E10024" t="inlineStr">
        <is>
          <t>ÅSELE</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29052-2023</t>
        </is>
      </c>
      <c r="B10025" s="1" t="n">
        <v>45105</v>
      </c>
      <c r="C10025" s="1" t="n">
        <v>45357</v>
      </c>
      <c r="D10025" t="inlineStr">
        <is>
          <t>VÄSTERBOTTENS LÄN</t>
        </is>
      </c>
      <c r="E10025" t="inlineStr">
        <is>
          <t>NORSJÖ</t>
        </is>
      </c>
      <c r="G10025" t="n">
        <v>20.1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31555-2023</t>
        </is>
      </c>
      <c r="B10026" s="1" t="n">
        <v>45104</v>
      </c>
      <c r="C10026" s="1" t="n">
        <v>45357</v>
      </c>
      <c r="D10026" t="inlineStr">
        <is>
          <t>VÄSTERBOTTENS LÄN</t>
        </is>
      </c>
      <c r="E10026" t="inlineStr">
        <is>
          <t>SKELLEFTEÅ</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31425-2023</t>
        </is>
      </c>
      <c r="B10027" s="1" t="n">
        <v>45104</v>
      </c>
      <c r="C10027" s="1" t="n">
        <v>45357</v>
      </c>
      <c r="D10027" t="inlineStr">
        <is>
          <t>VÄSTERBOTTENS LÄN</t>
        </is>
      </c>
      <c r="E10027" t="inlineStr">
        <is>
          <t>LYCKSELE</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29054-2023</t>
        </is>
      </c>
      <c r="B10028" s="1" t="n">
        <v>45105</v>
      </c>
      <c r="C10028" s="1" t="n">
        <v>45357</v>
      </c>
      <c r="D10028" t="inlineStr">
        <is>
          <t>VÄSTERBOTTENS LÄN</t>
        </is>
      </c>
      <c r="E10028" t="inlineStr">
        <is>
          <t>ÅSELE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31558-2023</t>
        </is>
      </c>
      <c r="B10029" s="1" t="n">
        <v>45104</v>
      </c>
      <c r="C10029" s="1" t="n">
        <v>45357</v>
      </c>
      <c r="D10029" t="inlineStr">
        <is>
          <t>VÄSTERBOTTENS LÄN</t>
        </is>
      </c>
      <c r="E10029" t="inlineStr">
        <is>
          <t>SKELLEFTEÅ</t>
        </is>
      </c>
      <c r="G10029" t="n">
        <v>6.2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29106-2023</t>
        </is>
      </c>
      <c r="B10030" s="1" t="n">
        <v>45105</v>
      </c>
      <c r="C10030" s="1" t="n">
        <v>45357</v>
      </c>
      <c r="D10030" t="inlineStr">
        <is>
          <t>VÄSTERBOTTENS LÄN</t>
        </is>
      </c>
      <c r="E10030" t="inlineStr">
        <is>
          <t>ÅSELE</t>
        </is>
      </c>
      <c r="F10030" t="inlineStr">
        <is>
          <t>Holmen skog AB</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29152-2023</t>
        </is>
      </c>
      <c r="B10031" s="1" t="n">
        <v>45105</v>
      </c>
      <c r="C10031" s="1" t="n">
        <v>45357</v>
      </c>
      <c r="D10031" t="inlineStr">
        <is>
          <t>VÄSTERBOTTENS LÄN</t>
        </is>
      </c>
      <c r="E10031" t="inlineStr">
        <is>
          <t>SKELLEFTEÅ</t>
        </is>
      </c>
      <c r="F10031" t="inlineStr">
        <is>
          <t>Holmen skog AB</t>
        </is>
      </c>
      <c r="G10031" t="n">
        <v>18.5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29240-2023</t>
        </is>
      </c>
      <c r="B10032" s="1" t="n">
        <v>45105</v>
      </c>
      <c r="C10032" s="1" t="n">
        <v>45357</v>
      </c>
      <c r="D10032" t="inlineStr">
        <is>
          <t>VÄSTERBOTTENS LÄN</t>
        </is>
      </c>
      <c r="E10032" t="inlineStr">
        <is>
          <t>BJURHOLM</t>
        </is>
      </c>
      <c r="F10032" t="inlineStr">
        <is>
          <t>Sveaskog</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31664-2023</t>
        </is>
      </c>
      <c r="B10033" s="1" t="n">
        <v>45105</v>
      </c>
      <c r="C10033" s="1" t="n">
        <v>45357</v>
      </c>
      <c r="D10033" t="inlineStr">
        <is>
          <t>VÄSTERBOTTENS LÄN</t>
        </is>
      </c>
      <c r="E10033" t="inlineStr">
        <is>
          <t>VINDELN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29297-2023</t>
        </is>
      </c>
      <c r="B10034" s="1" t="n">
        <v>45105</v>
      </c>
      <c r="C10034" s="1" t="n">
        <v>45357</v>
      </c>
      <c r="D10034" t="inlineStr">
        <is>
          <t>VÄSTERBOTTENS LÄN</t>
        </is>
      </c>
      <c r="E10034" t="inlineStr">
        <is>
          <t>ÅSELE</t>
        </is>
      </c>
      <c r="F10034" t="inlineStr">
        <is>
          <t>Sveaskog</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29298-2023</t>
        </is>
      </c>
      <c r="B10035" s="1" t="n">
        <v>45105</v>
      </c>
      <c r="C10035" s="1" t="n">
        <v>45357</v>
      </c>
      <c r="D10035" t="inlineStr">
        <is>
          <t>VÄSTERBOTTENS LÄN</t>
        </is>
      </c>
      <c r="E10035" t="inlineStr">
        <is>
          <t>ÅSELE</t>
        </is>
      </c>
      <c r="F10035" t="inlineStr">
        <is>
          <t>Sveaskog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29313-2023</t>
        </is>
      </c>
      <c r="B10036" s="1" t="n">
        <v>45106</v>
      </c>
      <c r="C10036" s="1" t="n">
        <v>45357</v>
      </c>
      <c r="D10036" t="inlineStr">
        <is>
          <t>VÄSTERBOTTENS LÄN</t>
        </is>
      </c>
      <c r="E10036" t="inlineStr">
        <is>
          <t>SKELLEFTEÅ</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29277-2023</t>
        </is>
      </c>
      <c r="B10037" s="1" t="n">
        <v>45105</v>
      </c>
      <c r="C10037" s="1" t="n">
        <v>45357</v>
      </c>
      <c r="D10037" t="inlineStr">
        <is>
          <t>VÄSTERBOTTENS LÄN</t>
        </is>
      </c>
      <c r="E10037" t="inlineStr">
        <is>
          <t>LYCKSELE</t>
        </is>
      </c>
      <c r="F10037" t="inlineStr">
        <is>
          <t>Naturvårdsverket</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29300-2023</t>
        </is>
      </c>
      <c r="B10038" s="1" t="n">
        <v>45105</v>
      </c>
      <c r="C10038" s="1" t="n">
        <v>45357</v>
      </c>
      <c r="D10038" t="inlineStr">
        <is>
          <t>VÄSTERBOTTENS LÄN</t>
        </is>
      </c>
      <c r="E10038" t="inlineStr">
        <is>
          <t>ÅSELE</t>
        </is>
      </c>
      <c r="F10038" t="inlineStr">
        <is>
          <t>Sveaskog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29312-2023</t>
        </is>
      </c>
      <c r="B10039" s="1" t="n">
        <v>45106</v>
      </c>
      <c r="C10039" s="1" t="n">
        <v>45357</v>
      </c>
      <c r="D10039" t="inlineStr">
        <is>
          <t>VÄSTERBOTTENS LÄN</t>
        </is>
      </c>
      <c r="E10039" t="inlineStr">
        <is>
          <t>NORSJÖ</t>
        </is>
      </c>
      <c r="G10039" t="n">
        <v>19.5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29124-2023</t>
        </is>
      </c>
      <c r="B10040" s="1" t="n">
        <v>45105</v>
      </c>
      <c r="C10040" s="1" t="n">
        <v>45357</v>
      </c>
      <c r="D10040" t="inlineStr">
        <is>
          <t>VÄSTERBOTTENS LÄN</t>
        </is>
      </c>
      <c r="E10040" t="inlineStr">
        <is>
          <t>NORSJÖ</t>
        </is>
      </c>
      <c r="F10040" t="inlineStr">
        <is>
          <t>Holmen skog AB</t>
        </is>
      </c>
      <c r="G10040" t="n">
        <v>12.1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29148-2023</t>
        </is>
      </c>
      <c r="B10041" s="1" t="n">
        <v>45105</v>
      </c>
      <c r="C10041" s="1" t="n">
        <v>45357</v>
      </c>
      <c r="D10041" t="inlineStr">
        <is>
          <t>VÄSTERBOTTENS LÄN</t>
        </is>
      </c>
      <c r="E10041" t="inlineStr">
        <is>
          <t>UMEÅ</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29250-2023</t>
        </is>
      </c>
      <c r="B10042" s="1" t="n">
        <v>45105</v>
      </c>
      <c r="C10042" s="1" t="n">
        <v>45357</v>
      </c>
      <c r="D10042" t="inlineStr">
        <is>
          <t>VÄSTERBOTTENS LÄN</t>
        </is>
      </c>
      <c r="E10042" t="inlineStr">
        <is>
          <t>VILHELMINA</t>
        </is>
      </c>
      <c r="F10042" t="inlineStr">
        <is>
          <t>Sveaskog</t>
        </is>
      </c>
      <c r="G10042" t="n">
        <v>11.3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31654-2023</t>
        </is>
      </c>
      <c r="B10043" s="1" t="n">
        <v>45105</v>
      </c>
      <c r="C10043" s="1" t="n">
        <v>45357</v>
      </c>
      <c r="D10043" t="inlineStr">
        <is>
          <t>VÄSTERBOTTENS LÄN</t>
        </is>
      </c>
      <c r="E10043" t="inlineStr">
        <is>
          <t>VÄNNÄS</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29299-2023</t>
        </is>
      </c>
      <c r="B10044" s="1" t="n">
        <v>45105</v>
      </c>
      <c r="C10044" s="1" t="n">
        <v>45357</v>
      </c>
      <c r="D10044" t="inlineStr">
        <is>
          <t>VÄSTERBOTTENS LÄN</t>
        </is>
      </c>
      <c r="E10044" t="inlineStr">
        <is>
          <t>ÅSELE</t>
        </is>
      </c>
      <c r="F10044" t="inlineStr">
        <is>
          <t>Sveaskog</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29344-2023</t>
        </is>
      </c>
      <c r="B10045" s="1" t="n">
        <v>45106</v>
      </c>
      <c r="C10045" s="1" t="n">
        <v>45357</v>
      </c>
      <c r="D10045" t="inlineStr">
        <is>
          <t>VÄSTERBOTTENS LÄN</t>
        </is>
      </c>
      <c r="E10045" t="inlineStr">
        <is>
          <t>NORDMALING</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29347-2023</t>
        </is>
      </c>
      <c r="B10046" s="1" t="n">
        <v>45106</v>
      </c>
      <c r="C10046" s="1" t="n">
        <v>45357</v>
      </c>
      <c r="D10046" t="inlineStr">
        <is>
          <t>VÄSTERBOTTENS LÄN</t>
        </is>
      </c>
      <c r="E10046" t="inlineStr">
        <is>
          <t>VINDELN</t>
        </is>
      </c>
      <c r="F10046" t="inlineStr">
        <is>
          <t>SCA</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29355-2023</t>
        </is>
      </c>
      <c r="B10047" s="1" t="n">
        <v>45106</v>
      </c>
      <c r="C10047" s="1" t="n">
        <v>45357</v>
      </c>
      <c r="D10047" t="inlineStr">
        <is>
          <t>VÄSTERBOTTENS LÄN</t>
        </is>
      </c>
      <c r="E10047" t="inlineStr">
        <is>
          <t>SKELLEFTEÅ</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29455-2023</t>
        </is>
      </c>
      <c r="B10048" s="1" t="n">
        <v>45106</v>
      </c>
      <c r="C10048" s="1" t="n">
        <v>45357</v>
      </c>
      <c r="D10048" t="inlineStr">
        <is>
          <t>VÄSTERBOTTENS LÄN</t>
        </is>
      </c>
      <c r="E10048" t="inlineStr">
        <is>
          <t>BJURHOLM</t>
        </is>
      </c>
      <c r="F10048" t="inlineStr">
        <is>
          <t>Sveaskog</t>
        </is>
      </c>
      <c r="G10048" t="n">
        <v>9.5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29463-2023</t>
        </is>
      </c>
      <c r="B10049" s="1" t="n">
        <v>45106</v>
      </c>
      <c r="C10049" s="1" t="n">
        <v>45357</v>
      </c>
      <c r="D10049" t="inlineStr">
        <is>
          <t>VÄSTERBOTTENS LÄN</t>
        </is>
      </c>
      <c r="E10049" t="inlineStr">
        <is>
          <t>UMEÅ</t>
        </is>
      </c>
      <c r="F10049" t="inlineStr">
        <is>
          <t>Holmen skog AB</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29476-2023</t>
        </is>
      </c>
      <c r="B10050" s="1" t="n">
        <v>45106</v>
      </c>
      <c r="C10050" s="1" t="n">
        <v>45357</v>
      </c>
      <c r="D10050" t="inlineStr">
        <is>
          <t>VÄSTERBOTTENS LÄN</t>
        </is>
      </c>
      <c r="E10050" t="inlineStr">
        <is>
          <t>VÄNNÄS</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29485-2023</t>
        </is>
      </c>
      <c r="B10051" s="1" t="n">
        <v>45106</v>
      </c>
      <c r="C10051" s="1" t="n">
        <v>45357</v>
      </c>
      <c r="D10051" t="inlineStr">
        <is>
          <t>VÄSTERBOTTENS LÄN</t>
        </is>
      </c>
      <c r="E10051" t="inlineStr">
        <is>
          <t>VÄNNÄS</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29522-2023</t>
        </is>
      </c>
      <c r="B10052" s="1" t="n">
        <v>45106</v>
      </c>
      <c r="C10052" s="1" t="n">
        <v>45357</v>
      </c>
      <c r="D10052" t="inlineStr">
        <is>
          <t>VÄSTERBOTTENS LÄN</t>
        </is>
      </c>
      <c r="E10052" t="inlineStr">
        <is>
          <t>LYCKSELE</t>
        </is>
      </c>
      <c r="F10052" t="inlineStr">
        <is>
          <t>Sveaskog</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29526-2023</t>
        </is>
      </c>
      <c r="B10053" s="1" t="n">
        <v>45106</v>
      </c>
      <c r="C10053" s="1" t="n">
        <v>45357</v>
      </c>
      <c r="D10053" t="inlineStr">
        <is>
          <t>VÄSTERBOTTENS LÄN</t>
        </is>
      </c>
      <c r="E10053" t="inlineStr">
        <is>
          <t>LYCKSELE</t>
        </is>
      </c>
      <c r="F10053" t="inlineStr">
        <is>
          <t>Sveaskog</t>
        </is>
      </c>
      <c r="G10053" t="n">
        <v>16.4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29530-2023</t>
        </is>
      </c>
      <c r="B10054" s="1" t="n">
        <v>45106</v>
      </c>
      <c r="C10054" s="1" t="n">
        <v>45357</v>
      </c>
      <c r="D10054" t="inlineStr">
        <is>
          <t>VÄSTERBOTTENS LÄN</t>
        </is>
      </c>
      <c r="E10054" t="inlineStr">
        <is>
          <t>LYCKSELE</t>
        </is>
      </c>
      <c r="F10054" t="inlineStr">
        <is>
          <t>Sveaskog</t>
        </is>
      </c>
      <c r="G10054" t="n">
        <v>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29543-2023</t>
        </is>
      </c>
      <c r="B10055" s="1" t="n">
        <v>45106</v>
      </c>
      <c r="C10055" s="1" t="n">
        <v>45357</v>
      </c>
      <c r="D10055" t="inlineStr">
        <is>
          <t>VÄSTERBOTTENS LÄN</t>
        </is>
      </c>
      <c r="E10055" t="inlineStr">
        <is>
          <t>LYCKSELE</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29567-2023</t>
        </is>
      </c>
      <c r="B10056" s="1" t="n">
        <v>45106</v>
      </c>
      <c r="C10056" s="1" t="n">
        <v>45357</v>
      </c>
      <c r="D10056" t="inlineStr">
        <is>
          <t>VÄSTERBOTTENS LÄN</t>
        </is>
      </c>
      <c r="E10056" t="inlineStr">
        <is>
          <t>STORUMAN</t>
        </is>
      </c>
      <c r="F10056" t="inlineStr">
        <is>
          <t>Sveaskog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29571-2023</t>
        </is>
      </c>
      <c r="B10057" s="1" t="n">
        <v>45106</v>
      </c>
      <c r="C10057" s="1" t="n">
        <v>45357</v>
      </c>
      <c r="D10057" t="inlineStr">
        <is>
          <t>VÄSTERBOTTENS LÄN</t>
        </is>
      </c>
      <c r="E10057" t="inlineStr">
        <is>
          <t>STORUMAN</t>
        </is>
      </c>
      <c r="F10057" t="inlineStr">
        <is>
          <t>Sveaskog</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29521-2023</t>
        </is>
      </c>
      <c r="B10058" s="1" t="n">
        <v>45106</v>
      </c>
      <c r="C10058" s="1" t="n">
        <v>45357</v>
      </c>
      <c r="D10058" t="inlineStr">
        <is>
          <t>VÄSTERBOTTENS LÄN</t>
        </is>
      </c>
      <c r="E10058" t="inlineStr">
        <is>
          <t>LYCKSELE</t>
        </is>
      </c>
      <c r="F10058" t="inlineStr">
        <is>
          <t>Sveaskog</t>
        </is>
      </c>
      <c r="G10058" t="n">
        <v>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29516-2023</t>
        </is>
      </c>
      <c r="B10059" s="1" t="n">
        <v>45106</v>
      </c>
      <c r="C10059" s="1" t="n">
        <v>45357</v>
      </c>
      <c r="D10059" t="inlineStr">
        <is>
          <t>VÄSTERBOTTENS LÄN</t>
        </is>
      </c>
      <c r="E10059" t="inlineStr">
        <is>
          <t>LYCKSELE</t>
        </is>
      </c>
      <c r="F10059" t="inlineStr">
        <is>
          <t>Sveaskog</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29589-2023</t>
        </is>
      </c>
      <c r="B10060" s="1" t="n">
        <v>45106</v>
      </c>
      <c r="C10060" s="1" t="n">
        <v>45357</v>
      </c>
      <c r="D10060" t="inlineStr">
        <is>
          <t>VÄSTERBOTTENS LÄN</t>
        </is>
      </c>
      <c r="E10060" t="inlineStr">
        <is>
          <t>ROBERTSFORS</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29608-2023</t>
        </is>
      </c>
      <c r="B10061" s="1" t="n">
        <v>45106</v>
      </c>
      <c r="C10061" s="1" t="n">
        <v>45357</v>
      </c>
      <c r="D10061" t="inlineStr">
        <is>
          <t>VÄSTERBOTTENS LÄN</t>
        </is>
      </c>
      <c r="E10061" t="inlineStr">
        <is>
          <t>VILHELMINA</t>
        </is>
      </c>
      <c r="F10061" t="inlineStr">
        <is>
          <t>SCA</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29520-2023</t>
        </is>
      </c>
      <c r="B10062" s="1" t="n">
        <v>45106</v>
      </c>
      <c r="C10062" s="1" t="n">
        <v>45357</v>
      </c>
      <c r="D10062" t="inlineStr">
        <is>
          <t>VÄSTERBOTTENS LÄN</t>
        </is>
      </c>
      <c r="E10062" t="inlineStr">
        <is>
          <t>SKELLEFTEÅ</t>
        </is>
      </c>
      <c r="F10062" t="inlineStr">
        <is>
          <t>Holmen skog AB</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29524-2023</t>
        </is>
      </c>
      <c r="B10063" s="1" t="n">
        <v>45106</v>
      </c>
      <c r="C10063" s="1" t="n">
        <v>45357</v>
      </c>
      <c r="D10063" t="inlineStr">
        <is>
          <t>VÄSTERBOTTENS LÄN</t>
        </is>
      </c>
      <c r="E10063" t="inlineStr">
        <is>
          <t>LYCKSELE</t>
        </is>
      </c>
      <c r="F10063" t="inlineStr">
        <is>
          <t>Holmen skog AB</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29546-2023</t>
        </is>
      </c>
      <c r="B10064" s="1" t="n">
        <v>45106</v>
      </c>
      <c r="C10064" s="1" t="n">
        <v>45357</v>
      </c>
      <c r="D10064" t="inlineStr">
        <is>
          <t>VÄSTERBOTTENS LÄN</t>
        </is>
      </c>
      <c r="E10064" t="inlineStr">
        <is>
          <t>LYCKSELE</t>
        </is>
      </c>
      <c r="F10064" t="inlineStr">
        <is>
          <t>Sveaskog</t>
        </is>
      </c>
      <c r="G10064" t="n">
        <v>13.3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29566-2023</t>
        </is>
      </c>
      <c r="B10065" s="1" t="n">
        <v>45106</v>
      </c>
      <c r="C10065" s="1" t="n">
        <v>45357</v>
      </c>
      <c r="D10065" t="inlineStr">
        <is>
          <t>VÄSTERBOTTENS LÄN</t>
        </is>
      </c>
      <c r="E10065" t="inlineStr">
        <is>
          <t>STORUMAN</t>
        </is>
      </c>
      <c r="F10065" t="inlineStr">
        <is>
          <t>Sveaskog</t>
        </is>
      </c>
      <c r="G10065" t="n">
        <v>10.3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29575-2023</t>
        </is>
      </c>
      <c r="B10066" s="1" t="n">
        <v>45106</v>
      </c>
      <c r="C10066" s="1" t="n">
        <v>45357</v>
      </c>
      <c r="D10066" t="inlineStr">
        <is>
          <t>VÄSTERBOTTENS LÄN</t>
        </is>
      </c>
      <c r="E10066" t="inlineStr">
        <is>
          <t>STORUMAN</t>
        </is>
      </c>
      <c r="F10066" t="inlineStr">
        <is>
          <t>Sveaskog</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29596-2023</t>
        </is>
      </c>
      <c r="B10067" s="1" t="n">
        <v>45107</v>
      </c>
      <c r="C10067" s="1" t="n">
        <v>45357</v>
      </c>
      <c r="D10067" t="inlineStr">
        <is>
          <t>VÄSTERBOTTENS LÄN</t>
        </is>
      </c>
      <c r="E10067" t="inlineStr">
        <is>
          <t>SKELLEFTEÅ</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29523-2023</t>
        </is>
      </c>
      <c r="B10068" s="1" t="n">
        <v>45106</v>
      </c>
      <c r="C10068" s="1" t="n">
        <v>45357</v>
      </c>
      <c r="D10068" t="inlineStr">
        <is>
          <t>VÄSTERBOTTENS LÄN</t>
        </is>
      </c>
      <c r="E10068" t="inlineStr">
        <is>
          <t>LYCKSELE</t>
        </is>
      </c>
      <c r="F10068" t="inlineStr">
        <is>
          <t>Sveaskog</t>
        </is>
      </c>
      <c r="G10068" t="n">
        <v>11.6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29538-2023</t>
        </is>
      </c>
      <c r="B10069" s="1" t="n">
        <v>45106</v>
      </c>
      <c r="C10069" s="1" t="n">
        <v>45357</v>
      </c>
      <c r="D10069" t="inlineStr">
        <is>
          <t>VÄSTERBOTTENS LÄN</t>
        </is>
      </c>
      <c r="E10069" t="inlineStr">
        <is>
          <t>LYCKSELE</t>
        </is>
      </c>
      <c r="F10069" t="inlineStr">
        <is>
          <t>Sveaskog</t>
        </is>
      </c>
      <c r="G10069" t="n">
        <v>9.1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29568-2023</t>
        </is>
      </c>
      <c r="B10070" s="1" t="n">
        <v>45106</v>
      </c>
      <c r="C10070" s="1" t="n">
        <v>45357</v>
      </c>
      <c r="D10070" t="inlineStr">
        <is>
          <t>VÄSTERBOTTENS LÄN</t>
        </is>
      </c>
      <c r="E10070" t="inlineStr">
        <is>
          <t>STORUMAN</t>
        </is>
      </c>
      <c r="F10070" t="inlineStr">
        <is>
          <t>Sveaskog</t>
        </is>
      </c>
      <c r="G10070" t="n">
        <v>14.7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29577-2023</t>
        </is>
      </c>
      <c r="B10071" s="1" t="n">
        <v>45106</v>
      </c>
      <c r="C10071" s="1" t="n">
        <v>45357</v>
      </c>
      <c r="D10071" t="inlineStr">
        <is>
          <t>VÄSTERBOTTENS LÄN</t>
        </is>
      </c>
      <c r="E10071" t="inlineStr">
        <is>
          <t>STORUMAN</t>
        </is>
      </c>
      <c r="F10071" t="inlineStr">
        <is>
          <t>Sveaskog</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29595-2023</t>
        </is>
      </c>
      <c r="B10072" s="1" t="n">
        <v>45107</v>
      </c>
      <c r="C10072" s="1" t="n">
        <v>45357</v>
      </c>
      <c r="D10072" t="inlineStr">
        <is>
          <t>VÄSTERBOTTENS LÄN</t>
        </is>
      </c>
      <c r="E10072" t="inlineStr">
        <is>
          <t>SKELLEFTEÅ</t>
        </is>
      </c>
      <c r="G10072" t="n">
        <v>23.7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31762-2023</t>
        </is>
      </c>
      <c r="B10073" s="1" t="n">
        <v>45106</v>
      </c>
      <c r="C10073" s="1" t="n">
        <v>45357</v>
      </c>
      <c r="D10073" t="inlineStr">
        <is>
          <t>VÄSTERBOTTENS LÄN</t>
        </is>
      </c>
      <c r="E10073" t="inlineStr">
        <is>
          <t>BJURHOLM</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31790-2023</t>
        </is>
      </c>
      <c r="B10074" s="1" t="n">
        <v>45106</v>
      </c>
      <c r="C10074" s="1" t="n">
        <v>45357</v>
      </c>
      <c r="D10074" t="inlineStr">
        <is>
          <t>VÄSTERBOTTENS LÄN</t>
        </is>
      </c>
      <c r="E10074" t="inlineStr">
        <is>
          <t>STORUMAN</t>
        </is>
      </c>
      <c r="G10074" t="n">
        <v>22.1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31807-2023</t>
        </is>
      </c>
      <c r="B10075" s="1" t="n">
        <v>45106</v>
      </c>
      <c r="C10075" s="1" t="n">
        <v>45357</v>
      </c>
      <c r="D10075" t="inlineStr">
        <is>
          <t>VÄSTERBOTTENS LÄN</t>
        </is>
      </c>
      <c r="E10075" t="inlineStr">
        <is>
          <t>BJURHOLM</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31760-2023</t>
        </is>
      </c>
      <c r="B10076" s="1" t="n">
        <v>45106</v>
      </c>
      <c r="C10076" s="1" t="n">
        <v>45357</v>
      </c>
      <c r="D10076" t="inlineStr">
        <is>
          <t>VÄSTERBOTTENS LÄN</t>
        </is>
      </c>
      <c r="E10076" t="inlineStr">
        <is>
          <t>SKELLEFTEÅ</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31804-2023</t>
        </is>
      </c>
      <c r="B10077" s="1" t="n">
        <v>45106</v>
      </c>
      <c r="C10077" s="1" t="n">
        <v>45357</v>
      </c>
      <c r="D10077" t="inlineStr">
        <is>
          <t>VÄSTERBOTTENS LÄN</t>
        </is>
      </c>
      <c r="E10077" t="inlineStr">
        <is>
          <t>STORUMAN</t>
        </is>
      </c>
      <c r="G10077" t="n">
        <v>16.4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29616-2023</t>
        </is>
      </c>
      <c r="B10078" s="1" t="n">
        <v>45106</v>
      </c>
      <c r="C10078" s="1" t="n">
        <v>45357</v>
      </c>
      <c r="D10078" t="inlineStr">
        <is>
          <t>VÄSTERBOTTENS LÄN</t>
        </is>
      </c>
      <c r="E10078" t="inlineStr">
        <is>
          <t>ÅSELE</t>
        </is>
      </c>
      <c r="F10078" t="inlineStr">
        <is>
          <t>SCA</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31833-2023</t>
        </is>
      </c>
      <c r="B10079" s="1" t="n">
        <v>45106</v>
      </c>
      <c r="C10079" s="1" t="n">
        <v>45357</v>
      </c>
      <c r="D10079" t="inlineStr">
        <is>
          <t>VÄSTERBOTTENS LÄN</t>
        </is>
      </c>
      <c r="E10079" t="inlineStr">
        <is>
          <t>SORSELE</t>
        </is>
      </c>
      <c r="G10079" t="n">
        <v>10.8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29617-2023</t>
        </is>
      </c>
      <c r="B10080" s="1" t="n">
        <v>45107</v>
      </c>
      <c r="C10080" s="1" t="n">
        <v>45357</v>
      </c>
      <c r="D10080" t="inlineStr">
        <is>
          <t>VÄSTERBOTTENS LÄN</t>
        </is>
      </c>
      <c r="E10080" t="inlineStr">
        <is>
          <t>ÅSELE</t>
        </is>
      </c>
      <c r="F10080" t="inlineStr">
        <is>
          <t>SCA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29640-2023</t>
        </is>
      </c>
      <c r="B10081" s="1" t="n">
        <v>45106</v>
      </c>
      <c r="C10081" s="1" t="n">
        <v>45357</v>
      </c>
      <c r="D10081" t="inlineStr">
        <is>
          <t>VÄSTERBOTTENS LÄN</t>
        </is>
      </c>
      <c r="E10081" t="inlineStr">
        <is>
          <t>UMEÅ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29675-2023</t>
        </is>
      </c>
      <c r="B10082" s="1" t="n">
        <v>45107</v>
      </c>
      <c r="C10082" s="1" t="n">
        <v>45357</v>
      </c>
      <c r="D10082" t="inlineStr">
        <is>
          <t>VÄSTERBOTTENS LÄN</t>
        </is>
      </c>
      <c r="E10082" t="inlineStr">
        <is>
          <t>LYCKSELE</t>
        </is>
      </c>
      <c r="F10082" t="inlineStr">
        <is>
          <t>Holmen skog AB</t>
        </is>
      </c>
      <c r="G10082" t="n">
        <v>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29747-2023</t>
        </is>
      </c>
      <c r="B10083" s="1" t="n">
        <v>45107</v>
      </c>
      <c r="C10083" s="1" t="n">
        <v>45357</v>
      </c>
      <c r="D10083" t="inlineStr">
        <is>
          <t>VÄSTERBOTTENS LÄN</t>
        </is>
      </c>
      <c r="E10083" t="inlineStr">
        <is>
          <t>STORUMAN</t>
        </is>
      </c>
      <c r="F10083" t="inlineStr">
        <is>
          <t>Holmen skog AB</t>
        </is>
      </c>
      <c r="G10083" t="n">
        <v>13.3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29780-2023</t>
        </is>
      </c>
      <c r="B10084" s="1" t="n">
        <v>45107</v>
      </c>
      <c r="C10084" s="1" t="n">
        <v>45357</v>
      </c>
      <c r="D10084" t="inlineStr">
        <is>
          <t>VÄSTERBOTTENS LÄN</t>
        </is>
      </c>
      <c r="E10084" t="inlineStr">
        <is>
          <t>NORSJÖ</t>
        </is>
      </c>
      <c r="F10084" t="inlineStr">
        <is>
          <t>Sveaskog</t>
        </is>
      </c>
      <c r="G10084" t="n">
        <v>13.4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29804-2023</t>
        </is>
      </c>
      <c r="B10085" s="1" t="n">
        <v>45107</v>
      </c>
      <c r="C10085" s="1" t="n">
        <v>45357</v>
      </c>
      <c r="D10085" t="inlineStr">
        <is>
          <t>VÄSTERBOTTENS LÄN</t>
        </is>
      </c>
      <c r="E10085" t="inlineStr">
        <is>
          <t>NORSJÖ</t>
        </is>
      </c>
      <c r="F10085" t="inlineStr">
        <is>
          <t>Sveaskog</t>
        </is>
      </c>
      <c r="G10085" t="n">
        <v>27.1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29863-2023</t>
        </is>
      </c>
      <c r="B10086" s="1" t="n">
        <v>45107</v>
      </c>
      <c r="C10086" s="1" t="n">
        <v>45357</v>
      </c>
      <c r="D10086" t="inlineStr">
        <is>
          <t>VÄSTERBOTTENS LÄN</t>
        </is>
      </c>
      <c r="E10086" t="inlineStr">
        <is>
          <t>NORSJÖ</t>
        </is>
      </c>
      <c r="F10086" t="inlineStr">
        <is>
          <t>Sveaskog</t>
        </is>
      </c>
      <c r="G10086" t="n">
        <v>13.5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29879-2023</t>
        </is>
      </c>
      <c r="B10087" s="1" t="n">
        <v>45107</v>
      </c>
      <c r="C10087" s="1" t="n">
        <v>45357</v>
      </c>
      <c r="D10087" t="inlineStr">
        <is>
          <t>VÄSTERBOTTENS LÄN</t>
        </is>
      </c>
      <c r="E10087" t="inlineStr">
        <is>
          <t>SORSELE</t>
        </is>
      </c>
      <c r="F10087" t="inlineStr">
        <is>
          <t>Sveaskog</t>
        </is>
      </c>
      <c r="G10087" t="n">
        <v>30.8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29887-2023</t>
        </is>
      </c>
      <c r="B10088" s="1" t="n">
        <v>45107</v>
      </c>
      <c r="C10088" s="1" t="n">
        <v>45357</v>
      </c>
      <c r="D10088" t="inlineStr">
        <is>
          <t>VÄSTERBOTTENS LÄN</t>
        </is>
      </c>
      <c r="E10088" t="inlineStr">
        <is>
          <t>SKELLEFTEÅ</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29891-2023</t>
        </is>
      </c>
      <c r="B10089" s="1" t="n">
        <v>45107</v>
      </c>
      <c r="C10089" s="1" t="n">
        <v>45357</v>
      </c>
      <c r="D10089" t="inlineStr">
        <is>
          <t>VÄSTERBOTTENS LÄN</t>
        </is>
      </c>
      <c r="E10089" t="inlineStr">
        <is>
          <t>SKELLEFTEÅ</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29798-2023</t>
        </is>
      </c>
      <c r="B10090" s="1" t="n">
        <v>45107</v>
      </c>
      <c r="C10090" s="1" t="n">
        <v>45357</v>
      </c>
      <c r="D10090" t="inlineStr">
        <is>
          <t>VÄSTERBOTTENS LÄN</t>
        </is>
      </c>
      <c r="E10090" t="inlineStr">
        <is>
          <t>NORSJÖ</t>
        </is>
      </c>
      <c r="F10090" t="inlineStr">
        <is>
          <t>Sveaskog</t>
        </is>
      </c>
      <c r="G10090" t="n">
        <v>7.4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29806-2023</t>
        </is>
      </c>
      <c r="B10091" s="1" t="n">
        <v>45107</v>
      </c>
      <c r="C10091" s="1" t="n">
        <v>45357</v>
      </c>
      <c r="D10091" t="inlineStr">
        <is>
          <t>VÄSTERBOTTENS LÄN</t>
        </is>
      </c>
      <c r="E10091" t="inlineStr">
        <is>
          <t>NORSJÖ</t>
        </is>
      </c>
      <c r="F10091" t="inlineStr">
        <is>
          <t>Sveaskog</t>
        </is>
      </c>
      <c r="G10091" t="n">
        <v>16.2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29827-2023</t>
        </is>
      </c>
      <c r="B10092" s="1" t="n">
        <v>45107</v>
      </c>
      <c r="C10092" s="1" t="n">
        <v>45357</v>
      </c>
      <c r="D10092" t="inlineStr">
        <is>
          <t>VÄSTERBOTTENS LÄN</t>
        </is>
      </c>
      <c r="E10092" t="inlineStr">
        <is>
          <t>UMEÅ</t>
        </is>
      </c>
      <c r="G10092" t="n">
        <v>11.9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29850-2023</t>
        </is>
      </c>
      <c r="B10093" s="1" t="n">
        <v>45107</v>
      </c>
      <c r="C10093" s="1" t="n">
        <v>45357</v>
      </c>
      <c r="D10093" t="inlineStr">
        <is>
          <t>VÄSTERBOTTENS LÄN</t>
        </is>
      </c>
      <c r="E10093" t="inlineStr">
        <is>
          <t>BJURHOLM</t>
        </is>
      </c>
      <c r="F10093" t="inlineStr">
        <is>
          <t>Sveaskog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29861-2023</t>
        </is>
      </c>
      <c r="B10094" s="1" t="n">
        <v>45107</v>
      </c>
      <c r="C10094" s="1" t="n">
        <v>45357</v>
      </c>
      <c r="D10094" t="inlineStr">
        <is>
          <t>VÄSTERBOTTENS LÄN</t>
        </is>
      </c>
      <c r="E10094" t="inlineStr">
        <is>
          <t>LYCKSELE</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29899-2023</t>
        </is>
      </c>
      <c r="B10095" s="1" t="n">
        <v>45107</v>
      </c>
      <c r="C10095" s="1" t="n">
        <v>45357</v>
      </c>
      <c r="D10095" t="inlineStr">
        <is>
          <t>VÄSTERBOTTENS LÄN</t>
        </is>
      </c>
      <c r="E10095" t="inlineStr">
        <is>
          <t>NORDMALING</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29903-2023</t>
        </is>
      </c>
      <c r="B10096" s="1" t="n">
        <v>45107</v>
      </c>
      <c r="C10096" s="1" t="n">
        <v>45357</v>
      </c>
      <c r="D10096" t="inlineStr">
        <is>
          <t>VÄSTERBOTTENS LÄN</t>
        </is>
      </c>
      <c r="E10096" t="inlineStr">
        <is>
          <t>MALÅ</t>
        </is>
      </c>
      <c r="F10096" t="inlineStr">
        <is>
          <t>Sveaskog</t>
        </is>
      </c>
      <c r="G10096" t="n">
        <v>13.5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29897-2023</t>
        </is>
      </c>
      <c r="B10097" s="1" t="n">
        <v>45107</v>
      </c>
      <c r="C10097" s="1" t="n">
        <v>45357</v>
      </c>
      <c r="D10097" t="inlineStr">
        <is>
          <t>VÄSTERBOTTENS LÄN</t>
        </is>
      </c>
      <c r="E10097" t="inlineStr">
        <is>
          <t>MALÅ</t>
        </is>
      </c>
      <c r="F10097" t="inlineStr">
        <is>
          <t>Sveaskog</t>
        </is>
      </c>
      <c r="G10097" t="n">
        <v>14.7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29726-2023</t>
        </is>
      </c>
      <c r="B10098" s="1" t="n">
        <v>45107</v>
      </c>
      <c r="C10098" s="1" t="n">
        <v>45357</v>
      </c>
      <c r="D10098" t="inlineStr">
        <is>
          <t>VÄSTERBOTTENS LÄN</t>
        </is>
      </c>
      <c r="E10098" t="inlineStr">
        <is>
          <t>ÅSELE</t>
        </is>
      </c>
      <c r="F10098" t="inlineStr">
        <is>
          <t>Holmen skog AB</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29776-2023</t>
        </is>
      </c>
      <c r="B10099" s="1" t="n">
        <v>45107</v>
      </c>
      <c r="C10099" s="1" t="n">
        <v>45357</v>
      </c>
      <c r="D10099" t="inlineStr">
        <is>
          <t>VÄSTERBOTTENS LÄN</t>
        </is>
      </c>
      <c r="E10099" t="inlineStr">
        <is>
          <t>NORSJÖ</t>
        </is>
      </c>
      <c r="F10099" t="inlineStr">
        <is>
          <t>Sveaskog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29814-2023</t>
        </is>
      </c>
      <c r="B10100" s="1" t="n">
        <v>45107</v>
      </c>
      <c r="C10100" s="1" t="n">
        <v>45357</v>
      </c>
      <c r="D10100" t="inlineStr">
        <is>
          <t>VÄSTERBOTTENS LÄN</t>
        </is>
      </c>
      <c r="E10100" t="inlineStr">
        <is>
          <t>UMEÅ</t>
        </is>
      </c>
      <c r="F10100" t="inlineStr">
        <is>
          <t>Holmen skog AB</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29835-2023</t>
        </is>
      </c>
      <c r="B10101" s="1" t="n">
        <v>45107</v>
      </c>
      <c r="C10101" s="1" t="n">
        <v>45357</v>
      </c>
      <c r="D10101" t="inlineStr">
        <is>
          <t>VÄSTERBOTTENS LÄN</t>
        </is>
      </c>
      <c r="E10101" t="inlineStr">
        <is>
          <t>LYCKSELE</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29844-2023</t>
        </is>
      </c>
      <c r="B10102" s="1" t="n">
        <v>45107</v>
      </c>
      <c r="C10102" s="1" t="n">
        <v>45357</v>
      </c>
      <c r="D10102" t="inlineStr">
        <is>
          <t>VÄSTERBOTTENS LÄN</t>
        </is>
      </c>
      <c r="E10102" t="inlineStr">
        <is>
          <t>LYCKSELE</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29900-2023</t>
        </is>
      </c>
      <c r="B10103" s="1" t="n">
        <v>45107</v>
      </c>
      <c r="C10103" s="1" t="n">
        <v>45357</v>
      </c>
      <c r="D10103" t="inlineStr">
        <is>
          <t>VÄSTERBOTTENS LÄN</t>
        </is>
      </c>
      <c r="E10103" t="inlineStr">
        <is>
          <t>MALÅ</t>
        </is>
      </c>
      <c r="F10103" t="inlineStr">
        <is>
          <t>Sveaskog</t>
        </is>
      </c>
      <c r="G10103" t="n">
        <v>10.1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29732-2023</t>
        </is>
      </c>
      <c r="B10104" s="1" t="n">
        <v>45107</v>
      </c>
      <c r="C10104" s="1" t="n">
        <v>45357</v>
      </c>
      <c r="D10104" t="inlineStr">
        <is>
          <t>VÄSTERBOTTENS LÄN</t>
        </is>
      </c>
      <c r="E10104" t="inlineStr">
        <is>
          <t>SORSELE</t>
        </is>
      </c>
      <c r="G10104" t="n">
        <v>6.7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29783-2023</t>
        </is>
      </c>
      <c r="B10105" s="1" t="n">
        <v>45107</v>
      </c>
      <c r="C10105" s="1" t="n">
        <v>45357</v>
      </c>
      <c r="D10105" t="inlineStr">
        <is>
          <t>VÄSTERBOTTENS LÄN</t>
        </is>
      </c>
      <c r="E10105" t="inlineStr">
        <is>
          <t>NORSJÖ</t>
        </is>
      </c>
      <c r="F10105" t="inlineStr">
        <is>
          <t>Sveaskog</t>
        </is>
      </c>
      <c r="G10105" t="n">
        <v>10.3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29847-2023</t>
        </is>
      </c>
      <c r="B10106" s="1" t="n">
        <v>45107</v>
      </c>
      <c r="C10106" s="1" t="n">
        <v>45357</v>
      </c>
      <c r="D10106" t="inlineStr">
        <is>
          <t>VÄSTERBOTTENS LÄN</t>
        </is>
      </c>
      <c r="E10106" t="inlineStr">
        <is>
          <t>SORSELE</t>
        </is>
      </c>
      <c r="F10106" t="inlineStr">
        <is>
          <t>Sveaskog</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29890-2023</t>
        </is>
      </c>
      <c r="B10107" s="1" t="n">
        <v>45107</v>
      </c>
      <c r="C10107" s="1" t="n">
        <v>45357</v>
      </c>
      <c r="D10107" t="inlineStr">
        <is>
          <t>VÄSTERBOTTENS LÄN</t>
        </is>
      </c>
      <c r="E10107" t="inlineStr">
        <is>
          <t>SKELLEFTEÅ</t>
        </is>
      </c>
      <c r="G10107" t="n">
        <v>9.300000000000001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29932-2023</t>
        </is>
      </c>
      <c r="B10108" s="1" t="n">
        <v>45107</v>
      </c>
      <c r="C10108" s="1" t="n">
        <v>45357</v>
      </c>
      <c r="D10108" t="inlineStr">
        <is>
          <t>VÄSTERBOTTENS LÄN</t>
        </is>
      </c>
      <c r="E10108" t="inlineStr">
        <is>
          <t>SKELLEFTEÅ</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29933-2023</t>
        </is>
      </c>
      <c r="B10109" s="1" t="n">
        <v>45107</v>
      </c>
      <c r="C10109" s="1" t="n">
        <v>45357</v>
      </c>
      <c r="D10109" t="inlineStr">
        <is>
          <t>VÄSTERBOTTENS LÄN</t>
        </is>
      </c>
      <c r="E10109" t="inlineStr">
        <is>
          <t>ROBERTSFORS</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29937-2023</t>
        </is>
      </c>
      <c r="B10110" s="1" t="n">
        <v>45108</v>
      </c>
      <c r="C10110" s="1" t="n">
        <v>45357</v>
      </c>
      <c r="D10110" t="inlineStr">
        <is>
          <t>VÄSTERBOTTENS LÄN</t>
        </is>
      </c>
      <c r="E10110" t="inlineStr">
        <is>
          <t>NORSJÖ</t>
        </is>
      </c>
      <c r="G10110" t="n">
        <v>14.1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29953-2023</t>
        </is>
      </c>
      <c r="B10111" s="1" t="n">
        <v>45107</v>
      </c>
      <c r="C10111" s="1" t="n">
        <v>45357</v>
      </c>
      <c r="D10111" t="inlineStr">
        <is>
          <t>VÄSTERBOTTENS LÄN</t>
        </is>
      </c>
      <c r="E10111" t="inlineStr">
        <is>
          <t>DOROTEA</t>
        </is>
      </c>
      <c r="F10111" t="inlineStr">
        <is>
          <t>SCA</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29938-2023</t>
        </is>
      </c>
      <c r="B10112" s="1" t="n">
        <v>45108</v>
      </c>
      <c r="C10112" s="1" t="n">
        <v>45357</v>
      </c>
      <c r="D10112" t="inlineStr">
        <is>
          <t>VÄSTERBOTTENS LÄN</t>
        </is>
      </c>
      <c r="E10112" t="inlineStr">
        <is>
          <t>NORSJÖ</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29954-2023</t>
        </is>
      </c>
      <c r="B10113" s="1" t="n">
        <v>45107</v>
      </c>
      <c r="C10113" s="1" t="n">
        <v>45357</v>
      </c>
      <c r="D10113" t="inlineStr">
        <is>
          <t>VÄSTERBOTTENS LÄN</t>
        </is>
      </c>
      <c r="E10113" t="inlineStr">
        <is>
          <t>VILHELMINA</t>
        </is>
      </c>
      <c r="F10113" t="inlineStr">
        <is>
          <t>SCA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31954-2023</t>
        </is>
      </c>
      <c r="B10114" s="1" t="n">
        <v>45107</v>
      </c>
      <c r="C10114" s="1" t="n">
        <v>45357</v>
      </c>
      <c r="D10114" t="inlineStr">
        <is>
          <t>VÄSTERBOTTENS LÄN</t>
        </is>
      </c>
      <c r="E10114" t="inlineStr">
        <is>
          <t>ÅSELE</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31891-2023</t>
        </is>
      </c>
      <c r="B10115" s="1" t="n">
        <v>45107</v>
      </c>
      <c r="C10115" s="1" t="n">
        <v>45357</v>
      </c>
      <c r="D10115" t="inlineStr">
        <is>
          <t>VÄSTERBOTTENS LÄN</t>
        </is>
      </c>
      <c r="E10115" t="inlineStr">
        <is>
          <t>ÅSELE</t>
        </is>
      </c>
      <c r="F10115" t="inlineStr">
        <is>
          <t>Kommuner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31962-2023</t>
        </is>
      </c>
      <c r="B10116" s="1" t="n">
        <v>45107</v>
      </c>
      <c r="C10116" s="1" t="n">
        <v>45357</v>
      </c>
      <c r="D10116" t="inlineStr">
        <is>
          <t>VÄSTERBOTTENS LÄN</t>
        </is>
      </c>
      <c r="E10116" t="inlineStr">
        <is>
          <t>ÅSELE</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29967-2023</t>
        </is>
      </c>
      <c r="B10117" s="1" t="n">
        <v>45108</v>
      </c>
      <c r="C10117" s="1" t="n">
        <v>45357</v>
      </c>
      <c r="D10117" t="inlineStr">
        <is>
          <t>VÄSTERBOTTENS LÄN</t>
        </is>
      </c>
      <c r="E10117" t="inlineStr">
        <is>
          <t>SKELLEFTEÅ</t>
        </is>
      </c>
      <c r="F10117" t="inlineStr">
        <is>
          <t>Holmen skog AB</t>
        </is>
      </c>
      <c r="G10117" t="n">
        <v>7.7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29968-2023</t>
        </is>
      </c>
      <c r="B10118" s="1" t="n">
        <v>45108</v>
      </c>
      <c r="C10118" s="1" t="n">
        <v>45357</v>
      </c>
      <c r="D10118" t="inlineStr">
        <is>
          <t>VÄSTERBOTTENS LÄN</t>
        </is>
      </c>
      <c r="E10118" t="inlineStr">
        <is>
          <t>SKELLEFTEÅ</t>
        </is>
      </c>
      <c r="F10118" t="inlineStr">
        <is>
          <t>Holmen skog AB</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29972-2023</t>
        </is>
      </c>
      <c r="B10119" s="1" t="n">
        <v>45108</v>
      </c>
      <c r="C10119" s="1" t="n">
        <v>45357</v>
      </c>
      <c r="D10119" t="inlineStr">
        <is>
          <t>VÄSTERBOTTENS LÄN</t>
        </is>
      </c>
      <c r="E10119" t="inlineStr">
        <is>
          <t>ROBERTSFORS</t>
        </is>
      </c>
      <c r="F10119" t="inlineStr">
        <is>
          <t>Holmen skog AB</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29976-2023</t>
        </is>
      </c>
      <c r="B10120" s="1" t="n">
        <v>45108</v>
      </c>
      <c r="C10120" s="1" t="n">
        <v>45357</v>
      </c>
      <c r="D10120" t="inlineStr">
        <is>
          <t>VÄSTERBOTTENS LÄN</t>
        </is>
      </c>
      <c r="E10120" t="inlineStr">
        <is>
          <t>SKELLEFTEÅ</t>
        </is>
      </c>
      <c r="F10120" t="inlineStr">
        <is>
          <t>Holmen skog AB</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29970-2023</t>
        </is>
      </c>
      <c r="B10121" s="1" t="n">
        <v>45108</v>
      </c>
      <c r="C10121" s="1" t="n">
        <v>45357</v>
      </c>
      <c r="D10121" t="inlineStr">
        <is>
          <t>VÄSTERBOTTENS LÄN</t>
        </is>
      </c>
      <c r="E10121" t="inlineStr">
        <is>
          <t>SKELLEFTEÅ</t>
        </is>
      </c>
      <c r="F10121" t="inlineStr">
        <is>
          <t>Holmen skog AB</t>
        </is>
      </c>
      <c r="G10121" t="n">
        <v>20.6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29974-2023</t>
        </is>
      </c>
      <c r="B10122" s="1" t="n">
        <v>45108</v>
      </c>
      <c r="C10122" s="1" t="n">
        <v>45357</v>
      </c>
      <c r="D10122" t="inlineStr">
        <is>
          <t>VÄSTERBOTTENS LÄN</t>
        </is>
      </c>
      <c r="E10122" t="inlineStr">
        <is>
          <t>SKELLEFTEÅ</t>
        </is>
      </c>
      <c r="F10122" t="inlineStr">
        <is>
          <t>Holmen skog AB</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30010-2023</t>
        </is>
      </c>
      <c r="B10123" s="1" t="n">
        <v>45109</v>
      </c>
      <c r="C10123" s="1" t="n">
        <v>45357</v>
      </c>
      <c r="D10123" t="inlineStr">
        <is>
          <t>VÄSTERBOTTENS LÄN</t>
        </is>
      </c>
      <c r="E10123" t="inlineStr">
        <is>
          <t>SKELLEFTEÅ</t>
        </is>
      </c>
      <c r="F10123" t="inlineStr">
        <is>
          <t>Sveaskog</t>
        </is>
      </c>
      <c r="G10123" t="n">
        <v>9.5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30266-2023</t>
        </is>
      </c>
      <c r="B10124" s="1" t="n">
        <v>45110</v>
      </c>
      <c r="C10124" s="1" t="n">
        <v>45357</v>
      </c>
      <c r="D10124" t="inlineStr">
        <is>
          <t>VÄSTERBOTTENS LÄN</t>
        </is>
      </c>
      <c r="E10124" t="inlineStr">
        <is>
          <t>UMEÅ</t>
        </is>
      </c>
      <c r="F10124" t="inlineStr">
        <is>
          <t>Holmen skog AB</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30271-2023</t>
        </is>
      </c>
      <c r="B10125" s="1" t="n">
        <v>45110</v>
      </c>
      <c r="C10125" s="1" t="n">
        <v>45357</v>
      </c>
      <c r="D10125" t="inlineStr">
        <is>
          <t>VÄSTERBOTTENS LÄN</t>
        </is>
      </c>
      <c r="E10125" t="inlineStr">
        <is>
          <t>LYCKSELE</t>
        </is>
      </c>
      <c r="F10125" t="inlineStr">
        <is>
          <t>Sveaskog</t>
        </is>
      </c>
      <c r="G10125" t="n">
        <v>8.300000000000001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30286-2023</t>
        </is>
      </c>
      <c r="B10126" s="1" t="n">
        <v>45110</v>
      </c>
      <c r="C10126" s="1" t="n">
        <v>45357</v>
      </c>
      <c r="D10126" t="inlineStr">
        <is>
          <t>VÄSTERBOTTENS LÄN</t>
        </is>
      </c>
      <c r="E10126" t="inlineStr">
        <is>
          <t>DOROTEA</t>
        </is>
      </c>
      <c r="G10126" t="n">
        <v>21.2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30258-2023</t>
        </is>
      </c>
      <c r="B10127" s="1" t="n">
        <v>45110</v>
      </c>
      <c r="C10127" s="1" t="n">
        <v>45357</v>
      </c>
      <c r="D10127" t="inlineStr">
        <is>
          <t>VÄSTERBOTTENS LÄN</t>
        </is>
      </c>
      <c r="E10127" t="inlineStr">
        <is>
          <t>UMEÅ</t>
        </is>
      </c>
      <c r="F10127" t="inlineStr">
        <is>
          <t>Holmen skog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30296-2023</t>
        </is>
      </c>
      <c r="B10128" s="1" t="n">
        <v>45110</v>
      </c>
      <c r="C10128" s="1" t="n">
        <v>45357</v>
      </c>
      <c r="D10128" t="inlineStr">
        <is>
          <t>VÄSTERBOTTENS LÄN</t>
        </is>
      </c>
      <c r="E10128" t="inlineStr">
        <is>
          <t>DOROTEA</t>
        </is>
      </c>
      <c r="F10128" t="inlineStr">
        <is>
          <t>SCA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30153-2023</t>
        </is>
      </c>
      <c r="B10129" s="1" t="n">
        <v>45110</v>
      </c>
      <c r="C10129" s="1" t="n">
        <v>45357</v>
      </c>
      <c r="D10129" t="inlineStr">
        <is>
          <t>VÄSTERBOTTENS LÄN</t>
        </is>
      </c>
      <c r="E10129" t="inlineStr">
        <is>
          <t>SORSELE</t>
        </is>
      </c>
      <c r="F10129" t="inlineStr">
        <is>
          <t>Sveaskog</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30212-2023</t>
        </is>
      </c>
      <c r="B10130" s="1" t="n">
        <v>45110</v>
      </c>
      <c r="C10130" s="1" t="n">
        <v>45357</v>
      </c>
      <c r="D10130" t="inlineStr">
        <is>
          <t>VÄSTERBOTTENS LÄN</t>
        </is>
      </c>
      <c r="E10130" t="inlineStr">
        <is>
          <t>SKELLEFTEÅ</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30216-2023</t>
        </is>
      </c>
      <c r="B10131" s="1" t="n">
        <v>45110</v>
      </c>
      <c r="C10131" s="1" t="n">
        <v>45357</v>
      </c>
      <c r="D10131" t="inlineStr">
        <is>
          <t>VÄSTERBOTTENS LÄN</t>
        </is>
      </c>
      <c r="E10131" t="inlineStr">
        <is>
          <t>UMEÅ</t>
        </is>
      </c>
      <c r="F10131" t="inlineStr">
        <is>
          <t>Holmen skog AB</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30270-2023</t>
        </is>
      </c>
      <c r="B10132" s="1" t="n">
        <v>45110</v>
      </c>
      <c r="C10132" s="1" t="n">
        <v>45357</v>
      </c>
      <c r="D10132" t="inlineStr">
        <is>
          <t>VÄSTERBOTTENS LÄN</t>
        </is>
      </c>
      <c r="E10132" t="inlineStr">
        <is>
          <t>LYCKSELE</t>
        </is>
      </c>
      <c r="F10132" t="inlineStr">
        <is>
          <t>Sveaskog</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32400-2023</t>
        </is>
      </c>
      <c r="B10133" s="1" t="n">
        <v>45110</v>
      </c>
      <c r="C10133" s="1" t="n">
        <v>45357</v>
      </c>
      <c r="D10133" t="inlineStr">
        <is>
          <t>VÄSTERBOTTENS LÄN</t>
        </is>
      </c>
      <c r="E10133" t="inlineStr">
        <is>
          <t>NORDMALING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32393-2023</t>
        </is>
      </c>
      <c r="B10134" s="1" t="n">
        <v>45110</v>
      </c>
      <c r="C10134" s="1" t="n">
        <v>45357</v>
      </c>
      <c r="D10134" t="inlineStr">
        <is>
          <t>VÄSTERBOTTENS LÄN</t>
        </is>
      </c>
      <c r="E10134" t="inlineStr">
        <is>
          <t>BJURHOLM</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30485-2023</t>
        </is>
      </c>
      <c r="B10135" s="1" t="n">
        <v>45111</v>
      </c>
      <c r="C10135" s="1" t="n">
        <v>45357</v>
      </c>
      <c r="D10135" t="inlineStr">
        <is>
          <t>VÄSTERBOTTENS LÄN</t>
        </is>
      </c>
      <c r="E10135" t="inlineStr">
        <is>
          <t>SKELLEFTEÅ</t>
        </is>
      </c>
      <c r="F10135" t="inlineStr">
        <is>
          <t>Sveaskog</t>
        </is>
      </c>
      <c r="G10135" t="n">
        <v>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30329-2023</t>
        </is>
      </c>
      <c r="B10136" s="1" t="n">
        <v>45111</v>
      </c>
      <c r="C10136" s="1" t="n">
        <v>45357</v>
      </c>
      <c r="D10136" t="inlineStr">
        <is>
          <t>VÄSTERBOTTENS LÄN</t>
        </is>
      </c>
      <c r="E10136" t="inlineStr">
        <is>
          <t>SKELLEFTEÅ</t>
        </is>
      </c>
      <c r="G10136" t="n">
        <v>11.1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30341-2023</t>
        </is>
      </c>
      <c r="B10137" s="1" t="n">
        <v>45111</v>
      </c>
      <c r="C10137" s="1" t="n">
        <v>45357</v>
      </c>
      <c r="D10137" t="inlineStr">
        <is>
          <t>VÄSTERBOTTENS LÄN</t>
        </is>
      </c>
      <c r="E10137" t="inlineStr">
        <is>
          <t>ROBERTSFORS</t>
        </is>
      </c>
      <c r="F10137" t="inlineStr">
        <is>
          <t>Sveaskog</t>
        </is>
      </c>
      <c r="G10137" t="n">
        <v>13.7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30553-2023</t>
        </is>
      </c>
      <c r="B10138" s="1" t="n">
        <v>45111</v>
      </c>
      <c r="C10138" s="1" t="n">
        <v>45357</v>
      </c>
      <c r="D10138" t="inlineStr">
        <is>
          <t>VÄSTERBOTTENS LÄN</t>
        </is>
      </c>
      <c r="E10138" t="inlineStr">
        <is>
          <t>UMEÅ</t>
        </is>
      </c>
      <c r="G10138" t="n">
        <v>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30561-2023</t>
        </is>
      </c>
      <c r="B10139" s="1" t="n">
        <v>45112</v>
      </c>
      <c r="C10139" s="1" t="n">
        <v>45357</v>
      </c>
      <c r="D10139" t="inlineStr">
        <is>
          <t>VÄSTERBOTTENS LÄN</t>
        </is>
      </c>
      <c r="E10139" t="inlineStr">
        <is>
          <t>DOROTEA</t>
        </is>
      </c>
      <c r="G10139" t="n">
        <v>38.5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30540-2023</t>
        </is>
      </c>
      <c r="B10140" s="1" t="n">
        <v>45111</v>
      </c>
      <c r="C10140" s="1" t="n">
        <v>45357</v>
      </c>
      <c r="D10140" t="inlineStr">
        <is>
          <t>VÄSTERBOTTENS LÄN</t>
        </is>
      </c>
      <c r="E10140" t="inlineStr">
        <is>
          <t>SKELLEFTEÅ</t>
        </is>
      </c>
      <c r="F10140" t="inlineStr">
        <is>
          <t>Holmen skog AB</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30369-2023</t>
        </is>
      </c>
      <c r="B10141" s="1" t="n">
        <v>45111</v>
      </c>
      <c r="C10141" s="1" t="n">
        <v>45357</v>
      </c>
      <c r="D10141" t="inlineStr">
        <is>
          <t>VÄSTERBOTTENS LÄN</t>
        </is>
      </c>
      <c r="E10141" t="inlineStr">
        <is>
          <t>SKELLEFTEÅ</t>
        </is>
      </c>
      <c r="F10141" t="inlineStr">
        <is>
          <t>Holmen skog AB</t>
        </is>
      </c>
      <c r="G10141" t="n">
        <v>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32618-2023</t>
        </is>
      </c>
      <c r="B10142" s="1" t="n">
        <v>45111</v>
      </c>
      <c r="C10142" s="1" t="n">
        <v>45357</v>
      </c>
      <c r="D10142" t="inlineStr">
        <is>
          <t>VÄSTERBOTTENS LÄN</t>
        </is>
      </c>
      <c r="E10142" t="inlineStr">
        <is>
          <t>MALÅ</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32629-2023</t>
        </is>
      </c>
      <c r="B10143" s="1" t="n">
        <v>45111</v>
      </c>
      <c r="C10143" s="1" t="n">
        <v>45357</v>
      </c>
      <c r="D10143" t="inlineStr">
        <is>
          <t>VÄSTERBOTTENS LÄN</t>
        </is>
      </c>
      <c r="E10143" t="inlineStr">
        <is>
          <t>MALÅ</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30570-2023</t>
        </is>
      </c>
      <c r="B10144" s="1" t="n">
        <v>45111</v>
      </c>
      <c r="C10144" s="1" t="n">
        <v>45357</v>
      </c>
      <c r="D10144" t="inlineStr">
        <is>
          <t>VÄSTERBOTTENS LÄN</t>
        </is>
      </c>
      <c r="E10144" t="inlineStr">
        <is>
          <t>DOROTEA</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32623-2023</t>
        </is>
      </c>
      <c r="B10145" s="1" t="n">
        <v>45111</v>
      </c>
      <c r="C10145" s="1" t="n">
        <v>45357</v>
      </c>
      <c r="D10145" t="inlineStr">
        <is>
          <t>VÄSTERBOTTENS LÄN</t>
        </is>
      </c>
      <c r="E10145" t="inlineStr">
        <is>
          <t>MALÅ</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32636-2023</t>
        </is>
      </c>
      <c r="B10146" s="1" t="n">
        <v>45111</v>
      </c>
      <c r="C10146" s="1" t="n">
        <v>45357</v>
      </c>
      <c r="D10146" t="inlineStr">
        <is>
          <t>VÄSTERBOTTENS LÄN</t>
        </is>
      </c>
      <c r="E10146" t="inlineStr">
        <is>
          <t>SORSELE</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32641-2023</t>
        </is>
      </c>
      <c r="B10147" s="1" t="n">
        <v>45111</v>
      </c>
      <c r="C10147" s="1" t="n">
        <v>45357</v>
      </c>
      <c r="D10147" t="inlineStr">
        <is>
          <t>VÄSTERBOTTENS LÄN</t>
        </is>
      </c>
      <c r="E10147" t="inlineStr">
        <is>
          <t>MALÅ</t>
        </is>
      </c>
      <c r="G10147" t="n">
        <v>13.5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32632-2023</t>
        </is>
      </c>
      <c r="B10148" s="1" t="n">
        <v>45111</v>
      </c>
      <c r="C10148" s="1" t="n">
        <v>45357</v>
      </c>
      <c r="D10148" t="inlineStr">
        <is>
          <t>VÄSTERBOTTENS LÄN</t>
        </is>
      </c>
      <c r="E10148" t="inlineStr">
        <is>
          <t>MALÅ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32679-2023</t>
        </is>
      </c>
      <c r="B10149" s="1" t="n">
        <v>45111</v>
      </c>
      <c r="C10149" s="1" t="n">
        <v>45357</v>
      </c>
      <c r="D10149" t="inlineStr">
        <is>
          <t>VÄSTERBOTTENS LÄN</t>
        </is>
      </c>
      <c r="E10149" t="inlineStr">
        <is>
          <t>MALÅ</t>
        </is>
      </c>
      <c r="G10149" t="n">
        <v>14.9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30641-2023</t>
        </is>
      </c>
      <c r="B10150" s="1" t="n">
        <v>45112</v>
      </c>
      <c r="C10150" s="1" t="n">
        <v>45357</v>
      </c>
      <c r="D10150" t="inlineStr">
        <is>
          <t>VÄSTERBOTTENS LÄN</t>
        </is>
      </c>
      <c r="E10150" t="inlineStr">
        <is>
          <t>BJURHOLM</t>
        </is>
      </c>
      <c r="F10150" t="inlineStr">
        <is>
          <t>Holmen skog AB</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30686-2023</t>
        </is>
      </c>
      <c r="B10151" s="1" t="n">
        <v>45112</v>
      </c>
      <c r="C10151" s="1" t="n">
        <v>45357</v>
      </c>
      <c r="D10151" t="inlineStr">
        <is>
          <t>VÄSTERBOTTENS LÄN</t>
        </is>
      </c>
      <c r="E10151" t="inlineStr">
        <is>
          <t>SKELLEFTEÅ</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30715-2023</t>
        </is>
      </c>
      <c r="B10152" s="1" t="n">
        <v>45112</v>
      </c>
      <c r="C10152" s="1" t="n">
        <v>45357</v>
      </c>
      <c r="D10152" t="inlineStr">
        <is>
          <t>VÄSTERBOTTENS LÄN</t>
        </is>
      </c>
      <c r="E10152" t="inlineStr">
        <is>
          <t>BJURHOLM</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30594-2023</t>
        </is>
      </c>
      <c r="B10153" s="1" t="n">
        <v>45112</v>
      </c>
      <c r="C10153" s="1" t="n">
        <v>45357</v>
      </c>
      <c r="D10153" t="inlineStr">
        <is>
          <t>VÄSTERBOTTENS LÄN</t>
        </is>
      </c>
      <c r="E10153" t="inlineStr">
        <is>
          <t>ÅSELE</t>
        </is>
      </c>
      <c r="F10153" t="inlineStr">
        <is>
          <t>Naturvårdsverket</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30642-2023</t>
        </is>
      </c>
      <c r="B10154" s="1" t="n">
        <v>45112</v>
      </c>
      <c r="C10154" s="1" t="n">
        <v>45357</v>
      </c>
      <c r="D10154" t="inlineStr">
        <is>
          <t>VÄSTERBOTTENS LÄN</t>
        </is>
      </c>
      <c r="E10154" t="inlineStr">
        <is>
          <t>ÅSELE</t>
        </is>
      </c>
      <c r="F10154" t="inlineStr">
        <is>
          <t>Sveaskog</t>
        </is>
      </c>
      <c r="G10154" t="n">
        <v>12.8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30701-2023</t>
        </is>
      </c>
      <c r="B10155" s="1" t="n">
        <v>45112</v>
      </c>
      <c r="C10155" s="1" t="n">
        <v>45357</v>
      </c>
      <c r="D10155" t="inlineStr">
        <is>
          <t>VÄSTERBOTTENS LÄN</t>
        </is>
      </c>
      <c r="E10155" t="inlineStr">
        <is>
          <t>ÅSELE</t>
        </is>
      </c>
      <c r="F10155" t="inlineStr">
        <is>
          <t>Naturvårdsverket</t>
        </is>
      </c>
      <c r="G10155" t="n">
        <v>61.9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30684-2023</t>
        </is>
      </c>
      <c r="B10156" s="1" t="n">
        <v>45112</v>
      </c>
      <c r="C10156" s="1" t="n">
        <v>45357</v>
      </c>
      <c r="D10156" t="inlineStr">
        <is>
          <t>VÄSTERBOTTENS LÄN</t>
        </is>
      </c>
      <c r="E10156" t="inlineStr">
        <is>
          <t>SORSELE</t>
        </is>
      </c>
      <c r="F10156" t="inlineStr">
        <is>
          <t>Sveaskog</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30697-2023</t>
        </is>
      </c>
      <c r="B10157" s="1" t="n">
        <v>45112</v>
      </c>
      <c r="C10157" s="1" t="n">
        <v>45357</v>
      </c>
      <c r="D10157" t="inlineStr">
        <is>
          <t>VÄSTERBOTTENS LÄN</t>
        </is>
      </c>
      <c r="E10157" t="inlineStr">
        <is>
          <t>BJURHOLM</t>
        </is>
      </c>
      <c r="F10157" t="inlineStr">
        <is>
          <t>Holmen skog AB</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30804-2023</t>
        </is>
      </c>
      <c r="B10158" s="1" t="n">
        <v>45112</v>
      </c>
      <c r="C10158" s="1" t="n">
        <v>45357</v>
      </c>
      <c r="D10158" t="inlineStr">
        <is>
          <t>VÄSTERBOTTENS LÄN</t>
        </is>
      </c>
      <c r="E10158" t="inlineStr">
        <is>
          <t>LYCKSELE</t>
        </is>
      </c>
      <c r="F10158" t="inlineStr">
        <is>
          <t>Sveaskog</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30803-2023</t>
        </is>
      </c>
      <c r="B10159" s="1" t="n">
        <v>45112</v>
      </c>
      <c r="C10159" s="1" t="n">
        <v>45357</v>
      </c>
      <c r="D10159" t="inlineStr">
        <is>
          <t>VÄSTERBOTTENS LÄN</t>
        </is>
      </c>
      <c r="E10159" t="inlineStr">
        <is>
          <t>LYCKSELE</t>
        </is>
      </c>
      <c r="F10159" t="inlineStr">
        <is>
          <t>Sveaskog</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30846-2023</t>
        </is>
      </c>
      <c r="B10160" s="1" t="n">
        <v>45112</v>
      </c>
      <c r="C10160" s="1" t="n">
        <v>45357</v>
      </c>
      <c r="D10160" t="inlineStr">
        <is>
          <t>VÄSTERBOTTENS LÄN</t>
        </is>
      </c>
      <c r="E10160" t="inlineStr">
        <is>
          <t>VILHELMINA</t>
        </is>
      </c>
      <c r="F10160" t="inlineStr">
        <is>
          <t>SCA</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30614-2023</t>
        </is>
      </c>
      <c r="B10161" s="1" t="n">
        <v>45112</v>
      </c>
      <c r="C10161" s="1" t="n">
        <v>45357</v>
      </c>
      <c r="D10161" t="inlineStr">
        <is>
          <t>VÄSTERBOTTENS LÄN</t>
        </is>
      </c>
      <c r="E10161" t="inlineStr">
        <is>
          <t>STORUMAN</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30618-2023</t>
        </is>
      </c>
      <c r="B10162" s="1" t="n">
        <v>45112</v>
      </c>
      <c r="C10162" s="1" t="n">
        <v>45357</v>
      </c>
      <c r="D10162" t="inlineStr">
        <is>
          <t>VÄSTERBOTTENS LÄN</t>
        </is>
      </c>
      <c r="E10162" t="inlineStr">
        <is>
          <t>ÅSELE</t>
        </is>
      </c>
      <c r="F10162" t="inlineStr">
        <is>
          <t>Sveaskog</t>
        </is>
      </c>
      <c r="G10162" t="n">
        <v>18.7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30698-2023</t>
        </is>
      </c>
      <c r="B10163" s="1" t="n">
        <v>45112</v>
      </c>
      <c r="C10163" s="1" t="n">
        <v>45357</v>
      </c>
      <c r="D10163" t="inlineStr">
        <is>
          <t>VÄSTERBOTTENS LÄN</t>
        </is>
      </c>
      <c r="E10163" t="inlineStr">
        <is>
          <t>SKELLEFTEÅ</t>
        </is>
      </c>
      <c r="F10163" t="inlineStr">
        <is>
          <t>Sveaskog</t>
        </is>
      </c>
      <c r="G10163" t="n">
        <v>20.9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30738-2023</t>
        </is>
      </c>
      <c r="B10164" s="1" t="n">
        <v>45112</v>
      </c>
      <c r="C10164" s="1" t="n">
        <v>45357</v>
      </c>
      <c r="D10164" t="inlineStr">
        <is>
          <t>VÄSTERBOTTENS LÄN</t>
        </is>
      </c>
      <c r="E10164" t="inlineStr">
        <is>
          <t>BJURHOLM</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30805-2023</t>
        </is>
      </c>
      <c r="B10165" s="1" t="n">
        <v>45112</v>
      </c>
      <c r="C10165" s="1" t="n">
        <v>45357</v>
      </c>
      <c r="D10165" t="inlineStr">
        <is>
          <t>VÄSTERBOTTENS LÄN</t>
        </is>
      </c>
      <c r="E10165" t="inlineStr">
        <is>
          <t>LYCKSELE</t>
        </is>
      </c>
      <c r="F10165" t="inlineStr">
        <is>
          <t>Sveaskog</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30847-2023</t>
        </is>
      </c>
      <c r="B10166" s="1" t="n">
        <v>45112</v>
      </c>
      <c r="C10166" s="1" t="n">
        <v>45357</v>
      </c>
      <c r="D10166" t="inlineStr">
        <is>
          <t>VÄSTERBOTTENS LÄN</t>
        </is>
      </c>
      <c r="E10166" t="inlineStr">
        <is>
          <t>VILHELMINA</t>
        </is>
      </c>
      <c r="F10166" t="inlineStr">
        <is>
          <t>SCA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30743-2023</t>
        </is>
      </c>
      <c r="B10167" s="1" t="n">
        <v>45112</v>
      </c>
      <c r="C10167" s="1" t="n">
        <v>45357</v>
      </c>
      <c r="D10167" t="inlineStr">
        <is>
          <t>VÄSTERBOTTENS LÄN</t>
        </is>
      </c>
      <c r="E10167" t="inlineStr">
        <is>
          <t>SKELLEFTEÅ</t>
        </is>
      </c>
      <c r="F10167" t="inlineStr">
        <is>
          <t>Sveaskog</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30786-2023</t>
        </is>
      </c>
      <c r="B10168" s="1" t="n">
        <v>45112</v>
      </c>
      <c r="C10168" s="1" t="n">
        <v>45357</v>
      </c>
      <c r="D10168" t="inlineStr">
        <is>
          <t>VÄSTERBOTTENS LÄN</t>
        </is>
      </c>
      <c r="E10168" t="inlineStr">
        <is>
          <t>SKELLEFTEÅ</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32628-2023</t>
        </is>
      </c>
      <c r="B10169" s="1" t="n">
        <v>45112</v>
      </c>
      <c r="C10169" s="1" t="n">
        <v>45357</v>
      </c>
      <c r="D10169" t="inlineStr">
        <is>
          <t>VÄSTERBOTTENS LÄN</t>
        </is>
      </c>
      <c r="E10169" t="inlineStr">
        <is>
          <t>UMEÅ</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32644-2023</t>
        </is>
      </c>
      <c r="B10170" s="1" t="n">
        <v>45112</v>
      </c>
      <c r="C10170" s="1" t="n">
        <v>45357</v>
      </c>
      <c r="D10170" t="inlineStr">
        <is>
          <t>VÄSTERBOTTENS LÄN</t>
        </is>
      </c>
      <c r="E10170" t="inlineStr">
        <is>
          <t>NORDMALING</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32817-2023</t>
        </is>
      </c>
      <c r="B10171" s="1" t="n">
        <v>45112</v>
      </c>
      <c r="C10171" s="1" t="n">
        <v>45357</v>
      </c>
      <c r="D10171" t="inlineStr">
        <is>
          <t>VÄSTERBOTTENS LÄN</t>
        </is>
      </c>
      <c r="E10171" t="inlineStr">
        <is>
          <t>SKELLEFTEÅ</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32820-2023</t>
        </is>
      </c>
      <c r="B10172" s="1" t="n">
        <v>45112</v>
      </c>
      <c r="C10172" s="1" t="n">
        <v>45357</v>
      </c>
      <c r="D10172" t="inlineStr">
        <is>
          <t>VÄSTERBOTTENS LÄN</t>
        </is>
      </c>
      <c r="E10172" t="inlineStr">
        <is>
          <t>SKELLEFTEÅ</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32626-2023</t>
        </is>
      </c>
      <c r="B10173" s="1" t="n">
        <v>45112</v>
      </c>
      <c r="C10173" s="1" t="n">
        <v>45357</v>
      </c>
      <c r="D10173" t="inlineStr">
        <is>
          <t>VÄSTERBOTTENS LÄN</t>
        </is>
      </c>
      <c r="E10173" t="inlineStr">
        <is>
          <t>UMEÅ</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32638-2023</t>
        </is>
      </c>
      <c r="B10174" s="1" t="n">
        <v>45112</v>
      </c>
      <c r="C10174" s="1" t="n">
        <v>45357</v>
      </c>
      <c r="D10174" t="inlineStr">
        <is>
          <t>VÄSTERBOTTENS LÄN</t>
        </is>
      </c>
      <c r="E10174" t="inlineStr">
        <is>
          <t>NORDMALING</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30946-2023</t>
        </is>
      </c>
      <c r="B10175" s="1" t="n">
        <v>45113</v>
      </c>
      <c r="C10175" s="1" t="n">
        <v>45357</v>
      </c>
      <c r="D10175" t="inlineStr">
        <is>
          <t>VÄSTERBOTTENS LÄN</t>
        </is>
      </c>
      <c r="E10175" t="inlineStr">
        <is>
          <t>ÅSELE</t>
        </is>
      </c>
      <c r="F10175" t="inlineStr">
        <is>
          <t>Sveaskog</t>
        </is>
      </c>
      <c r="G10175" t="n">
        <v>19.7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30940-2023</t>
        </is>
      </c>
      <c r="B10176" s="1" t="n">
        <v>45113</v>
      </c>
      <c r="C10176" s="1" t="n">
        <v>45357</v>
      </c>
      <c r="D10176" t="inlineStr">
        <is>
          <t>VÄSTERBOTTENS LÄN</t>
        </is>
      </c>
      <c r="E10176" t="inlineStr">
        <is>
          <t>VILHELMINA</t>
        </is>
      </c>
      <c r="F10176" t="inlineStr">
        <is>
          <t>Sveaskog</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30953-2023</t>
        </is>
      </c>
      <c r="B10177" s="1" t="n">
        <v>45113</v>
      </c>
      <c r="C10177" s="1" t="n">
        <v>45357</v>
      </c>
      <c r="D10177" t="inlineStr">
        <is>
          <t>VÄSTERBOTTENS LÄN</t>
        </is>
      </c>
      <c r="E10177" t="inlineStr">
        <is>
          <t>SKELLEFTEÅ</t>
        </is>
      </c>
      <c r="F10177" t="inlineStr">
        <is>
          <t>Holmen skog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31027-2023</t>
        </is>
      </c>
      <c r="B10178" s="1" t="n">
        <v>45113</v>
      </c>
      <c r="C10178" s="1" t="n">
        <v>45357</v>
      </c>
      <c r="D10178" t="inlineStr">
        <is>
          <t>VÄSTERBOTTENS LÄN</t>
        </is>
      </c>
      <c r="E10178" t="inlineStr">
        <is>
          <t>SKELLEFTEÅ</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31035-2023</t>
        </is>
      </c>
      <c r="B10179" s="1" t="n">
        <v>45113</v>
      </c>
      <c r="C10179" s="1" t="n">
        <v>45357</v>
      </c>
      <c r="D10179" t="inlineStr">
        <is>
          <t>VÄSTERBOTTENS LÄN</t>
        </is>
      </c>
      <c r="E10179" t="inlineStr">
        <is>
          <t>SKELLEFTEÅ</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31068-2023</t>
        </is>
      </c>
      <c r="B10180" s="1" t="n">
        <v>45113</v>
      </c>
      <c r="C10180" s="1" t="n">
        <v>45357</v>
      </c>
      <c r="D10180" t="inlineStr">
        <is>
          <t>VÄSTERBOTTENS LÄN</t>
        </is>
      </c>
      <c r="E10180" t="inlineStr">
        <is>
          <t>UMEÅ</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30934-2023</t>
        </is>
      </c>
      <c r="B10181" s="1" t="n">
        <v>45113</v>
      </c>
      <c r="C10181" s="1" t="n">
        <v>45357</v>
      </c>
      <c r="D10181" t="inlineStr">
        <is>
          <t>VÄSTERBOTTENS LÄN</t>
        </is>
      </c>
      <c r="E10181" t="inlineStr">
        <is>
          <t>VILHELMINA</t>
        </is>
      </c>
      <c r="F10181" t="inlineStr">
        <is>
          <t>Sveaskog</t>
        </is>
      </c>
      <c r="G10181" t="n">
        <v>11.3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31033-2023</t>
        </is>
      </c>
      <c r="B10182" s="1" t="n">
        <v>45113</v>
      </c>
      <c r="C10182" s="1" t="n">
        <v>45357</v>
      </c>
      <c r="D10182" t="inlineStr">
        <is>
          <t>VÄSTERBOTTENS LÄN</t>
        </is>
      </c>
      <c r="E10182" t="inlineStr">
        <is>
          <t>SKELLEFTEÅ</t>
        </is>
      </c>
      <c r="F10182" t="inlineStr">
        <is>
          <t>Holmen skog AB</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31028-2023</t>
        </is>
      </c>
      <c r="B10183" s="1" t="n">
        <v>45113</v>
      </c>
      <c r="C10183" s="1" t="n">
        <v>45357</v>
      </c>
      <c r="D10183" t="inlineStr">
        <is>
          <t>VÄSTERBOTTENS LÄN</t>
        </is>
      </c>
      <c r="E10183" t="inlineStr">
        <is>
          <t>SKELLEFTEÅ</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31090-2023</t>
        </is>
      </c>
      <c r="B10184" s="1" t="n">
        <v>45113</v>
      </c>
      <c r="C10184" s="1" t="n">
        <v>45357</v>
      </c>
      <c r="D10184" t="inlineStr">
        <is>
          <t>VÄSTERBOTTENS LÄN</t>
        </is>
      </c>
      <c r="E10184" t="inlineStr">
        <is>
          <t>ROBERTSFORS</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31198-2023</t>
        </is>
      </c>
      <c r="B10185" s="1" t="n">
        <v>45113</v>
      </c>
      <c r="C10185" s="1" t="n">
        <v>45357</v>
      </c>
      <c r="D10185" t="inlineStr">
        <is>
          <t>VÄSTERBOTTENS LÄN</t>
        </is>
      </c>
      <c r="E10185" t="inlineStr">
        <is>
          <t>VILHELMINA</t>
        </is>
      </c>
      <c r="F10185" t="inlineStr">
        <is>
          <t>SCA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31193-2023</t>
        </is>
      </c>
      <c r="B10186" s="1" t="n">
        <v>45114</v>
      </c>
      <c r="C10186" s="1" t="n">
        <v>45357</v>
      </c>
      <c r="D10186" t="inlineStr">
        <is>
          <t>VÄSTERBOTTENS LÄN</t>
        </is>
      </c>
      <c r="E10186" t="inlineStr">
        <is>
          <t>ÅSELE</t>
        </is>
      </c>
      <c r="F10186" t="inlineStr">
        <is>
          <t>SCA</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31185-2023</t>
        </is>
      </c>
      <c r="B10187" s="1" t="n">
        <v>45114</v>
      </c>
      <c r="C10187" s="1" t="n">
        <v>45357</v>
      </c>
      <c r="D10187" t="inlineStr">
        <is>
          <t>VÄSTERBOTTENS LÄN</t>
        </is>
      </c>
      <c r="E10187" t="inlineStr">
        <is>
          <t>ÅSELE</t>
        </is>
      </c>
      <c r="F10187" t="inlineStr">
        <is>
          <t>SCA</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31189-2023</t>
        </is>
      </c>
      <c r="B10188" s="1" t="n">
        <v>45114</v>
      </c>
      <c r="C10188" s="1" t="n">
        <v>45357</v>
      </c>
      <c r="D10188" t="inlineStr">
        <is>
          <t>VÄSTERBOTTENS LÄN</t>
        </is>
      </c>
      <c r="E10188" t="inlineStr">
        <is>
          <t>ÅSELE</t>
        </is>
      </c>
      <c r="F10188" t="inlineStr">
        <is>
          <t>SCA</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31186-2023</t>
        </is>
      </c>
      <c r="B10189" s="1" t="n">
        <v>45114</v>
      </c>
      <c r="C10189" s="1" t="n">
        <v>45357</v>
      </c>
      <c r="D10189" t="inlineStr">
        <is>
          <t>VÄSTERBOTTENS LÄN</t>
        </is>
      </c>
      <c r="E10189" t="inlineStr">
        <is>
          <t>ÅSELE</t>
        </is>
      </c>
      <c r="F10189" t="inlineStr">
        <is>
          <t>SCA</t>
        </is>
      </c>
      <c r="G10189" t="n">
        <v>12.5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31155-2023</t>
        </is>
      </c>
      <c r="B10190" s="1" t="n">
        <v>45113</v>
      </c>
      <c r="C10190" s="1" t="n">
        <v>45357</v>
      </c>
      <c r="D10190" t="inlineStr">
        <is>
          <t>VÄSTERBOTTENS LÄN</t>
        </is>
      </c>
      <c r="E10190" t="inlineStr">
        <is>
          <t>SKELLEFTEÅ</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31183-2023</t>
        </is>
      </c>
      <c r="B10191" s="1" t="n">
        <v>45114</v>
      </c>
      <c r="C10191" s="1" t="n">
        <v>45357</v>
      </c>
      <c r="D10191" t="inlineStr">
        <is>
          <t>VÄSTERBOTTENS LÄN</t>
        </is>
      </c>
      <c r="E10191" t="inlineStr">
        <is>
          <t>ÅSELE</t>
        </is>
      </c>
      <c r="F10191" t="inlineStr">
        <is>
          <t>SCA</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31184-2023</t>
        </is>
      </c>
      <c r="B10192" s="1" t="n">
        <v>45113</v>
      </c>
      <c r="C10192" s="1" t="n">
        <v>45357</v>
      </c>
      <c r="D10192" t="inlineStr">
        <is>
          <t>VÄSTERBOTTENS LÄN</t>
        </is>
      </c>
      <c r="E10192" t="inlineStr">
        <is>
          <t>ÅSELE</t>
        </is>
      </c>
      <c r="F10192" t="inlineStr">
        <is>
          <t>SCA</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31191-2023</t>
        </is>
      </c>
      <c r="B10193" s="1" t="n">
        <v>45114</v>
      </c>
      <c r="C10193" s="1" t="n">
        <v>45357</v>
      </c>
      <c r="D10193" t="inlineStr">
        <is>
          <t>VÄSTERBOTTENS LÄN</t>
        </is>
      </c>
      <c r="E10193" t="inlineStr">
        <is>
          <t>ÅSELE</t>
        </is>
      </c>
      <c r="F10193" t="inlineStr">
        <is>
          <t>SCA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31187-2023</t>
        </is>
      </c>
      <c r="B10194" s="1" t="n">
        <v>45114</v>
      </c>
      <c r="C10194" s="1" t="n">
        <v>45357</v>
      </c>
      <c r="D10194" t="inlineStr">
        <is>
          <t>VÄSTERBOTTENS LÄN</t>
        </is>
      </c>
      <c r="E10194" t="inlineStr">
        <is>
          <t>ÅSELE</t>
        </is>
      </c>
      <c r="F10194" t="inlineStr">
        <is>
          <t>SCA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31190-2023</t>
        </is>
      </c>
      <c r="B10195" s="1" t="n">
        <v>45114</v>
      </c>
      <c r="C10195" s="1" t="n">
        <v>45357</v>
      </c>
      <c r="D10195" t="inlineStr">
        <is>
          <t>VÄSTERBOTTENS LÄN</t>
        </is>
      </c>
      <c r="E10195" t="inlineStr">
        <is>
          <t>ÅSELE</t>
        </is>
      </c>
      <c r="F10195" t="inlineStr">
        <is>
          <t>SCA</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31205-2023</t>
        </is>
      </c>
      <c r="B10196" s="1" t="n">
        <v>45113</v>
      </c>
      <c r="C10196" s="1" t="n">
        <v>45357</v>
      </c>
      <c r="D10196" t="inlineStr">
        <is>
          <t>VÄSTERBOTTENS LÄN</t>
        </is>
      </c>
      <c r="E10196" t="inlineStr">
        <is>
          <t>BJURHOLM</t>
        </is>
      </c>
      <c r="F10196" t="inlineStr">
        <is>
          <t>SCA</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32969-2023</t>
        </is>
      </c>
      <c r="B10197" s="1" t="n">
        <v>45113</v>
      </c>
      <c r="C10197" s="1" t="n">
        <v>45357</v>
      </c>
      <c r="D10197" t="inlineStr">
        <is>
          <t>VÄSTERBOTTENS LÄN</t>
        </is>
      </c>
      <c r="E10197" t="inlineStr">
        <is>
          <t>SKELLEFTEÅ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32993-2023</t>
        </is>
      </c>
      <c r="B10198" s="1" t="n">
        <v>45113</v>
      </c>
      <c r="C10198" s="1" t="n">
        <v>45357</v>
      </c>
      <c r="D10198" t="inlineStr">
        <is>
          <t>VÄSTERBOTTENS LÄN</t>
        </is>
      </c>
      <c r="E10198" t="inlineStr">
        <is>
          <t>ÅSELE</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33009-2023</t>
        </is>
      </c>
      <c r="B10199" s="1" t="n">
        <v>45113</v>
      </c>
      <c r="C10199" s="1" t="n">
        <v>45357</v>
      </c>
      <c r="D10199" t="inlineStr">
        <is>
          <t>VÄSTERBOTTENS LÄN</t>
        </is>
      </c>
      <c r="E10199" t="inlineStr">
        <is>
          <t>ÅSELE</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32992-2023</t>
        </is>
      </c>
      <c r="B10200" s="1" t="n">
        <v>45113</v>
      </c>
      <c r="C10200" s="1" t="n">
        <v>45357</v>
      </c>
      <c r="D10200" t="inlineStr">
        <is>
          <t>VÄSTERBOTTENS LÄN</t>
        </is>
      </c>
      <c r="E10200" t="inlineStr">
        <is>
          <t>VINDELN</t>
        </is>
      </c>
      <c r="G10200" t="n">
        <v>13.4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32996-2023</t>
        </is>
      </c>
      <c r="B10201" s="1" t="n">
        <v>45113</v>
      </c>
      <c r="C10201" s="1" t="n">
        <v>45357</v>
      </c>
      <c r="D10201" t="inlineStr">
        <is>
          <t>VÄSTERBOTTENS LÄN</t>
        </is>
      </c>
      <c r="E10201" t="inlineStr">
        <is>
          <t>ÅSELE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33008-2023</t>
        </is>
      </c>
      <c r="B10202" s="1" t="n">
        <v>45113</v>
      </c>
      <c r="C10202" s="1" t="n">
        <v>45357</v>
      </c>
      <c r="D10202" t="inlineStr">
        <is>
          <t>VÄSTERBOTTENS LÄN</t>
        </is>
      </c>
      <c r="E10202" t="inlineStr">
        <is>
          <t>ÅSELE</t>
        </is>
      </c>
      <c r="G10202" t="n">
        <v>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33012-2023</t>
        </is>
      </c>
      <c r="B10203" s="1" t="n">
        <v>45113</v>
      </c>
      <c r="C10203" s="1" t="n">
        <v>45357</v>
      </c>
      <c r="D10203" t="inlineStr">
        <is>
          <t>VÄSTERBOTTENS LÄN</t>
        </is>
      </c>
      <c r="E10203" t="inlineStr">
        <is>
          <t>ÅSELE</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33019-2023</t>
        </is>
      </c>
      <c r="B10204" s="1" t="n">
        <v>45113</v>
      </c>
      <c r="C10204" s="1" t="n">
        <v>45357</v>
      </c>
      <c r="D10204" t="inlineStr">
        <is>
          <t>VÄSTERBOTTENS LÄN</t>
        </is>
      </c>
      <c r="E10204" t="inlineStr">
        <is>
          <t>LYCKSELE</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33004-2023</t>
        </is>
      </c>
      <c r="B10205" s="1" t="n">
        <v>45113</v>
      </c>
      <c r="C10205" s="1" t="n">
        <v>45357</v>
      </c>
      <c r="D10205" t="inlineStr">
        <is>
          <t>VÄSTERBOTTENS LÄN</t>
        </is>
      </c>
      <c r="E10205" t="inlineStr">
        <is>
          <t>ÅSELE</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33017-2023</t>
        </is>
      </c>
      <c r="B10206" s="1" t="n">
        <v>45113</v>
      </c>
      <c r="C10206" s="1" t="n">
        <v>45357</v>
      </c>
      <c r="D10206" t="inlineStr">
        <is>
          <t>VÄSTERBOTTENS LÄN</t>
        </is>
      </c>
      <c r="E10206" t="inlineStr">
        <is>
          <t>BJURHOLM</t>
        </is>
      </c>
      <c r="G10206" t="n">
        <v>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31329-2023</t>
        </is>
      </c>
      <c r="B10207" s="1" t="n">
        <v>45114</v>
      </c>
      <c r="C10207" s="1" t="n">
        <v>45357</v>
      </c>
      <c r="D10207" t="inlineStr">
        <is>
          <t>VÄSTERBOTTENS LÄN</t>
        </is>
      </c>
      <c r="E10207" t="inlineStr">
        <is>
          <t>STORUMAN</t>
        </is>
      </c>
      <c r="F10207" t="inlineStr">
        <is>
          <t>Holmen skog AB</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31287-2023</t>
        </is>
      </c>
      <c r="B10208" s="1" t="n">
        <v>45114</v>
      </c>
      <c r="C10208" s="1" t="n">
        <v>45357</v>
      </c>
      <c r="D10208" t="inlineStr">
        <is>
          <t>VÄSTERBOTTENS LÄN</t>
        </is>
      </c>
      <c r="E10208" t="inlineStr">
        <is>
          <t>ÅSELE</t>
        </is>
      </c>
      <c r="F10208" t="inlineStr">
        <is>
          <t>Holmen skog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31257-2023</t>
        </is>
      </c>
      <c r="B10209" s="1" t="n">
        <v>45114</v>
      </c>
      <c r="C10209" s="1" t="n">
        <v>45357</v>
      </c>
      <c r="D10209" t="inlineStr">
        <is>
          <t>VÄSTERBOTTENS LÄN</t>
        </is>
      </c>
      <c r="E10209" t="inlineStr">
        <is>
          <t>SKELLEFTEÅ</t>
        </is>
      </c>
      <c r="F10209" t="inlineStr">
        <is>
          <t>Holmen skog AB</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31411-2023</t>
        </is>
      </c>
      <c r="B10210" s="1" t="n">
        <v>45114</v>
      </c>
      <c r="C10210" s="1" t="n">
        <v>45357</v>
      </c>
      <c r="D10210" t="inlineStr">
        <is>
          <t>VÄSTERBOTTENS LÄN</t>
        </is>
      </c>
      <c r="E10210" t="inlineStr">
        <is>
          <t>VINDELN</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31420-2023</t>
        </is>
      </c>
      <c r="B10211" s="1" t="n">
        <v>45114</v>
      </c>
      <c r="C10211" s="1" t="n">
        <v>45357</v>
      </c>
      <c r="D10211" t="inlineStr">
        <is>
          <t>VÄSTERBOTTENS LÄN</t>
        </is>
      </c>
      <c r="E10211" t="inlineStr">
        <is>
          <t>VINDELN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31281-2023</t>
        </is>
      </c>
      <c r="B10212" s="1" t="n">
        <v>45114</v>
      </c>
      <c r="C10212" s="1" t="n">
        <v>45357</v>
      </c>
      <c r="D10212" t="inlineStr">
        <is>
          <t>VÄSTERBOTTENS LÄN</t>
        </is>
      </c>
      <c r="E10212" t="inlineStr">
        <is>
          <t>NORSJÖ</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31397-2023</t>
        </is>
      </c>
      <c r="B10213" s="1" t="n">
        <v>45114</v>
      </c>
      <c r="C10213" s="1" t="n">
        <v>45357</v>
      </c>
      <c r="D10213" t="inlineStr">
        <is>
          <t>VÄSTERBOTTENS LÄN</t>
        </is>
      </c>
      <c r="E10213" t="inlineStr">
        <is>
          <t>VINDELN</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31402-2023</t>
        </is>
      </c>
      <c r="B10214" s="1" t="n">
        <v>45114</v>
      </c>
      <c r="C10214" s="1" t="n">
        <v>45357</v>
      </c>
      <c r="D10214" t="inlineStr">
        <is>
          <t>VÄSTERBOTTENS LÄN</t>
        </is>
      </c>
      <c r="E10214" t="inlineStr">
        <is>
          <t>VINDELN</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31410-2023</t>
        </is>
      </c>
      <c r="B10215" s="1" t="n">
        <v>45114</v>
      </c>
      <c r="C10215" s="1" t="n">
        <v>45357</v>
      </c>
      <c r="D10215" t="inlineStr">
        <is>
          <t>VÄSTERBOTTENS LÄN</t>
        </is>
      </c>
      <c r="E10215" t="inlineStr">
        <is>
          <t>LYCKSELE</t>
        </is>
      </c>
      <c r="F10215" t="inlineStr">
        <is>
          <t>Sveaskog</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31348-2023</t>
        </is>
      </c>
      <c r="B10216" s="1" t="n">
        <v>45114</v>
      </c>
      <c r="C10216" s="1" t="n">
        <v>45357</v>
      </c>
      <c r="D10216" t="inlineStr">
        <is>
          <t>VÄSTERBOTTENS LÄN</t>
        </is>
      </c>
      <c r="E10216" t="inlineStr">
        <is>
          <t>ÅSELE</t>
        </is>
      </c>
      <c r="F10216" t="inlineStr">
        <is>
          <t>Holmen skog AB</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31360-2023</t>
        </is>
      </c>
      <c r="B10217" s="1" t="n">
        <v>45114</v>
      </c>
      <c r="C10217" s="1" t="n">
        <v>45357</v>
      </c>
      <c r="D10217" t="inlineStr">
        <is>
          <t>VÄSTERBOTTENS LÄN</t>
        </is>
      </c>
      <c r="E10217" t="inlineStr">
        <is>
          <t>VÄNNÄS</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31450-2023</t>
        </is>
      </c>
      <c r="B10218" s="1" t="n">
        <v>45114</v>
      </c>
      <c r="C10218" s="1" t="n">
        <v>45357</v>
      </c>
      <c r="D10218" t="inlineStr">
        <is>
          <t>VÄSTERBOTTENS LÄN</t>
        </is>
      </c>
      <c r="E10218" t="inlineStr">
        <is>
          <t>NORSJÖ</t>
        </is>
      </c>
      <c r="F10218" t="inlineStr">
        <is>
          <t>Holmen skog AB</t>
        </is>
      </c>
      <c r="G10218" t="n">
        <v>10</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31495-2023</t>
        </is>
      </c>
      <c r="B10219" s="1" t="n">
        <v>45115</v>
      </c>
      <c r="C10219" s="1" t="n">
        <v>45357</v>
      </c>
      <c r="D10219" t="inlineStr">
        <is>
          <t>VÄSTERBOTTENS LÄN</t>
        </is>
      </c>
      <c r="E10219" t="inlineStr">
        <is>
          <t>VILHELMINA</t>
        </is>
      </c>
      <c r="F10219" t="inlineStr">
        <is>
          <t>SCA</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31496-2023</t>
        </is>
      </c>
      <c r="B10220" s="1" t="n">
        <v>45115</v>
      </c>
      <c r="C10220" s="1" t="n">
        <v>45357</v>
      </c>
      <c r="D10220" t="inlineStr">
        <is>
          <t>VÄSTERBOTTENS LÄN</t>
        </is>
      </c>
      <c r="E10220" t="inlineStr">
        <is>
          <t>VILHELMINA</t>
        </is>
      </c>
      <c r="F10220" t="inlineStr">
        <is>
          <t>SCA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33138-2023</t>
        </is>
      </c>
      <c r="B10221" s="1" t="n">
        <v>45114</v>
      </c>
      <c r="C10221" s="1" t="n">
        <v>45357</v>
      </c>
      <c r="D10221" t="inlineStr">
        <is>
          <t>VÄSTERBOTTENS LÄN</t>
        </is>
      </c>
      <c r="E10221" t="inlineStr">
        <is>
          <t>VINDELN</t>
        </is>
      </c>
      <c r="G10221" t="n">
        <v>9.699999999999999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31413-2023</t>
        </is>
      </c>
      <c r="B10222" s="1" t="n">
        <v>45114</v>
      </c>
      <c r="C10222" s="1" t="n">
        <v>45357</v>
      </c>
      <c r="D10222" t="inlineStr">
        <is>
          <t>VÄSTERBOTTENS LÄN</t>
        </is>
      </c>
      <c r="E10222" t="inlineStr">
        <is>
          <t>LYCKSELE</t>
        </is>
      </c>
      <c r="F10222" t="inlineStr">
        <is>
          <t>Sveaskog</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31468-2023</t>
        </is>
      </c>
      <c r="B10223" s="1" t="n">
        <v>45114</v>
      </c>
      <c r="C10223" s="1" t="n">
        <v>45357</v>
      </c>
      <c r="D10223" t="inlineStr">
        <is>
          <t>VÄSTERBOTTENS LÄN</t>
        </is>
      </c>
      <c r="E10223" t="inlineStr">
        <is>
          <t>UMEÅ</t>
        </is>
      </c>
      <c r="F10223" t="inlineStr">
        <is>
          <t>Holmen skog AB</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31494-2023</t>
        </is>
      </c>
      <c r="B10224" s="1" t="n">
        <v>45114</v>
      </c>
      <c r="C10224" s="1" t="n">
        <v>45357</v>
      </c>
      <c r="D10224" t="inlineStr">
        <is>
          <t>VÄSTERBOTTENS LÄN</t>
        </is>
      </c>
      <c r="E10224" t="inlineStr">
        <is>
          <t>DOROTEA</t>
        </is>
      </c>
      <c r="F10224" t="inlineStr">
        <is>
          <t>SCA</t>
        </is>
      </c>
      <c r="G10224" t="n">
        <v>14.7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33120-2023</t>
        </is>
      </c>
      <c r="B10225" s="1" t="n">
        <v>45114</v>
      </c>
      <c r="C10225" s="1" t="n">
        <v>45357</v>
      </c>
      <c r="D10225" t="inlineStr">
        <is>
          <t>VÄSTERBOTTENS LÄN</t>
        </is>
      </c>
      <c r="E10225" t="inlineStr">
        <is>
          <t>VINDELN</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31304-2023</t>
        </is>
      </c>
      <c r="B10226" s="1" t="n">
        <v>45114</v>
      </c>
      <c r="C10226" s="1" t="n">
        <v>45357</v>
      </c>
      <c r="D10226" t="inlineStr">
        <is>
          <t>VÄSTERBOTTENS LÄN</t>
        </is>
      </c>
      <c r="E10226" t="inlineStr">
        <is>
          <t>ÅSELE</t>
        </is>
      </c>
      <c r="F10226" t="inlineStr">
        <is>
          <t>Holmen skog AB</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31412-2023</t>
        </is>
      </c>
      <c r="B10227" s="1" t="n">
        <v>45114</v>
      </c>
      <c r="C10227" s="1" t="n">
        <v>45357</v>
      </c>
      <c r="D10227" t="inlineStr">
        <is>
          <t>VÄSTERBOTTENS LÄN</t>
        </is>
      </c>
      <c r="E10227" t="inlineStr">
        <is>
          <t>LYCKSELE</t>
        </is>
      </c>
      <c r="F10227" t="inlineStr">
        <is>
          <t>Sveaskog</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31421-2023</t>
        </is>
      </c>
      <c r="B10228" s="1" t="n">
        <v>45114</v>
      </c>
      <c r="C10228" s="1" t="n">
        <v>45357</v>
      </c>
      <c r="D10228" t="inlineStr">
        <is>
          <t>VÄSTERBOTTENS LÄN</t>
        </is>
      </c>
      <c r="E10228" t="inlineStr">
        <is>
          <t>VÄNNÄS</t>
        </is>
      </c>
      <c r="F10228" t="inlineStr">
        <is>
          <t>Holmen skog AB</t>
        </is>
      </c>
      <c r="G10228" t="n">
        <v>5.8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31444-2023</t>
        </is>
      </c>
      <c r="B10229" s="1" t="n">
        <v>45114</v>
      </c>
      <c r="C10229" s="1" t="n">
        <v>45357</v>
      </c>
      <c r="D10229" t="inlineStr">
        <is>
          <t>VÄSTERBOTTENS LÄN</t>
        </is>
      </c>
      <c r="E10229" t="inlineStr">
        <is>
          <t>UMEÅ</t>
        </is>
      </c>
      <c r="F10229" t="inlineStr">
        <is>
          <t>Holmen skog AB</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31448-2023</t>
        </is>
      </c>
      <c r="B10230" s="1" t="n">
        <v>45114</v>
      </c>
      <c r="C10230" s="1" t="n">
        <v>45357</v>
      </c>
      <c r="D10230" t="inlineStr">
        <is>
          <t>VÄSTERBOTTENS LÄN</t>
        </is>
      </c>
      <c r="E10230" t="inlineStr">
        <is>
          <t>LYCKSELE</t>
        </is>
      </c>
      <c r="F10230" t="inlineStr">
        <is>
          <t>Holmen skog AB</t>
        </is>
      </c>
      <c r="G10230" t="n">
        <v>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31489-2023</t>
        </is>
      </c>
      <c r="B10231" s="1" t="n">
        <v>45115</v>
      </c>
      <c r="C10231" s="1" t="n">
        <v>45357</v>
      </c>
      <c r="D10231" t="inlineStr">
        <is>
          <t>VÄSTERBOTTENS LÄN</t>
        </is>
      </c>
      <c r="E10231" t="inlineStr">
        <is>
          <t>ROBERTSFORS</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33125-2023</t>
        </is>
      </c>
      <c r="B10232" s="1" t="n">
        <v>45114</v>
      </c>
      <c r="C10232" s="1" t="n">
        <v>45357</v>
      </c>
      <c r="D10232" t="inlineStr">
        <is>
          <t>VÄSTERBOTTENS LÄN</t>
        </is>
      </c>
      <c r="E10232" t="inlineStr">
        <is>
          <t>VINDELN</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33135-2023</t>
        </is>
      </c>
      <c r="B10233" s="1" t="n">
        <v>45114</v>
      </c>
      <c r="C10233" s="1" t="n">
        <v>45357</v>
      </c>
      <c r="D10233" t="inlineStr">
        <is>
          <t>VÄSTERBOTTENS LÄN</t>
        </is>
      </c>
      <c r="E10233" t="inlineStr">
        <is>
          <t>VINDELN</t>
        </is>
      </c>
      <c r="G10233" t="n">
        <v>14.6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33184-2023</t>
        </is>
      </c>
      <c r="B10234" s="1" t="n">
        <v>45114</v>
      </c>
      <c r="C10234" s="1" t="n">
        <v>45357</v>
      </c>
      <c r="D10234" t="inlineStr">
        <is>
          <t>VÄSTERBOTTENS LÄN</t>
        </is>
      </c>
      <c r="E10234" t="inlineStr">
        <is>
          <t>SKELLEFTEÅ</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33241-2023</t>
        </is>
      </c>
      <c r="B10235" s="1" t="n">
        <v>45114</v>
      </c>
      <c r="C10235" s="1" t="n">
        <v>45357</v>
      </c>
      <c r="D10235" t="inlineStr">
        <is>
          <t>VÄSTERBOTTENS LÄN</t>
        </is>
      </c>
      <c r="E10235" t="inlineStr">
        <is>
          <t>ÅSELE</t>
        </is>
      </c>
      <c r="G10235" t="n">
        <v>22.8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33132-2023</t>
        </is>
      </c>
      <c r="B10236" s="1" t="n">
        <v>45114</v>
      </c>
      <c r="C10236" s="1" t="n">
        <v>45357</v>
      </c>
      <c r="D10236" t="inlineStr">
        <is>
          <t>VÄSTERBOTTENS LÄN</t>
        </is>
      </c>
      <c r="E10236" t="inlineStr">
        <is>
          <t>VINDELN</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31513-2023</t>
        </is>
      </c>
      <c r="B10237" s="1" t="n">
        <v>45116</v>
      </c>
      <c r="C10237" s="1" t="n">
        <v>45357</v>
      </c>
      <c r="D10237" t="inlineStr">
        <is>
          <t>VÄSTERBOTTENS LÄN</t>
        </is>
      </c>
      <c r="E10237" t="inlineStr">
        <is>
          <t>NORSJÖ</t>
        </is>
      </c>
      <c r="G10237" t="n">
        <v>10.3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33289-2023</t>
        </is>
      </c>
      <c r="B10238" s="1" t="n">
        <v>45116</v>
      </c>
      <c r="C10238" s="1" t="n">
        <v>45357</v>
      </c>
      <c r="D10238" t="inlineStr">
        <is>
          <t>VÄSTERBOTTENS LÄN</t>
        </is>
      </c>
      <c r="E10238" t="inlineStr">
        <is>
          <t>SKELLEFTEÅ</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31531-2023</t>
        </is>
      </c>
      <c r="B10239" s="1" t="n">
        <v>45116</v>
      </c>
      <c r="C10239" s="1" t="n">
        <v>45357</v>
      </c>
      <c r="D10239" t="inlineStr">
        <is>
          <t>VÄSTERBOTTENS LÄN</t>
        </is>
      </c>
      <c r="E10239" t="inlineStr">
        <is>
          <t>UMEÅ</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31634-2023</t>
        </is>
      </c>
      <c r="B10240" s="1" t="n">
        <v>45117</v>
      </c>
      <c r="C10240" s="1" t="n">
        <v>45357</v>
      </c>
      <c r="D10240" t="inlineStr">
        <is>
          <t>VÄSTERBOTTENS LÄN</t>
        </is>
      </c>
      <c r="E10240" t="inlineStr">
        <is>
          <t>ROBERTSFORS</t>
        </is>
      </c>
      <c r="F10240" t="inlineStr">
        <is>
          <t>Holmen skog AB</t>
        </is>
      </c>
      <c r="G10240" t="n">
        <v>9.199999999999999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31639-2023</t>
        </is>
      </c>
      <c r="B10241" s="1" t="n">
        <v>45117</v>
      </c>
      <c r="C10241" s="1" t="n">
        <v>45357</v>
      </c>
      <c r="D10241" t="inlineStr">
        <is>
          <t>VÄSTERBOTTENS LÄN</t>
        </is>
      </c>
      <c r="E10241" t="inlineStr">
        <is>
          <t>VINDELN</t>
        </is>
      </c>
      <c r="F10241" t="inlineStr">
        <is>
          <t>Holmen skog AB</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31644-2023</t>
        </is>
      </c>
      <c r="B10242" s="1" t="n">
        <v>45117</v>
      </c>
      <c r="C10242" s="1" t="n">
        <v>45357</v>
      </c>
      <c r="D10242" t="inlineStr">
        <is>
          <t>VÄSTERBOTTENS LÄN</t>
        </is>
      </c>
      <c r="E10242" t="inlineStr">
        <is>
          <t>VINDELN</t>
        </is>
      </c>
      <c r="F10242" t="inlineStr">
        <is>
          <t>Holmen skog AB</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31683-2023</t>
        </is>
      </c>
      <c r="B10243" s="1" t="n">
        <v>45117</v>
      </c>
      <c r="C10243" s="1" t="n">
        <v>45357</v>
      </c>
      <c r="D10243" t="inlineStr">
        <is>
          <t>VÄSTERBOTTENS LÄN</t>
        </is>
      </c>
      <c r="E10243" t="inlineStr">
        <is>
          <t>LYCKSELE</t>
        </is>
      </c>
      <c r="F10243" t="inlineStr">
        <is>
          <t>Holmen skog AB</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31689-2023</t>
        </is>
      </c>
      <c r="B10244" s="1" t="n">
        <v>45117</v>
      </c>
      <c r="C10244" s="1" t="n">
        <v>45357</v>
      </c>
      <c r="D10244" t="inlineStr">
        <is>
          <t>VÄSTERBOTTENS LÄN</t>
        </is>
      </c>
      <c r="E10244" t="inlineStr">
        <is>
          <t>LYCKSELE</t>
        </is>
      </c>
      <c r="F10244" t="inlineStr">
        <is>
          <t>Holmen skog AB</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31553-2023</t>
        </is>
      </c>
      <c r="B10245" s="1" t="n">
        <v>45117</v>
      </c>
      <c r="C10245" s="1" t="n">
        <v>45357</v>
      </c>
      <c r="D10245" t="inlineStr">
        <is>
          <t>VÄSTERBOTTENS LÄN</t>
        </is>
      </c>
      <c r="E10245" t="inlineStr">
        <is>
          <t>BJURHOLM</t>
        </is>
      </c>
      <c r="F10245" t="inlineStr">
        <is>
          <t>Holmen skog AB</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31574-2023</t>
        </is>
      </c>
      <c r="B10246" s="1" t="n">
        <v>45117</v>
      </c>
      <c r="C10246" s="1" t="n">
        <v>45357</v>
      </c>
      <c r="D10246" t="inlineStr">
        <is>
          <t>VÄSTERBOTTENS LÄN</t>
        </is>
      </c>
      <c r="E10246" t="inlineStr">
        <is>
          <t>NORSJÖ</t>
        </is>
      </c>
      <c r="F10246" t="inlineStr">
        <is>
          <t>Holmen skog AB</t>
        </is>
      </c>
      <c r="G10246" t="n">
        <v>9.699999999999999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31591-2023</t>
        </is>
      </c>
      <c r="B10247" s="1" t="n">
        <v>45117</v>
      </c>
      <c r="C10247" s="1" t="n">
        <v>45357</v>
      </c>
      <c r="D10247" t="inlineStr">
        <is>
          <t>VÄSTERBOTTENS LÄN</t>
        </is>
      </c>
      <c r="E10247" t="inlineStr">
        <is>
          <t>NORSJÖ</t>
        </is>
      </c>
      <c r="F10247" t="inlineStr">
        <is>
          <t>Holmen skog AB</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31616-2023</t>
        </is>
      </c>
      <c r="B10248" s="1" t="n">
        <v>45117</v>
      </c>
      <c r="C10248" s="1" t="n">
        <v>45357</v>
      </c>
      <c r="D10248" t="inlineStr">
        <is>
          <t>VÄSTERBOTTENS LÄN</t>
        </is>
      </c>
      <c r="E10248" t="inlineStr">
        <is>
          <t>ROBERTSFORS</t>
        </is>
      </c>
      <c r="F10248" t="inlineStr">
        <is>
          <t>Holmen skog AB</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31672-2023</t>
        </is>
      </c>
      <c r="B10249" s="1" t="n">
        <v>45117</v>
      </c>
      <c r="C10249" s="1" t="n">
        <v>45357</v>
      </c>
      <c r="D10249" t="inlineStr">
        <is>
          <t>VÄSTERBOTTENS LÄN</t>
        </is>
      </c>
      <c r="E10249" t="inlineStr">
        <is>
          <t>SKELLEFTEÅ</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31554-2023</t>
        </is>
      </c>
      <c r="B10250" s="1" t="n">
        <v>45117</v>
      </c>
      <c r="C10250" s="1" t="n">
        <v>45357</v>
      </c>
      <c r="D10250" t="inlineStr">
        <is>
          <t>VÄSTERBOTTENS LÄN</t>
        </is>
      </c>
      <c r="E10250" t="inlineStr">
        <is>
          <t>NORSJÖ</t>
        </is>
      </c>
      <c r="F10250" t="inlineStr">
        <is>
          <t>Holmen skog AB</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31669-2023</t>
        </is>
      </c>
      <c r="B10251" s="1" t="n">
        <v>45117</v>
      </c>
      <c r="C10251" s="1" t="n">
        <v>45357</v>
      </c>
      <c r="D10251" t="inlineStr">
        <is>
          <t>VÄSTERBOTTENS LÄN</t>
        </is>
      </c>
      <c r="E10251" t="inlineStr">
        <is>
          <t>NORSJÖ</t>
        </is>
      </c>
      <c r="F10251" t="inlineStr">
        <is>
          <t>Holmen skog AB</t>
        </is>
      </c>
      <c r="G10251" t="n">
        <v>12.2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33309-2023</t>
        </is>
      </c>
      <c r="B10252" s="1" t="n">
        <v>45117</v>
      </c>
      <c r="C10252" s="1" t="n">
        <v>45357</v>
      </c>
      <c r="D10252" t="inlineStr">
        <is>
          <t>VÄSTERBOTTENS LÄN</t>
        </is>
      </c>
      <c r="E10252" t="inlineStr">
        <is>
          <t>VINDELN</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31606-2023</t>
        </is>
      </c>
      <c r="B10253" s="1" t="n">
        <v>45117</v>
      </c>
      <c r="C10253" s="1" t="n">
        <v>45357</v>
      </c>
      <c r="D10253" t="inlineStr">
        <is>
          <t>VÄSTERBOTTENS LÄN</t>
        </is>
      </c>
      <c r="E10253" t="inlineStr">
        <is>
          <t>NORSJÖ</t>
        </is>
      </c>
      <c r="F10253" t="inlineStr">
        <is>
          <t>Holmen skog AB</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31633-2023</t>
        </is>
      </c>
      <c r="B10254" s="1" t="n">
        <v>45117</v>
      </c>
      <c r="C10254" s="1" t="n">
        <v>45357</v>
      </c>
      <c r="D10254" t="inlineStr">
        <is>
          <t>VÄSTERBOTTENS LÄN</t>
        </is>
      </c>
      <c r="E10254" t="inlineStr">
        <is>
          <t>NORSJÖ</t>
        </is>
      </c>
      <c r="F10254" t="inlineStr">
        <is>
          <t>Holmen skog AB</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31643-2023</t>
        </is>
      </c>
      <c r="B10255" s="1" t="n">
        <v>45117</v>
      </c>
      <c r="C10255" s="1" t="n">
        <v>45357</v>
      </c>
      <c r="D10255" t="inlineStr">
        <is>
          <t>VÄSTERBOTTENS LÄN</t>
        </is>
      </c>
      <c r="E10255" t="inlineStr">
        <is>
          <t>SORSELE</t>
        </is>
      </c>
      <c r="F10255" t="inlineStr">
        <is>
          <t>Sveaskog</t>
        </is>
      </c>
      <c r="G10255" t="n">
        <v>17.2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31662-2023</t>
        </is>
      </c>
      <c r="B10256" s="1" t="n">
        <v>45117</v>
      </c>
      <c r="C10256" s="1" t="n">
        <v>45357</v>
      </c>
      <c r="D10256" t="inlineStr">
        <is>
          <t>VÄSTERBOTTENS LÄN</t>
        </is>
      </c>
      <c r="E10256" t="inlineStr">
        <is>
          <t>ROBERTSFORS</t>
        </is>
      </c>
      <c r="F10256" t="inlineStr">
        <is>
          <t>Holmen skog AB</t>
        </is>
      </c>
      <c r="G10256" t="n">
        <v>9.699999999999999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31698-2023</t>
        </is>
      </c>
      <c r="B10257" s="1" t="n">
        <v>45117</v>
      </c>
      <c r="C10257" s="1" t="n">
        <v>45357</v>
      </c>
      <c r="D10257" t="inlineStr">
        <is>
          <t>VÄSTERBOTTENS LÄN</t>
        </is>
      </c>
      <c r="E10257" t="inlineStr">
        <is>
          <t>LYCKSELE</t>
        </is>
      </c>
      <c r="F10257" t="inlineStr">
        <is>
          <t>Holmen skog AB</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31738-2023</t>
        </is>
      </c>
      <c r="B10258" s="1" t="n">
        <v>45118</v>
      </c>
      <c r="C10258" s="1" t="n">
        <v>45357</v>
      </c>
      <c r="D10258" t="inlineStr">
        <is>
          <t>VÄSTERBOTTENS LÄN</t>
        </is>
      </c>
      <c r="E10258" t="inlineStr">
        <is>
          <t>BJURHOLM</t>
        </is>
      </c>
      <c r="F10258" t="inlineStr">
        <is>
          <t>SCA</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33349-2023</t>
        </is>
      </c>
      <c r="B10259" s="1" t="n">
        <v>45117</v>
      </c>
      <c r="C10259" s="1" t="n">
        <v>45357</v>
      </c>
      <c r="D10259" t="inlineStr">
        <is>
          <t>VÄSTERBOTTENS LÄN</t>
        </is>
      </c>
      <c r="E10259" t="inlineStr">
        <is>
          <t>VILHELMINA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33413-2023</t>
        </is>
      </c>
      <c r="B10260" s="1" t="n">
        <v>45117</v>
      </c>
      <c r="C10260" s="1" t="n">
        <v>45357</v>
      </c>
      <c r="D10260" t="inlineStr">
        <is>
          <t>VÄSTERBOTTENS LÄN</t>
        </is>
      </c>
      <c r="E10260" t="inlineStr">
        <is>
          <t>ÅSELE</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33412-2023</t>
        </is>
      </c>
      <c r="B10261" s="1" t="n">
        <v>45117</v>
      </c>
      <c r="C10261" s="1" t="n">
        <v>45357</v>
      </c>
      <c r="D10261" t="inlineStr">
        <is>
          <t>VÄSTERBOTTENS LÄN</t>
        </is>
      </c>
      <c r="E10261" t="inlineStr">
        <is>
          <t>VILHELMINA</t>
        </is>
      </c>
      <c r="F10261" t="inlineStr">
        <is>
          <t>Övriga Aktiebolag</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31792-2023</t>
        </is>
      </c>
      <c r="B10262" s="1" t="n">
        <v>45118</v>
      </c>
      <c r="C10262" s="1" t="n">
        <v>45357</v>
      </c>
      <c r="D10262" t="inlineStr">
        <is>
          <t>VÄSTERBOTTENS LÄN</t>
        </is>
      </c>
      <c r="E10262" t="inlineStr">
        <is>
          <t>VINDELN</t>
        </is>
      </c>
      <c r="F10262" t="inlineStr">
        <is>
          <t>Holmen skog AB</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31840-2023</t>
        </is>
      </c>
      <c r="B10263" s="1" t="n">
        <v>45118</v>
      </c>
      <c r="C10263" s="1" t="n">
        <v>45357</v>
      </c>
      <c r="D10263" t="inlineStr">
        <is>
          <t>VÄSTERBOTTENS LÄN</t>
        </is>
      </c>
      <c r="E10263" t="inlineStr">
        <is>
          <t>LYCKSELE</t>
        </is>
      </c>
      <c r="G10263" t="n">
        <v>15.6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31865-2023</t>
        </is>
      </c>
      <c r="B10264" s="1" t="n">
        <v>45118</v>
      </c>
      <c r="C10264" s="1" t="n">
        <v>45357</v>
      </c>
      <c r="D10264" t="inlineStr">
        <is>
          <t>VÄSTERBOTTENS LÄN</t>
        </is>
      </c>
      <c r="E10264" t="inlineStr">
        <is>
          <t>VÄNNÄS</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31869-2023</t>
        </is>
      </c>
      <c r="B10265" s="1" t="n">
        <v>45118</v>
      </c>
      <c r="C10265" s="1" t="n">
        <v>45357</v>
      </c>
      <c r="D10265" t="inlineStr">
        <is>
          <t>VÄSTERBOTTENS LÄN</t>
        </is>
      </c>
      <c r="E10265" t="inlineStr">
        <is>
          <t>VÄNNÄS</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31867-2023</t>
        </is>
      </c>
      <c r="B10266" s="1" t="n">
        <v>45118</v>
      </c>
      <c r="C10266" s="1" t="n">
        <v>45357</v>
      </c>
      <c r="D10266" t="inlineStr">
        <is>
          <t>VÄSTERBOTTENS LÄN</t>
        </is>
      </c>
      <c r="E10266" t="inlineStr">
        <is>
          <t>VÄNNÄS</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33513-2023</t>
        </is>
      </c>
      <c r="B10267" s="1" t="n">
        <v>45118</v>
      </c>
      <c r="C10267" s="1" t="n">
        <v>45357</v>
      </c>
      <c r="D10267" t="inlineStr">
        <is>
          <t>VÄSTERBOTTENS LÄN</t>
        </is>
      </c>
      <c r="E10267" t="inlineStr">
        <is>
          <t>VINDELN</t>
        </is>
      </c>
      <c r="G10267" t="n">
        <v>24.7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33514-2023</t>
        </is>
      </c>
      <c r="B10268" s="1" t="n">
        <v>45118</v>
      </c>
      <c r="C10268" s="1" t="n">
        <v>45357</v>
      </c>
      <c r="D10268" t="inlineStr">
        <is>
          <t>VÄSTERBOTTENS LÄN</t>
        </is>
      </c>
      <c r="E10268" t="inlineStr">
        <is>
          <t>VINDELN</t>
        </is>
      </c>
      <c r="G10268" t="n">
        <v>25.2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33508-2023</t>
        </is>
      </c>
      <c r="B10269" s="1" t="n">
        <v>45118</v>
      </c>
      <c r="C10269" s="1" t="n">
        <v>45357</v>
      </c>
      <c r="D10269" t="inlineStr">
        <is>
          <t>VÄSTERBOTTENS LÄN</t>
        </is>
      </c>
      <c r="E10269" t="inlineStr">
        <is>
          <t>VINDELN</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33521-2023</t>
        </is>
      </c>
      <c r="B10270" s="1" t="n">
        <v>45118</v>
      </c>
      <c r="C10270" s="1" t="n">
        <v>45357</v>
      </c>
      <c r="D10270" t="inlineStr">
        <is>
          <t>VÄSTERBOTTENS LÄN</t>
        </is>
      </c>
      <c r="E10270" t="inlineStr">
        <is>
          <t>VINDELN</t>
        </is>
      </c>
      <c r="G10270" t="n">
        <v>10.1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32007-2023</t>
        </is>
      </c>
      <c r="B10271" s="1" t="n">
        <v>45119</v>
      </c>
      <c r="C10271" s="1" t="n">
        <v>45357</v>
      </c>
      <c r="D10271" t="inlineStr">
        <is>
          <t>VÄSTERBOTTENS LÄN</t>
        </is>
      </c>
      <c r="E10271" t="inlineStr">
        <is>
          <t>ÅSELE</t>
        </is>
      </c>
      <c r="F10271" t="inlineStr">
        <is>
          <t>Sveaskog</t>
        </is>
      </c>
      <c r="G10271" t="n">
        <v>17.5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32006-2023</t>
        </is>
      </c>
      <c r="B10272" s="1" t="n">
        <v>45119</v>
      </c>
      <c r="C10272" s="1" t="n">
        <v>45357</v>
      </c>
      <c r="D10272" t="inlineStr">
        <is>
          <t>VÄSTERBOTTENS LÄN</t>
        </is>
      </c>
      <c r="E10272" t="inlineStr">
        <is>
          <t>ÅSELE</t>
        </is>
      </c>
      <c r="F10272" t="inlineStr">
        <is>
          <t>Sveaskog</t>
        </is>
      </c>
      <c r="G10272" t="n">
        <v>12.6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32146-2023</t>
        </is>
      </c>
      <c r="B10273" s="1" t="n">
        <v>45119</v>
      </c>
      <c r="C10273" s="1" t="n">
        <v>45357</v>
      </c>
      <c r="D10273" t="inlineStr">
        <is>
          <t>VÄSTERBOTTENS LÄN</t>
        </is>
      </c>
      <c r="E10273" t="inlineStr">
        <is>
          <t>BJURHOLM</t>
        </is>
      </c>
      <c r="F10273" t="inlineStr">
        <is>
          <t>Holmen skog AB</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32206-2023</t>
        </is>
      </c>
      <c r="B10274" s="1" t="n">
        <v>45119</v>
      </c>
      <c r="C10274" s="1" t="n">
        <v>45357</v>
      </c>
      <c r="D10274" t="inlineStr">
        <is>
          <t>VÄSTERBOTTENS LÄN</t>
        </is>
      </c>
      <c r="E10274" t="inlineStr">
        <is>
          <t>SKELLEFTEÅ</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32094-2023</t>
        </is>
      </c>
      <c r="B10275" s="1" t="n">
        <v>45119</v>
      </c>
      <c r="C10275" s="1" t="n">
        <v>45357</v>
      </c>
      <c r="D10275" t="inlineStr">
        <is>
          <t>VÄSTERBOTTENS LÄN</t>
        </is>
      </c>
      <c r="E10275" t="inlineStr">
        <is>
          <t>NORSJÖ</t>
        </is>
      </c>
      <c r="F10275" t="inlineStr">
        <is>
          <t>Holmen skog AB</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32183-2023</t>
        </is>
      </c>
      <c r="B10276" s="1" t="n">
        <v>45119</v>
      </c>
      <c r="C10276" s="1" t="n">
        <v>45357</v>
      </c>
      <c r="D10276" t="inlineStr">
        <is>
          <t>VÄSTERBOTTENS LÄN</t>
        </is>
      </c>
      <c r="E10276" t="inlineStr">
        <is>
          <t>NORDMALING</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32205-2023</t>
        </is>
      </c>
      <c r="B10277" s="1" t="n">
        <v>45119</v>
      </c>
      <c r="C10277" s="1" t="n">
        <v>45357</v>
      </c>
      <c r="D10277" t="inlineStr">
        <is>
          <t>VÄSTERBOTTENS LÄN</t>
        </is>
      </c>
      <c r="E10277" t="inlineStr">
        <is>
          <t>SKELLEFTEÅ</t>
        </is>
      </c>
      <c r="G10277" t="n">
        <v>10.8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32180-2023</t>
        </is>
      </c>
      <c r="B10278" s="1" t="n">
        <v>45119</v>
      </c>
      <c r="C10278" s="1" t="n">
        <v>45357</v>
      </c>
      <c r="D10278" t="inlineStr">
        <is>
          <t>VÄSTERBOTTENS LÄN</t>
        </is>
      </c>
      <c r="E10278" t="inlineStr">
        <is>
          <t>NORDMALING</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32212-2023</t>
        </is>
      </c>
      <c r="B10279" s="1" t="n">
        <v>45119</v>
      </c>
      <c r="C10279" s="1" t="n">
        <v>45357</v>
      </c>
      <c r="D10279" t="inlineStr">
        <is>
          <t>VÄSTERBOTTENS LÄN</t>
        </is>
      </c>
      <c r="E10279" t="inlineStr">
        <is>
          <t>ROBERTSFORS</t>
        </is>
      </c>
      <c r="F10279" t="inlineStr">
        <is>
          <t>SCA</t>
        </is>
      </c>
      <c r="G10279" t="n">
        <v>22.2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33682-2023</t>
        </is>
      </c>
      <c r="B10280" s="1" t="n">
        <v>45119</v>
      </c>
      <c r="C10280" s="1" t="n">
        <v>45357</v>
      </c>
      <c r="D10280" t="inlineStr">
        <is>
          <t>VÄSTERBOTTENS LÄN</t>
        </is>
      </c>
      <c r="E10280" t="inlineStr">
        <is>
          <t>ÅSELE</t>
        </is>
      </c>
      <c r="F10280" t="inlineStr">
        <is>
          <t>Allmännings- och besparingsskogar</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33675-2023</t>
        </is>
      </c>
      <c r="B10281" s="1" t="n">
        <v>45119</v>
      </c>
      <c r="C10281" s="1" t="n">
        <v>45357</v>
      </c>
      <c r="D10281" t="inlineStr">
        <is>
          <t>VÄSTERBOTTENS LÄN</t>
        </is>
      </c>
      <c r="E10281" t="inlineStr">
        <is>
          <t>VILHELMINA</t>
        </is>
      </c>
      <c r="F10281" t="inlineStr">
        <is>
          <t>Allmännings- och besparingsskogar</t>
        </is>
      </c>
      <c r="G10281" t="n">
        <v>27.9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33661-2023</t>
        </is>
      </c>
      <c r="B10282" s="1" t="n">
        <v>45119</v>
      </c>
      <c r="C10282" s="1" t="n">
        <v>45357</v>
      </c>
      <c r="D10282" t="inlineStr">
        <is>
          <t>VÄSTERBOTTENS LÄN</t>
        </is>
      </c>
      <c r="E10282" t="inlineStr">
        <is>
          <t>VILHELMINA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33679-2023</t>
        </is>
      </c>
      <c r="B10283" s="1" t="n">
        <v>45119</v>
      </c>
      <c r="C10283" s="1" t="n">
        <v>45357</v>
      </c>
      <c r="D10283" t="inlineStr">
        <is>
          <t>VÄSTERBOTTENS LÄN</t>
        </is>
      </c>
      <c r="E10283" t="inlineStr">
        <is>
          <t>VILHELMINA</t>
        </is>
      </c>
      <c r="F10283" t="inlineStr">
        <is>
          <t>Allmännings- och besparingsskogar</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33685-2023</t>
        </is>
      </c>
      <c r="B10284" s="1" t="n">
        <v>45119</v>
      </c>
      <c r="C10284" s="1" t="n">
        <v>45357</v>
      </c>
      <c r="D10284" t="inlineStr">
        <is>
          <t>VÄSTERBOTTENS LÄN</t>
        </is>
      </c>
      <c r="E10284" t="inlineStr">
        <is>
          <t>ÅSELE</t>
        </is>
      </c>
      <c r="F10284" t="inlineStr">
        <is>
          <t>Allmännings- och besparingsskogar</t>
        </is>
      </c>
      <c r="G10284" t="n">
        <v>30.5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32288-2023</t>
        </is>
      </c>
      <c r="B10285" s="1" t="n">
        <v>45120</v>
      </c>
      <c r="C10285" s="1" t="n">
        <v>45357</v>
      </c>
      <c r="D10285" t="inlineStr">
        <is>
          <t>VÄSTERBOTTENS LÄN</t>
        </is>
      </c>
      <c r="E10285" t="inlineStr">
        <is>
          <t>NORSJÖ</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32305-2023</t>
        </is>
      </c>
      <c r="B10286" s="1" t="n">
        <v>45120</v>
      </c>
      <c r="C10286" s="1" t="n">
        <v>45357</v>
      </c>
      <c r="D10286" t="inlineStr">
        <is>
          <t>VÄSTERBOTTENS LÄN</t>
        </is>
      </c>
      <c r="E10286" t="inlineStr">
        <is>
          <t>ÅSELE</t>
        </is>
      </c>
      <c r="F10286" t="inlineStr">
        <is>
          <t>Sveaskog</t>
        </is>
      </c>
      <c r="G10286" t="n">
        <v>19.8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32267-2023</t>
        </is>
      </c>
      <c r="B10287" s="1" t="n">
        <v>45120</v>
      </c>
      <c r="C10287" s="1" t="n">
        <v>45357</v>
      </c>
      <c r="D10287" t="inlineStr">
        <is>
          <t>VÄSTERBOTTENS LÄN</t>
        </is>
      </c>
      <c r="E10287" t="inlineStr">
        <is>
          <t>NORSJÖ</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32308-2023</t>
        </is>
      </c>
      <c r="B10288" s="1" t="n">
        <v>45120</v>
      </c>
      <c r="C10288" s="1" t="n">
        <v>45357</v>
      </c>
      <c r="D10288" t="inlineStr">
        <is>
          <t>VÄSTERBOTTENS LÄN</t>
        </is>
      </c>
      <c r="E10288" t="inlineStr">
        <is>
          <t>ÅSELE</t>
        </is>
      </c>
      <c r="F10288" t="inlineStr">
        <is>
          <t>Sveaskog</t>
        </is>
      </c>
      <c r="G10288" t="n">
        <v>22.9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32344-2023</t>
        </is>
      </c>
      <c r="B10289" s="1" t="n">
        <v>45120</v>
      </c>
      <c r="C10289" s="1" t="n">
        <v>45357</v>
      </c>
      <c r="D10289" t="inlineStr">
        <is>
          <t>VÄSTERBOTTENS LÄN</t>
        </is>
      </c>
      <c r="E10289" t="inlineStr">
        <is>
          <t>ROBERTSFORS</t>
        </is>
      </c>
      <c r="F10289" t="inlineStr">
        <is>
          <t>Holmen skog AB</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32385-2023</t>
        </is>
      </c>
      <c r="B10290" s="1" t="n">
        <v>45120</v>
      </c>
      <c r="C10290" s="1" t="n">
        <v>45357</v>
      </c>
      <c r="D10290" t="inlineStr">
        <is>
          <t>VÄSTERBOTTENS LÄN</t>
        </is>
      </c>
      <c r="E10290" t="inlineStr">
        <is>
          <t>ROBERTSFORS</t>
        </is>
      </c>
      <c r="F10290" t="inlineStr">
        <is>
          <t>Holmen skog AB</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32370-2023</t>
        </is>
      </c>
      <c r="B10291" s="1" t="n">
        <v>45120</v>
      </c>
      <c r="C10291" s="1" t="n">
        <v>45357</v>
      </c>
      <c r="D10291" t="inlineStr">
        <is>
          <t>VÄSTERBOTTENS LÄN</t>
        </is>
      </c>
      <c r="E10291" t="inlineStr">
        <is>
          <t>ÅSELE</t>
        </is>
      </c>
      <c r="G10291" t="n">
        <v>14.7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32464-2023</t>
        </is>
      </c>
      <c r="B10292" s="1" t="n">
        <v>45121</v>
      </c>
      <c r="C10292" s="1" t="n">
        <v>45357</v>
      </c>
      <c r="D10292" t="inlineStr">
        <is>
          <t>VÄSTERBOTTENS LÄN</t>
        </is>
      </c>
      <c r="E10292" t="inlineStr">
        <is>
          <t>UMEÅ</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32463-2023</t>
        </is>
      </c>
      <c r="B10293" s="1" t="n">
        <v>45121</v>
      </c>
      <c r="C10293" s="1" t="n">
        <v>45357</v>
      </c>
      <c r="D10293" t="inlineStr">
        <is>
          <t>VÄSTERBOTTENS LÄN</t>
        </is>
      </c>
      <c r="E10293" t="inlineStr">
        <is>
          <t>UMEÅ</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32467-2023</t>
        </is>
      </c>
      <c r="B10294" s="1" t="n">
        <v>45121</v>
      </c>
      <c r="C10294" s="1" t="n">
        <v>45357</v>
      </c>
      <c r="D10294" t="inlineStr">
        <is>
          <t>VÄSTERBOTTENS LÄN</t>
        </is>
      </c>
      <c r="E10294" t="inlineStr">
        <is>
          <t>UMEÅ</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32359-2023</t>
        </is>
      </c>
      <c r="B10295" s="1" t="n">
        <v>45120</v>
      </c>
      <c r="C10295" s="1" t="n">
        <v>45357</v>
      </c>
      <c r="D10295" t="inlineStr">
        <is>
          <t>VÄSTERBOTTENS LÄN</t>
        </is>
      </c>
      <c r="E10295" t="inlineStr">
        <is>
          <t>ÅSELE</t>
        </is>
      </c>
      <c r="G10295" t="n">
        <v>14.4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32462-2023</t>
        </is>
      </c>
      <c r="B10296" s="1" t="n">
        <v>45121</v>
      </c>
      <c r="C10296" s="1" t="n">
        <v>45357</v>
      </c>
      <c r="D10296" t="inlineStr">
        <is>
          <t>VÄSTERBOTTENS LÄN</t>
        </is>
      </c>
      <c r="E10296" t="inlineStr">
        <is>
          <t>UMEÅ</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32474-2023</t>
        </is>
      </c>
      <c r="B10297" s="1" t="n">
        <v>45120</v>
      </c>
      <c r="C10297" s="1" t="n">
        <v>45357</v>
      </c>
      <c r="D10297" t="inlineStr">
        <is>
          <t>VÄSTERBOTTENS LÄN</t>
        </is>
      </c>
      <c r="E10297" t="inlineStr">
        <is>
          <t>DOROTEA</t>
        </is>
      </c>
      <c r="F10297" t="inlineStr">
        <is>
          <t>SCA</t>
        </is>
      </c>
      <c r="G10297" t="n">
        <v>11.7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33778-2023</t>
        </is>
      </c>
      <c r="B10298" s="1" t="n">
        <v>45120</v>
      </c>
      <c r="C10298" s="1" t="n">
        <v>45357</v>
      </c>
      <c r="D10298" t="inlineStr">
        <is>
          <t>VÄSTERBOTTENS LÄN</t>
        </is>
      </c>
      <c r="E10298" t="inlineStr">
        <is>
          <t>SKELLEFTEÅ</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32535-2023</t>
        </is>
      </c>
      <c r="B10299" s="1" t="n">
        <v>45121</v>
      </c>
      <c r="C10299" s="1" t="n">
        <v>45357</v>
      </c>
      <c r="D10299" t="inlineStr">
        <is>
          <t>VÄSTERBOTTENS LÄN</t>
        </is>
      </c>
      <c r="E10299" t="inlineStr">
        <is>
          <t>SKELLEFTEÅ</t>
        </is>
      </c>
      <c r="F10299" t="inlineStr">
        <is>
          <t>Holmen skog AB</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32556-2023</t>
        </is>
      </c>
      <c r="B10300" s="1" t="n">
        <v>45121</v>
      </c>
      <c r="C10300" s="1" t="n">
        <v>45357</v>
      </c>
      <c r="D10300" t="inlineStr">
        <is>
          <t>VÄSTERBOTTENS LÄN</t>
        </is>
      </c>
      <c r="E10300" t="inlineStr">
        <is>
          <t>SKELLEFTEÅ</t>
        </is>
      </c>
      <c r="F10300" t="inlineStr">
        <is>
          <t>Holmen skog AB</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32586-2023</t>
        </is>
      </c>
      <c r="B10301" s="1" t="n">
        <v>45121</v>
      </c>
      <c r="C10301" s="1" t="n">
        <v>45357</v>
      </c>
      <c r="D10301" t="inlineStr">
        <is>
          <t>VÄSTERBOTTENS LÄN</t>
        </is>
      </c>
      <c r="E10301" t="inlineStr">
        <is>
          <t>ÅSELE</t>
        </is>
      </c>
      <c r="F10301" t="inlineStr">
        <is>
          <t>Holmen skog AB</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32508-2023</t>
        </is>
      </c>
      <c r="B10302" s="1" t="n">
        <v>45121</v>
      </c>
      <c r="C10302" s="1" t="n">
        <v>45357</v>
      </c>
      <c r="D10302" t="inlineStr">
        <is>
          <t>VÄSTERBOTTENS LÄN</t>
        </is>
      </c>
      <c r="E10302" t="inlineStr">
        <is>
          <t>BJURHOLM</t>
        </is>
      </c>
      <c r="F10302" t="inlineStr">
        <is>
          <t>Holmen skog AB</t>
        </is>
      </c>
      <c r="G10302" t="n">
        <v>20.7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32589-2023</t>
        </is>
      </c>
      <c r="B10303" s="1" t="n">
        <v>45121</v>
      </c>
      <c r="C10303" s="1" t="n">
        <v>45357</v>
      </c>
      <c r="D10303" t="inlineStr">
        <is>
          <t>VÄSTERBOTTENS LÄN</t>
        </is>
      </c>
      <c r="E10303" t="inlineStr">
        <is>
          <t>SKELLEFTEÅ</t>
        </is>
      </c>
      <c r="F10303" t="inlineStr">
        <is>
          <t>Holmen skog AB</t>
        </is>
      </c>
      <c r="G10303" t="n">
        <v>10.8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32561-2023</t>
        </is>
      </c>
      <c r="B10304" s="1" t="n">
        <v>45121</v>
      </c>
      <c r="C10304" s="1" t="n">
        <v>45357</v>
      </c>
      <c r="D10304" t="inlineStr">
        <is>
          <t>VÄSTERBOTTENS LÄN</t>
        </is>
      </c>
      <c r="E10304" t="inlineStr">
        <is>
          <t>ÅSELE</t>
        </is>
      </c>
      <c r="F10304" t="inlineStr">
        <is>
          <t>Naturvårdsverket</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32575-2023</t>
        </is>
      </c>
      <c r="B10305" s="1" t="n">
        <v>45121</v>
      </c>
      <c r="C10305" s="1" t="n">
        <v>45357</v>
      </c>
      <c r="D10305" t="inlineStr">
        <is>
          <t>VÄSTERBOTTENS LÄN</t>
        </is>
      </c>
      <c r="E10305" t="inlineStr">
        <is>
          <t>SKELLEFTEÅ</t>
        </is>
      </c>
      <c r="F10305" t="inlineStr">
        <is>
          <t>Holmen skog AB</t>
        </is>
      </c>
      <c r="G10305" t="n">
        <v>9.199999999999999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32579-2023</t>
        </is>
      </c>
      <c r="B10306" s="1" t="n">
        <v>45121</v>
      </c>
      <c r="C10306" s="1" t="n">
        <v>45357</v>
      </c>
      <c r="D10306" t="inlineStr">
        <is>
          <t>VÄSTERBOTTENS LÄN</t>
        </is>
      </c>
      <c r="E10306" t="inlineStr">
        <is>
          <t>ÅSELE</t>
        </is>
      </c>
      <c r="F10306" t="inlineStr">
        <is>
          <t>Holmen skog AB</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32590-2023</t>
        </is>
      </c>
      <c r="B10307" s="1" t="n">
        <v>45121</v>
      </c>
      <c r="C10307" s="1" t="n">
        <v>45357</v>
      </c>
      <c r="D10307" t="inlineStr">
        <is>
          <t>VÄSTERBOTTENS LÄN</t>
        </is>
      </c>
      <c r="E10307" t="inlineStr">
        <is>
          <t>SKELLEFTEÅ</t>
        </is>
      </c>
      <c r="F10307" t="inlineStr">
        <is>
          <t>Holmen skog AB</t>
        </is>
      </c>
      <c r="G10307" t="n">
        <v>10.4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32723-2023</t>
        </is>
      </c>
      <c r="B10308" s="1" t="n">
        <v>45121</v>
      </c>
      <c r="C10308" s="1" t="n">
        <v>45357</v>
      </c>
      <c r="D10308" t="inlineStr">
        <is>
          <t>VÄSTERBOTTENS LÄN</t>
        </is>
      </c>
      <c r="E10308" t="inlineStr">
        <is>
          <t>DOROTEA</t>
        </is>
      </c>
      <c r="F10308" t="inlineStr">
        <is>
          <t>SCA</t>
        </is>
      </c>
      <c r="G10308" t="n">
        <v>20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32746-2023</t>
        </is>
      </c>
      <c r="B10309" s="1" t="n">
        <v>45122</v>
      </c>
      <c r="C10309" s="1" t="n">
        <v>45357</v>
      </c>
      <c r="D10309" t="inlineStr">
        <is>
          <t>VÄSTERBOTTENS LÄN</t>
        </is>
      </c>
      <c r="E10309" t="inlineStr">
        <is>
          <t>SKELLEFTEÅ</t>
        </is>
      </c>
      <c r="F10309" t="inlineStr">
        <is>
          <t>Holmen skog AB</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32743-2023</t>
        </is>
      </c>
      <c r="B10310" s="1" t="n">
        <v>45122</v>
      </c>
      <c r="C10310" s="1" t="n">
        <v>45357</v>
      </c>
      <c r="D10310" t="inlineStr">
        <is>
          <t>VÄSTERBOTTENS LÄN</t>
        </is>
      </c>
      <c r="E10310" t="inlineStr">
        <is>
          <t>SKELLEFTEÅ</t>
        </is>
      </c>
      <c r="F10310" t="inlineStr">
        <is>
          <t>Holmen skog AB</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32747-2023</t>
        </is>
      </c>
      <c r="B10311" s="1" t="n">
        <v>45122</v>
      </c>
      <c r="C10311" s="1" t="n">
        <v>45357</v>
      </c>
      <c r="D10311" t="inlineStr">
        <is>
          <t>VÄSTERBOTTENS LÄN</t>
        </is>
      </c>
      <c r="E10311" t="inlineStr">
        <is>
          <t>SKELLEFTEÅ</t>
        </is>
      </c>
      <c r="F10311" t="inlineStr">
        <is>
          <t>Holmen skog AB</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32745-2023</t>
        </is>
      </c>
      <c r="B10312" s="1" t="n">
        <v>45122</v>
      </c>
      <c r="C10312" s="1" t="n">
        <v>45357</v>
      </c>
      <c r="D10312" t="inlineStr">
        <is>
          <t>VÄSTERBOTTENS LÄN</t>
        </is>
      </c>
      <c r="E10312" t="inlineStr">
        <is>
          <t>SKELLEFTEÅ</t>
        </is>
      </c>
      <c r="F10312" t="inlineStr">
        <is>
          <t>Holmen skog AB</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33911-2023</t>
        </is>
      </c>
      <c r="B10313" s="1" t="n">
        <v>45123</v>
      </c>
      <c r="C10313" s="1" t="n">
        <v>45357</v>
      </c>
      <c r="D10313" t="inlineStr">
        <is>
          <t>VÄSTERBOTTENS LÄN</t>
        </is>
      </c>
      <c r="E10313" t="inlineStr">
        <is>
          <t>SKELLEFTEÅ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32861-2023</t>
        </is>
      </c>
      <c r="B10314" s="1" t="n">
        <v>45124</v>
      </c>
      <c r="C10314" s="1" t="n">
        <v>45357</v>
      </c>
      <c r="D10314" t="inlineStr">
        <is>
          <t>VÄSTERBOTTENS LÄN</t>
        </is>
      </c>
      <c r="E10314" t="inlineStr">
        <is>
          <t>LYCKSELE</t>
        </is>
      </c>
      <c r="F10314" t="inlineStr">
        <is>
          <t>Sveaskog</t>
        </is>
      </c>
      <c r="G10314" t="n">
        <v>22.5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32863-2023</t>
        </is>
      </c>
      <c r="B10315" s="1" t="n">
        <v>45124</v>
      </c>
      <c r="C10315" s="1" t="n">
        <v>45357</v>
      </c>
      <c r="D10315" t="inlineStr">
        <is>
          <t>VÄSTERBOTTENS LÄN</t>
        </is>
      </c>
      <c r="E10315" t="inlineStr">
        <is>
          <t>LYCKSELE</t>
        </is>
      </c>
      <c r="F10315" t="inlineStr">
        <is>
          <t>Sveaskog</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32874-2023</t>
        </is>
      </c>
      <c r="B10316" s="1" t="n">
        <v>45124</v>
      </c>
      <c r="C10316" s="1" t="n">
        <v>45357</v>
      </c>
      <c r="D10316" t="inlineStr">
        <is>
          <t>VÄSTERBOTTENS LÄN</t>
        </is>
      </c>
      <c r="E10316" t="inlineStr">
        <is>
          <t>ROBERTSFORS</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32880-2023</t>
        </is>
      </c>
      <c r="B10317" s="1" t="n">
        <v>45124</v>
      </c>
      <c r="C10317" s="1" t="n">
        <v>45357</v>
      </c>
      <c r="D10317" t="inlineStr">
        <is>
          <t>VÄSTERBOTTENS LÄN</t>
        </is>
      </c>
      <c r="E10317" t="inlineStr">
        <is>
          <t>SORSELE</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32793-2023</t>
        </is>
      </c>
      <c r="B10318" s="1" t="n">
        <v>45124</v>
      </c>
      <c r="C10318" s="1" t="n">
        <v>45357</v>
      </c>
      <c r="D10318" t="inlineStr">
        <is>
          <t>VÄSTERBOTTENS LÄN</t>
        </is>
      </c>
      <c r="E10318" t="inlineStr">
        <is>
          <t>BJURHOLM</t>
        </is>
      </c>
      <c r="F10318" t="inlineStr">
        <is>
          <t>Holmen skog AB</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32802-2023</t>
        </is>
      </c>
      <c r="B10319" s="1" t="n">
        <v>45124</v>
      </c>
      <c r="C10319" s="1" t="n">
        <v>45357</v>
      </c>
      <c r="D10319" t="inlineStr">
        <is>
          <t>VÄSTERBOTTENS LÄN</t>
        </is>
      </c>
      <c r="E10319" t="inlineStr">
        <is>
          <t>LYCKSELE</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32876-2023</t>
        </is>
      </c>
      <c r="B10320" s="1" t="n">
        <v>45124</v>
      </c>
      <c r="C10320" s="1" t="n">
        <v>45357</v>
      </c>
      <c r="D10320" t="inlineStr">
        <is>
          <t>VÄSTERBOTTENS LÄN</t>
        </is>
      </c>
      <c r="E10320" t="inlineStr">
        <is>
          <t>ROBERTSFORS</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32909-2023</t>
        </is>
      </c>
      <c r="B10321" s="1" t="n">
        <v>45125</v>
      </c>
      <c r="C10321" s="1" t="n">
        <v>45357</v>
      </c>
      <c r="D10321" t="inlineStr">
        <is>
          <t>VÄSTERBOTTENS LÄN</t>
        </is>
      </c>
      <c r="E10321" t="inlineStr">
        <is>
          <t>NORDMALING</t>
        </is>
      </c>
      <c r="F10321" t="inlineStr">
        <is>
          <t>SCA</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34033-2023</t>
        </is>
      </c>
      <c r="B10322" s="1" t="n">
        <v>45124</v>
      </c>
      <c r="C10322" s="1" t="n">
        <v>45357</v>
      </c>
      <c r="D10322" t="inlineStr">
        <is>
          <t>VÄSTERBOTTENS LÄN</t>
        </is>
      </c>
      <c r="E10322" t="inlineStr">
        <is>
          <t>SORSELE</t>
        </is>
      </c>
      <c r="G10322" t="n">
        <v>53.4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33027-2023</t>
        </is>
      </c>
      <c r="B10323" s="1" t="n">
        <v>45126</v>
      </c>
      <c r="C10323" s="1" t="n">
        <v>45357</v>
      </c>
      <c r="D10323" t="inlineStr">
        <is>
          <t>VÄSTERBOTTENS LÄN</t>
        </is>
      </c>
      <c r="E10323" t="inlineStr">
        <is>
          <t>SKELLEFTEÅ</t>
        </is>
      </c>
      <c r="G10323" t="n">
        <v>8.4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33028-2023</t>
        </is>
      </c>
      <c r="B10324" s="1" t="n">
        <v>45125</v>
      </c>
      <c r="C10324" s="1" t="n">
        <v>45357</v>
      </c>
      <c r="D10324" t="inlineStr">
        <is>
          <t>VÄSTERBOTTENS LÄN</t>
        </is>
      </c>
      <c r="E10324" t="inlineStr">
        <is>
          <t>NORDMALING</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34074-2023</t>
        </is>
      </c>
      <c r="B10325" s="1" t="n">
        <v>45125</v>
      </c>
      <c r="C10325" s="1" t="n">
        <v>45357</v>
      </c>
      <c r="D10325" t="inlineStr">
        <is>
          <t>VÄSTERBOTTENS LÄN</t>
        </is>
      </c>
      <c r="E10325" t="inlineStr">
        <is>
          <t>VILHELMINA</t>
        </is>
      </c>
      <c r="G10325" t="n">
        <v>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34087-2023</t>
        </is>
      </c>
      <c r="B10326" s="1" t="n">
        <v>45125</v>
      </c>
      <c r="C10326" s="1" t="n">
        <v>45357</v>
      </c>
      <c r="D10326" t="inlineStr">
        <is>
          <t>VÄSTERBOTTENS LÄN</t>
        </is>
      </c>
      <c r="E10326" t="inlineStr">
        <is>
          <t>VILHELMINA</t>
        </is>
      </c>
      <c r="G10326" t="n">
        <v>13.2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33029-2023</t>
        </is>
      </c>
      <c r="B10327" s="1" t="n">
        <v>45126</v>
      </c>
      <c r="C10327" s="1" t="n">
        <v>45357</v>
      </c>
      <c r="D10327" t="inlineStr">
        <is>
          <t>VÄSTERBOTTENS LÄN</t>
        </is>
      </c>
      <c r="E10327" t="inlineStr">
        <is>
          <t>NORDMALING</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34067-2023</t>
        </is>
      </c>
      <c r="B10328" s="1" t="n">
        <v>45125</v>
      </c>
      <c r="C10328" s="1" t="n">
        <v>45357</v>
      </c>
      <c r="D10328" t="inlineStr">
        <is>
          <t>VÄSTERBOTTENS LÄN</t>
        </is>
      </c>
      <c r="E10328" t="inlineStr">
        <is>
          <t>BJURHOLM</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34101-2023</t>
        </is>
      </c>
      <c r="B10329" s="1" t="n">
        <v>45125</v>
      </c>
      <c r="C10329" s="1" t="n">
        <v>45357</v>
      </c>
      <c r="D10329" t="inlineStr">
        <is>
          <t>VÄSTERBOTTENS LÄN</t>
        </is>
      </c>
      <c r="E10329" t="inlineStr">
        <is>
          <t>DOROTEA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34107-2023</t>
        </is>
      </c>
      <c r="B10330" s="1" t="n">
        <v>45125</v>
      </c>
      <c r="C10330" s="1" t="n">
        <v>45357</v>
      </c>
      <c r="D10330" t="inlineStr">
        <is>
          <t>VÄSTERBOTTENS LÄN</t>
        </is>
      </c>
      <c r="E10330" t="inlineStr">
        <is>
          <t>DOROTEA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33156-2023</t>
        </is>
      </c>
      <c r="B10331" s="1" t="n">
        <v>45126</v>
      </c>
      <c r="C10331" s="1" t="n">
        <v>45357</v>
      </c>
      <c r="D10331" t="inlineStr">
        <is>
          <t>VÄSTERBOTTENS LÄN</t>
        </is>
      </c>
      <c r="E10331" t="inlineStr">
        <is>
          <t>LYCKSELE</t>
        </is>
      </c>
      <c r="F10331" t="inlineStr">
        <is>
          <t>Sveaskog</t>
        </is>
      </c>
      <c r="G10331" t="n">
        <v>12.8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33160-2023</t>
        </is>
      </c>
      <c r="B10332" s="1" t="n">
        <v>45126</v>
      </c>
      <c r="C10332" s="1" t="n">
        <v>45357</v>
      </c>
      <c r="D10332" t="inlineStr">
        <is>
          <t>VÄSTERBOTTENS LÄN</t>
        </is>
      </c>
      <c r="E10332" t="inlineStr">
        <is>
          <t>LYCKSELE</t>
        </is>
      </c>
      <c r="F10332" t="inlineStr">
        <is>
          <t>Sveaskog</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33078-2023</t>
        </is>
      </c>
      <c r="B10333" s="1" t="n">
        <v>45126</v>
      </c>
      <c r="C10333" s="1" t="n">
        <v>45357</v>
      </c>
      <c r="D10333" t="inlineStr">
        <is>
          <t>VÄSTERBOTTENS LÄN</t>
        </is>
      </c>
      <c r="E10333" t="inlineStr">
        <is>
          <t>SKELLEFTEÅ</t>
        </is>
      </c>
      <c r="F10333" t="inlineStr">
        <is>
          <t>Holmen skog AB</t>
        </is>
      </c>
      <c r="G10333" t="n">
        <v>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33129-2023</t>
        </is>
      </c>
      <c r="B10334" s="1" t="n">
        <v>45126</v>
      </c>
      <c r="C10334" s="1" t="n">
        <v>45357</v>
      </c>
      <c r="D10334" t="inlineStr">
        <is>
          <t>VÄSTERBOTTENS LÄN</t>
        </is>
      </c>
      <c r="E10334" t="inlineStr">
        <is>
          <t>SKELLEFTEÅ</t>
        </is>
      </c>
      <c r="F10334" t="inlineStr">
        <is>
          <t>Holmen skog AB</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33153-2023</t>
        </is>
      </c>
      <c r="B10335" s="1" t="n">
        <v>45126</v>
      </c>
      <c r="C10335" s="1" t="n">
        <v>45357</v>
      </c>
      <c r="D10335" t="inlineStr">
        <is>
          <t>VÄSTERBOTTENS LÄN</t>
        </is>
      </c>
      <c r="E10335" t="inlineStr">
        <is>
          <t>LYCKSELE</t>
        </is>
      </c>
      <c r="F10335" t="inlineStr">
        <is>
          <t>Sveaskog</t>
        </is>
      </c>
      <c r="G10335" t="n">
        <v>13.9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33157-2023</t>
        </is>
      </c>
      <c r="B10336" s="1" t="n">
        <v>45126</v>
      </c>
      <c r="C10336" s="1" t="n">
        <v>45357</v>
      </c>
      <c r="D10336" t="inlineStr">
        <is>
          <t>VÄSTERBOTTENS LÄN</t>
        </is>
      </c>
      <c r="E10336" t="inlineStr">
        <is>
          <t>LYCKSELE</t>
        </is>
      </c>
      <c r="F10336" t="inlineStr">
        <is>
          <t>Sveaskog</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33155-2023</t>
        </is>
      </c>
      <c r="B10337" s="1" t="n">
        <v>45126</v>
      </c>
      <c r="C10337" s="1" t="n">
        <v>45357</v>
      </c>
      <c r="D10337" t="inlineStr">
        <is>
          <t>VÄSTERBOTTENS LÄN</t>
        </is>
      </c>
      <c r="E10337" t="inlineStr">
        <is>
          <t>LYCKSELE</t>
        </is>
      </c>
      <c r="F10337" t="inlineStr">
        <is>
          <t>Sveaskog</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33159-2023</t>
        </is>
      </c>
      <c r="B10338" s="1" t="n">
        <v>45126</v>
      </c>
      <c r="C10338" s="1" t="n">
        <v>45357</v>
      </c>
      <c r="D10338" t="inlineStr">
        <is>
          <t>VÄSTERBOTTENS LÄN</t>
        </is>
      </c>
      <c r="E10338" t="inlineStr">
        <is>
          <t>LYCKSELE</t>
        </is>
      </c>
      <c r="F10338" t="inlineStr">
        <is>
          <t>Sveaskog</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34178-2023</t>
        </is>
      </c>
      <c r="B10339" s="1" t="n">
        <v>45126</v>
      </c>
      <c r="C10339" s="1" t="n">
        <v>45357</v>
      </c>
      <c r="D10339" t="inlineStr">
        <is>
          <t>VÄSTERBOTTENS LÄN</t>
        </is>
      </c>
      <c r="E10339" t="inlineStr">
        <is>
          <t>ÅSELE</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34176-2023</t>
        </is>
      </c>
      <c r="B10340" s="1" t="n">
        <v>45126</v>
      </c>
      <c r="C10340" s="1" t="n">
        <v>45357</v>
      </c>
      <c r="D10340" t="inlineStr">
        <is>
          <t>VÄSTERBOTTENS LÄN</t>
        </is>
      </c>
      <c r="E10340" t="inlineStr">
        <is>
          <t>NORDMALING</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34184-2023</t>
        </is>
      </c>
      <c r="B10341" s="1" t="n">
        <v>45126</v>
      </c>
      <c r="C10341" s="1" t="n">
        <v>45357</v>
      </c>
      <c r="D10341" t="inlineStr">
        <is>
          <t>VÄSTERBOTTENS LÄN</t>
        </is>
      </c>
      <c r="E10341" t="inlineStr">
        <is>
          <t>NORDMALING</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34214-2023</t>
        </is>
      </c>
      <c r="B10342" s="1" t="n">
        <v>45126</v>
      </c>
      <c r="C10342" s="1" t="n">
        <v>45357</v>
      </c>
      <c r="D10342" t="inlineStr">
        <is>
          <t>VÄSTERBOTTENS LÄN</t>
        </is>
      </c>
      <c r="E10342" t="inlineStr">
        <is>
          <t>LYCKSELE</t>
        </is>
      </c>
      <c r="G10342" t="n">
        <v>23.6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33274-2023</t>
        </is>
      </c>
      <c r="B10343" s="1" t="n">
        <v>45127</v>
      </c>
      <c r="C10343" s="1" t="n">
        <v>45357</v>
      </c>
      <c r="D10343" t="inlineStr">
        <is>
          <t>VÄSTERBOTTENS LÄN</t>
        </is>
      </c>
      <c r="E10343" t="inlineStr">
        <is>
          <t>SKELLEFTEÅ</t>
        </is>
      </c>
      <c r="F10343" t="inlineStr">
        <is>
          <t>Holmen skog AB</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33332-2023</t>
        </is>
      </c>
      <c r="B10344" s="1" t="n">
        <v>45127</v>
      </c>
      <c r="C10344" s="1" t="n">
        <v>45357</v>
      </c>
      <c r="D10344" t="inlineStr">
        <is>
          <t>VÄSTERBOTTENS LÄN</t>
        </is>
      </c>
      <c r="E10344" t="inlineStr">
        <is>
          <t>LYCKSELE</t>
        </is>
      </c>
      <c r="F10344" t="inlineStr">
        <is>
          <t>SCA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33319-2023</t>
        </is>
      </c>
      <c r="B10345" s="1" t="n">
        <v>45127</v>
      </c>
      <c r="C10345" s="1" t="n">
        <v>45357</v>
      </c>
      <c r="D10345" t="inlineStr">
        <is>
          <t>VÄSTERBOTTENS LÄN</t>
        </is>
      </c>
      <c r="E10345" t="inlineStr">
        <is>
          <t>VÄNNÄS</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33331-2023</t>
        </is>
      </c>
      <c r="B10346" s="1" t="n">
        <v>45127</v>
      </c>
      <c r="C10346" s="1" t="n">
        <v>45357</v>
      </c>
      <c r="D10346" t="inlineStr">
        <is>
          <t>VÄSTERBOTTENS LÄN</t>
        </is>
      </c>
      <c r="E10346" t="inlineStr">
        <is>
          <t>LYCKSELE</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34236-2023</t>
        </is>
      </c>
      <c r="B10347" s="1" t="n">
        <v>45127</v>
      </c>
      <c r="C10347" s="1" t="n">
        <v>45357</v>
      </c>
      <c r="D10347" t="inlineStr">
        <is>
          <t>VÄSTERBOTTENS LÄN</t>
        </is>
      </c>
      <c r="E10347" t="inlineStr">
        <is>
          <t>ÅSELE</t>
        </is>
      </c>
      <c r="F10347" t="inlineStr">
        <is>
          <t>Kommuner</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33418-2023</t>
        </is>
      </c>
      <c r="B10348" s="1" t="n">
        <v>45128</v>
      </c>
      <c r="C10348" s="1" t="n">
        <v>45357</v>
      </c>
      <c r="D10348" t="inlineStr">
        <is>
          <t>VÄSTERBOTTENS LÄN</t>
        </is>
      </c>
      <c r="E10348" t="inlineStr">
        <is>
          <t>UMEÅ</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33395-2023</t>
        </is>
      </c>
      <c r="B10349" s="1" t="n">
        <v>45128</v>
      </c>
      <c r="C10349" s="1" t="n">
        <v>45357</v>
      </c>
      <c r="D10349" t="inlineStr">
        <is>
          <t>VÄSTERBOTTENS LÄN</t>
        </is>
      </c>
      <c r="E10349" t="inlineStr">
        <is>
          <t>BJURHOLM</t>
        </is>
      </c>
      <c r="F10349" t="inlineStr">
        <is>
          <t>Holmen skog AB</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33400-2023</t>
        </is>
      </c>
      <c r="B10350" s="1" t="n">
        <v>45128</v>
      </c>
      <c r="C10350" s="1" t="n">
        <v>45357</v>
      </c>
      <c r="D10350" t="inlineStr">
        <is>
          <t>VÄSTERBOTTENS LÄN</t>
        </is>
      </c>
      <c r="E10350" t="inlineStr">
        <is>
          <t>LYCKSELE</t>
        </is>
      </c>
      <c r="F10350" t="inlineStr">
        <is>
          <t>Holmen skog AB</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33346-2023</t>
        </is>
      </c>
      <c r="B10351" s="1" t="n">
        <v>45128</v>
      </c>
      <c r="C10351" s="1" t="n">
        <v>45357</v>
      </c>
      <c r="D10351" t="inlineStr">
        <is>
          <t>VÄSTERBOTTENS LÄN</t>
        </is>
      </c>
      <c r="E10351" t="inlineStr">
        <is>
          <t>BJURHOLM</t>
        </is>
      </c>
      <c r="F10351" t="inlineStr">
        <is>
          <t>Holmen skog AB</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33438-2023</t>
        </is>
      </c>
      <c r="B10352" s="1" t="n">
        <v>45129</v>
      </c>
      <c r="C10352" s="1" t="n">
        <v>45357</v>
      </c>
      <c r="D10352" t="inlineStr">
        <is>
          <t>VÄSTERBOTTENS LÄN</t>
        </is>
      </c>
      <c r="E10352" t="inlineStr">
        <is>
          <t>ROBERTSFORS</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33466-2023</t>
        </is>
      </c>
      <c r="B10353" s="1" t="n">
        <v>45131</v>
      </c>
      <c r="C10353" s="1" t="n">
        <v>45357</v>
      </c>
      <c r="D10353" t="inlineStr">
        <is>
          <t>VÄSTERBOTTENS LÄN</t>
        </is>
      </c>
      <c r="E10353" t="inlineStr">
        <is>
          <t>ROBERTSFORS</t>
        </is>
      </c>
      <c r="F10353" t="inlineStr">
        <is>
          <t>Holmen skog AB</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33524-2023</t>
        </is>
      </c>
      <c r="B10354" s="1" t="n">
        <v>45131</v>
      </c>
      <c r="C10354" s="1" t="n">
        <v>45357</v>
      </c>
      <c r="D10354" t="inlineStr">
        <is>
          <t>VÄSTERBOTTENS LÄN</t>
        </is>
      </c>
      <c r="E10354" t="inlineStr">
        <is>
          <t>NORSJÖ</t>
        </is>
      </c>
      <c r="F10354" t="inlineStr">
        <is>
          <t>Holmen skog AB</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33546-2023</t>
        </is>
      </c>
      <c r="B10355" s="1" t="n">
        <v>45131</v>
      </c>
      <c r="C10355" s="1" t="n">
        <v>45357</v>
      </c>
      <c r="D10355" t="inlineStr">
        <is>
          <t>VÄSTERBOTTENS LÄN</t>
        </is>
      </c>
      <c r="E10355" t="inlineStr">
        <is>
          <t>ROBERTSFORS</t>
        </is>
      </c>
      <c r="F10355" t="inlineStr">
        <is>
          <t>Holmen skog AB</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33556-2023</t>
        </is>
      </c>
      <c r="B10356" s="1" t="n">
        <v>45131</v>
      </c>
      <c r="C10356" s="1" t="n">
        <v>45357</v>
      </c>
      <c r="D10356" t="inlineStr">
        <is>
          <t>VÄSTERBOTTENS LÄN</t>
        </is>
      </c>
      <c r="E10356" t="inlineStr">
        <is>
          <t>ROBERTSFORS</t>
        </is>
      </c>
      <c r="F10356" t="inlineStr">
        <is>
          <t>Holmen skog AB</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33623-2023</t>
        </is>
      </c>
      <c r="B10357" s="1" t="n">
        <v>45132</v>
      </c>
      <c r="C10357" s="1" t="n">
        <v>45357</v>
      </c>
      <c r="D10357" t="inlineStr">
        <is>
          <t>VÄSTERBOTTENS LÄN</t>
        </is>
      </c>
      <c r="E10357" t="inlineStr">
        <is>
          <t>NORSJÖ</t>
        </is>
      </c>
      <c r="F10357" t="inlineStr">
        <is>
          <t>Holmen skog AB</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33626-2023</t>
        </is>
      </c>
      <c r="B10358" s="1" t="n">
        <v>45132</v>
      </c>
      <c r="C10358" s="1" t="n">
        <v>45357</v>
      </c>
      <c r="D10358" t="inlineStr">
        <is>
          <t>VÄSTERBOTTENS LÄN</t>
        </is>
      </c>
      <c r="E10358" t="inlineStr">
        <is>
          <t>ROBERTSFORS</t>
        </is>
      </c>
      <c r="F10358" t="inlineStr">
        <is>
          <t>Holmen skog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33665-2023</t>
        </is>
      </c>
      <c r="B10359" s="1" t="n">
        <v>45132</v>
      </c>
      <c r="C10359" s="1" t="n">
        <v>45357</v>
      </c>
      <c r="D10359" t="inlineStr">
        <is>
          <t>VÄSTERBOTTENS LÄN</t>
        </is>
      </c>
      <c r="E10359" t="inlineStr">
        <is>
          <t>ROBERTSFORS</t>
        </is>
      </c>
      <c r="F10359" t="inlineStr">
        <is>
          <t>Holmen skog AB</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33701-2023</t>
        </is>
      </c>
      <c r="B10360" s="1" t="n">
        <v>45132</v>
      </c>
      <c r="C10360" s="1" t="n">
        <v>45357</v>
      </c>
      <c r="D10360" t="inlineStr">
        <is>
          <t>VÄSTERBOTTENS LÄN</t>
        </is>
      </c>
      <c r="E10360" t="inlineStr">
        <is>
          <t>VINDELN</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33711-2023</t>
        </is>
      </c>
      <c r="B10361" s="1" t="n">
        <v>45132</v>
      </c>
      <c r="C10361" s="1" t="n">
        <v>45357</v>
      </c>
      <c r="D10361" t="inlineStr">
        <is>
          <t>VÄSTERBOTTENS LÄN</t>
        </is>
      </c>
      <c r="E10361" t="inlineStr">
        <is>
          <t>BJURHOLM</t>
        </is>
      </c>
      <c r="F10361" t="inlineStr">
        <is>
          <t>SCA</t>
        </is>
      </c>
      <c r="G10361" t="n">
        <v>70.09999999999999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33690-2023</t>
        </is>
      </c>
      <c r="B10362" s="1" t="n">
        <v>45132</v>
      </c>
      <c r="C10362" s="1" t="n">
        <v>45357</v>
      </c>
      <c r="D10362" t="inlineStr">
        <is>
          <t>VÄSTERBOTTENS LÄN</t>
        </is>
      </c>
      <c r="E10362" t="inlineStr">
        <is>
          <t>ROBERTSFORS</t>
        </is>
      </c>
      <c r="F10362" t="inlineStr">
        <is>
          <t>Holmen skog AB</t>
        </is>
      </c>
      <c r="G10362" t="n">
        <v>7.3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33698-2023</t>
        </is>
      </c>
      <c r="B10363" s="1" t="n">
        <v>45132</v>
      </c>
      <c r="C10363" s="1" t="n">
        <v>45357</v>
      </c>
      <c r="D10363" t="inlineStr">
        <is>
          <t>VÄSTERBOTTENS LÄN</t>
        </is>
      </c>
      <c r="E10363" t="inlineStr">
        <is>
          <t>VINDELN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33702-2023</t>
        </is>
      </c>
      <c r="B10364" s="1" t="n">
        <v>45132</v>
      </c>
      <c r="C10364" s="1" t="n">
        <v>45357</v>
      </c>
      <c r="D10364" t="inlineStr">
        <is>
          <t>VÄSTERBOTTENS LÄN</t>
        </is>
      </c>
      <c r="E10364" t="inlineStr">
        <is>
          <t>VINDELN</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33710-2023</t>
        </is>
      </c>
      <c r="B10365" s="1" t="n">
        <v>45133</v>
      </c>
      <c r="C10365" s="1" t="n">
        <v>45357</v>
      </c>
      <c r="D10365" t="inlineStr">
        <is>
          <t>VÄSTERBOTTENS LÄN</t>
        </is>
      </c>
      <c r="E10365" t="inlineStr">
        <is>
          <t>SKELLEFTEÅ</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33708-2023</t>
        </is>
      </c>
      <c r="B10366" s="1" t="n">
        <v>45133</v>
      </c>
      <c r="C10366" s="1" t="n">
        <v>45357</v>
      </c>
      <c r="D10366" t="inlineStr">
        <is>
          <t>VÄSTERBOTTENS LÄN</t>
        </is>
      </c>
      <c r="E10366" t="inlineStr">
        <is>
          <t>SKELLEFTEÅ</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33791-2023</t>
        </is>
      </c>
      <c r="B10367" s="1" t="n">
        <v>45133</v>
      </c>
      <c r="C10367" s="1" t="n">
        <v>45357</v>
      </c>
      <c r="D10367" t="inlineStr">
        <is>
          <t>VÄSTERBOTTENS LÄN</t>
        </is>
      </c>
      <c r="E10367" t="inlineStr">
        <is>
          <t>SKELLEFTEÅ</t>
        </is>
      </c>
      <c r="F10367" t="inlineStr">
        <is>
          <t>Holmen skog AB</t>
        </is>
      </c>
      <c r="G10367" t="n">
        <v>8.1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33739-2023</t>
        </is>
      </c>
      <c r="B10368" s="1" t="n">
        <v>45133</v>
      </c>
      <c r="C10368" s="1" t="n">
        <v>45357</v>
      </c>
      <c r="D10368" t="inlineStr">
        <is>
          <t>VÄSTERBOTTENS LÄN</t>
        </is>
      </c>
      <c r="E10368" t="inlineStr">
        <is>
          <t>SKELLEFTEÅ</t>
        </is>
      </c>
      <c r="F10368" t="inlineStr">
        <is>
          <t>Holmen skog AB</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33768-2023</t>
        </is>
      </c>
      <c r="B10369" s="1" t="n">
        <v>45133</v>
      </c>
      <c r="C10369" s="1" t="n">
        <v>45357</v>
      </c>
      <c r="D10369" t="inlineStr">
        <is>
          <t>VÄSTERBOTTENS LÄN</t>
        </is>
      </c>
      <c r="E10369" t="inlineStr">
        <is>
          <t>SKELLEFTEÅ</t>
        </is>
      </c>
      <c r="F10369" t="inlineStr">
        <is>
          <t>Holmen skog AB</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33821-2023</t>
        </is>
      </c>
      <c r="B10370" s="1" t="n">
        <v>45133</v>
      </c>
      <c r="C10370" s="1" t="n">
        <v>45357</v>
      </c>
      <c r="D10370" t="inlineStr">
        <is>
          <t>VÄSTERBOTTENS LÄN</t>
        </is>
      </c>
      <c r="E10370" t="inlineStr">
        <is>
          <t>ROBERTSFORS</t>
        </is>
      </c>
      <c r="F10370" t="inlineStr">
        <is>
          <t>Holmen skog AB</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33838-2023</t>
        </is>
      </c>
      <c r="B10371" s="1" t="n">
        <v>45133</v>
      </c>
      <c r="C10371" s="1" t="n">
        <v>45357</v>
      </c>
      <c r="D10371" t="inlineStr">
        <is>
          <t>VÄSTERBOTTENS LÄN</t>
        </is>
      </c>
      <c r="E10371" t="inlineStr">
        <is>
          <t>SKELLEFTEÅ</t>
        </is>
      </c>
      <c r="F10371" t="inlineStr">
        <is>
          <t>Holmen skog AB</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33843-2023</t>
        </is>
      </c>
      <c r="B10372" s="1" t="n">
        <v>45133</v>
      </c>
      <c r="C10372" s="1" t="n">
        <v>45357</v>
      </c>
      <c r="D10372" t="inlineStr">
        <is>
          <t>VÄSTERBOTTENS LÄN</t>
        </is>
      </c>
      <c r="E10372" t="inlineStr">
        <is>
          <t>SKELLEFTEÅ</t>
        </is>
      </c>
      <c r="F10372" t="inlineStr">
        <is>
          <t>Holmen skog AB</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33728-2023</t>
        </is>
      </c>
      <c r="B10373" s="1" t="n">
        <v>45133</v>
      </c>
      <c r="C10373" s="1" t="n">
        <v>45357</v>
      </c>
      <c r="D10373" t="inlineStr">
        <is>
          <t>VÄSTERBOTTENS LÄN</t>
        </is>
      </c>
      <c r="E10373" t="inlineStr">
        <is>
          <t>SKELLEFTEÅ</t>
        </is>
      </c>
      <c r="F10373" t="inlineStr">
        <is>
          <t>Holmen skog AB</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34508-2023</t>
        </is>
      </c>
      <c r="B10374" s="1" t="n">
        <v>45133</v>
      </c>
      <c r="C10374" s="1" t="n">
        <v>45357</v>
      </c>
      <c r="D10374" t="inlineStr">
        <is>
          <t>VÄSTERBOTTENS LÄN</t>
        </is>
      </c>
      <c r="E10374" t="inlineStr">
        <is>
          <t>SKELLEFTEÅ</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33771-2023</t>
        </is>
      </c>
      <c r="B10375" s="1" t="n">
        <v>45133</v>
      </c>
      <c r="C10375" s="1" t="n">
        <v>45357</v>
      </c>
      <c r="D10375" t="inlineStr">
        <is>
          <t>VÄSTERBOTTENS LÄN</t>
        </is>
      </c>
      <c r="E10375" t="inlineStr">
        <is>
          <t>SKELLEFTEÅ</t>
        </is>
      </c>
      <c r="F10375" t="inlineStr">
        <is>
          <t>Holmen skog AB</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33820-2023</t>
        </is>
      </c>
      <c r="B10376" s="1" t="n">
        <v>45133</v>
      </c>
      <c r="C10376" s="1" t="n">
        <v>45357</v>
      </c>
      <c r="D10376" t="inlineStr">
        <is>
          <t>VÄSTERBOTTENS LÄN</t>
        </is>
      </c>
      <c r="E10376" t="inlineStr">
        <is>
          <t>SKELLEFTEÅ</t>
        </is>
      </c>
      <c r="F10376" t="inlineStr">
        <is>
          <t>Holmen skog AB</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33837-2023</t>
        </is>
      </c>
      <c r="B10377" s="1" t="n">
        <v>45133</v>
      </c>
      <c r="C10377" s="1" t="n">
        <v>45357</v>
      </c>
      <c r="D10377" t="inlineStr">
        <is>
          <t>VÄSTERBOTTENS LÄN</t>
        </is>
      </c>
      <c r="E10377" t="inlineStr">
        <is>
          <t>NORSJÖ</t>
        </is>
      </c>
      <c r="F10377" t="inlineStr">
        <is>
          <t>Holmen skog AB</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33849-2023</t>
        </is>
      </c>
      <c r="B10378" s="1" t="n">
        <v>45133</v>
      </c>
      <c r="C10378" s="1" t="n">
        <v>45357</v>
      </c>
      <c r="D10378" t="inlineStr">
        <is>
          <t>VÄSTERBOTTENS LÄN</t>
        </is>
      </c>
      <c r="E10378" t="inlineStr">
        <is>
          <t>ROBERTSFORS</t>
        </is>
      </c>
      <c r="F10378" t="inlineStr">
        <is>
          <t>Holmen skog AB</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34507-2023</t>
        </is>
      </c>
      <c r="B10379" s="1" t="n">
        <v>45133</v>
      </c>
      <c r="C10379" s="1" t="n">
        <v>45357</v>
      </c>
      <c r="D10379" t="inlineStr">
        <is>
          <t>VÄSTERBOTTENS LÄN</t>
        </is>
      </c>
      <c r="E10379" t="inlineStr">
        <is>
          <t>SKELLEFTEÅ</t>
        </is>
      </c>
      <c r="G10379" t="n">
        <v>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33956-2023</t>
        </is>
      </c>
      <c r="B10380" s="1" t="n">
        <v>45134</v>
      </c>
      <c r="C10380" s="1" t="n">
        <v>45357</v>
      </c>
      <c r="D10380" t="inlineStr">
        <is>
          <t>VÄSTERBOTTENS LÄN</t>
        </is>
      </c>
      <c r="E10380" t="inlineStr">
        <is>
          <t>SKELLEFTEÅ</t>
        </is>
      </c>
      <c r="F10380" t="inlineStr">
        <is>
          <t>Holmen skog AB</t>
        </is>
      </c>
      <c r="G10380" t="n">
        <v>13.5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34022-2023</t>
        </is>
      </c>
      <c r="B10381" s="1" t="n">
        <v>45135</v>
      </c>
      <c r="C10381" s="1" t="n">
        <v>45357</v>
      </c>
      <c r="D10381" t="inlineStr">
        <is>
          <t>VÄSTERBOTTENS LÄN</t>
        </is>
      </c>
      <c r="E10381" t="inlineStr">
        <is>
          <t>NORSJÖ</t>
        </is>
      </c>
      <c r="F10381" t="inlineStr">
        <is>
          <t>Holmen skog AB</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34029-2023</t>
        </is>
      </c>
      <c r="B10382" s="1" t="n">
        <v>45135</v>
      </c>
      <c r="C10382" s="1" t="n">
        <v>45357</v>
      </c>
      <c r="D10382" t="inlineStr">
        <is>
          <t>VÄSTERBOTTENS LÄN</t>
        </is>
      </c>
      <c r="E10382" t="inlineStr">
        <is>
          <t>ROBERTSFORS</t>
        </is>
      </c>
      <c r="F10382" t="inlineStr">
        <is>
          <t>Holmen skog AB</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34036-2023</t>
        </is>
      </c>
      <c r="B10383" s="1" t="n">
        <v>45135</v>
      </c>
      <c r="C10383" s="1" t="n">
        <v>45357</v>
      </c>
      <c r="D10383" t="inlineStr">
        <is>
          <t>VÄSTERBOTTENS LÄN</t>
        </is>
      </c>
      <c r="E10383" t="inlineStr">
        <is>
          <t>SKELLEFTEÅ</t>
        </is>
      </c>
      <c r="F10383" t="inlineStr">
        <is>
          <t>Holmen skog AB</t>
        </is>
      </c>
      <c r="G10383" t="n">
        <v>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34051-2023</t>
        </is>
      </c>
      <c r="B10384" s="1" t="n">
        <v>45135</v>
      </c>
      <c r="C10384" s="1" t="n">
        <v>45357</v>
      </c>
      <c r="D10384" t="inlineStr">
        <is>
          <t>VÄSTERBOTTENS LÄN</t>
        </is>
      </c>
      <c r="E10384" t="inlineStr">
        <is>
          <t>SKELLEFTEÅ</t>
        </is>
      </c>
      <c r="F10384" t="inlineStr">
        <is>
          <t>Holmen skog AB</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34060-2023</t>
        </is>
      </c>
      <c r="B10385" s="1" t="n">
        <v>45135</v>
      </c>
      <c r="C10385" s="1" t="n">
        <v>45357</v>
      </c>
      <c r="D10385" t="inlineStr">
        <is>
          <t>VÄSTERBOTTENS LÄN</t>
        </is>
      </c>
      <c r="E10385" t="inlineStr">
        <is>
          <t>LYCKSELE</t>
        </is>
      </c>
      <c r="F10385" t="inlineStr">
        <is>
          <t>Holmen skog AB</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34066-2023</t>
        </is>
      </c>
      <c r="B10386" s="1" t="n">
        <v>45135</v>
      </c>
      <c r="C10386" s="1" t="n">
        <v>45357</v>
      </c>
      <c r="D10386" t="inlineStr">
        <is>
          <t>VÄSTERBOTTENS LÄN</t>
        </is>
      </c>
      <c r="E10386" t="inlineStr">
        <is>
          <t>LYCKSELE</t>
        </is>
      </c>
      <c r="F10386" t="inlineStr">
        <is>
          <t>Sveaskog</t>
        </is>
      </c>
      <c r="G10386" t="n">
        <v>7.9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34025-2023</t>
        </is>
      </c>
      <c r="B10387" s="1" t="n">
        <v>45135</v>
      </c>
      <c r="C10387" s="1" t="n">
        <v>45357</v>
      </c>
      <c r="D10387" t="inlineStr">
        <is>
          <t>VÄSTERBOTTENS LÄN</t>
        </is>
      </c>
      <c r="E10387" t="inlineStr">
        <is>
          <t>SKELLEFTEÅ</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34063-2023</t>
        </is>
      </c>
      <c r="B10388" s="1" t="n">
        <v>45135</v>
      </c>
      <c r="C10388" s="1" t="n">
        <v>45357</v>
      </c>
      <c r="D10388" t="inlineStr">
        <is>
          <t>VÄSTERBOTTENS LÄN</t>
        </is>
      </c>
      <c r="E10388" t="inlineStr">
        <is>
          <t>SKELLEFTEÅ</t>
        </is>
      </c>
      <c r="F10388" t="inlineStr">
        <is>
          <t>Holmen skog AB</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34098-2023</t>
        </is>
      </c>
      <c r="B10389" s="1" t="n">
        <v>45135</v>
      </c>
      <c r="C10389" s="1" t="n">
        <v>45357</v>
      </c>
      <c r="D10389" t="inlineStr">
        <is>
          <t>VÄSTERBOTTENS LÄN</t>
        </is>
      </c>
      <c r="E10389" t="inlineStr">
        <is>
          <t>VINDELN</t>
        </is>
      </c>
      <c r="F10389" t="inlineStr">
        <is>
          <t>Holmen skog AB</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34035-2023</t>
        </is>
      </c>
      <c r="B10390" s="1" t="n">
        <v>45135</v>
      </c>
      <c r="C10390" s="1" t="n">
        <v>45357</v>
      </c>
      <c r="D10390" t="inlineStr">
        <is>
          <t>VÄSTERBOTTENS LÄN</t>
        </is>
      </c>
      <c r="E10390" t="inlineStr">
        <is>
          <t>SKELLEFTEÅ</t>
        </is>
      </c>
      <c r="F10390" t="inlineStr">
        <is>
          <t>Holmen skog AB</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34043-2023</t>
        </is>
      </c>
      <c r="B10391" s="1" t="n">
        <v>45135</v>
      </c>
      <c r="C10391" s="1" t="n">
        <v>45357</v>
      </c>
      <c r="D10391" t="inlineStr">
        <is>
          <t>VÄSTERBOTTENS LÄN</t>
        </is>
      </c>
      <c r="E10391" t="inlineStr">
        <is>
          <t>LYCKSELE</t>
        </is>
      </c>
      <c r="F10391" t="inlineStr">
        <is>
          <t>Holmen skog AB</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34065-2023</t>
        </is>
      </c>
      <c r="B10392" s="1" t="n">
        <v>45135</v>
      </c>
      <c r="C10392" s="1" t="n">
        <v>45357</v>
      </c>
      <c r="D10392" t="inlineStr">
        <is>
          <t>VÄSTERBOTTENS LÄN</t>
        </is>
      </c>
      <c r="E10392" t="inlineStr">
        <is>
          <t>ÅSELE</t>
        </is>
      </c>
      <c r="F10392" t="inlineStr">
        <is>
          <t>Holmen skog AB</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34054-2023</t>
        </is>
      </c>
      <c r="B10393" s="1" t="n">
        <v>45135</v>
      </c>
      <c r="C10393" s="1" t="n">
        <v>45357</v>
      </c>
      <c r="D10393" t="inlineStr">
        <is>
          <t>VÄSTERBOTTENS LÄN</t>
        </is>
      </c>
      <c r="E10393" t="inlineStr">
        <is>
          <t>ÅSELE</t>
        </is>
      </c>
      <c r="F10393" t="inlineStr">
        <is>
          <t>Holmen skog AB</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34572-2023</t>
        </is>
      </c>
      <c r="B10394" s="1" t="n">
        <v>45135</v>
      </c>
      <c r="C10394" s="1" t="n">
        <v>45357</v>
      </c>
      <c r="D10394" t="inlineStr">
        <is>
          <t>VÄSTERBOTTENS LÄN</t>
        </is>
      </c>
      <c r="E10394" t="inlineStr">
        <is>
          <t>SKELLEFTEÅ</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34195-2023</t>
        </is>
      </c>
      <c r="B10395" s="1" t="n">
        <v>45135</v>
      </c>
      <c r="C10395" s="1" t="n">
        <v>45357</v>
      </c>
      <c r="D10395" t="inlineStr">
        <is>
          <t>VÄSTERBOTTENS LÄN</t>
        </is>
      </c>
      <c r="E10395" t="inlineStr">
        <is>
          <t>SKELLEFTEÅ</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34191-2023</t>
        </is>
      </c>
      <c r="B10396" s="1" t="n">
        <v>45138</v>
      </c>
      <c r="C10396" s="1" t="n">
        <v>45357</v>
      </c>
      <c r="D10396" t="inlineStr">
        <is>
          <t>VÄSTERBOTTENS LÄN</t>
        </is>
      </c>
      <c r="E10396" t="inlineStr">
        <is>
          <t>LYCKSELE</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34266-2023</t>
        </is>
      </c>
      <c r="B10397" s="1" t="n">
        <v>45138</v>
      </c>
      <c r="C10397" s="1" t="n">
        <v>45357</v>
      </c>
      <c r="D10397" t="inlineStr">
        <is>
          <t>VÄSTERBOTTENS LÄN</t>
        </is>
      </c>
      <c r="E10397" t="inlineStr">
        <is>
          <t>UMEÅ</t>
        </is>
      </c>
      <c r="F10397" t="inlineStr">
        <is>
          <t>Holmen skog AB</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34312-2023</t>
        </is>
      </c>
      <c r="B10398" s="1" t="n">
        <v>45139</v>
      </c>
      <c r="C10398" s="1" t="n">
        <v>45357</v>
      </c>
      <c r="D10398" t="inlineStr">
        <is>
          <t>VÄSTERBOTTENS LÄN</t>
        </is>
      </c>
      <c r="E10398" t="inlineStr">
        <is>
          <t>DOROTEA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34401-2023</t>
        </is>
      </c>
      <c r="B10399" s="1" t="n">
        <v>45139</v>
      </c>
      <c r="C10399" s="1" t="n">
        <v>45357</v>
      </c>
      <c r="D10399" t="inlineStr">
        <is>
          <t>VÄSTERBOTTENS LÄN</t>
        </is>
      </c>
      <c r="E10399" t="inlineStr">
        <is>
          <t>MALÅ</t>
        </is>
      </c>
      <c r="F10399" t="inlineStr">
        <is>
          <t>Sveaskog</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34414-2023</t>
        </is>
      </c>
      <c r="B10400" s="1" t="n">
        <v>45139</v>
      </c>
      <c r="C10400" s="1" t="n">
        <v>45357</v>
      </c>
      <c r="D10400" t="inlineStr">
        <is>
          <t>VÄSTERBOTTENS LÄN</t>
        </is>
      </c>
      <c r="E10400" t="inlineStr">
        <is>
          <t>MALÅ</t>
        </is>
      </c>
      <c r="F10400" t="inlineStr">
        <is>
          <t>Sveaskog</t>
        </is>
      </c>
      <c r="G10400" t="n">
        <v>13.7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34340-2023</t>
        </is>
      </c>
      <c r="B10401" s="1" t="n">
        <v>45139</v>
      </c>
      <c r="C10401" s="1" t="n">
        <v>45357</v>
      </c>
      <c r="D10401" t="inlineStr">
        <is>
          <t>VÄSTERBOTTENS LÄN</t>
        </is>
      </c>
      <c r="E10401" t="inlineStr">
        <is>
          <t>NORSJÖ</t>
        </is>
      </c>
      <c r="F10401" t="inlineStr">
        <is>
          <t>Holmen skog AB</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34376-2023</t>
        </is>
      </c>
      <c r="B10402" s="1" t="n">
        <v>45139</v>
      </c>
      <c r="C10402" s="1" t="n">
        <v>45357</v>
      </c>
      <c r="D10402" t="inlineStr">
        <is>
          <t>VÄSTERBOTTENS LÄN</t>
        </is>
      </c>
      <c r="E10402" t="inlineStr">
        <is>
          <t>MALÅ</t>
        </is>
      </c>
      <c r="F10402" t="inlineStr">
        <is>
          <t>Sveaskog</t>
        </is>
      </c>
      <c r="G10402" t="n">
        <v>10.1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34388-2023</t>
        </is>
      </c>
      <c r="B10403" s="1" t="n">
        <v>45139</v>
      </c>
      <c r="C10403" s="1" t="n">
        <v>45357</v>
      </c>
      <c r="D10403" t="inlineStr">
        <is>
          <t>VÄSTERBOTTENS LÄN</t>
        </is>
      </c>
      <c r="E10403" t="inlineStr">
        <is>
          <t>SORSELE</t>
        </is>
      </c>
      <c r="F10403" t="inlineStr">
        <is>
          <t>Sveaskog</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34399-2023</t>
        </is>
      </c>
      <c r="B10404" s="1" t="n">
        <v>45139</v>
      </c>
      <c r="C10404" s="1" t="n">
        <v>45357</v>
      </c>
      <c r="D10404" t="inlineStr">
        <is>
          <t>VÄSTERBOTTENS LÄN</t>
        </is>
      </c>
      <c r="E10404" t="inlineStr">
        <is>
          <t>MALÅ</t>
        </is>
      </c>
      <c r="F10404" t="inlineStr">
        <is>
          <t>Sveaskog</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34416-2023</t>
        </is>
      </c>
      <c r="B10405" s="1" t="n">
        <v>45139</v>
      </c>
      <c r="C10405" s="1" t="n">
        <v>45357</v>
      </c>
      <c r="D10405" t="inlineStr">
        <is>
          <t>VÄSTERBOTTENS LÄN</t>
        </is>
      </c>
      <c r="E10405" t="inlineStr">
        <is>
          <t>NORSJÖ</t>
        </is>
      </c>
      <c r="F10405" t="inlineStr">
        <is>
          <t>Sveaskog</t>
        </is>
      </c>
      <c r="G10405" t="n">
        <v>10.7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34397-2023</t>
        </is>
      </c>
      <c r="B10406" s="1" t="n">
        <v>45139</v>
      </c>
      <c r="C10406" s="1" t="n">
        <v>45357</v>
      </c>
      <c r="D10406" t="inlineStr">
        <is>
          <t>VÄSTERBOTTENS LÄN</t>
        </is>
      </c>
      <c r="E10406" t="inlineStr">
        <is>
          <t>MALÅ</t>
        </is>
      </c>
      <c r="F10406" t="inlineStr">
        <is>
          <t>Sveaskog</t>
        </is>
      </c>
      <c r="G10406" t="n">
        <v>7.9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34413-2023</t>
        </is>
      </c>
      <c r="B10407" s="1" t="n">
        <v>45139</v>
      </c>
      <c r="C10407" s="1" t="n">
        <v>45357</v>
      </c>
      <c r="D10407" t="inlineStr">
        <is>
          <t>VÄSTERBOTTENS LÄN</t>
        </is>
      </c>
      <c r="E10407" t="inlineStr">
        <is>
          <t>MALÅ</t>
        </is>
      </c>
      <c r="F10407" t="inlineStr">
        <is>
          <t>Sveaskog</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34455-2023</t>
        </is>
      </c>
      <c r="B10408" s="1" t="n">
        <v>45139</v>
      </c>
      <c r="C10408" s="1" t="n">
        <v>45357</v>
      </c>
      <c r="D10408" t="inlineStr">
        <is>
          <t>VÄSTERBOTTENS LÄN</t>
        </is>
      </c>
      <c r="E10408" t="inlineStr">
        <is>
          <t>SKELLEFTEÅ</t>
        </is>
      </c>
      <c r="F10408" t="inlineStr">
        <is>
          <t>Holmen skog AB</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34485-2023</t>
        </is>
      </c>
      <c r="B10409" s="1" t="n">
        <v>45140</v>
      </c>
      <c r="C10409" s="1" t="n">
        <v>45357</v>
      </c>
      <c r="D10409" t="inlineStr">
        <is>
          <t>VÄSTERBOTTENS LÄN</t>
        </is>
      </c>
      <c r="E10409" t="inlineStr">
        <is>
          <t>NORDMALING</t>
        </is>
      </c>
      <c r="F10409" t="inlineStr">
        <is>
          <t>SCA</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34712-2023</t>
        </is>
      </c>
      <c r="B10410" s="1" t="n">
        <v>45139</v>
      </c>
      <c r="C10410" s="1" t="n">
        <v>45357</v>
      </c>
      <c r="D10410" t="inlineStr">
        <is>
          <t>VÄSTERBOTTENS LÄN</t>
        </is>
      </c>
      <c r="E10410" t="inlineStr">
        <is>
          <t>BJURHOLM</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34486-2023</t>
        </is>
      </c>
      <c r="B10411" s="1" t="n">
        <v>45140</v>
      </c>
      <c r="C10411" s="1" t="n">
        <v>45357</v>
      </c>
      <c r="D10411" t="inlineStr">
        <is>
          <t>VÄSTERBOTTENS LÄN</t>
        </is>
      </c>
      <c r="E10411" t="inlineStr">
        <is>
          <t>NORDMALING</t>
        </is>
      </c>
      <c r="F10411" t="inlineStr">
        <is>
          <t>SCA</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34484-2023</t>
        </is>
      </c>
      <c r="B10412" s="1" t="n">
        <v>45140</v>
      </c>
      <c r="C10412" s="1" t="n">
        <v>45357</v>
      </c>
      <c r="D10412" t="inlineStr">
        <is>
          <t>VÄSTERBOTTENS LÄN</t>
        </is>
      </c>
      <c r="E10412" t="inlineStr">
        <is>
          <t>NORDMALING</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34488-2023</t>
        </is>
      </c>
      <c r="B10413" s="1" t="n">
        <v>45139</v>
      </c>
      <c r="C10413" s="1" t="n">
        <v>45357</v>
      </c>
      <c r="D10413" t="inlineStr">
        <is>
          <t>VÄSTERBOTTENS LÄN</t>
        </is>
      </c>
      <c r="E10413" t="inlineStr">
        <is>
          <t>MALÅ</t>
        </is>
      </c>
      <c r="F10413" t="inlineStr">
        <is>
          <t>SCA</t>
        </is>
      </c>
      <c r="G10413" t="n">
        <v>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34760-2023</t>
        </is>
      </c>
      <c r="B10414" s="1" t="n">
        <v>45139</v>
      </c>
      <c r="C10414" s="1" t="n">
        <v>45357</v>
      </c>
      <c r="D10414" t="inlineStr">
        <is>
          <t>VÄSTERBOTTENS LÄN</t>
        </is>
      </c>
      <c r="E10414" t="inlineStr">
        <is>
          <t>VÄNNÄS</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34506-2023</t>
        </is>
      </c>
      <c r="B10415" s="1" t="n">
        <v>45140</v>
      </c>
      <c r="C10415" s="1" t="n">
        <v>45357</v>
      </c>
      <c r="D10415" t="inlineStr">
        <is>
          <t>VÄSTERBOTTENS LÄN</t>
        </is>
      </c>
      <c r="E10415" t="inlineStr">
        <is>
          <t>NORSJÖ</t>
        </is>
      </c>
      <c r="F10415" t="inlineStr">
        <is>
          <t>Sveaskog</t>
        </is>
      </c>
      <c r="G10415" t="n">
        <v>8.300000000000001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34535-2023</t>
        </is>
      </c>
      <c r="B10416" s="1" t="n">
        <v>45140</v>
      </c>
      <c r="C10416" s="1" t="n">
        <v>45357</v>
      </c>
      <c r="D10416" t="inlineStr">
        <is>
          <t>VÄSTERBOTTENS LÄN</t>
        </is>
      </c>
      <c r="E10416" t="inlineStr">
        <is>
          <t>UMEÅ</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34564-2023</t>
        </is>
      </c>
      <c r="B10417" s="1" t="n">
        <v>45140</v>
      </c>
      <c r="C10417" s="1" t="n">
        <v>45357</v>
      </c>
      <c r="D10417" t="inlineStr">
        <is>
          <t>VÄSTERBOTTENS LÄN</t>
        </is>
      </c>
      <c r="E10417" t="inlineStr">
        <is>
          <t>NORDMALING</t>
        </is>
      </c>
      <c r="F10417" t="inlineStr">
        <is>
          <t>Holmen skog AB</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34505-2023</t>
        </is>
      </c>
      <c r="B10418" s="1" t="n">
        <v>45140</v>
      </c>
      <c r="C10418" s="1" t="n">
        <v>45357</v>
      </c>
      <c r="D10418" t="inlineStr">
        <is>
          <t>VÄSTERBOTTENS LÄN</t>
        </is>
      </c>
      <c r="E10418" t="inlineStr">
        <is>
          <t>NORSJÖ</t>
        </is>
      </c>
      <c r="F10418" t="inlineStr">
        <is>
          <t>Sveaskog</t>
        </is>
      </c>
      <c r="G10418" t="n">
        <v>11.7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34550-2023</t>
        </is>
      </c>
      <c r="B10419" s="1" t="n">
        <v>45140</v>
      </c>
      <c r="C10419" s="1" t="n">
        <v>45357</v>
      </c>
      <c r="D10419" t="inlineStr">
        <is>
          <t>VÄSTERBOTTENS LÄN</t>
        </is>
      </c>
      <c r="E10419" t="inlineStr">
        <is>
          <t>UMEÅ</t>
        </is>
      </c>
      <c r="F10419" t="inlineStr">
        <is>
          <t>Holmen skog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34583-2023</t>
        </is>
      </c>
      <c r="B10420" s="1" t="n">
        <v>45140</v>
      </c>
      <c r="C10420" s="1" t="n">
        <v>45357</v>
      </c>
      <c r="D10420" t="inlineStr">
        <is>
          <t>VÄSTERBOTTENS LÄN</t>
        </is>
      </c>
      <c r="E10420" t="inlineStr">
        <is>
          <t>SKELLEFTEÅ</t>
        </is>
      </c>
      <c r="F10420" t="inlineStr">
        <is>
          <t>Holmen skog AB</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34590-2023</t>
        </is>
      </c>
      <c r="B10421" s="1" t="n">
        <v>45140</v>
      </c>
      <c r="C10421" s="1" t="n">
        <v>45357</v>
      </c>
      <c r="D10421" t="inlineStr">
        <is>
          <t>VÄSTERBOTTENS LÄN</t>
        </is>
      </c>
      <c r="E10421" t="inlineStr">
        <is>
          <t>LYCKSELE</t>
        </is>
      </c>
      <c r="F10421" t="inlineStr">
        <is>
          <t>Sveaskog</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34567-2023</t>
        </is>
      </c>
      <c r="B10422" s="1" t="n">
        <v>45140</v>
      </c>
      <c r="C10422" s="1" t="n">
        <v>45357</v>
      </c>
      <c r="D10422" t="inlineStr">
        <is>
          <t>VÄSTERBOTTENS LÄN</t>
        </is>
      </c>
      <c r="E10422" t="inlineStr">
        <is>
          <t>LYCKSELE</t>
        </is>
      </c>
      <c r="F10422" t="inlineStr">
        <is>
          <t>Sveaskog</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34577-2023</t>
        </is>
      </c>
      <c r="B10423" s="1" t="n">
        <v>45140</v>
      </c>
      <c r="C10423" s="1" t="n">
        <v>45357</v>
      </c>
      <c r="D10423" t="inlineStr">
        <is>
          <t>VÄSTERBOTTENS LÄN</t>
        </is>
      </c>
      <c r="E10423" t="inlineStr">
        <is>
          <t>LYCKSELE</t>
        </is>
      </c>
      <c r="F10423" t="inlineStr">
        <is>
          <t>Sveaskog</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34584-2023</t>
        </is>
      </c>
      <c r="B10424" s="1" t="n">
        <v>45140</v>
      </c>
      <c r="C10424" s="1" t="n">
        <v>45357</v>
      </c>
      <c r="D10424" t="inlineStr">
        <is>
          <t>VÄSTERBOTTENS LÄN</t>
        </is>
      </c>
      <c r="E10424" t="inlineStr">
        <is>
          <t>LYCKSELE</t>
        </is>
      </c>
      <c r="F10424" t="inlineStr">
        <is>
          <t>Sveaskog</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34597-2023</t>
        </is>
      </c>
      <c r="B10425" s="1" t="n">
        <v>45140</v>
      </c>
      <c r="C10425" s="1" t="n">
        <v>45357</v>
      </c>
      <c r="D10425" t="inlineStr">
        <is>
          <t>VÄSTERBOTTENS LÄN</t>
        </is>
      </c>
      <c r="E10425" t="inlineStr">
        <is>
          <t>SKELLEFTEÅ</t>
        </is>
      </c>
      <c r="F10425" t="inlineStr">
        <is>
          <t>Holmen skog AB</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34616-2023</t>
        </is>
      </c>
      <c r="B10426" s="1" t="n">
        <v>45140</v>
      </c>
      <c r="C10426" s="1" t="n">
        <v>45357</v>
      </c>
      <c r="D10426" t="inlineStr">
        <is>
          <t>VÄSTERBOTTENS LÄN</t>
        </is>
      </c>
      <c r="E10426" t="inlineStr">
        <is>
          <t>SKELLEFTEÅ</t>
        </is>
      </c>
      <c r="F10426" t="inlineStr">
        <is>
          <t>Holmen skog AB</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34639-2023</t>
        </is>
      </c>
      <c r="B10427" s="1" t="n">
        <v>45140</v>
      </c>
      <c r="C10427" s="1" t="n">
        <v>45357</v>
      </c>
      <c r="D10427" t="inlineStr">
        <is>
          <t>VÄSTERBOTTENS LÄN</t>
        </is>
      </c>
      <c r="E10427" t="inlineStr">
        <is>
          <t>LYCKSELE</t>
        </is>
      </c>
      <c r="F10427" t="inlineStr">
        <is>
          <t>Sveaskog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34669-2023</t>
        </is>
      </c>
      <c r="B10428" s="1" t="n">
        <v>45140</v>
      </c>
      <c r="C10428" s="1" t="n">
        <v>45357</v>
      </c>
      <c r="D10428" t="inlineStr">
        <is>
          <t>VÄSTERBOTTENS LÄN</t>
        </is>
      </c>
      <c r="E10428" t="inlineStr">
        <is>
          <t>SKELLEFTEÅ</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34677-2023</t>
        </is>
      </c>
      <c r="B10429" s="1" t="n">
        <v>45141</v>
      </c>
      <c r="C10429" s="1" t="n">
        <v>45357</v>
      </c>
      <c r="D10429" t="inlineStr">
        <is>
          <t>VÄSTERBOTTENS LÄN</t>
        </is>
      </c>
      <c r="E10429" t="inlineStr">
        <is>
          <t>NORSJÖ</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34681-2023</t>
        </is>
      </c>
      <c r="B10430" s="1" t="n">
        <v>45141</v>
      </c>
      <c r="C10430" s="1" t="n">
        <v>45357</v>
      </c>
      <c r="D10430" t="inlineStr">
        <is>
          <t>VÄSTERBOTTENS LÄN</t>
        </is>
      </c>
      <c r="E10430" t="inlineStr">
        <is>
          <t>NORSJÖ</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34685-2023</t>
        </is>
      </c>
      <c r="B10431" s="1" t="n">
        <v>45141</v>
      </c>
      <c r="C10431" s="1" t="n">
        <v>45357</v>
      </c>
      <c r="D10431" t="inlineStr">
        <is>
          <t>VÄSTERBOTTENS LÄN</t>
        </is>
      </c>
      <c r="E10431" t="inlineStr">
        <is>
          <t>NORDMALING</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34515-2023</t>
        </is>
      </c>
      <c r="B10432" s="1" t="n">
        <v>45140</v>
      </c>
      <c r="C10432" s="1" t="n">
        <v>45357</v>
      </c>
      <c r="D10432" t="inlineStr">
        <is>
          <t>VÄSTERBOTTENS LÄN</t>
        </is>
      </c>
      <c r="E10432" t="inlineStr">
        <is>
          <t>NORSJÖ</t>
        </is>
      </c>
      <c r="F10432" t="inlineStr">
        <is>
          <t>Sveaskog</t>
        </is>
      </c>
      <c r="G10432" t="n">
        <v>14.3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34527-2023</t>
        </is>
      </c>
      <c r="B10433" s="1" t="n">
        <v>45140</v>
      </c>
      <c r="C10433" s="1" t="n">
        <v>45357</v>
      </c>
      <c r="D10433" t="inlineStr">
        <is>
          <t>VÄSTERBOTTENS LÄN</t>
        </is>
      </c>
      <c r="E10433" t="inlineStr">
        <is>
          <t>LYCKSELE</t>
        </is>
      </c>
      <c r="F10433" t="inlineStr">
        <is>
          <t>Sveaskog</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34697-2023</t>
        </is>
      </c>
      <c r="B10434" s="1" t="n">
        <v>45141</v>
      </c>
      <c r="C10434" s="1" t="n">
        <v>45357</v>
      </c>
      <c r="D10434" t="inlineStr">
        <is>
          <t>VÄSTERBOTTENS LÄN</t>
        </is>
      </c>
      <c r="E10434" t="inlineStr">
        <is>
          <t>DOROTEA</t>
        </is>
      </c>
      <c r="F10434" t="inlineStr">
        <is>
          <t>SCA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34701-2023</t>
        </is>
      </c>
      <c r="B10435" s="1" t="n">
        <v>45141</v>
      </c>
      <c r="C10435" s="1" t="n">
        <v>45357</v>
      </c>
      <c r="D10435" t="inlineStr">
        <is>
          <t>VÄSTERBOTTENS LÄN</t>
        </is>
      </c>
      <c r="E10435" t="inlineStr">
        <is>
          <t>LYCKSELE</t>
        </is>
      </c>
      <c r="F10435" t="inlineStr">
        <is>
          <t>SCA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34589-2023</t>
        </is>
      </c>
      <c r="B10436" s="1" t="n">
        <v>45140</v>
      </c>
      <c r="C10436" s="1" t="n">
        <v>45357</v>
      </c>
      <c r="D10436" t="inlineStr">
        <is>
          <t>VÄSTERBOTTENS LÄN</t>
        </is>
      </c>
      <c r="E10436" t="inlineStr">
        <is>
          <t>UMEÅ</t>
        </is>
      </c>
      <c r="F10436" t="inlineStr">
        <is>
          <t>Holmen skog AB</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34651-2023</t>
        </is>
      </c>
      <c r="B10437" s="1" t="n">
        <v>45140</v>
      </c>
      <c r="C10437" s="1" t="n">
        <v>45357</v>
      </c>
      <c r="D10437" t="inlineStr">
        <is>
          <t>VÄSTERBOTTENS LÄN</t>
        </is>
      </c>
      <c r="E10437" t="inlineStr">
        <is>
          <t>STORUMAN</t>
        </is>
      </c>
      <c r="F10437" t="inlineStr">
        <is>
          <t>Sveaskog</t>
        </is>
      </c>
      <c r="G10437" t="n">
        <v>19.2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34683-2023</t>
        </is>
      </c>
      <c r="B10438" s="1" t="n">
        <v>45141</v>
      </c>
      <c r="C10438" s="1" t="n">
        <v>45357</v>
      </c>
      <c r="D10438" t="inlineStr">
        <is>
          <t>VÄSTERBOTTENS LÄN</t>
        </is>
      </c>
      <c r="E10438" t="inlineStr">
        <is>
          <t>NORSJÖ</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34626-2023</t>
        </is>
      </c>
      <c r="B10439" s="1" t="n">
        <v>45140</v>
      </c>
      <c r="C10439" s="1" t="n">
        <v>45357</v>
      </c>
      <c r="D10439" t="inlineStr">
        <is>
          <t>VÄSTERBOTTENS LÄN</t>
        </is>
      </c>
      <c r="E10439" t="inlineStr">
        <is>
          <t>MALÅ</t>
        </is>
      </c>
      <c r="F10439" t="inlineStr">
        <is>
          <t>Sveaskog</t>
        </is>
      </c>
      <c r="G10439" t="n">
        <v>14.1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34707-2023</t>
        </is>
      </c>
      <c r="B10440" s="1" t="n">
        <v>45140</v>
      </c>
      <c r="C10440" s="1" t="n">
        <v>45357</v>
      </c>
      <c r="D10440" t="inlineStr">
        <is>
          <t>VÄSTERBOTTENS LÄN</t>
        </is>
      </c>
      <c r="E10440" t="inlineStr">
        <is>
          <t>DOROTEA</t>
        </is>
      </c>
      <c r="F10440" t="inlineStr">
        <is>
          <t>SCA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34799-2023</t>
        </is>
      </c>
      <c r="B10441" s="1" t="n">
        <v>45140</v>
      </c>
      <c r="C10441" s="1" t="n">
        <v>45357</v>
      </c>
      <c r="D10441" t="inlineStr">
        <is>
          <t>VÄSTERBOTTENS LÄN</t>
        </is>
      </c>
      <c r="E10441" t="inlineStr">
        <is>
          <t>VILHELMINA</t>
        </is>
      </c>
      <c r="G10441" t="n">
        <v>17.4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34654-2023</t>
        </is>
      </c>
      <c r="B10442" s="1" t="n">
        <v>45140</v>
      </c>
      <c r="C10442" s="1" t="n">
        <v>45357</v>
      </c>
      <c r="D10442" t="inlineStr">
        <is>
          <t>VÄSTERBOTTENS LÄN</t>
        </is>
      </c>
      <c r="E10442" t="inlineStr">
        <is>
          <t>NORSJÖ</t>
        </is>
      </c>
      <c r="F10442" t="inlineStr">
        <is>
          <t>Sveaskog</t>
        </is>
      </c>
      <c r="G10442" t="n">
        <v>17.6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34670-2023</t>
        </is>
      </c>
      <c r="B10443" s="1" t="n">
        <v>45140</v>
      </c>
      <c r="C10443" s="1" t="n">
        <v>45357</v>
      </c>
      <c r="D10443" t="inlineStr">
        <is>
          <t>VÄSTERBOTTENS LÄN</t>
        </is>
      </c>
      <c r="E10443" t="inlineStr">
        <is>
          <t>SKELLEFTEÅ</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34682-2023</t>
        </is>
      </c>
      <c r="B10444" s="1" t="n">
        <v>45141</v>
      </c>
      <c r="C10444" s="1" t="n">
        <v>45357</v>
      </c>
      <c r="D10444" t="inlineStr">
        <is>
          <t>VÄSTERBOTTENS LÄN</t>
        </is>
      </c>
      <c r="E10444" t="inlineStr">
        <is>
          <t>NORSJÖ</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34702-2023</t>
        </is>
      </c>
      <c r="B10445" s="1" t="n">
        <v>45140</v>
      </c>
      <c r="C10445" s="1" t="n">
        <v>45357</v>
      </c>
      <c r="D10445" t="inlineStr">
        <is>
          <t>VÄSTERBOTTENS LÄN</t>
        </is>
      </c>
      <c r="E10445" t="inlineStr">
        <is>
          <t>DOROTEA</t>
        </is>
      </c>
      <c r="F10445" t="inlineStr">
        <is>
          <t>SCA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34706-2023</t>
        </is>
      </c>
      <c r="B10446" s="1" t="n">
        <v>45140</v>
      </c>
      <c r="C10446" s="1" t="n">
        <v>45357</v>
      </c>
      <c r="D10446" t="inlineStr">
        <is>
          <t>VÄSTERBOTTENS LÄN</t>
        </is>
      </c>
      <c r="E10446" t="inlineStr">
        <is>
          <t>DOROTEA</t>
        </is>
      </c>
      <c r="F10446" t="inlineStr">
        <is>
          <t>SCA</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34638-2023</t>
        </is>
      </c>
      <c r="B10447" s="1" t="n">
        <v>45140</v>
      </c>
      <c r="C10447" s="1" t="n">
        <v>45357</v>
      </c>
      <c r="D10447" t="inlineStr">
        <is>
          <t>VÄSTERBOTTENS LÄN</t>
        </is>
      </c>
      <c r="E10447" t="inlineStr">
        <is>
          <t>SKELLEFTEÅ</t>
        </is>
      </c>
      <c r="F10447" t="inlineStr">
        <is>
          <t>Holmen skog AB</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34642-2023</t>
        </is>
      </c>
      <c r="B10448" s="1" t="n">
        <v>45140</v>
      </c>
      <c r="C10448" s="1" t="n">
        <v>45357</v>
      </c>
      <c r="D10448" t="inlineStr">
        <is>
          <t>VÄSTERBOTTENS LÄN</t>
        </is>
      </c>
      <c r="E10448" t="inlineStr">
        <is>
          <t>NORSJÖ</t>
        </is>
      </c>
      <c r="F10448" t="inlineStr">
        <is>
          <t>Sveaskog</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34647-2023</t>
        </is>
      </c>
      <c r="B10449" s="1" t="n">
        <v>45140</v>
      </c>
      <c r="C10449" s="1" t="n">
        <v>45357</v>
      </c>
      <c r="D10449" t="inlineStr">
        <is>
          <t>VÄSTERBOTTENS LÄN</t>
        </is>
      </c>
      <c r="E10449" t="inlineStr">
        <is>
          <t>NORDMALING</t>
        </is>
      </c>
      <c r="F10449" t="inlineStr">
        <is>
          <t>Holmen skog AB</t>
        </is>
      </c>
      <c r="G10449" t="n">
        <v>8.199999999999999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34672-2023</t>
        </is>
      </c>
      <c r="B10450" s="1" t="n">
        <v>45140</v>
      </c>
      <c r="C10450" s="1" t="n">
        <v>45357</v>
      </c>
      <c r="D10450" t="inlineStr">
        <is>
          <t>VÄSTERBOTTENS LÄN</t>
        </is>
      </c>
      <c r="E10450" t="inlineStr">
        <is>
          <t>SKELLEFTEÅ</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34684-2023</t>
        </is>
      </c>
      <c r="B10451" s="1" t="n">
        <v>45140</v>
      </c>
      <c r="C10451" s="1" t="n">
        <v>45357</v>
      </c>
      <c r="D10451" t="inlineStr">
        <is>
          <t>VÄSTERBOTTENS LÄN</t>
        </is>
      </c>
      <c r="E10451" t="inlineStr">
        <is>
          <t>ÅSELE</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34700-2023</t>
        </is>
      </c>
      <c r="B10452" s="1" t="n">
        <v>45141</v>
      </c>
      <c r="C10452" s="1" t="n">
        <v>45357</v>
      </c>
      <c r="D10452" t="inlineStr">
        <is>
          <t>VÄSTERBOTTENS LÄN</t>
        </is>
      </c>
      <c r="E10452" t="inlineStr">
        <is>
          <t>DOROTEA</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34807-2023</t>
        </is>
      </c>
      <c r="B10453" s="1" t="n">
        <v>45140</v>
      </c>
      <c r="C10453" s="1" t="n">
        <v>45357</v>
      </c>
      <c r="D10453" t="inlineStr">
        <is>
          <t>VÄSTERBOTTENS LÄN</t>
        </is>
      </c>
      <c r="E10453" t="inlineStr">
        <is>
          <t>VILHELMINA</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34821-2023</t>
        </is>
      </c>
      <c r="B10454" s="1" t="n">
        <v>45140</v>
      </c>
      <c r="C10454" s="1" t="n">
        <v>45357</v>
      </c>
      <c r="D10454" t="inlineStr">
        <is>
          <t>VÄSTERBOTTENS LÄN</t>
        </is>
      </c>
      <c r="E10454" t="inlineStr">
        <is>
          <t>ROBERTSFORS</t>
        </is>
      </c>
      <c r="G10454" t="n">
        <v>15.3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34809-2023</t>
        </is>
      </c>
      <c r="B10455" s="1" t="n">
        <v>45140</v>
      </c>
      <c r="C10455" s="1" t="n">
        <v>45357</v>
      </c>
      <c r="D10455" t="inlineStr">
        <is>
          <t>VÄSTERBOTTENS LÄN</t>
        </is>
      </c>
      <c r="E10455" t="inlineStr">
        <is>
          <t>VILHELMINA</t>
        </is>
      </c>
      <c r="G10455" t="n">
        <v>8.699999999999999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34805-2023</t>
        </is>
      </c>
      <c r="B10456" s="1" t="n">
        <v>45140</v>
      </c>
      <c r="C10456" s="1" t="n">
        <v>45357</v>
      </c>
      <c r="D10456" t="inlineStr">
        <is>
          <t>VÄSTERBOTTENS LÄN</t>
        </is>
      </c>
      <c r="E10456" t="inlineStr">
        <is>
          <t>VILHELMINA</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34820-2023</t>
        </is>
      </c>
      <c r="B10457" s="1" t="n">
        <v>45140</v>
      </c>
      <c r="C10457" s="1" t="n">
        <v>45357</v>
      </c>
      <c r="D10457" t="inlineStr">
        <is>
          <t>VÄSTERBOTTENS LÄN</t>
        </is>
      </c>
      <c r="E10457" t="inlineStr">
        <is>
          <t>DOROTEA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34709-2023</t>
        </is>
      </c>
      <c r="B10458" s="1" t="n">
        <v>45141</v>
      </c>
      <c r="C10458" s="1" t="n">
        <v>45357</v>
      </c>
      <c r="D10458" t="inlineStr">
        <is>
          <t>VÄSTERBOTTENS LÄN</t>
        </is>
      </c>
      <c r="E10458" t="inlineStr">
        <is>
          <t>UMEÅ</t>
        </is>
      </c>
      <c r="F10458" t="inlineStr">
        <is>
          <t>Holmen skog AB</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34756-2023</t>
        </is>
      </c>
      <c r="B10459" s="1" t="n">
        <v>45141</v>
      </c>
      <c r="C10459" s="1" t="n">
        <v>45357</v>
      </c>
      <c r="D10459" t="inlineStr">
        <is>
          <t>VÄSTERBOTTENS LÄN</t>
        </is>
      </c>
      <c r="E10459" t="inlineStr">
        <is>
          <t>VINDELN</t>
        </is>
      </c>
      <c r="F10459" t="inlineStr">
        <is>
          <t>Holmen skog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34710-2023</t>
        </is>
      </c>
      <c r="B10460" s="1" t="n">
        <v>45141</v>
      </c>
      <c r="C10460" s="1" t="n">
        <v>45357</v>
      </c>
      <c r="D10460" t="inlineStr">
        <is>
          <t>VÄSTERBOTTENS LÄN</t>
        </is>
      </c>
      <c r="E10460" t="inlineStr">
        <is>
          <t>BJURHOLM</t>
        </is>
      </c>
      <c r="F10460" t="inlineStr">
        <is>
          <t>Holmen skog AB</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34802-2023</t>
        </is>
      </c>
      <c r="B10461" s="1" t="n">
        <v>45141</v>
      </c>
      <c r="C10461" s="1" t="n">
        <v>45357</v>
      </c>
      <c r="D10461" t="inlineStr">
        <is>
          <t>VÄSTERBOTTENS LÄN</t>
        </is>
      </c>
      <c r="E10461" t="inlineStr">
        <is>
          <t>BJURHOLM</t>
        </is>
      </c>
      <c r="F10461" t="inlineStr">
        <is>
          <t>Holmen skog AB</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34714-2023</t>
        </is>
      </c>
      <c r="B10462" s="1" t="n">
        <v>45141</v>
      </c>
      <c r="C10462" s="1" t="n">
        <v>45357</v>
      </c>
      <c r="D10462" t="inlineStr">
        <is>
          <t>VÄSTERBOTTENS LÄN</t>
        </is>
      </c>
      <c r="E10462" t="inlineStr">
        <is>
          <t>BJURHOLM</t>
        </is>
      </c>
      <c r="F10462" t="inlineStr">
        <is>
          <t>Holmen skog AB</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34762-2023</t>
        </is>
      </c>
      <c r="B10463" s="1" t="n">
        <v>45141</v>
      </c>
      <c r="C10463" s="1" t="n">
        <v>45357</v>
      </c>
      <c r="D10463" t="inlineStr">
        <is>
          <t>VÄSTERBOTTENS LÄN</t>
        </is>
      </c>
      <c r="E10463" t="inlineStr">
        <is>
          <t>BJURHOLM</t>
        </is>
      </c>
      <c r="F10463" t="inlineStr">
        <is>
          <t>Holmen skog AB</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34828-2023</t>
        </is>
      </c>
      <c r="B10464" s="1" t="n">
        <v>45141</v>
      </c>
      <c r="C10464" s="1" t="n">
        <v>45357</v>
      </c>
      <c r="D10464" t="inlineStr">
        <is>
          <t>VÄSTERBOTTENS LÄN</t>
        </is>
      </c>
      <c r="E10464" t="inlineStr">
        <is>
          <t>VINDELN</t>
        </is>
      </c>
      <c r="F10464" t="inlineStr">
        <is>
          <t>Holmen skog AB</t>
        </is>
      </c>
      <c r="G10464" t="n">
        <v>19.9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34841-2023</t>
        </is>
      </c>
      <c r="B10465" s="1" t="n">
        <v>45142</v>
      </c>
      <c r="C10465" s="1" t="n">
        <v>45357</v>
      </c>
      <c r="D10465" t="inlineStr">
        <is>
          <t>VÄSTERBOTTENS LÄN</t>
        </is>
      </c>
      <c r="E10465" t="inlineStr">
        <is>
          <t>ROBERTSFORS</t>
        </is>
      </c>
      <c r="F10465" t="inlineStr">
        <is>
          <t>Holmen skog AB</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34849-2023</t>
        </is>
      </c>
      <c r="B10466" s="1" t="n">
        <v>45142</v>
      </c>
      <c r="C10466" s="1" t="n">
        <v>45357</v>
      </c>
      <c r="D10466" t="inlineStr">
        <is>
          <t>VÄSTERBOTTENS LÄN</t>
        </is>
      </c>
      <c r="E10466" t="inlineStr">
        <is>
          <t>LYCKSELE</t>
        </is>
      </c>
      <c r="F10466" t="inlineStr">
        <is>
          <t>SCA</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34853-2023</t>
        </is>
      </c>
      <c r="B10467" s="1" t="n">
        <v>45142</v>
      </c>
      <c r="C10467" s="1" t="n">
        <v>45357</v>
      </c>
      <c r="D10467" t="inlineStr">
        <is>
          <t>VÄSTERBOTTENS LÄN</t>
        </is>
      </c>
      <c r="E10467" t="inlineStr">
        <is>
          <t>DOROTEA</t>
        </is>
      </c>
      <c r="F10467" t="inlineStr">
        <is>
          <t>SCA</t>
        </is>
      </c>
      <c r="G10467" t="n">
        <v>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34894-2023</t>
        </is>
      </c>
      <c r="B10468" s="1" t="n">
        <v>45141</v>
      </c>
      <c r="C10468" s="1" t="n">
        <v>45357</v>
      </c>
      <c r="D10468" t="inlineStr">
        <is>
          <t>VÄSTERBOTTENS LÄN</t>
        </is>
      </c>
      <c r="E10468" t="inlineStr">
        <is>
          <t>NORDMALING</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34902-2023</t>
        </is>
      </c>
      <c r="B10469" s="1" t="n">
        <v>45141</v>
      </c>
      <c r="C10469" s="1" t="n">
        <v>45357</v>
      </c>
      <c r="D10469" t="inlineStr">
        <is>
          <t>VÄSTERBOTTENS LÄN</t>
        </is>
      </c>
      <c r="E10469" t="inlineStr">
        <is>
          <t>NORDMALING</t>
        </is>
      </c>
      <c r="G10469" t="n">
        <v>11.9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34898-2023</t>
        </is>
      </c>
      <c r="B10470" s="1" t="n">
        <v>45141</v>
      </c>
      <c r="C10470" s="1" t="n">
        <v>45357</v>
      </c>
      <c r="D10470" t="inlineStr">
        <is>
          <t>VÄSTERBOTTENS LÄN</t>
        </is>
      </c>
      <c r="E10470" t="inlineStr">
        <is>
          <t>NORDMALING</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34905-2023</t>
        </is>
      </c>
      <c r="B10471" s="1" t="n">
        <v>45141</v>
      </c>
      <c r="C10471" s="1" t="n">
        <v>45357</v>
      </c>
      <c r="D10471" t="inlineStr">
        <is>
          <t>VÄSTERBOTTENS LÄN</t>
        </is>
      </c>
      <c r="E10471" t="inlineStr">
        <is>
          <t>NORDMALING</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34761-2023</t>
        </is>
      </c>
      <c r="B10472" s="1" t="n">
        <v>45141</v>
      </c>
      <c r="C10472" s="1" t="n">
        <v>45357</v>
      </c>
      <c r="D10472" t="inlineStr">
        <is>
          <t>VÄSTERBOTTENS LÄN</t>
        </is>
      </c>
      <c r="E10472" t="inlineStr">
        <is>
          <t>BJURHOLM</t>
        </is>
      </c>
      <c r="F10472" t="inlineStr">
        <is>
          <t>Holmen skog AB</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34778-2023</t>
        </is>
      </c>
      <c r="B10473" s="1" t="n">
        <v>45141</v>
      </c>
      <c r="C10473" s="1" t="n">
        <v>45357</v>
      </c>
      <c r="D10473" t="inlineStr">
        <is>
          <t>VÄSTERBOTTENS LÄN</t>
        </is>
      </c>
      <c r="E10473" t="inlineStr">
        <is>
          <t>BJURHOLM</t>
        </is>
      </c>
      <c r="F10473" t="inlineStr">
        <is>
          <t>Holmen skog AB</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34784-2023</t>
        </is>
      </c>
      <c r="B10474" s="1" t="n">
        <v>45141</v>
      </c>
      <c r="C10474" s="1" t="n">
        <v>45357</v>
      </c>
      <c r="D10474" t="inlineStr">
        <is>
          <t>VÄSTERBOTTENS LÄN</t>
        </is>
      </c>
      <c r="E10474" t="inlineStr">
        <is>
          <t>BJURHOLM</t>
        </is>
      </c>
      <c r="F10474" t="inlineStr">
        <is>
          <t>Holmen skog AB</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34854-2023</t>
        </is>
      </c>
      <c r="B10475" s="1" t="n">
        <v>45142</v>
      </c>
      <c r="C10475" s="1" t="n">
        <v>45357</v>
      </c>
      <c r="D10475" t="inlineStr">
        <is>
          <t>VÄSTERBOTTENS LÄN</t>
        </is>
      </c>
      <c r="E10475" t="inlineStr">
        <is>
          <t>DOROTEA</t>
        </is>
      </c>
      <c r="F10475" t="inlineStr">
        <is>
          <t>SCA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34901-2023</t>
        </is>
      </c>
      <c r="B10476" s="1" t="n">
        <v>45141</v>
      </c>
      <c r="C10476" s="1" t="n">
        <v>45357</v>
      </c>
      <c r="D10476" t="inlineStr">
        <is>
          <t>VÄSTERBOTTENS LÄN</t>
        </is>
      </c>
      <c r="E10476" t="inlineStr">
        <is>
          <t>NORDMALING</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34797-2023</t>
        </is>
      </c>
      <c r="B10477" s="1" t="n">
        <v>45141</v>
      </c>
      <c r="C10477" s="1" t="n">
        <v>45357</v>
      </c>
      <c r="D10477" t="inlineStr">
        <is>
          <t>VÄSTERBOTTENS LÄN</t>
        </is>
      </c>
      <c r="E10477" t="inlineStr">
        <is>
          <t>VINDELN</t>
        </is>
      </c>
      <c r="F10477" t="inlineStr">
        <is>
          <t>Holmen skog AB</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34808-2023</t>
        </is>
      </c>
      <c r="B10478" s="1" t="n">
        <v>45141</v>
      </c>
      <c r="C10478" s="1" t="n">
        <v>45357</v>
      </c>
      <c r="D10478" t="inlineStr">
        <is>
          <t>VÄSTERBOTTENS LÄN</t>
        </is>
      </c>
      <c r="E10478" t="inlineStr">
        <is>
          <t>VINDELN</t>
        </is>
      </c>
      <c r="F10478" t="inlineStr">
        <is>
          <t>Holmen skog AB</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34817-2023</t>
        </is>
      </c>
      <c r="B10479" s="1" t="n">
        <v>45141</v>
      </c>
      <c r="C10479" s="1" t="n">
        <v>45357</v>
      </c>
      <c r="D10479" t="inlineStr">
        <is>
          <t>VÄSTERBOTTENS LÄN</t>
        </is>
      </c>
      <c r="E10479" t="inlineStr">
        <is>
          <t>VINDELN</t>
        </is>
      </c>
      <c r="F10479" t="inlineStr">
        <is>
          <t>Holmen skog AB</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34844-2023</t>
        </is>
      </c>
      <c r="B10480" s="1" t="n">
        <v>45142</v>
      </c>
      <c r="C10480" s="1" t="n">
        <v>45357</v>
      </c>
      <c r="D10480" t="inlineStr">
        <is>
          <t>VÄSTERBOTTENS LÄN</t>
        </is>
      </c>
      <c r="E10480" t="inlineStr">
        <is>
          <t>ROBERTSFORS</t>
        </is>
      </c>
      <c r="F10480" t="inlineStr">
        <is>
          <t>Holmen skog AB</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34897-2023</t>
        </is>
      </c>
      <c r="B10481" s="1" t="n">
        <v>45141</v>
      </c>
      <c r="C10481" s="1" t="n">
        <v>45357</v>
      </c>
      <c r="D10481" t="inlineStr">
        <is>
          <t>VÄSTERBOTTENS LÄN</t>
        </is>
      </c>
      <c r="E10481" t="inlineStr">
        <is>
          <t>NORDMALING</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34904-2023</t>
        </is>
      </c>
      <c r="B10482" s="1" t="n">
        <v>45141</v>
      </c>
      <c r="C10482" s="1" t="n">
        <v>45357</v>
      </c>
      <c r="D10482" t="inlineStr">
        <is>
          <t>VÄSTERBOTTENS LÄN</t>
        </is>
      </c>
      <c r="E10482" t="inlineStr">
        <is>
          <t>NORDMALING</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34903-2023</t>
        </is>
      </c>
      <c r="B10483" s="1" t="n">
        <v>45142</v>
      </c>
      <c r="C10483" s="1" t="n">
        <v>45357</v>
      </c>
      <c r="D10483" t="inlineStr">
        <is>
          <t>VÄSTERBOTTENS LÄN</t>
        </is>
      </c>
      <c r="E10483" t="inlineStr">
        <is>
          <t>LYCKSELE</t>
        </is>
      </c>
      <c r="F10483" t="inlineStr">
        <is>
          <t>Holmen skog AB</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34929-2023</t>
        </is>
      </c>
      <c r="B10484" s="1" t="n">
        <v>45142</v>
      </c>
      <c r="C10484" s="1" t="n">
        <v>45357</v>
      </c>
      <c r="D10484" t="inlineStr">
        <is>
          <t>VÄSTERBOTTENS LÄN</t>
        </is>
      </c>
      <c r="E10484" t="inlineStr">
        <is>
          <t>LYCKSELE</t>
        </is>
      </c>
      <c r="F10484" t="inlineStr">
        <is>
          <t>Sveaskog</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34933-2023</t>
        </is>
      </c>
      <c r="B10485" s="1" t="n">
        <v>45142</v>
      </c>
      <c r="C10485" s="1" t="n">
        <v>45357</v>
      </c>
      <c r="D10485" t="inlineStr">
        <is>
          <t>VÄSTERBOTTENS LÄN</t>
        </is>
      </c>
      <c r="E10485" t="inlineStr">
        <is>
          <t>LYCKSELE</t>
        </is>
      </c>
      <c r="F10485" t="inlineStr">
        <is>
          <t>Sveaskog</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34964-2023</t>
        </is>
      </c>
      <c r="B10486" s="1" t="n">
        <v>45142</v>
      </c>
      <c r="C10486" s="1" t="n">
        <v>45357</v>
      </c>
      <c r="D10486" t="inlineStr">
        <is>
          <t>VÄSTERBOTTENS LÄN</t>
        </is>
      </c>
      <c r="E10486" t="inlineStr">
        <is>
          <t>NORDMALING</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34996-2023</t>
        </is>
      </c>
      <c r="B10487" s="1" t="n">
        <v>45142</v>
      </c>
      <c r="C10487" s="1" t="n">
        <v>45357</v>
      </c>
      <c r="D10487" t="inlineStr">
        <is>
          <t>VÄSTERBOTTENS LÄN</t>
        </is>
      </c>
      <c r="E10487" t="inlineStr">
        <is>
          <t>DOROTEA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35000-2023</t>
        </is>
      </c>
      <c r="B10488" s="1" t="n">
        <v>45143</v>
      </c>
      <c r="C10488" s="1" t="n">
        <v>45357</v>
      </c>
      <c r="D10488" t="inlineStr">
        <is>
          <t>VÄSTERBOTTENS LÄN</t>
        </is>
      </c>
      <c r="E10488" t="inlineStr">
        <is>
          <t>DOROTEA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35008-2023</t>
        </is>
      </c>
      <c r="B10489" s="1" t="n">
        <v>45142</v>
      </c>
      <c r="C10489" s="1" t="n">
        <v>45357</v>
      </c>
      <c r="D10489" t="inlineStr">
        <is>
          <t>VÄSTERBOTTENS LÄN</t>
        </is>
      </c>
      <c r="E10489" t="inlineStr">
        <is>
          <t>BJURHOLM</t>
        </is>
      </c>
      <c r="F10489" t="inlineStr">
        <is>
          <t>SCA</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34986-2023</t>
        </is>
      </c>
      <c r="B10490" s="1" t="n">
        <v>45142</v>
      </c>
      <c r="C10490" s="1" t="n">
        <v>45357</v>
      </c>
      <c r="D10490" t="inlineStr">
        <is>
          <t>VÄSTERBOTTENS LÄN</t>
        </is>
      </c>
      <c r="E10490" t="inlineStr">
        <is>
          <t>SKELLEFTEÅ</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35006-2023</t>
        </is>
      </c>
      <c r="B10491" s="1" t="n">
        <v>45143</v>
      </c>
      <c r="C10491" s="1" t="n">
        <v>45357</v>
      </c>
      <c r="D10491" t="inlineStr">
        <is>
          <t>VÄSTERBOTTENS LÄN</t>
        </is>
      </c>
      <c r="E10491" t="inlineStr">
        <is>
          <t>VILHELMINA</t>
        </is>
      </c>
      <c r="F10491" t="inlineStr">
        <is>
          <t>SCA</t>
        </is>
      </c>
      <c r="G10491" t="n">
        <v>11.6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34991-2023</t>
        </is>
      </c>
      <c r="B10492" s="1" t="n">
        <v>45142</v>
      </c>
      <c r="C10492" s="1" t="n">
        <v>45357</v>
      </c>
      <c r="D10492" t="inlineStr">
        <is>
          <t>VÄSTERBOTTENS LÄN</t>
        </is>
      </c>
      <c r="E10492" t="inlineStr">
        <is>
          <t>UMEÅ</t>
        </is>
      </c>
      <c r="G10492" t="n">
        <v>6.9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34995-2023</t>
        </is>
      </c>
      <c r="B10493" s="1" t="n">
        <v>45143</v>
      </c>
      <c r="C10493" s="1" t="n">
        <v>45357</v>
      </c>
      <c r="D10493" t="inlineStr">
        <is>
          <t>VÄSTERBOTTENS LÄN</t>
        </is>
      </c>
      <c r="E10493" t="inlineStr">
        <is>
          <t>DOROTEA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35068-2023</t>
        </is>
      </c>
      <c r="B10494" s="1" t="n">
        <v>45142</v>
      </c>
      <c r="C10494" s="1" t="n">
        <v>45357</v>
      </c>
      <c r="D10494" t="inlineStr">
        <is>
          <t>VÄSTERBOTTENS LÄN</t>
        </is>
      </c>
      <c r="E10494" t="inlineStr">
        <is>
          <t>SKELLEFTEÅ</t>
        </is>
      </c>
      <c r="G10494" t="n">
        <v>11.5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35018-2023</t>
        </is>
      </c>
      <c r="B10495" s="1" t="n">
        <v>45142</v>
      </c>
      <c r="C10495" s="1" t="n">
        <v>45357</v>
      </c>
      <c r="D10495" t="inlineStr">
        <is>
          <t>VÄSTERBOTTENS LÄN</t>
        </is>
      </c>
      <c r="E10495" t="inlineStr">
        <is>
          <t>VILHELMINA</t>
        </is>
      </c>
      <c r="F10495" t="inlineStr">
        <is>
          <t>SCA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35070-2023</t>
        </is>
      </c>
      <c r="B10496" s="1" t="n">
        <v>45142</v>
      </c>
      <c r="C10496" s="1" t="n">
        <v>45357</v>
      </c>
      <c r="D10496" t="inlineStr">
        <is>
          <t>VÄSTERBOTTENS LÄN</t>
        </is>
      </c>
      <c r="E10496" t="inlineStr">
        <is>
          <t>SKELLEFTEÅ</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35096-2023</t>
        </is>
      </c>
      <c r="B10497" s="1" t="n">
        <v>45145</v>
      </c>
      <c r="C10497" s="1" t="n">
        <v>45357</v>
      </c>
      <c r="D10497" t="inlineStr">
        <is>
          <t>VÄSTERBOTTENS LÄN</t>
        </is>
      </c>
      <c r="E10497" t="inlineStr">
        <is>
          <t>UMEÅ</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35133-2023</t>
        </is>
      </c>
      <c r="B10498" s="1" t="n">
        <v>45145</v>
      </c>
      <c r="C10498" s="1" t="n">
        <v>45357</v>
      </c>
      <c r="D10498" t="inlineStr">
        <is>
          <t>VÄSTERBOTTENS LÄN</t>
        </is>
      </c>
      <c r="E10498" t="inlineStr">
        <is>
          <t>MALÅ</t>
        </is>
      </c>
      <c r="F10498" t="inlineStr">
        <is>
          <t>Sveaskog</t>
        </is>
      </c>
      <c r="G10498" t="n">
        <v>14.9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35031-2023</t>
        </is>
      </c>
      <c r="B10499" s="1" t="n">
        <v>45145</v>
      </c>
      <c r="C10499" s="1" t="n">
        <v>45357</v>
      </c>
      <c r="D10499" t="inlineStr">
        <is>
          <t>VÄSTERBOTTENS LÄN</t>
        </is>
      </c>
      <c r="E10499" t="inlineStr">
        <is>
          <t>SKELLEFTEÅ</t>
        </is>
      </c>
      <c r="F10499" t="inlineStr">
        <is>
          <t>Holmen skog AB</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35102-2023</t>
        </is>
      </c>
      <c r="B10500" s="1" t="n">
        <v>45145</v>
      </c>
      <c r="C10500" s="1" t="n">
        <v>45357</v>
      </c>
      <c r="D10500" t="inlineStr">
        <is>
          <t>VÄSTERBOTTENS LÄN</t>
        </is>
      </c>
      <c r="E10500" t="inlineStr">
        <is>
          <t>SKELLEFTEÅ</t>
        </is>
      </c>
      <c r="F10500" t="inlineStr">
        <is>
          <t>Holmen skog AB</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35227-2023</t>
        </is>
      </c>
      <c r="B10501" s="1" t="n">
        <v>45145</v>
      </c>
      <c r="C10501" s="1" t="n">
        <v>45357</v>
      </c>
      <c r="D10501" t="inlineStr">
        <is>
          <t>VÄSTERBOTTENS LÄN</t>
        </is>
      </c>
      <c r="E10501" t="inlineStr">
        <is>
          <t>LYCKSELE</t>
        </is>
      </c>
      <c r="F10501" t="inlineStr">
        <is>
          <t>Sveaskog</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35159-2023</t>
        </is>
      </c>
      <c r="B10502" s="1" t="n">
        <v>45145</v>
      </c>
      <c r="C10502" s="1" t="n">
        <v>45357</v>
      </c>
      <c r="D10502" t="inlineStr">
        <is>
          <t>VÄSTERBOTTENS LÄN</t>
        </is>
      </c>
      <c r="E10502" t="inlineStr">
        <is>
          <t>NORSJÖ</t>
        </is>
      </c>
      <c r="F10502" t="inlineStr">
        <is>
          <t>Sveaskog</t>
        </is>
      </c>
      <c r="G10502" t="n">
        <v>13.9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35251-2023</t>
        </is>
      </c>
      <c r="B10503" s="1" t="n">
        <v>45146</v>
      </c>
      <c r="C10503" s="1" t="n">
        <v>45357</v>
      </c>
      <c r="D10503" t="inlineStr">
        <is>
          <t>VÄSTERBOTTENS LÄN</t>
        </is>
      </c>
      <c r="E10503" t="inlineStr">
        <is>
          <t>BJURHOLM</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35032-2023</t>
        </is>
      </c>
      <c r="B10504" s="1" t="n">
        <v>45145</v>
      </c>
      <c r="C10504" s="1" t="n">
        <v>45357</v>
      </c>
      <c r="D10504" t="inlineStr">
        <is>
          <t>VÄSTERBOTTENS LÄN</t>
        </is>
      </c>
      <c r="E10504" t="inlineStr">
        <is>
          <t>SKELLEFTEÅ</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35252-2023</t>
        </is>
      </c>
      <c r="B10505" s="1" t="n">
        <v>45145</v>
      </c>
      <c r="C10505" s="1" t="n">
        <v>45357</v>
      </c>
      <c r="D10505" t="inlineStr">
        <is>
          <t>VÄSTERBOTTENS LÄN</t>
        </is>
      </c>
      <c r="E10505" t="inlineStr">
        <is>
          <t>NORSJÖ</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35264-2023</t>
        </is>
      </c>
      <c r="B10506" s="1" t="n">
        <v>45146</v>
      </c>
      <c r="C10506" s="1" t="n">
        <v>45357</v>
      </c>
      <c r="D10506" t="inlineStr">
        <is>
          <t>VÄSTERBOTTENS LÄN</t>
        </is>
      </c>
      <c r="E10506" t="inlineStr">
        <is>
          <t>BJURHOLM</t>
        </is>
      </c>
      <c r="F10506" t="inlineStr">
        <is>
          <t>SCA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35268-2023</t>
        </is>
      </c>
      <c r="B10507" s="1" t="n">
        <v>45145</v>
      </c>
      <c r="C10507" s="1" t="n">
        <v>45357</v>
      </c>
      <c r="D10507" t="inlineStr">
        <is>
          <t>VÄSTERBOTTENS LÄN</t>
        </is>
      </c>
      <c r="E10507" t="inlineStr">
        <is>
          <t>BJURHOLM</t>
        </is>
      </c>
      <c r="F10507" t="inlineStr">
        <is>
          <t>SCA</t>
        </is>
      </c>
      <c r="G10507" t="n">
        <v>18.3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35284-2023</t>
        </is>
      </c>
      <c r="B10508" s="1" t="n">
        <v>45145</v>
      </c>
      <c r="C10508" s="1" t="n">
        <v>45357</v>
      </c>
      <c r="D10508" t="inlineStr">
        <is>
          <t>VÄSTERBOTTENS LÄN</t>
        </is>
      </c>
      <c r="E10508" t="inlineStr">
        <is>
          <t>LYCKSELE</t>
        </is>
      </c>
      <c r="F10508" t="inlineStr">
        <is>
          <t>SCA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35288-2023</t>
        </is>
      </c>
      <c r="B10509" s="1" t="n">
        <v>45145</v>
      </c>
      <c r="C10509" s="1" t="n">
        <v>45357</v>
      </c>
      <c r="D10509" t="inlineStr">
        <is>
          <t>VÄSTERBOTTENS LÄN</t>
        </is>
      </c>
      <c r="E10509" t="inlineStr">
        <is>
          <t>DOROTEA</t>
        </is>
      </c>
      <c r="F10509" t="inlineStr">
        <is>
          <t>SCA</t>
        </is>
      </c>
      <c r="G10509" t="n">
        <v>7.3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35292-2023</t>
        </is>
      </c>
      <c r="B10510" s="1" t="n">
        <v>45145</v>
      </c>
      <c r="C10510" s="1" t="n">
        <v>45357</v>
      </c>
      <c r="D10510" t="inlineStr">
        <is>
          <t>VÄSTERBOTTENS LÄN</t>
        </is>
      </c>
      <c r="E10510" t="inlineStr">
        <is>
          <t>NORDMALING</t>
        </is>
      </c>
      <c r="F10510" t="inlineStr">
        <is>
          <t>SCA</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35123-2023</t>
        </is>
      </c>
      <c r="B10511" s="1" t="n">
        <v>45145</v>
      </c>
      <c r="C10511" s="1" t="n">
        <v>45357</v>
      </c>
      <c r="D10511" t="inlineStr">
        <is>
          <t>VÄSTERBOTTENS LÄN</t>
        </is>
      </c>
      <c r="E10511" t="inlineStr">
        <is>
          <t>VÄNNÄS</t>
        </is>
      </c>
      <c r="F10511" t="inlineStr">
        <is>
          <t>Holmen skog AB</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35283-2023</t>
        </is>
      </c>
      <c r="B10512" s="1" t="n">
        <v>45145</v>
      </c>
      <c r="C10512" s="1" t="n">
        <v>45357</v>
      </c>
      <c r="D10512" t="inlineStr">
        <is>
          <t>VÄSTERBOTTENS LÄN</t>
        </is>
      </c>
      <c r="E10512" t="inlineStr">
        <is>
          <t>LYCKSELE</t>
        </is>
      </c>
      <c r="F10512" t="inlineStr">
        <is>
          <t>SCA</t>
        </is>
      </c>
      <c r="G10512" t="n">
        <v>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35287-2023</t>
        </is>
      </c>
      <c r="B10513" s="1" t="n">
        <v>45145</v>
      </c>
      <c r="C10513" s="1" t="n">
        <v>45357</v>
      </c>
      <c r="D10513" t="inlineStr">
        <is>
          <t>VÄSTERBOTTENS LÄN</t>
        </is>
      </c>
      <c r="E10513" t="inlineStr">
        <is>
          <t>DOROTEA</t>
        </is>
      </c>
      <c r="F10513" t="inlineStr">
        <is>
          <t>SCA</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35291-2023</t>
        </is>
      </c>
      <c r="B10514" s="1" t="n">
        <v>45146</v>
      </c>
      <c r="C10514" s="1" t="n">
        <v>45357</v>
      </c>
      <c r="D10514" t="inlineStr">
        <is>
          <t>VÄSTERBOTTENS LÄN</t>
        </is>
      </c>
      <c r="E10514" t="inlineStr">
        <is>
          <t>NORDMALING</t>
        </is>
      </c>
      <c r="F10514" t="inlineStr">
        <is>
          <t>SCA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35249-2023</t>
        </is>
      </c>
      <c r="B10515" s="1" t="n">
        <v>45146</v>
      </c>
      <c r="C10515" s="1" t="n">
        <v>45357</v>
      </c>
      <c r="D10515" t="inlineStr">
        <is>
          <t>VÄSTERBOTTENS LÄN</t>
        </is>
      </c>
      <c r="E10515" t="inlineStr">
        <is>
          <t>BJURHOLM</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35253-2023</t>
        </is>
      </c>
      <c r="B10516" s="1" t="n">
        <v>45146</v>
      </c>
      <c r="C10516" s="1" t="n">
        <v>45357</v>
      </c>
      <c r="D10516" t="inlineStr">
        <is>
          <t>VÄSTERBOTTENS LÄN</t>
        </is>
      </c>
      <c r="E10516" t="inlineStr">
        <is>
          <t>NORSJÖ</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35269-2023</t>
        </is>
      </c>
      <c r="B10517" s="1" t="n">
        <v>45145</v>
      </c>
      <c r="C10517" s="1" t="n">
        <v>45357</v>
      </c>
      <c r="D10517" t="inlineStr">
        <is>
          <t>VÄSTERBOTTENS LÄN</t>
        </is>
      </c>
      <c r="E10517" t="inlineStr">
        <is>
          <t>BJURHOLM</t>
        </is>
      </c>
      <c r="F10517" t="inlineStr">
        <is>
          <t>SCA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35285-2023</t>
        </is>
      </c>
      <c r="B10518" s="1" t="n">
        <v>45145</v>
      </c>
      <c r="C10518" s="1" t="n">
        <v>45357</v>
      </c>
      <c r="D10518" t="inlineStr">
        <is>
          <t>VÄSTERBOTTENS LÄN</t>
        </is>
      </c>
      <c r="E10518" t="inlineStr">
        <is>
          <t>LYCKSELE</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35289-2023</t>
        </is>
      </c>
      <c r="B10519" s="1" t="n">
        <v>45145</v>
      </c>
      <c r="C10519" s="1" t="n">
        <v>45357</v>
      </c>
      <c r="D10519" t="inlineStr">
        <is>
          <t>VÄSTERBOTTENS LÄN</t>
        </is>
      </c>
      <c r="E10519" t="inlineStr">
        <is>
          <t>VILHELMINA</t>
        </is>
      </c>
      <c r="F10519" t="inlineStr">
        <is>
          <t>SCA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35293-2023</t>
        </is>
      </c>
      <c r="B10520" s="1" t="n">
        <v>45145</v>
      </c>
      <c r="C10520" s="1" t="n">
        <v>45357</v>
      </c>
      <c r="D10520" t="inlineStr">
        <is>
          <t>VÄSTERBOTTENS LÄN</t>
        </is>
      </c>
      <c r="E10520" t="inlineStr">
        <is>
          <t>VINDELN</t>
        </is>
      </c>
      <c r="F10520" t="inlineStr">
        <is>
          <t>SCA</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35331-2023</t>
        </is>
      </c>
      <c r="B10521" s="1" t="n">
        <v>45145</v>
      </c>
      <c r="C10521" s="1" t="n">
        <v>45357</v>
      </c>
      <c r="D10521" t="inlineStr">
        <is>
          <t>VÄSTERBOTTENS LÄN</t>
        </is>
      </c>
      <c r="E10521" t="inlineStr">
        <is>
          <t>SKELLEFTEÅ</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35149-2023</t>
        </is>
      </c>
      <c r="B10522" s="1" t="n">
        <v>45145</v>
      </c>
      <c r="C10522" s="1" t="n">
        <v>45357</v>
      </c>
      <c r="D10522" t="inlineStr">
        <is>
          <t>VÄSTERBOTTENS LÄN</t>
        </is>
      </c>
      <c r="E10522" t="inlineStr">
        <is>
          <t>ROBERTSFORS</t>
        </is>
      </c>
      <c r="F10522" t="inlineStr">
        <is>
          <t>Holmen skog AB</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35206-2023</t>
        </is>
      </c>
      <c r="B10523" s="1" t="n">
        <v>45145</v>
      </c>
      <c r="C10523" s="1" t="n">
        <v>45357</v>
      </c>
      <c r="D10523" t="inlineStr">
        <is>
          <t>VÄSTERBOTTENS LÄN</t>
        </is>
      </c>
      <c r="E10523" t="inlineStr">
        <is>
          <t>SKELLEFTEÅ</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35250-2023</t>
        </is>
      </c>
      <c r="B10524" s="1" t="n">
        <v>45146</v>
      </c>
      <c r="C10524" s="1" t="n">
        <v>45357</v>
      </c>
      <c r="D10524" t="inlineStr">
        <is>
          <t>VÄSTERBOTTENS LÄN</t>
        </is>
      </c>
      <c r="E10524" t="inlineStr">
        <is>
          <t>STORUMAN</t>
        </is>
      </c>
      <c r="G10524" t="n">
        <v>15.1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35286-2023</t>
        </is>
      </c>
      <c r="B10525" s="1" t="n">
        <v>45145</v>
      </c>
      <c r="C10525" s="1" t="n">
        <v>45357</v>
      </c>
      <c r="D10525" t="inlineStr">
        <is>
          <t>VÄSTERBOTTENS LÄN</t>
        </is>
      </c>
      <c r="E10525" t="inlineStr">
        <is>
          <t>STORUMAN</t>
        </is>
      </c>
      <c r="F10525" t="inlineStr">
        <is>
          <t>SCA</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35290-2023</t>
        </is>
      </c>
      <c r="B10526" s="1" t="n">
        <v>45146</v>
      </c>
      <c r="C10526" s="1" t="n">
        <v>45357</v>
      </c>
      <c r="D10526" t="inlineStr">
        <is>
          <t>VÄSTERBOTTENS LÄN</t>
        </is>
      </c>
      <c r="E10526" t="inlineStr">
        <is>
          <t>NORDMALING</t>
        </is>
      </c>
      <c r="F10526" t="inlineStr">
        <is>
          <t>SCA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35294-2023</t>
        </is>
      </c>
      <c r="B10527" s="1" t="n">
        <v>45145</v>
      </c>
      <c r="C10527" s="1" t="n">
        <v>45357</v>
      </c>
      <c r="D10527" t="inlineStr">
        <is>
          <t>VÄSTERBOTTENS LÄN</t>
        </is>
      </c>
      <c r="E10527" t="inlineStr">
        <is>
          <t>VINDELN</t>
        </is>
      </c>
      <c r="F10527" t="inlineStr">
        <is>
          <t>SCA</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35319-2023</t>
        </is>
      </c>
      <c r="B10528" s="1" t="n">
        <v>45145</v>
      </c>
      <c r="C10528" s="1" t="n">
        <v>45357</v>
      </c>
      <c r="D10528" t="inlineStr">
        <is>
          <t>VÄSTERBOTTENS LÄN</t>
        </is>
      </c>
      <c r="E10528" t="inlineStr">
        <is>
          <t>BJURHOLM</t>
        </is>
      </c>
      <c r="G10528" t="n">
        <v>6.9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35338-2023</t>
        </is>
      </c>
      <c r="B10529" s="1" t="n">
        <v>45145</v>
      </c>
      <c r="C10529" s="1" t="n">
        <v>45357</v>
      </c>
      <c r="D10529" t="inlineStr">
        <is>
          <t>VÄSTERBOTTENS LÄN</t>
        </is>
      </c>
      <c r="E10529" t="inlineStr">
        <is>
          <t>SKELLEFTEÅ</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35307-2023</t>
        </is>
      </c>
      <c r="B10530" s="1" t="n">
        <v>45146</v>
      </c>
      <c r="C10530" s="1" t="n">
        <v>45357</v>
      </c>
      <c r="D10530" t="inlineStr">
        <is>
          <t>VÄSTERBOTTENS LÄN</t>
        </is>
      </c>
      <c r="E10530" t="inlineStr">
        <is>
          <t>ROBERTSFORS</t>
        </is>
      </c>
      <c r="F10530" t="inlineStr">
        <is>
          <t>Holmen skog AB</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35349-2023</t>
        </is>
      </c>
      <c r="B10531" s="1" t="n">
        <v>45146</v>
      </c>
      <c r="C10531" s="1" t="n">
        <v>45357</v>
      </c>
      <c r="D10531" t="inlineStr">
        <is>
          <t>VÄSTERBOTTENS LÄN</t>
        </is>
      </c>
      <c r="E10531" t="inlineStr">
        <is>
          <t>VÄNNÄS</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35313-2023</t>
        </is>
      </c>
      <c r="B10532" s="1" t="n">
        <v>45146</v>
      </c>
      <c r="C10532" s="1" t="n">
        <v>45357</v>
      </c>
      <c r="D10532" t="inlineStr">
        <is>
          <t>VÄSTERBOTTENS LÄN</t>
        </is>
      </c>
      <c r="E10532" t="inlineStr">
        <is>
          <t>ROBERTSFORS</t>
        </is>
      </c>
      <c r="F10532" t="inlineStr">
        <is>
          <t>Holmen skog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35354-2023</t>
        </is>
      </c>
      <c r="B10533" s="1" t="n">
        <v>45146</v>
      </c>
      <c r="C10533" s="1" t="n">
        <v>45357</v>
      </c>
      <c r="D10533" t="inlineStr">
        <is>
          <t>VÄSTERBOTTENS LÄN</t>
        </is>
      </c>
      <c r="E10533" t="inlineStr">
        <is>
          <t>VÄNNÄS</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35360-2023</t>
        </is>
      </c>
      <c r="B10534" s="1" t="n">
        <v>45146</v>
      </c>
      <c r="C10534" s="1" t="n">
        <v>45357</v>
      </c>
      <c r="D10534" t="inlineStr">
        <is>
          <t>VÄSTERBOTTENS LÄN</t>
        </is>
      </c>
      <c r="E10534" t="inlineStr">
        <is>
          <t>VÄNNÄS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35439-2023</t>
        </is>
      </c>
      <c r="B10535" s="1" t="n">
        <v>45146</v>
      </c>
      <c r="C10535" s="1" t="n">
        <v>45357</v>
      </c>
      <c r="D10535" t="inlineStr">
        <is>
          <t>VÄSTERBOTTENS LÄN</t>
        </is>
      </c>
      <c r="E10535" t="inlineStr">
        <is>
          <t>SKELLEFTEÅ</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35301-2023</t>
        </is>
      </c>
      <c r="B10536" s="1" t="n">
        <v>45146</v>
      </c>
      <c r="C10536" s="1" t="n">
        <v>45357</v>
      </c>
      <c r="D10536" t="inlineStr">
        <is>
          <t>VÄSTERBOTTENS LÄN</t>
        </is>
      </c>
      <c r="E10536" t="inlineStr">
        <is>
          <t>SKELLEFTEÅ</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35351-2023</t>
        </is>
      </c>
      <c r="B10537" s="1" t="n">
        <v>45146</v>
      </c>
      <c r="C10537" s="1" t="n">
        <v>45357</v>
      </c>
      <c r="D10537" t="inlineStr">
        <is>
          <t>VÄSTERBOTTENS LÄN</t>
        </is>
      </c>
      <c r="E10537" t="inlineStr">
        <is>
          <t>VÄNNÄS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35401-2023</t>
        </is>
      </c>
      <c r="B10538" s="1" t="n">
        <v>45146</v>
      </c>
      <c r="C10538" s="1" t="n">
        <v>45357</v>
      </c>
      <c r="D10538" t="inlineStr">
        <is>
          <t>VÄSTERBOTTENS LÄN</t>
        </is>
      </c>
      <c r="E10538" t="inlineStr">
        <is>
          <t>SKELLEFTEÅ</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35437-2023</t>
        </is>
      </c>
      <c r="B10539" s="1" t="n">
        <v>45146</v>
      </c>
      <c r="C10539" s="1" t="n">
        <v>45357</v>
      </c>
      <c r="D10539" t="inlineStr">
        <is>
          <t>VÄSTERBOTTENS LÄN</t>
        </is>
      </c>
      <c r="E10539" t="inlineStr">
        <is>
          <t>SKELLEFTEÅ</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35430-2023</t>
        </is>
      </c>
      <c r="B10540" s="1" t="n">
        <v>45146</v>
      </c>
      <c r="C10540" s="1" t="n">
        <v>45357</v>
      </c>
      <c r="D10540" t="inlineStr">
        <is>
          <t>VÄSTERBOTTENS LÄN</t>
        </is>
      </c>
      <c r="E10540" t="inlineStr">
        <is>
          <t>SKELLEFTEÅ</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35475-2023</t>
        </is>
      </c>
      <c r="B10541" s="1" t="n">
        <v>45146</v>
      </c>
      <c r="C10541" s="1" t="n">
        <v>45357</v>
      </c>
      <c r="D10541" t="inlineStr">
        <is>
          <t>VÄSTERBOTTENS LÄN</t>
        </is>
      </c>
      <c r="E10541" t="inlineStr">
        <is>
          <t>ROBERTSFORS</t>
        </is>
      </c>
      <c r="F10541" t="inlineStr">
        <is>
          <t>Holmen skog AB</t>
        </is>
      </c>
      <c r="G10541" t="n">
        <v>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35585-2023</t>
        </is>
      </c>
      <c r="B10542" s="1" t="n">
        <v>45146</v>
      </c>
      <c r="C10542" s="1" t="n">
        <v>45357</v>
      </c>
      <c r="D10542" t="inlineStr">
        <is>
          <t>VÄSTERBOTTENS LÄN</t>
        </is>
      </c>
      <c r="E10542" t="inlineStr">
        <is>
          <t>NORDMALING</t>
        </is>
      </c>
      <c r="G10542" t="n">
        <v>11.6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35457-2023</t>
        </is>
      </c>
      <c r="B10543" s="1" t="n">
        <v>45146</v>
      </c>
      <c r="C10543" s="1" t="n">
        <v>45357</v>
      </c>
      <c r="D10543" t="inlineStr">
        <is>
          <t>VÄSTERBOTTENS LÄN</t>
        </is>
      </c>
      <c r="E10543" t="inlineStr">
        <is>
          <t>STORUMAN</t>
        </is>
      </c>
      <c r="F10543" t="inlineStr">
        <is>
          <t>Sveaskog</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35497-2023</t>
        </is>
      </c>
      <c r="B10544" s="1" t="n">
        <v>45146</v>
      </c>
      <c r="C10544" s="1" t="n">
        <v>45357</v>
      </c>
      <c r="D10544" t="inlineStr">
        <is>
          <t>VÄSTERBOTTENS LÄN</t>
        </is>
      </c>
      <c r="E10544" t="inlineStr">
        <is>
          <t>ROBERTSFORS</t>
        </is>
      </c>
      <c r="G10544" t="n">
        <v>0.2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35633-2023</t>
        </is>
      </c>
      <c r="B10545" s="1" t="n">
        <v>45146</v>
      </c>
      <c r="C10545" s="1" t="n">
        <v>45357</v>
      </c>
      <c r="D10545" t="inlineStr">
        <is>
          <t>VÄSTERBOTTENS LÄN</t>
        </is>
      </c>
      <c r="E10545" t="inlineStr">
        <is>
          <t>LYCKSELE</t>
        </is>
      </c>
      <c r="G10545" t="n">
        <v>0.2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35631-2023</t>
        </is>
      </c>
      <c r="B10546" s="1" t="n">
        <v>45146</v>
      </c>
      <c r="C10546" s="1" t="n">
        <v>45357</v>
      </c>
      <c r="D10546" t="inlineStr">
        <is>
          <t>VÄSTERBOTTENS LÄN</t>
        </is>
      </c>
      <c r="E10546" t="inlineStr">
        <is>
          <t>NORDMALING</t>
        </is>
      </c>
      <c r="G10546" t="n">
        <v>7.1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35650-2023</t>
        </is>
      </c>
      <c r="B10547" s="1" t="n">
        <v>45147</v>
      </c>
      <c r="C10547" s="1" t="n">
        <v>45357</v>
      </c>
      <c r="D10547" t="inlineStr">
        <is>
          <t>VÄSTERBOTTENS LÄN</t>
        </is>
      </c>
      <c r="E10547" t="inlineStr">
        <is>
          <t>NORDMALING</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35520-2023</t>
        </is>
      </c>
      <c r="B10548" s="1" t="n">
        <v>45147</v>
      </c>
      <c r="C10548" s="1" t="n">
        <v>45357</v>
      </c>
      <c r="D10548" t="inlineStr">
        <is>
          <t>VÄSTERBOTTENS LÄN</t>
        </is>
      </c>
      <c r="E10548" t="inlineStr">
        <is>
          <t>ÅSELE</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35559-2023</t>
        </is>
      </c>
      <c r="B10549" s="1" t="n">
        <v>45147</v>
      </c>
      <c r="C10549" s="1" t="n">
        <v>45357</v>
      </c>
      <c r="D10549" t="inlineStr">
        <is>
          <t>VÄSTERBOTTENS LÄN</t>
        </is>
      </c>
      <c r="E10549" t="inlineStr">
        <is>
          <t>LYCKSELE</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35754-2023</t>
        </is>
      </c>
      <c r="B10550" s="1" t="n">
        <v>45147</v>
      </c>
      <c r="C10550" s="1" t="n">
        <v>45357</v>
      </c>
      <c r="D10550" t="inlineStr">
        <is>
          <t>VÄSTERBOTTENS LÄN</t>
        </is>
      </c>
      <c r="E10550" t="inlineStr">
        <is>
          <t>SORSELE</t>
        </is>
      </c>
      <c r="F10550" t="inlineStr">
        <is>
          <t>SCA</t>
        </is>
      </c>
      <c r="G10550" t="n">
        <v>18.4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35758-2023</t>
        </is>
      </c>
      <c r="B10551" s="1" t="n">
        <v>45148</v>
      </c>
      <c r="C10551" s="1" t="n">
        <v>45357</v>
      </c>
      <c r="D10551" t="inlineStr">
        <is>
          <t>VÄSTERBOTTENS LÄN</t>
        </is>
      </c>
      <c r="E10551" t="inlineStr">
        <is>
          <t>VILHELMINA</t>
        </is>
      </c>
      <c r="F10551" t="inlineStr">
        <is>
          <t>SCA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35797-2023</t>
        </is>
      </c>
      <c r="B10552" s="1" t="n">
        <v>45147</v>
      </c>
      <c r="C10552" s="1" t="n">
        <v>45357</v>
      </c>
      <c r="D10552" t="inlineStr">
        <is>
          <t>VÄSTERBOTTENS LÄN</t>
        </is>
      </c>
      <c r="E10552" t="inlineStr">
        <is>
          <t>NORDMALING</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35630-2023</t>
        </is>
      </c>
      <c r="B10553" s="1" t="n">
        <v>45147</v>
      </c>
      <c r="C10553" s="1" t="n">
        <v>45357</v>
      </c>
      <c r="D10553" t="inlineStr">
        <is>
          <t>VÄSTERBOTTENS LÄN</t>
        </is>
      </c>
      <c r="E10553" t="inlineStr">
        <is>
          <t>NORSJÖ</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35561-2023</t>
        </is>
      </c>
      <c r="B10554" s="1" t="n">
        <v>45147</v>
      </c>
      <c r="C10554" s="1" t="n">
        <v>45357</v>
      </c>
      <c r="D10554" t="inlineStr">
        <is>
          <t>VÄSTERBOTTENS LÄN</t>
        </is>
      </c>
      <c r="E10554" t="inlineStr">
        <is>
          <t>LYCKSELE</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35731-2023</t>
        </is>
      </c>
      <c r="B10555" s="1" t="n">
        <v>45147</v>
      </c>
      <c r="C10555" s="1" t="n">
        <v>45357</v>
      </c>
      <c r="D10555" t="inlineStr">
        <is>
          <t>VÄSTERBOTTENS LÄN</t>
        </is>
      </c>
      <c r="E10555" t="inlineStr">
        <is>
          <t>SKELLEFTEÅ</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35755-2023</t>
        </is>
      </c>
      <c r="B10556" s="1" t="n">
        <v>45148</v>
      </c>
      <c r="C10556" s="1" t="n">
        <v>45357</v>
      </c>
      <c r="D10556" t="inlineStr">
        <is>
          <t>VÄSTERBOTTENS LÄN</t>
        </is>
      </c>
      <c r="E10556" t="inlineStr">
        <is>
          <t>VILHELMINA</t>
        </is>
      </c>
      <c r="F10556" t="inlineStr">
        <is>
          <t>SCA</t>
        </is>
      </c>
      <c r="G10556" t="n">
        <v>5.9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35632-2023</t>
        </is>
      </c>
      <c r="B10557" s="1" t="n">
        <v>45147</v>
      </c>
      <c r="C10557" s="1" t="n">
        <v>45357</v>
      </c>
      <c r="D10557" t="inlineStr">
        <is>
          <t>VÄSTERBOTTENS LÄN</t>
        </is>
      </c>
      <c r="E10557" t="inlineStr">
        <is>
          <t>NORSJÖ</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35759-2023</t>
        </is>
      </c>
      <c r="B10558" s="1" t="n">
        <v>45147</v>
      </c>
      <c r="C10558" s="1" t="n">
        <v>45357</v>
      </c>
      <c r="D10558" t="inlineStr">
        <is>
          <t>VÄSTERBOTTENS LÄN</t>
        </is>
      </c>
      <c r="E10558" t="inlineStr">
        <is>
          <t>VILHELMINA</t>
        </is>
      </c>
      <c r="F10558" t="inlineStr">
        <is>
          <t>SCA</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35688-2023</t>
        </is>
      </c>
      <c r="B10559" s="1" t="n">
        <v>45147</v>
      </c>
      <c r="C10559" s="1" t="n">
        <v>45357</v>
      </c>
      <c r="D10559" t="inlineStr">
        <is>
          <t>VÄSTERBOTTENS LÄN</t>
        </is>
      </c>
      <c r="E10559" t="inlineStr">
        <is>
          <t>NORDMALING</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35732-2023</t>
        </is>
      </c>
      <c r="B10560" s="1" t="n">
        <v>45147</v>
      </c>
      <c r="C10560" s="1" t="n">
        <v>45357</v>
      </c>
      <c r="D10560" t="inlineStr">
        <is>
          <t>VÄSTERBOTTENS LÄN</t>
        </is>
      </c>
      <c r="E10560" t="inlineStr">
        <is>
          <t>SKELLEFTEÅ</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35736-2023</t>
        </is>
      </c>
      <c r="B10561" s="1" t="n">
        <v>45147</v>
      </c>
      <c r="C10561" s="1" t="n">
        <v>45357</v>
      </c>
      <c r="D10561" t="inlineStr">
        <is>
          <t>VÄSTERBOTTENS LÄN</t>
        </is>
      </c>
      <c r="E10561" t="inlineStr">
        <is>
          <t>SKELLEFTEÅ</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35752-2023</t>
        </is>
      </c>
      <c r="B10562" s="1" t="n">
        <v>45147</v>
      </c>
      <c r="C10562" s="1" t="n">
        <v>45357</v>
      </c>
      <c r="D10562" t="inlineStr">
        <is>
          <t>VÄSTERBOTTENS LÄN</t>
        </is>
      </c>
      <c r="E10562" t="inlineStr">
        <is>
          <t>VILHELMINA</t>
        </is>
      </c>
      <c r="F10562" t="inlineStr">
        <is>
          <t>SCA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35756-2023</t>
        </is>
      </c>
      <c r="B10563" s="1" t="n">
        <v>45148</v>
      </c>
      <c r="C10563" s="1" t="n">
        <v>45357</v>
      </c>
      <c r="D10563" t="inlineStr">
        <is>
          <t>VÄSTERBOTTENS LÄN</t>
        </is>
      </c>
      <c r="E10563" t="inlineStr">
        <is>
          <t>VILHELMINA</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35760-2023</t>
        </is>
      </c>
      <c r="B10564" s="1" t="n">
        <v>45147</v>
      </c>
      <c r="C10564" s="1" t="n">
        <v>45357</v>
      </c>
      <c r="D10564" t="inlineStr">
        <is>
          <t>VÄSTERBOTTENS LÄN</t>
        </is>
      </c>
      <c r="E10564" t="inlineStr">
        <is>
          <t>VILHELMINA</t>
        </is>
      </c>
      <c r="F10564" t="inlineStr">
        <is>
          <t>SCA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35792-2023</t>
        </is>
      </c>
      <c r="B10565" s="1" t="n">
        <v>45147</v>
      </c>
      <c r="C10565" s="1" t="n">
        <v>45357</v>
      </c>
      <c r="D10565" t="inlineStr">
        <is>
          <t>VÄSTERBOTTENS LÄN</t>
        </is>
      </c>
      <c r="E10565" t="inlineStr">
        <is>
          <t>NORDMALING</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35803-2023</t>
        </is>
      </c>
      <c r="B10566" s="1" t="n">
        <v>45147</v>
      </c>
      <c r="C10566" s="1" t="n">
        <v>45357</v>
      </c>
      <c r="D10566" t="inlineStr">
        <is>
          <t>VÄSTERBOTTENS LÄN</t>
        </is>
      </c>
      <c r="E10566" t="inlineStr">
        <is>
          <t>NORDMALING</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35733-2023</t>
        </is>
      </c>
      <c r="B10567" s="1" t="n">
        <v>45147</v>
      </c>
      <c r="C10567" s="1" t="n">
        <v>45357</v>
      </c>
      <c r="D10567" t="inlineStr">
        <is>
          <t>VÄSTERBOTTENS LÄN</t>
        </is>
      </c>
      <c r="E10567" t="inlineStr">
        <is>
          <t>SKELLEFTEÅ</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35753-2023</t>
        </is>
      </c>
      <c r="B10568" s="1" t="n">
        <v>45148</v>
      </c>
      <c r="C10568" s="1" t="n">
        <v>45357</v>
      </c>
      <c r="D10568" t="inlineStr">
        <is>
          <t>VÄSTERBOTTENS LÄN</t>
        </is>
      </c>
      <c r="E10568" t="inlineStr">
        <is>
          <t>VILHELMINA</t>
        </is>
      </c>
      <c r="F10568" t="inlineStr">
        <is>
          <t>SCA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35757-2023</t>
        </is>
      </c>
      <c r="B10569" s="1" t="n">
        <v>45148</v>
      </c>
      <c r="C10569" s="1" t="n">
        <v>45357</v>
      </c>
      <c r="D10569" t="inlineStr">
        <is>
          <t>VÄSTERBOTTENS LÄN</t>
        </is>
      </c>
      <c r="E10569" t="inlineStr">
        <is>
          <t>VILHELMINA</t>
        </is>
      </c>
      <c r="F10569" t="inlineStr">
        <is>
          <t>SCA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35765-2023</t>
        </is>
      </c>
      <c r="B10570" s="1" t="n">
        <v>45148</v>
      </c>
      <c r="C10570" s="1" t="n">
        <v>45357</v>
      </c>
      <c r="D10570" t="inlineStr">
        <is>
          <t>VÄSTERBOTTENS LÄN</t>
        </is>
      </c>
      <c r="E10570" t="inlineStr">
        <is>
          <t>LYCKSELE</t>
        </is>
      </c>
      <c r="F10570" t="inlineStr">
        <is>
          <t>SCA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35801-2023</t>
        </is>
      </c>
      <c r="B10571" s="1" t="n">
        <v>45147</v>
      </c>
      <c r="C10571" s="1" t="n">
        <v>45357</v>
      </c>
      <c r="D10571" t="inlineStr">
        <is>
          <t>VÄSTERBOTTENS LÄN</t>
        </is>
      </c>
      <c r="E10571" t="inlineStr">
        <is>
          <t>NORDMALING</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35861-2023</t>
        </is>
      </c>
      <c r="B10572" s="1" t="n">
        <v>45147</v>
      </c>
      <c r="C10572" s="1" t="n">
        <v>45357</v>
      </c>
      <c r="D10572" t="inlineStr">
        <is>
          <t>VÄSTERBOTTENS LÄN</t>
        </is>
      </c>
      <c r="E10572" t="inlineStr">
        <is>
          <t>ÅSELE</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35871-2023</t>
        </is>
      </c>
      <c r="B10573" s="1" t="n">
        <v>45147</v>
      </c>
      <c r="C10573" s="1" t="n">
        <v>45357</v>
      </c>
      <c r="D10573" t="inlineStr">
        <is>
          <t>VÄSTERBOTTENS LÄN</t>
        </is>
      </c>
      <c r="E10573" t="inlineStr">
        <is>
          <t>NORSJÖ</t>
        </is>
      </c>
      <c r="G10573" t="n">
        <v>33.4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35786-2023</t>
        </is>
      </c>
      <c r="B10574" s="1" t="n">
        <v>45147</v>
      </c>
      <c r="C10574" s="1" t="n">
        <v>45357</v>
      </c>
      <c r="D10574" t="inlineStr">
        <is>
          <t>VÄSTERBOTTENS LÄN</t>
        </is>
      </c>
      <c r="E10574" t="inlineStr">
        <is>
          <t>NORDMALING</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35853-2023</t>
        </is>
      </c>
      <c r="B10575" s="1" t="n">
        <v>45147</v>
      </c>
      <c r="C10575" s="1" t="n">
        <v>45357</v>
      </c>
      <c r="D10575" t="inlineStr">
        <is>
          <t>VÄSTERBOTTENS LÄN</t>
        </is>
      </c>
      <c r="E10575" t="inlineStr">
        <is>
          <t>ÅSELE</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37443-2023</t>
        </is>
      </c>
      <c r="B10576" s="1" t="n">
        <v>45147</v>
      </c>
      <c r="C10576" s="1" t="n">
        <v>45357</v>
      </c>
      <c r="D10576" t="inlineStr">
        <is>
          <t>VÄSTERBOTTENS LÄN</t>
        </is>
      </c>
      <c r="E10576" t="inlineStr">
        <is>
          <t>UMEÅ</t>
        </is>
      </c>
      <c r="G10576" t="n">
        <v>7.3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35844-2023</t>
        </is>
      </c>
      <c r="B10577" s="1" t="n">
        <v>45148</v>
      </c>
      <c r="C10577" s="1" t="n">
        <v>45357</v>
      </c>
      <c r="D10577" t="inlineStr">
        <is>
          <t>VÄSTERBOTTENS LÄN</t>
        </is>
      </c>
      <c r="E10577" t="inlineStr">
        <is>
          <t>MALÅ</t>
        </is>
      </c>
      <c r="G10577" t="n">
        <v>26.3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35835-2023</t>
        </is>
      </c>
      <c r="B10578" s="1" t="n">
        <v>45148</v>
      </c>
      <c r="C10578" s="1" t="n">
        <v>45357</v>
      </c>
      <c r="D10578" t="inlineStr">
        <is>
          <t>VÄSTERBOTTENS LÄN</t>
        </is>
      </c>
      <c r="E10578" t="inlineStr">
        <is>
          <t>BJURHOLM</t>
        </is>
      </c>
      <c r="F10578" t="inlineStr">
        <is>
          <t>Holmen skog AB</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35780-2023</t>
        </is>
      </c>
      <c r="B10579" s="1" t="n">
        <v>45148</v>
      </c>
      <c r="C10579" s="1" t="n">
        <v>45357</v>
      </c>
      <c r="D10579" t="inlineStr">
        <is>
          <t>VÄSTERBOTTENS LÄN</t>
        </is>
      </c>
      <c r="E10579" t="inlineStr">
        <is>
          <t>ÅSELE</t>
        </is>
      </c>
      <c r="F10579" t="inlineStr">
        <is>
          <t>Holmen skog AB</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35787-2023</t>
        </is>
      </c>
      <c r="B10580" s="1" t="n">
        <v>45148</v>
      </c>
      <c r="C10580" s="1" t="n">
        <v>45357</v>
      </c>
      <c r="D10580" t="inlineStr">
        <is>
          <t>VÄSTERBOTTENS LÄN</t>
        </is>
      </c>
      <c r="E10580" t="inlineStr">
        <is>
          <t>ROBERTSFORS</t>
        </is>
      </c>
      <c r="F10580" t="inlineStr">
        <is>
          <t>Holmen skog AB</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35925-2023</t>
        </is>
      </c>
      <c r="B10581" s="1" t="n">
        <v>45148</v>
      </c>
      <c r="C10581" s="1" t="n">
        <v>45357</v>
      </c>
      <c r="D10581" t="inlineStr">
        <is>
          <t>VÄSTERBOTTENS LÄN</t>
        </is>
      </c>
      <c r="E10581" t="inlineStr">
        <is>
          <t>VINDELN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35829-2023</t>
        </is>
      </c>
      <c r="B10582" s="1" t="n">
        <v>45148</v>
      </c>
      <c r="C10582" s="1" t="n">
        <v>45357</v>
      </c>
      <c r="D10582" t="inlineStr">
        <is>
          <t>VÄSTERBOTTENS LÄN</t>
        </is>
      </c>
      <c r="E10582" t="inlineStr">
        <is>
          <t>BJURHOLM</t>
        </is>
      </c>
      <c r="F10582" t="inlineStr">
        <is>
          <t>Holmen skog AB</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35909-2023</t>
        </is>
      </c>
      <c r="B10583" s="1" t="n">
        <v>45148</v>
      </c>
      <c r="C10583" s="1" t="n">
        <v>45357</v>
      </c>
      <c r="D10583" t="inlineStr">
        <is>
          <t>VÄSTERBOTTENS LÄN</t>
        </is>
      </c>
      <c r="E10583" t="inlineStr">
        <is>
          <t>VINDELN</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35936-2023</t>
        </is>
      </c>
      <c r="B10584" s="1" t="n">
        <v>45148</v>
      </c>
      <c r="C10584" s="1" t="n">
        <v>45357</v>
      </c>
      <c r="D10584" t="inlineStr">
        <is>
          <t>VÄSTERBOTTENS LÄN</t>
        </is>
      </c>
      <c r="E10584" t="inlineStr">
        <is>
          <t>BJURHOLM</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35952-2023</t>
        </is>
      </c>
      <c r="B10585" s="1" t="n">
        <v>45148</v>
      </c>
      <c r="C10585" s="1" t="n">
        <v>45357</v>
      </c>
      <c r="D10585" t="inlineStr">
        <is>
          <t>VÄSTERBOTTENS LÄN</t>
        </is>
      </c>
      <c r="E10585" t="inlineStr">
        <is>
          <t>SKELLEFTEÅ</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35921-2023</t>
        </is>
      </c>
      <c r="B10586" s="1" t="n">
        <v>45148</v>
      </c>
      <c r="C10586" s="1" t="n">
        <v>45357</v>
      </c>
      <c r="D10586" t="inlineStr">
        <is>
          <t>VÄSTERBOTTENS LÄN</t>
        </is>
      </c>
      <c r="E10586" t="inlineStr">
        <is>
          <t>VINDELN</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35968-2023</t>
        </is>
      </c>
      <c r="B10587" s="1" t="n">
        <v>45149</v>
      </c>
      <c r="C10587" s="1" t="n">
        <v>45357</v>
      </c>
      <c r="D10587" t="inlineStr">
        <is>
          <t>VÄSTERBOTTENS LÄN</t>
        </is>
      </c>
      <c r="E10587" t="inlineStr">
        <is>
          <t>VILHELMINA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35971-2023</t>
        </is>
      </c>
      <c r="B10588" s="1" t="n">
        <v>45148</v>
      </c>
      <c r="C10588" s="1" t="n">
        <v>45357</v>
      </c>
      <c r="D10588" t="inlineStr">
        <is>
          <t>VÄSTERBOTTENS LÄN</t>
        </is>
      </c>
      <c r="E10588" t="inlineStr">
        <is>
          <t>ÅSELE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35984-2023</t>
        </is>
      </c>
      <c r="B10589" s="1" t="n">
        <v>45149</v>
      </c>
      <c r="C10589" s="1" t="n">
        <v>45357</v>
      </c>
      <c r="D10589" t="inlineStr">
        <is>
          <t>VÄSTERBOTTENS LÄN</t>
        </is>
      </c>
      <c r="E10589" t="inlineStr">
        <is>
          <t>VILHELMINA</t>
        </is>
      </c>
      <c r="F10589" t="inlineStr">
        <is>
          <t>SCA</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35989-2023</t>
        </is>
      </c>
      <c r="B10590" s="1" t="n">
        <v>45149</v>
      </c>
      <c r="C10590" s="1" t="n">
        <v>45357</v>
      </c>
      <c r="D10590" t="inlineStr">
        <is>
          <t>VÄSTERBOTTENS LÄN</t>
        </is>
      </c>
      <c r="E10590" t="inlineStr">
        <is>
          <t>DOROTEA</t>
        </is>
      </c>
      <c r="F10590" t="inlineStr">
        <is>
          <t>SCA</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35983-2023</t>
        </is>
      </c>
      <c r="B10591" s="1" t="n">
        <v>45149</v>
      </c>
      <c r="C10591" s="1" t="n">
        <v>45357</v>
      </c>
      <c r="D10591" t="inlineStr">
        <is>
          <t>VÄSTERBOTTENS LÄN</t>
        </is>
      </c>
      <c r="E10591" t="inlineStr">
        <is>
          <t>VILHELMINA</t>
        </is>
      </c>
      <c r="F10591" t="inlineStr">
        <is>
          <t>SCA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36084-2023</t>
        </is>
      </c>
      <c r="B10592" s="1" t="n">
        <v>45148</v>
      </c>
      <c r="C10592" s="1" t="n">
        <v>45357</v>
      </c>
      <c r="D10592" t="inlineStr">
        <is>
          <t>VÄSTERBOTTENS LÄN</t>
        </is>
      </c>
      <c r="E10592" t="inlineStr">
        <is>
          <t>MALÅ</t>
        </is>
      </c>
      <c r="G10592" t="n">
        <v>20.1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36120-2023</t>
        </is>
      </c>
      <c r="B10593" s="1" t="n">
        <v>45148</v>
      </c>
      <c r="C10593" s="1" t="n">
        <v>45357</v>
      </c>
      <c r="D10593" t="inlineStr">
        <is>
          <t>VÄSTERBOTTENS LÄN</t>
        </is>
      </c>
      <c r="E10593" t="inlineStr">
        <is>
          <t>UMEÅ</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35950-2023</t>
        </is>
      </c>
      <c r="B10594" s="1" t="n">
        <v>45148</v>
      </c>
      <c r="C10594" s="1" t="n">
        <v>45357</v>
      </c>
      <c r="D10594" t="inlineStr">
        <is>
          <t>VÄSTERBOTTENS LÄN</t>
        </is>
      </c>
      <c r="E10594" t="inlineStr">
        <is>
          <t>ÅSELE</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35982-2023</t>
        </is>
      </c>
      <c r="B10595" s="1" t="n">
        <v>45149</v>
      </c>
      <c r="C10595" s="1" t="n">
        <v>45357</v>
      </c>
      <c r="D10595" t="inlineStr">
        <is>
          <t>VÄSTERBOTTENS LÄN</t>
        </is>
      </c>
      <c r="E10595" t="inlineStr">
        <is>
          <t>BJURHOLM</t>
        </is>
      </c>
      <c r="F10595" t="inlineStr">
        <is>
          <t>SCA</t>
        </is>
      </c>
      <c r="G10595" t="n">
        <v>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36054-2023</t>
        </is>
      </c>
      <c r="B10596" s="1" t="n">
        <v>45148</v>
      </c>
      <c r="C10596" s="1" t="n">
        <v>45357</v>
      </c>
      <c r="D10596" t="inlineStr">
        <is>
          <t>VÄSTERBOTTENS LÄN</t>
        </is>
      </c>
      <c r="E10596" t="inlineStr">
        <is>
          <t>MALÅ</t>
        </is>
      </c>
      <c r="G10596" t="n">
        <v>16.2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35985-2023</t>
        </is>
      </c>
      <c r="B10597" s="1" t="n">
        <v>45148</v>
      </c>
      <c r="C10597" s="1" t="n">
        <v>45357</v>
      </c>
      <c r="D10597" t="inlineStr">
        <is>
          <t>VÄSTERBOTTENS LÄN</t>
        </is>
      </c>
      <c r="E10597" t="inlineStr">
        <is>
          <t>VILHELMINA</t>
        </is>
      </c>
      <c r="F10597" t="inlineStr">
        <is>
          <t>SCA</t>
        </is>
      </c>
      <c r="G10597" t="n">
        <v>43.8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35990-2023</t>
        </is>
      </c>
      <c r="B10598" s="1" t="n">
        <v>45149</v>
      </c>
      <c r="C10598" s="1" t="n">
        <v>45357</v>
      </c>
      <c r="D10598" t="inlineStr">
        <is>
          <t>VÄSTERBOTTENS LÄN</t>
        </is>
      </c>
      <c r="E10598" t="inlineStr">
        <is>
          <t>DOROTEA</t>
        </is>
      </c>
      <c r="F10598" t="inlineStr">
        <is>
          <t>SCA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36004-2023</t>
        </is>
      </c>
      <c r="B10599" s="1" t="n">
        <v>45149</v>
      </c>
      <c r="C10599" s="1" t="n">
        <v>45357</v>
      </c>
      <c r="D10599" t="inlineStr">
        <is>
          <t>VÄSTERBOTTENS LÄN</t>
        </is>
      </c>
      <c r="E10599" t="inlineStr">
        <is>
          <t>BJURHOLM</t>
        </is>
      </c>
      <c r="F10599" t="inlineStr">
        <is>
          <t>Holmen skog AB</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36104-2023</t>
        </is>
      </c>
      <c r="B10600" s="1" t="n">
        <v>45149</v>
      </c>
      <c r="C10600" s="1" t="n">
        <v>45357</v>
      </c>
      <c r="D10600" t="inlineStr">
        <is>
          <t>VÄSTERBOTTENS LÄN</t>
        </is>
      </c>
      <c r="E10600" t="inlineStr">
        <is>
          <t>BJURHOLM</t>
        </is>
      </c>
      <c r="F10600" t="inlineStr">
        <is>
          <t>Holmen skog AB</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36137-2023</t>
        </is>
      </c>
      <c r="B10601" s="1" t="n">
        <v>45149</v>
      </c>
      <c r="C10601" s="1" t="n">
        <v>45357</v>
      </c>
      <c r="D10601" t="inlineStr">
        <is>
          <t>VÄSTERBOTTENS LÄN</t>
        </is>
      </c>
      <c r="E10601" t="inlineStr">
        <is>
          <t>DOROTEA</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36149-2023</t>
        </is>
      </c>
      <c r="B10602" s="1" t="n">
        <v>45149</v>
      </c>
      <c r="C10602" s="1" t="n">
        <v>45357</v>
      </c>
      <c r="D10602" t="inlineStr">
        <is>
          <t>VÄSTERBOTTENS LÄN</t>
        </is>
      </c>
      <c r="E10602" t="inlineStr">
        <is>
          <t>MALÅ</t>
        </is>
      </c>
      <c r="G10602" t="n">
        <v>9.4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36153-2023</t>
        </is>
      </c>
      <c r="B10603" s="1" t="n">
        <v>45149</v>
      </c>
      <c r="C10603" s="1" t="n">
        <v>45357</v>
      </c>
      <c r="D10603" t="inlineStr">
        <is>
          <t>VÄSTERBOTTENS LÄN</t>
        </is>
      </c>
      <c r="E10603" t="inlineStr">
        <is>
          <t>MALÅ</t>
        </is>
      </c>
      <c r="G10603" t="n">
        <v>6.6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35999-2023</t>
        </is>
      </c>
      <c r="B10604" s="1" t="n">
        <v>45149</v>
      </c>
      <c r="C10604" s="1" t="n">
        <v>45357</v>
      </c>
      <c r="D10604" t="inlineStr">
        <is>
          <t>VÄSTERBOTTENS LÄN</t>
        </is>
      </c>
      <c r="E10604" t="inlineStr">
        <is>
          <t>NORSJÖ</t>
        </is>
      </c>
      <c r="G10604" t="n">
        <v>19.8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36047-2023</t>
        </is>
      </c>
      <c r="B10605" s="1" t="n">
        <v>45149</v>
      </c>
      <c r="C10605" s="1" t="n">
        <v>45357</v>
      </c>
      <c r="D10605" t="inlineStr">
        <is>
          <t>VÄSTERBOTTENS LÄN</t>
        </is>
      </c>
      <c r="E10605" t="inlineStr">
        <is>
          <t>VINDELN</t>
        </is>
      </c>
      <c r="F10605" t="inlineStr">
        <is>
          <t>Holmen skog AB</t>
        </is>
      </c>
      <c r="G10605" t="n">
        <v>24.7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36002-2023</t>
        </is>
      </c>
      <c r="B10606" s="1" t="n">
        <v>45149</v>
      </c>
      <c r="C10606" s="1" t="n">
        <v>45357</v>
      </c>
      <c r="D10606" t="inlineStr">
        <is>
          <t>VÄSTERBOTTENS LÄN</t>
        </is>
      </c>
      <c r="E10606" t="inlineStr">
        <is>
          <t>NORSJÖ</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36019-2023</t>
        </is>
      </c>
      <c r="B10607" s="1" t="n">
        <v>45149</v>
      </c>
      <c r="C10607" s="1" t="n">
        <v>45357</v>
      </c>
      <c r="D10607" t="inlineStr">
        <is>
          <t>VÄSTERBOTTENS LÄN</t>
        </is>
      </c>
      <c r="E10607" t="inlineStr">
        <is>
          <t>ÅSELE</t>
        </is>
      </c>
      <c r="F10607" t="inlineStr">
        <is>
          <t>Holmen skog AB</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36070-2023</t>
        </is>
      </c>
      <c r="B10608" s="1" t="n">
        <v>45149</v>
      </c>
      <c r="C10608" s="1" t="n">
        <v>45357</v>
      </c>
      <c r="D10608" t="inlineStr">
        <is>
          <t>VÄSTERBOTTENS LÄN</t>
        </is>
      </c>
      <c r="E10608" t="inlineStr">
        <is>
          <t>ÅSELE</t>
        </is>
      </c>
      <c r="F10608" t="inlineStr">
        <is>
          <t>Holmen skog AB</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36078-2023</t>
        </is>
      </c>
      <c r="B10609" s="1" t="n">
        <v>45149</v>
      </c>
      <c r="C10609" s="1" t="n">
        <v>45357</v>
      </c>
      <c r="D10609" t="inlineStr">
        <is>
          <t>VÄSTERBOTTENS LÄN</t>
        </is>
      </c>
      <c r="E10609" t="inlineStr">
        <is>
          <t>SKELLEFTEÅ</t>
        </is>
      </c>
      <c r="F10609" t="inlineStr">
        <is>
          <t>Holmen skog AB</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36113-2023</t>
        </is>
      </c>
      <c r="B10610" s="1" t="n">
        <v>45149</v>
      </c>
      <c r="C10610" s="1" t="n">
        <v>45357</v>
      </c>
      <c r="D10610" t="inlineStr">
        <is>
          <t>VÄSTERBOTTENS LÄN</t>
        </is>
      </c>
      <c r="E10610" t="inlineStr">
        <is>
          <t>SKELLEFTEÅ</t>
        </is>
      </c>
      <c r="F10610" t="inlineStr">
        <is>
          <t>Holmen skog AB</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36091-2023</t>
        </is>
      </c>
      <c r="B10611" s="1" t="n">
        <v>45149</v>
      </c>
      <c r="C10611" s="1" t="n">
        <v>45357</v>
      </c>
      <c r="D10611" t="inlineStr">
        <is>
          <t>VÄSTERBOTTENS LÄN</t>
        </is>
      </c>
      <c r="E10611" t="inlineStr">
        <is>
          <t>SKELLEFTEÅ</t>
        </is>
      </c>
      <c r="F10611" t="inlineStr">
        <is>
          <t>Holmen skog AB</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36099-2023</t>
        </is>
      </c>
      <c r="B10612" s="1" t="n">
        <v>45149</v>
      </c>
      <c r="C10612" s="1" t="n">
        <v>45357</v>
      </c>
      <c r="D10612" t="inlineStr">
        <is>
          <t>VÄSTERBOTTENS LÄN</t>
        </is>
      </c>
      <c r="E10612" t="inlineStr">
        <is>
          <t>SKELLEFTEÅ</t>
        </is>
      </c>
      <c r="F10612" t="inlineStr">
        <is>
          <t>Holmen skog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36124-2023</t>
        </is>
      </c>
      <c r="B10613" s="1" t="n">
        <v>45149</v>
      </c>
      <c r="C10613" s="1" t="n">
        <v>45357</v>
      </c>
      <c r="D10613" t="inlineStr">
        <is>
          <t>VÄSTERBOTTENS LÄN</t>
        </is>
      </c>
      <c r="E10613" t="inlineStr">
        <is>
          <t>MALÅ</t>
        </is>
      </c>
      <c r="G10613" t="n">
        <v>26.9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36132-2023</t>
        </is>
      </c>
      <c r="B10614" s="1" t="n">
        <v>45149</v>
      </c>
      <c r="C10614" s="1" t="n">
        <v>45357</v>
      </c>
      <c r="D10614" t="inlineStr">
        <is>
          <t>VÄSTERBOTTENS LÄN</t>
        </is>
      </c>
      <c r="E10614" t="inlineStr">
        <is>
          <t>LYCKSELE</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36144-2023</t>
        </is>
      </c>
      <c r="B10615" s="1" t="n">
        <v>45149</v>
      </c>
      <c r="C10615" s="1" t="n">
        <v>45357</v>
      </c>
      <c r="D10615" t="inlineStr">
        <is>
          <t>VÄSTERBOTTENS LÄN</t>
        </is>
      </c>
      <c r="E10615" t="inlineStr">
        <is>
          <t>MALÅ</t>
        </is>
      </c>
      <c r="G10615" t="n">
        <v>147.1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36142-2023</t>
        </is>
      </c>
      <c r="B10616" s="1" t="n">
        <v>45149</v>
      </c>
      <c r="C10616" s="1" t="n">
        <v>45357</v>
      </c>
      <c r="D10616" t="inlineStr">
        <is>
          <t>VÄSTERBOTTENS LÄN</t>
        </is>
      </c>
      <c r="E10616" t="inlineStr">
        <is>
          <t>DOROTEA</t>
        </is>
      </c>
      <c r="G10616" t="n">
        <v>17.9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36146-2023</t>
        </is>
      </c>
      <c r="B10617" s="1" t="n">
        <v>45149</v>
      </c>
      <c r="C10617" s="1" t="n">
        <v>45357</v>
      </c>
      <c r="D10617" t="inlineStr">
        <is>
          <t>VÄSTERBOTTENS LÄN</t>
        </is>
      </c>
      <c r="E10617" t="inlineStr">
        <is>
          <t>LYCKSELE</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36214-2023</t>
        </is>
      </c>
      <c r="B10618" s="1" t="n">
        <v>45150</v>
      </c>
      <c r="C10618" s="1" t="n">
        <v>45357</v>
      </c>
      <c r="D10618" t="inlineStr">
        <is>
          <t>VÄSTERBOTTENS LÄN</t>
        </is>
      </c>
      <c r="E10618" t="inlineStr">
        <is>
          <t>VILHELMINA</t>
        </is>
      </c>
      <c r="F10618" t="inlineStr">
        <is>
          <t>SCA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36219-2023</t>
        </is>
      </c>
      <c r="B10619" s="1" t="n">
        <v>45150</v>
      </c>
      <c r="C10619" s="1" t="n">
        <v>45357</v>
      </c>
      <c r="D10619" t="inlineStr">
        <is>
          <t>VÄSTERBOTTENS LÄN</t>
        </is>
      </c>
      <c r="E10619" t="inlineStr">
        <is>
          <t>VILHELMINA</t>
        </is>
      </c>
      <c r="F10619" t="inlineStr">
        <is>
          <t>SCA</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36215-2023</t>
        </is>
      </c>
      <c r="B10620" s="1" t="n">
        <v>45150</v>
      </c>
      <c r="C10620" s="1" t="n">
        <v>45357</v>
      </c>
      <c r="D10620" t="inlineStr">
        <is>
          <t>VÄSTERBOTTENS LÄN</t>
        </is>
      </c>
      <c r="E10620" t="inlineStr">
        <is>
          <t>VILHELMINA</t>
        </is>
      </c>
      <c r="F10620" t="inlineStr">
        <is>
          <t>SCA</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36216-2023</t>
        </is>
      </c>
      <c r="B10621" s="1" t="n">
        <v>45150</v>
      </c>
      <c r="C10621" s="1" t="n">
        <v>45357</v>
      </c>
      <c r="D10621" t="inlineStr">
        <is>
          <t>VÄSTERBOTTENS LÄN</t>
        </is>
      </c>
      <c r="E10621" t="inlineStr">
        <is>
          <t>VILHELMINA</t>
        </is>
      </c>
      <c r="F10621" t="inlineStr">
        <is>
          <t>SCA</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36221-2023</t>
        </is>
      </c>
      <c r="B10622" s="1" t="n">
        <v>45150</v>
      </c>
      <c r="C10622" s="1" t="n">
        <v>45357</v>
      </c>
      <c r="D10622" t="inlineStr">
        <is>
          <t>VÄSTERBOTTENS LÄN</t>
        </is>
      </c>
      <c r="E10622" t="inlineStr">
        <is>
          <t>VILHELMINA</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36352-2023</t>
        </is>
      </c>
      <c r="B10623" s="1" t="n">
        <v>45149</v>
      </c>
      <c r="C10623" s="1" t="n">
        <v>45357</v>
      </c>
      <c r="D10623" t="inlineStr">
        <is>
          <t>VÄSTERBOTTENS LÄN</t>
        </is>
      </c>
      <c r="E10623" t="inlineStr">
        <is>
          <t>DOROTEA</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36042-2023</t>
        </is>
      </c>
      <c r="B10624" s="1" t="n">
        <v>45149</v>
      </c>
      <c r="C10624" s="1" t="n">
        <v>45357</v>
      </c>
      <c r="D10624" t="inlineStr">
        <is>
          <t>VÄSTERBOTTENS LÄN</t>
        </is>
      </c>
      <c r="E10624" t="inlineStr">
        <is>
          <t>ÅSELE</t>
        </is>
      </c>
      <c r="F10624" t="inlineStr">
        <is>
          <t>Holmen skog AB</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36102-2023</t>
        </is>
      </c>
      <c r="B10625" s="1" t="n">
        <v>45149</v>
      </c>
      <c r="C10625" s="1" t="n">
        <v>45357</v>
      </c>
      <c r="D10625" t="inlineStr">
        <is>
          <t>VÄSTERBOTTENS LÄN</t>
        </is>
      </c>
      <c r="E10625" t="inlineStr">
        <is>
          <t>ÅSELE</t>
        </is>
      </c>
      <c r="F10625" t="inlineStr">
        <is>
          <t>Holmen skog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36139-2023</t>
        </is>
      </c>
      <c r="B10626" s="1" t="n">
        <v>45149</v>
      </c>
      <c r="C10626" s="1" t="n">
        <v>45357</v>
      </c>
      <c r="D10626" t="inlineStr">
        <is>
          <t>VÄSTERBOTTENS LÄN</t>
        </is>
      </c>
      <c r="E10626" t="inlineStr">
        <is>
          <t>ROBERTSFORS</t>
        </is>
      </c>
      <c r="F10626" t="inlineStr">
        <is>
          <t>Holmen skog AB</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36151-2023</t>
        </is>
      </c>
      <c r="B10627" s="1" t="n">
        <v>45149</v>
      </c>
      <c r="C10627" s="1" t="n">
        <v>45357</v>
      </c>
      <c r="D10627" t="inlineStr">
        <is>
          <t>VÄSTERBOTTENS LÄN</t>
        </is>
      </c>
      <c r="E10627" t="inlineStr">
        <is>
          <t>MALÅ</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36201-2023</t>
        </is>
      </c>
      <c r="B10628" s="1" t="n">
        <v>45149</v>
      </c>
      <c r="C10628" s="1" t="n">
        <v>45357</v>
      </c>
      <c r="D10628" t="inlineStr">
        <is>
          <t>VÄSTERBOTTENS LÄN</t>
        </is>
      </c>
      <c r="E10628" t="inlineStr">
        <is>
          <t>UMEÅ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36217-2023</t>
        </is>
      </c>
      <c r="B10629" s="1" t="n">
        <v>45150</v>
      </c>
      <c r="C10629" s="1" t="n">
        <v>45357</v>
      </c>
      <c r="D10629" t="inlineStr">
        <is>
          <t>VÄSTERBOTTENS LÄN</t>
        </is>
      </c>
      <c r="E10629" t="inlineStr">
        <is>
          <t>VILHELMINA</t>
        </is>
      </c>
      <c r="F10629" t="inlineStr">
        <is>
          <t>SCA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36265-2023</t>
        </is>
      </c>
      <c r="B10630" s="1" t="n">
        <v>45152</v>
      </c>
      <c r="C10630" s="1" t="n">
        <v>45357</v>
      </c>
      <c r="D10630" t="inlineStr">
        <is>
          <t>VÄSTERBOTTENS LÄN</t>
        </is>
      </c>
      <c r="E10630" t="inlineStr">
        <is>
          <t>VINDELN</t>
        </is>
      </c>
      <c r="F10630" t="inlineStr">
        <is>
          <t>SCA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36268-2023</t>
        </is>
      </c>
      <c r="B10631" s="1" t="n">
        <v>45152</v>
      </c>
      <c r="C10631" s="1" t="n">
        <v>45357</v>
      </c>
      <c r="D10631" t="inlineStr">
        <is>
          <t>VÄSTERBOTTENS LÄN</t>
        </is>
      </c>
      <c r="E10631" t="inlineStr">
        <is>
          <t>VINDELN</t>
        </is>
      </c>
      <c r="F10631" t="inlineStr">
        <is>
          <t>SCA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36267-2023</t>
        </is>
      </c>
      <c r="B10632" s="1" t="n">
        <v>45152</v>
      </c>
      <c r="C10632" s="1" t="n">
        <v>45357</v>
      </c>
      <c r="D10632" t="inlineStr">
        <is>
          <t>VÄSTERBOTTENS LÄN</t>
        </is>
      </c>
      <c r="E10632" t="inlineStr">
        <is>
          <t>LYCKSELE</t>
        </is>
      </c>
      <c r="F10632" t="inlineStr">
        <is>
          <t>SCA</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36266-2023</t>
        </is>
      </c>
      <c r="B10633" s="1" t="n">
        <v>45151</v>
      </c>
      <c r="C10633" s="1" t="n">
        <v>45357</v>
      </c>
      <c r="D10633" t="inlineStr">
        <is>
          <t>VÄSTERBOTTENS LÄN</t>
        </is>
      </c>
      <c r="E10633" t="inlineStr">
        <is>
          <t>VINDELN</t>
        </is>
      </c>
      <c r="F10633" t="inlineStr">
        <is>
          <t>SCA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36334-2023</t>
        </is>
      </c>
      <c r="B10634" s="1" t="n">
        <v>45152</v>
      </c>
      <c r="C10634" s="1" t="n">
        <v>45357</v>
      </c>
      <c r="D10634" t="inlineStr">
        <is>
          <t>VÄSTERBOTTENS LÄN</t>
        </is>
      </c>
      <c r="E10634" t="inlineStr">
        <is>
          <t>VINDELN</t>
        </is>
      </c>
      <c r="F10634" t="inlineStr">
        <is>
          <t>Holmen skog AB</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36408-2023</t>
        </is>
      </c>
      <c r="B10635" s="1" t="n">
        <v>45152</v>
      </c>
      <c r="C10635" s="1" t="n">
        <v>45357</v>
      </c>
      <c r="D10635" t="inlineStr">
        <is>
          <t>VÄSTERBOTTENS LÄN</t>
        </is>
      </c>
      <c r="E10635" t="inlineStr">
        <is>
          <t>VILHELMINA</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36286-2023</t>
        </is>
      </c>
      <c r="B10636" s="1" t="n">
        <v>45152</v>
      </c>
      <c r="C10636" s="1" t="n">
        <v>45357</v>
      </c>
      <c r="D10636" t="inlineStr">
        <is>
          <t>VÄSTERBOTTENS LÄN</t>
        </is>
      </c>
      <c r="E10636" t="inlineStr">
        <is>
          <t>SKELLEFTEÅ</t>
        </is>
      </c>
      <c r="G10636" t="n">
        <v>5.8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36327-2023</t>
        </is>
      </c>
      <c r="B10637" s="1" t="n">
        <v>45152</v>
      </c>
      <c r="C10637" s="1" t="n">
        <v>45357</v>
      </c>
      <c r="D10637" t="inlineStr">
        <is>
          <t>VÄSTERBOTTENS LÄN</t>
        </is>
      </c>
      <c r="E10637" t="inlineStr">
        <is>
          <t>SKELLEFTEÅ</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36275-2023</t>
        </is>
      </c>
      <c r="B10638" s="1" t="n">
        <v>45152</v>
      </c>
      <c r="C10638" s="1" t="n">
        <v>45357</v>
      </c>
      <c r="D10638" t="inlineStr">
        <is>
          <t>VÄSTERBOTTENS LÄN</t>
        </is>
      </c>
      <c r="E10638" t="inlineStr">
        <is>
          <t>SKELLEFTEÅ</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36376-2023</t>
        </is>
      </c>
      <c r="B10639" s="1" t="n">
        <v>45152</v>
      </c>
      <c r="C10639" s="1" t="n">
        <v>45357</v>
      </c>
      <c r="D10639" t="inlineStr">
        <is>
          <t>VÄSTERBOTTENS LÄN</t>
        </is>
      </c>
      <c r="E10639" t="inlineStr">
        <is>
          <t>VILHELMINA</t>
        </is>
      </c>
      <c r="G10639" t="n">
        <v>12.7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36380-2023</t>
        </is>
      </c>
      <c r="B10640" s="1" t="n">
        <v>45152</v>
      </c>
      <c r="C10640" s="1" t="n">
        <v>45357</v>
      </c>
      <c r="D10640" t="inlineStr">
        <is>
          <t>VÄSTERBOTTENS LÄN</t>
        </is>
      </c>
      <c r="E10640" t="inlineStr">
        <is>
          <t>MALÅ</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36375-2023</t>
        </is>
      </c>
      <c r="B10641" s="1" t="n">
        <v>45152</v>
      </c>
      <c r="C10641" s="1" t="n">
        <v>45357</v>
      </c>
      <c r="D10641" t="inlineStr">
        <is>
          <t>VÄSTERBOTTENS LÄN</t>
        </is>
      </c>
      <c r="E10641" t="inlineStr">
        <is>
          <t>LYCKSELE</t>
        </is>
      </c>
      <c r="F10641" t="inlineStr">
        <is>
          <t>Holmen skog AB</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36383-2023</t>
        </is>
      </c>
      <c r="B10642" s="1" t="n">
        <v>45152</v>
      </c>
      <c r="C10642" s="1" t="n">
        <v>45357</v>
      </c>
      <c r="D10642" t="inlineStr">
        <is>
          <t>VÄSTERBOTTENS LÄN</t>
        </is>
      </c>
      <c r="E10642" t="inlineStr">
        <is>
          <t>VINDELN</t>
        </is>
      </c>
      <c r="F10642" t="inlineStr">
        <is>
          <t>Holmen skog AB</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36425-2023</t>
        </is>
      </c>
      <c r="B10643" s="1" t="n">
        <v>45152</v>
      </c>
      <c r="C10643" s="1" t="n">
        <v>45357</v>
      </c>
      <c r="D10643" t="inlineStr">
        <is>
          <t>VÄSTERBOTTENS LÄN</t>
        </is>
      </c>
      <c r="E10643" t="inlineStr">
        <is>
          <t>MALÅ</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36437-2023</t>
        </is>
      </c>
      <c r="B10644" s="1" t="n">
        <v>45152</v>
      </c>
      <c r="C10644" s="1" t="n">
        <v>45357</v>
      </c>
      <c r="D10644" t="inlineStr">
        <is>
          <t>VÄSTERBOTTENS LÄN</t>
        </is>
      </c>
      <c r="E10644" t="inlineStr">
        <is>
          <t>MALÅ</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36335-2023</t>
        </is>
      </c>
      <c r="B10645" s="1" t="n">
        <v>45152</v>
      </c>
      <c r="C10645" s="1" t="n">
        <v>45357</v>
      </c>
      <c r="D10645" t="inlineStr">
        <is>
          <t>VÄSTERBOTTENS LÄN</t>
        </is>
      </c>
      <c r="E10645" t="inlineStr">
        <is>
          <t>LYCKSELE</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36495-2023</t>
        </is>
      </c>
      <c r="B10646" s="1" t="n">
        <v>45153</v>
      </c>
      <c r="C10646" s="1" t="n">
        <v>45357</v>
      </c>
      <c r="D10646" t="inlineStr">
        <is>
          <t>VÄSTERBOTTENS LÄN</t>
        </is>
      </c>
      <c r="E10646" t="inlineStr">
        <is>
          <t>SKELLEFTEÅ</t>
        </is>
      </c>
      <c r="G10646" t="n">
        <v>11.6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36386-2023</t>
        </is>
      </c>
      <c r="B10647" s="1" t="n">
        <v>45152</v>
      </c>
      <c r="C10647" s="1" t="n">
        <v>45357</v>
      </c>
      <c r="D10647" t="inlineStr">
        <is>
          <t>VÄSTERBOTTENS LÄN</t>
        </is>
      </c>
      <c r="E10647" t="inlineStr">
        <is>
          <t>MALÅ</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36404-2023</t>
        </is>
      </c>
      <c r="B10648" s="1" t="n">
        <v>45152</v>
      </c>
      <c r="C10648" s="1" t="n">
        <v>45357</v>
      </c>
      <c r="D10648" t="inlineStr">
        <is>
          <t>VÄSTERBOTTENS LÄN</t>
        </is>
      </c>
      <c r="E10648" t="inlineStr">
        <is>
          <t>SKELLEFTEÅ</t>
        </is>
      </c>
      <c r="F10648" t="inlineStr">
        <is>
          <t>Holmen skog AB</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36419-2023</t>
        </is>
      </c>
      <c r="B10649" s="1" t="n">
        <v>45152</v>
      </c>
      <c r="C10649" s="1" t="n">
        <v>45357</v>
      </c>
      <c r="D10649" t="inlineStr">
        <is>
          <t>VÄSTERBOTTENS LÄN</t>
        </is>
      </c>
      <c r="E10649" t="inlineStr">
        <is>
          <t>MALÅ</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36474-2023</t>
        </is>
      </c>
      <c r="B10650" s="1" t="n">
        <v>45152</v>
      </c>
      <c r="C10650" s="1" t="n">
        <v>45357</v>
      </c>
      <c r="D10650" t="inlineStr">
        <is>
          <t>VÄSTERBOTTENS LÄN</t>
        </is>
      </c>
      <c r="E10650" t="inlineStr">
        <is>
          <t>NORSJÖ</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36486-2023</t>
        </is>
      </c>
      <c r="B10651" s="1" t="n">
        <v>45152</v>
      </c>
      <c r="C10651" s="1" t="n">
        <v>45357</v>
      </c>
      <c r="D10651" t="inlineStr">
        <is>
          <t>VÄSTERBOTTENS LÄN</t>
        </is>
      </c>
      <c r="E10651" t="inlineStr">
        <is>
          <t>BJURHOLM</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36412-2023</t>
        </is>
      </c>
      <c r="B10652" s="1" t="n">
        <v>45152</v>
      </c>
      <c r="C10652" s="1" t="n">
        <v>45357</v>
      </c>
      <c r="D10652" t="inlineStr">
        <is>
          <t>VÄSTERBOTTENS LÄN</t>
        </is>
      </c>
      <c r="E10652" t="inlineStr">
        <is>
          <t>MALÅ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36624-2023</t>
        </is>
      </c>
      <c r="B10653" s="1" t="n">
        <v>45152</v>
      </c>
      <c r="C10653" s="1" t="n">
        <v>45357</v>
      </c>
      <c r="D10653" t="inlineStr">
        <is>
          <t>VÄSTERBOTTENS LÄN</t>
        </is>
      </c>
      <c r="E10653" t="inlineStr">
        <is>
          <t>ÅSELE</t>
        </is>
      </c>
      <c r="G10653" t="n">
        <v>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36493-2023</t>
        </is>
      </c>
      <c r="B10654" s="1" t="n">
        <v>45153</v>
      </c>
      <c r="C10654" s="1" t="n">
        <v>45357</v>
      </c>
      <c r="D10654" t="inlineStr">
        <is>
          <t>VÄSTERBOTTENS LÄN</t>
        </is>
      </c>
      <c r="E10654" t="inlineStr">
        <is>
          <t>SKELLEFTEÅ</t>
        </is>
      </c>
      <c r="G10654" t="n">
        <v>11.1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36611-2023</t>
        </is>
      </c>
      <c r="B10655" s="1" t="n">
        <v>45152</v>
      </c>
      <c r="C10655" s="1" t="n">
        <v>45357</v>
      </c>
      <c r="D10655" t="inlineStr">
        <is>
          <t>VÄSTERBOTTENS LÄN</t>
        </is>
      </c>
      <c r="E10655" t="inlineStr">
        <is>
          <t>LYCKSELE</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36636-2023</t>
        </is>
      </c>
      <c r="B10656" s="1" t="n">
        <v>45152</v>
      </c>
      <c r="C10656" s="1" t="n">
        <v>45357</v>
      </c>
      <c r="D10656" t="inlineStr">
        <is>
          <t>VÄSTERBOTTENS LÄN</t>
        </is>
      </c>
      <c r="E10656" t="inlineStr">
        <is>
          <t>LYCKSELE</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36691-2023</t>
        </is>
      </c>
      <c r="B10657" s="1" t="n">
        <v>45152</v>
      </c>
      <c r="C10657" s="1" t="n">
        <v>45357</v>
      </c>
      <c r="D10657" t="inlineStr">
        <is>
          <t>VÄSTERBOTTENS LÄN</t>
        </is>
      </c>
      <c r="E10657" t="inlineStr">
        <is>
          <t>MALÅ</t>
        </is>
      </c>
      <c r="G10657" t="n">
        <v>9.800000000000001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36650-2023</t>
        </is>
      </c>
      <c r="B10658" s="1" t="n">
        <v>45152</v>
      </c>
      <c r="C10658" s="1" t="n">
        <v>45357</v>
      </c>
      <c r="D10658" t="inlineStr">
        <is>
          <t>VÄSTERBOTTENS LÄN</t>
        </is>
      </c>
      <c r="E10658" t="inlineStr">
        <is>
          <t>LYCKSELE</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36695-2023</t>
        </is>
      </c>
      <c r="B10659" s="1" t="n">
        <v>45152</v>
      </c>
      <c r="C10659" s="1" t="n">
        <v>45357</v>
      </c>
      <c r="D10659" t="inlineStr">
        <is>
          <t>VÄSTERBOTTENS LÄN</t>
        </is>
      </c>
      <c r="E10659" t="inlineStr">
        <is>
          <t>MALÅ</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36604-2023</t>
        </is>
      </c>
      <c r="B10660" s="1" t="n">
        <v>45152</v>
      </c>
      <c r="C10660" s="1" t="n">
        <v>45357</v>
      </c>
      <c r="D10660" t="inlineStr">
        <is>
          <t>VÄSTERBOTTENS LÄN</t>
        </is>
      </c>
      <c r="E10660" t="inlineStr">
        <is>
          <t>LYCKSELE</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36619-2023</t>
        </is>
      </c>
      <c r="B10661" s="1" t="n">
        <v>45152</v>
      </c>
      <c r="C10661" s="1" t="n">
        <v>45357</v>
      </c>
      <c r="D10661" t="inlineStr">
        <is>
          <t>VÄSTERBOTTENS LÄN</t>
        </is>
      </c>
      <c r="E10661" t="inlineStr">
        <is>
          <t>LYCKSELE</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36676-2023</t>
        </is>
      </c>
      <c r="B10662" s="1" t="n">
        <v>45152</v>
      </c>
      <c r="C10662" s="1" t="n">
        <v>45357</v>
      </c>
      <c r="D10662" t="inlineStr">
        <is>
          <t>VÄSTERBOTTENS LÄN</t>
        </is>
      </c>
      <c r="E10662" t="inlineStr">
        <is>
          <t>MALÅ</t>
        </is>
      </c>
      <c r="G10662" t="n">
        <v>16.6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36687-2023</t>
        </is>
      </c>
      <c r="B10663" s="1" t="n">
        <v>45152</v>
      </c>
      <c r="C10663" s="1" t="n">
        <v>45357</v>
      </c>
      <c r="D10663" t="inlineStr">
        <is>
          <t>VÄSTERBOTTENS LÄN</t>
        </is>
      </c>
      <c r="E10663" t="inlineStr">
        <is>
          <t>MALÅ</t>
        </is>
      </c>
      <c r="G10663" t="n">
        <v>13.3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36706-2023</t>
        </is>
      </c>
      <c r="B10664" s="1" t="n">
        <v>45152</v>
      </c>
      <c r="C10664" s="1" t="n">
        <v>45357</v>
      </c>
      <c r="D10664" t="inlineStr">
        <is>
          <t>VÄSTERBOTTENS LÄN</t>
        </is>
      </c>
      <c r="E10664" t="inlineStr">
        <is>
          <t>MALÅ</t>
        </is>
      </c>
      <c r="G10664" t="n">
        <v>41.7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36540-2023</t>
        </is>
      </c>
      <c r="B10665" s="1" t="n">
        <v>45153</v>
      </c>
      <c r="C10665" s="1" t="n">
        <v>45357</v>
      </c>
      <c r="D10665" t="inlineStr">
        <is>
          <t>VÄSTERBOTTENS LÄN</t>
        </is>
      </c>
      <c r="E10665" t="inlineStr">
        <is>
          <t>ROBERTSFORS</t>
        </is>
      </c>
      <c r="F10665" t="inlineStr">
        <is>
          <t>Holmen skog AB</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36549-2023</t>
        </is>
      </c>
      <c r="B10666" s="1" t="n">
        <v>45153</v>
      </c>
      <c r="C10666" s="1" t="n">
        <v>45357</v>
      </c>
      <c r="D10666" t="inlineStr">
        <is>
          <t>VÄSTERBOTTENS LÄN</t>
        </is>
      </c>
      <c r="E10666" t="inlineStr">
        <is>
          <t>ROBERTSFORS</t>
        </is>
      </c>
      <c r="F10666" t="inlineStr">
        <is>
          <t>Holmen skog AB</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36556-2023</t>
        </is>
      </c>
      <c r="B10667" s="1" t="n">
        <v>45153</v>
      </c>
      <c r="C10667" s="1" t="n">
        <v>45357</v>
      </c>
      <c r="D10667" t="inlineStr">
        <is>
          <t>VÄSTERBOTTENS LÄN</t>
        </is>
      </c>
      <c r="E10667" t="inlineStr">
        <is>
          <t>SKELLEFTEÅ</t>
        </is>
      </c>
      <c r="G10667" t="n">
        <v>10</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36538-2023</t>
        </is>
      </c>
      <c r="B10668" s="1" t="n">
        <v>45153</v>
      </c>
      <c r="C10668" s="1" t="n">
        <v>45357</v>
      </c>
      <c r="D10668" t="inlineStr">
        <is>
          <t>VÄSTERBOTTENS LÄN</t>
        </is>
      </c>
      <c r="E10668" t="inlineStr">
        <is>
          <t>MALÅ</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36551-2023</t>
        </is>
      </c>
      <c r="B10669" s="1" t="n">
        <v>45153</v>
      </c>
      <c r="C10669" s="1" t="n">
        <v>45357</v>
      </c>
      <c r="D10669" t="inlineStr">
        <is>
          <t>VÄSTERBOTTENS LÄN</t>
        </is>
      </c>
      <c r="E10669" t="inlineStr">
        <is>
          <t>ROBERTSFORS</t>
        </is>
      </c>
      <c r="F10669" t="inlineStr">
        <is>
          <t>Holmen skog AB</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36585-2023</t>
        </is>
      </c>
      <c r="B10670" s="1" t="n">
        <v>45153</v>
      </c>
      <c r="C10670" s="1" t="n">
        <v>45357</v>
      </c>
      <c r="D10670" t="inlineStr">
        <is>
          <t>VÄSTERBOTTENS LÄN</t>
        </is>
      </c>
      <c r="E10670" t="inlineStr">
        <is>
          <t>ROBERTSFORS</t>
        </is>
      </c>
      <c r="F10670" t="inlineStr">
        <is>
          <t>Holmen skog AB</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36742-2023</t>
        </is>
      </c>
      <c r="B10671" s="1" t="n">
        <v>45153</v>
      </c>
      <c r="C10671" s="1" t="n">
        <v>45357</v>
      </c>
      <c r="D10671" t="inlineStr">
        <is>
          <t>VÄSTERBOTTENS LÄN</t>
        </is>
      </c>
      <c r="E10671" t="inlineStr">
        <is>
          <t>MALÅ</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36534-2023</t>
        </is>
      </c>
      <c r="B10672" s="1" t="n">
        <v>45153</v>
      </c>
      <c r="C10672" s="1" t="n">
        <v>45357</v>
      </c>
      <c r="D10672" t="inlineStr">
        <is>
          <t>VÄSTERBOTTENS LÄN</t>
        </is>
      </c>
      <c r="E10672" t="inlineStr">
        <is>
          <t>MALÅ</t>
        </is>
      </c>
      <c r="G10672" t="n">
        <v>19.8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36763-2023</t>
        </is>
      </c>
      <c r="B10673" s="1" t="n">
        <v>45153</v>
      </c>
      <c r="C10673" s="1" t="n">
        <v>45357</v>
      </c>
      <c r="D10673" t="inlineStr">
        <is>
          <t>VÄSTERBOTTENS LÄN</t>
        </is>
      </c>
      <c r="E10673" t="inlineStr">
        <is>
          <t>DOROTEA</t>
        </is>
      </c>
      <c r="F10673" t="inlineStr">
        <is>
          <t>SCA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36527-2023</t>
        </is>
      </c>
      <c r="B10674" s="1" t="n">
        <v>45153</v>
      </c>
      <c r="C10674" s="1" t="n">
        <v>45357</v>
      </c>
      <c r="D10674" t="inlineStr">
        <is>
          <t>VÄSTERBOTTENS LÄN</t>
        </is>
      </c>
      <c r="E10674" t="inlineStr">
        <is>
          <t>MALÅ</t>
        </is>
      </c>
      <c r="G10674" t="n">
        <v>16.2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36537-2023</t>
        </is>
      </c>
      <c r="B10675" s="1" t="n">
        <v>45153</v>
      </c>
      <c r="C10675" s="1" t="n">
        <v>45357</v>
      </c>
      <c r="D10675" t="inlineStr">
        <is>
          <t>VÄSTERBOTTENS LÄN</t>
        </is>
      </c>
      <c r="E10675" t="inlineStr">
        <is>
          <t>MALÅ</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36541-2023</t>
        </is>
      </c>
      <c r="B10676" s="1" t="n">
        <v>45153</v>
      </c>
      <c r="C10676" s="1" t="n">
        <v>45357</v>
      </c>
      <c r="D10676" t="inlineStr">
        <is>
          <t>VÄSTERBOTTENS LÄN</t>
        </is>
      </c>
      <c r="E10676" t="inlineStr">
        <is>
          <t>MALÅ</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36579-2023</t>
        </is>
      </c>
      <c r="B10677" s="1" t="n">
        <v>45153</v>
      </c>
      <c r="C10677" s="1" t="n">
        <v>45357</v>
      </c>
      <c r="D10677" t="inlineStr">
        <is>
          <t>VÄSTERBOTTENS LÄN</t>
        </is>
      </c>
      <c r="E10677" t="inlineStr">
        <is>
          <t>MALÅ</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36703-2023</t>
        </is>
      </c>
      <c r="B10678" s="1" t="n">
        <v>45153</v>
      </c>
      <c r="C10678" s="1" t="n">
        <v>45357</v>
      </c>
      <c r="D10678" t="inlineStr">
        <is>
          <t>VÄSTERBOTTENS LÄN</t>
        </is>
      </c>
      <c r="E10678" t="inlineStr">
        <is>
          <t>ROBERTSFORS</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36744-2023</t>
        </is>
      </c>
      <c r="B10679" s="1" t="n">
        <v>45153</v>
      </c>
      <c r="C10679" s="1" t="n">
        <v>45357</v>
      </c>
      <c r="D10679" t="inlineStr">
        <is>
          <t>VÄSTERBOTTENS LÄN</t>
        </is>
      </c>
      <c r="E10679" t="inlineStr">
        <is>
          <t>MALÅ</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36899-2023</t>
        </is>
      </c>
      <c r="B10680" s="1" t="n">
        <v>45153</v>
      </c>
      <c r="C10680" s="1" t="n">
        <v>45357</v>
      </c>
      <c r="D10680" t="inlineStr">
        <is>
          <t>VÄSTERBOTTENS LÄN</t>
        </is>
      </c>
      <c r="E10680" t="inlineStr">
        <is>
          <t>VINDELN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36743-2023</t>
        </is>
      </c>
      <c r="B10681" s="1" t="n">
        <v>45153</v>
      </c>
      <c r="C10681" s="1" t="n">
        <v>45357</v>
      </c>
      <c r="D10681" t="inlineStr">
        <is>
          <t>VÄSTERBOTTENS LÄN</t>
        </is>
      </c>
      <c r="E10681" t="inlineStr">
        <is>
          <t>MALÅ</t>
        </is>
      </c>
      <c r="G10681" t="n">
        <v>15.7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36747-2023</t>
        </is>
      </c>
      <c r="B10682" s="1" t="n">
        <v>45153</v>
      </c>
      <c r="C10682" s="1" t="n">
        <v>45357</v>
      </c>
      <c r="D10682" t="inlineStr">
        <is>
          <t>VÄSTERBOTTENS LÄN</t>
        </is>
      </c>
      <c r="E10682" t="inlineStr">
        <is>
          <t>MALÅ</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36682-2023</t>
        </is>
      </c>
      <c r="B10683" s="1" t="n">
        <v>45153</v>
      </c>
      <c r="C10683" s="1" t="n">
        <v>45357</v>
      </c>
      <c r="D10683" t="inlineStr">
        <is>
          <t>VÄSTERBOTTENS LÄN</t>
        </is>
      </c>
      <c r="E10683" t="inlineStr">
        <is>
          <t>VINDELN</t>
        </is>
      </c>
      <c r="F10683" t="inlineStr">
        <is>
          <t>Holmen skog AB</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36741-2023</t>
        </is>
      </c>
      <c r="B10684" s="1" t="n">
        <v>45153</v>
      </c>
      <c r="C10684" s="1" t="n">
        <v>45357</v>
      </c>
      <c r="D10684" t="inlineStr">
        <is>
          <t>VÄSTERBOTTENS LÄN</t>
        </is>
      </c>
      <c r="E10684" t="inlineStr">
        <is>
          <t>MALÅ</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36745-2023</t>
        </is>
      </c>
      <c r="B10685" s="1" t="n">
        <v>45153</v>
      </c>
      <c r="C10685" s="1" t="n">
        <v>45357</v>
      </c>
      <c r="D10685" t="inlineStr">
        <is>
          <t>VÄSTERBOTTENS LÄN</t>
        </is>
      </c>
      <c r="E10685" t="inlineStr">
        <is>
          <t>MALÅ</t>
        </is>
      </c>
      <c r="G10685" t="n">
        <v>5.2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36762-2023</t>
        </is>
      </c>
      <c r="B10686" s="1" t="n">
        <v>45154</v>
      </c>
      <c r="C10686" s="1" t="n">
        <v>45357</v>
      </c>
      <c r="D10686" t="inlineStr">
        <is>
          <t>VÄSTERBOTTENS LÄN</t>
        </is>
      </c>
      <c r="E10686" t="inlineStr">
        <is>
          <t>DOROTEA</t>
        </is>
      </c>
      <c r="F10686" t="inlineStr">
        <is>
          <t>SCA</t>
        </is>
      </c>
      <c r="G10686" t="n">
        <v>10.4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36778-2023</t>
        </is>
      </c>
      <c r="B10687" s="1" t="n">
        <v>45153</v>
      </c>
      <c r="C10687" s="1" t="n">
        <v>45357</v>
      </c>
      <c r="D10687" t="inlineStr">
        <is>
          <t>VÄSTERBOTTENS LÄN</t>
        </is>
      </c>
      <c r="E10687" t="inlineStr">
        <is>
          <t>VINDELN</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36892-2023</t>
        </is>
      </c>
      <c r="B10688" s="1" t="n">
        <v>45153</v>
      </c>
      <c r="C10688" s="1" t="n">
        <v>45357</v>
      </c>
      <c r="D10688" t="inlineStr">
        <is>
          <t>VÄSTERBOTTENS LÄN</t>
        </is>
      </c>
      <c r="E10688" t="inlineStr">
        <is>
          <t>MALÅ</t>
        </is>
      </c>
      <c r="G10688" t="n">
        <v>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36810-2023</t>
        </is>
      </c>
      <c r="B10689" s="1" t="n">
        <v>45154</v>
      </c>
      <c r="C10689" s="1" t="n">
        <v>45357</v>
      </c>
      <c r="D10689" t="inlineStr">
        <is>
          <t>VÄSTERBOTTENS LÄN</t>
        </is>
      </c>
      <c r="E10689" t="inlineStr">
        <is>
          <t>BJURHOLM</t>
        </is>
      </c>
      <c r="F10689" t="inlineStr">
        <is>
          <t>Holmen skog AB</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36835-2023</t>
        </is>
      </c>
      <c r="B10690" s="1" t="n">
        <v>45154</v>
      </c>
      <c r="C10690" s="1" t="n">
        <v>45357</v>
      </c>
      <c r="D10690" t="inlineStr">
        <is>
          <t>VÄSTERBOTTENS LÄN</t>
        </is>
      </c>
      <c r="E10690" t="inlineStr">
        <is>
          <t>VINDELN</t>
        </is>
      </c>
      <c r="F10690" t="inlineStr">
        <is>
          <t>Holmen skog AB</t>
        </is>
      </c>
      <c r="G10690" t="n">
        <v>25.9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36853-2023</t>
        </is>
      </c>
      <c r="B10691" s="1" t="n">
        <v>45154</v>
      </c>
      <c r="C10691" s="1" t="n">
        <v>45357</v>
      </c>
      <c r="D10691" t="inlineStr">
        <is>
          <t>VÄSTERBOTTENS LÄN</t>
        </is>
      </c>
      <c r="E10691" t="inlineStr">
        <is>
          <t>SORSELE</t>
        </is>
      </c>
      <c r="G10691" t="n">
        <v>16.9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36867-2023</t>
        </is>
      </c>
      <c r="B10692" s="1" t="n">
        <v>45154</v>
      </c>
      <c r="C10692" s="1" t="n">
        <v>45357</v>
      </c>
      <c r="D10692" t="inlineStr">
        <is>
          <t>VÄSTERBOTTENS LÄN</t>
        </is>
      </c>
      <c r="E10692" t="inlineStr">
        <is>
          <t>LYCKSELE</t>
        </is>
      </c>
      <c r="F10692" t="inlineStr">
        <is>
          <t>Sveaskog</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36842-2023</t>
        </is>
      </c>
      <c r="B10693" s="1" t="n">
        <v>45154</v>
      </c>
      <c r="C10693" s="1" t="n">
        <v>45357</v>
      </c>
      <c r="D10693" t="inlineStr">
        <is>
          <t>VÄSTERBOTTENS LÄN</t>
        </is>
      </c>
      <c r="E10693" t="inlineStr">
        <is>
          <t>NORSJÖ</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36804-2023</t>
        </is>
      </c>
      <c r="B10694" s="1" t="n">
        <v>45154</v>
      </c>
      <c r="C10694" s="1" t="n">
        <v>45357</v>
      </c>
      <c r="D10694" t="inlineStr">
        <is>
          <t>VÄSTERBOTTENS LÄN</t>
        </is>
      </c>
      <c r="E10694" t="inlineStr">
        <is>
          <t>SKELLEFTEÅ</t>
        </is>
      </c>
      <c r="F10694" t="inlineStr">
        <is>
          <t>Holmen skog AB</t>
        </is>
      </c>
      <c r="G10694" t="n">
        <v>12.5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36875-2023</t>
        </is>
      </c>
      <c r="B10695" s="1" t="n">
        <v>45154</v>
      </c>
      <c r="C10695" s="1" t="n">
        <v>45357</v>
      </c>
      <c r="D10695" t="inlineStr">
        <is>
          <t>VÄSTERBOTTENS LÄN</t>
        </is>
      </c>
      <c r="E10695" t="inlineStr">
        <is>
          <t>LYCKSELE</t>
        </is>
      </c>
      <c r="F10695" t="inlineStr">
        <is>
          <t>Sveaskog</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36880-2023</t>
        </is>
      </c>
      <c r="B10696" s="1" t="n">
        <v>45154</v>
      </c>
      <c r="C10696" s="1" t="n">
        <v>45357</v>
      </c>
      <c r="D10696" t="inlineStr">
        <is>
          <t>VÄSTERBOTTENS LÄN</t>
        </is>
      </c>
      <c r="E10696" t="inlineStr">
        <is>
          <t>ÅSELE</t>
        </is>
      </c>
      <c r="F10696" t="inlineStr">
        <is>
          <t>Holmen skog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36900-2023</t>
        </is>
      </c>
      <c r="B10697" s="1" t="n">
        <v>45154</v>
      </c>
      <c r="C10697" s="1" t="n">
        <v>45357</v>
      </c>
      <c r="D10697" t="inlineStr">
        <is>
          <t>VÄSTERBOTTENS LÄN</t>
        </is>
      </c>
      <c r="E10697" t="inlineStr">
        <is>
          <t>LYCKSELE</t>
        </is>
      </c>
      <c r="F10697" t="inlineStr">
        <is>
          <t>Holmen skog AB</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36812-2023</t>
        </is>
      </c>
      <c r="B10698" s="1" t="n">
        <v>45154</v>
      </c>
      <c r="C10698" s="1" t="n">
        <v>45357</v>
      </c>
      <c r="D10698" t="inlineStr">
        <is>
          <t>VÄSTERBOTTENS LÄN</t>
        </is>
      </c>
      <c r="E10698" t="inlineStr">
        <is>
          <t>ÅSELE</t>
        </is>
      </c>
      <c r="F10698" t="inlineStr">
        <is>
          <t>Holmen skog AB</t>
        </is>
      </c>
      <c r="G10698" t="n">
        <v>6.7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36838-2023</t>
        </is>
      </c>
      <c r="B10699" s="1" t="n">
        <v>45154</v>
      </c>
      <c r="C10699" s="1" t="n">
        <v>45357</v>
      </c>
      <c r="D10699" t="inlineStr">
        <is>
          <t>VÄSTERBOTTENS LÄN</t>
        </is>
      </c>
      <c r="E10699" t="inlineStr">
        <is>
          <t>NORSJÖ</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36910-2023</t>
        </is>
      </c>
      <c r="B10700" s="1" t="n">
        <v>45154</v>
      </c>
      <c r="C10700" s="1" t="n">
        <v>45357</v>
      </c>
      <c r="D10700" t="inlineStr">
        <is>
          <t>VÄSTERBOTTENS LÄN</t>
        </is>
      </c>
      <c r="E10700" t="inlineStr">
        <is>
          <t>VINDELN</t>
        </is>
      </c>
      <c r="F10700" t="inlineStr">
        <is>
          <t>Naturvårdsverket</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36851-2023</t>
        </is>
      </c>
      <c r="B10701" s="1" t="n">
        <v>45154</v>
      </c>
      <c r="C10701" s="1" t="n">
        <v>45357</v>
      </c>
      <c r="D10701" t="inlineStr">
        <is>
          <t>VÄSTERBOTTENS LÄN</t>
        </is>
      </c>
      <c r="E10701" t="inlineStr">
        <is>
          <t>LYCKSELE</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36957-2023</t>
        </is>
      </c>
      <c r="B10702" s="1" t="n">
        <v>45155</v>
      </c>
      <c r="C10702" s="1" t="n">
        <v>45357</v>
      </c>
      <c r="D10702" t="inlineStr">
        <is>
          <t>VÄSTERBOTTENS LÄN</t>
        </is>
      </c>
      <c r="E10702" t="inlineStr">
        <is>
          <t>VILHELMINA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36972-2023</t>
        </is>
      </c>
      <c r="B10703" s="1" t="n">
        <v>45154</v>
      </c>
      <c r="C10703" s="1" t="n">
        <v>45357</v>
      </c>
      <c r="D10703" t="inlineStr">
        <is>
          <t>VÄSTERBOTTENS LÄN</t>
        </is>
      </c>
      <c r="E10703" t="inlineStr">
        <is>
          <t>VILHELMINA</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36996-2023</t>
        </is>
      </c>
      <c r="B10704" s="1" t="n">
        <v>45155</v>
      </c>
      <c r="C10704" s="1" t="n">
        <v>45357</v>
      </c>
      <c r="D10704" t="inlineStr">
        <is>
          <t>VÄSTERBOTTENS LÄN</t>
        </is>
      </c>
      <c r="E10704" t="inlineStr">
        <is>
          <t>VILHELMINA</t>
        </is>
      </c>
      <c r="F10704" t="inlineStr">
        <is>
          <t>SCA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37159-2023</t>
        </is>
      </c>
      <c r="B10705" s="1" t="n">
        <v>45154</v>
      </c>
      <c r="C10705" s="1" t="n">
        <v>45357</v>
      </c>
      <c r="D10705" t="inlineStr">
        <is>
          <t>VÄSTERBOTTENS LÄN</t>
        </is>
      </c>
      <c r="E10705" t="inlineStr">
        <is>
          <t>MALÅ</t>
        </is>
      </c>
      <c r="G10705" t="n">
        <v>63.5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37181-2023</t>
        </is>
      </c>
      <c r="B10706" s="1" t="n">
        <v>45154</v>
      </c>
      <c r="C10706" s="1" t="n">
        <v>45357</v>
      </c>
      <c r="D10706" t="inlineStr">
        <is>
          <t>VÄSTERBOTTENS LÄN</t>
        </is>
      </c>
      <c r="E10706" t="inlineStr">
        <is>
          <t>MALÅ</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36848-2023</t>
        </is>
      </c>
      <c r="B10707" s="1" t="n">
        <v>45154</v>
      </c>
      <c r="C10707" s="1" t="n">
        <v>45357</v>
      </c>
      <c r="D10707" t="inlineStr">
        <is>
          <t>VÄSTERBOTTENS LÄN</t>
        </is>
      </c>
      <c r="E10707" t="inlineStr">
        <is>
          <t>MALÅ</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36852-2023</t>
        </is>
      </c>
      <c r="B10708" s="1" t="n">
        <v>45154</v>
      </c>
      <c r="C10708" s="1" t="n">
        <v>45357</v>
      </c>
      <c r="D10708" t="inlineStr">
        <is>
          <t>VÄSTERBOTTENS LÄN</t>
        </is>
      </c>
      <c r="E10708" t="inlineStr">
        <is>
          <t>ÅSELE</t>
        </is>
      </c>
      <c r="F10708" t="inlineStr">
        <is>
          <t>Holmen skog AB</t>
        </is>
      </c>
      <c r="G10708" t="n">
        <v>11.8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36994-2023</t>
        </is>
      </c>
      <c r="B10709" s="1" t="n">
        <v>45155</v>
      </c>
      <c r="C10709" s="1" t="n">
        <v>45357</v>
      </c>
      <c r="D10709" t="inlineStr">
        <is>
          <t>VÄSTERBOTTENS LÄN</t>
        </is>
      </c>
      <c r="E10709" t="inlineStr">
        <is>
          <t>DOROTEA</t>
        </is>
      </c>
      <c r="F10709" t="inlineStr">
        <is>
          <t>SCA</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36998-2023</t>
        </is>
      </c>
      <c r="B10710" s="1" t="n">
        <v>45154</v>
      </c>
      <c r="C10710" s="1" t="n">
        <v>45357</v>
      </c>
      <c r="D10710" t="inlineStr">
        <is>
          <t>VÄSTERBOTTENS LÄN</t>
        </is>
      </c>
      <c r="E10710" t="inlineStr">
        <is>
          <t>MALÅ</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37127-2023</t>
        </is>
      </c>
      <c r="B10711" s="1" t="n">
        <v>45154</v>
      </c>
      <c r="C10711" s="1" t="n">
        <v>45357</v>
      </c>
      <c r="D10711" t="inlineStr">
        <is>
          <t>VÄSTERBOTTENS LÄN</t>
        </is>
      </c>
      <c r="E10711" t="inlineStr">
        <is>
          <t>SORSELE</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36914-2023</t>
        </is>
      </c>
      <c r="B10712" s="1" t="n">
        <v>45154</v>
      </c>
      <c r="C10712" s="1" t="n">
        <v>45357</v>
      </c>
      <c r="D10712" t="inlineStr">
        <is>
          <t>VÄSTERBOTTENS LÄN</t>
        </is>
      </c>
      <c r="E10712" t="inlineStr">
        <is>
          <t>ÅSELE</t>
        </is>
      </c>
      <c r="F10712" t="inlineStr">
        <is>
          <t>Sveaskog</t>
        </is>
      </c>
      <c r="G10712" t="n">
        <v>13.5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36955-2023</t>
        </is>
      </c>
      <c r="B10713" s="1" t="n">
        <v>45154</v>
      </c>
      <c r="C10713" s="1" t="n">
        <v>45357</v>
      </c>
      <c r="D10713" t="inlineStr">
        <is>
          <t>VÄSTERBOTTENS LÄN</t>
        </is>
      </c>
      <c r="E10713" t="inlineStr">
        <is>
          <t>UMEÅ</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36995-2023</t>
        </is>
      </c>
      <c r="B10714" s="1" t="n">
        <v>45154</v>
      </c>
      <c r="C10714" s="1" t="n">
        <v>45357</v>
      </c>
      <c r="D10714" t="inlineStr">
        <is>
          <t>VÄSTERBOTTENS LÄN</t>
        </is>
      </c>
      <c r="E10714" t="inlineStr">
        <is>
          <t>VILHELMINA</t>
        </is>
      </c>
      <c r="F10714" t="inlineStr">
        <is>
          <t>SCA</t>
        </is>
      </c>
      <c r="G10714" t="n">
        <v>31.7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37109-2023</t>
        </is>
      </c>
      <c r="B10715" s="1" t="n">
        <v>45154</v>
      </c>
      <c r="C10715" s="1" t="n">
        <v>45357</v>
      </c>
      <c r="D10715" t="inlineStr">
        <is>
          <t>VÄSTERBOTTENS LÄN</t>
        </is>
      </c>
      <c r="E10715" t="inlineStr">
        <is>
          <t>SORSELE</t>
        </is>
      </c>
      <c r="G10715" t="n">
        <v>8.199999999999999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37183-2023</t>
        </is>
      </c>
      <c r="B10716" s="1" t="n">
        <v>45154</v>
      </c>
      <c r="C10716" s="1" t="n">
        <v>45357</v>
      </c>
      <c r="D10716" t="inlineStr">
        <is>
          <t>VÄSTERBOTTENS LÄN</t>
        </is>
      </c>
      <c r="E10716" t="inlineStr">
        <is>
          <t>MALÅ</t>
        </is>
      </c>
      <c r="G10716" t="n">
        <v>41.2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37171-2023</t>
        </is>
      </c>
      <c r="B10717" s="1" t="n">
        <v>45154</v>
      </c>
      <c r="C10717" s="1" t="n">
        <v>45357</v>
      </c>
      <c r="D10717" t="inlineStr">
        <is>
          <t>VÄSTERBOTTENS LÄN</t>
        </is>
      </c>
      <c r="E10717" t="inlineStr">
        <is>
          <t>MALÅ</t>
        </is>
      </c>
      <c r="G10717" t="n">
        <v>8.9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37326-2023</t>
        </is>
      </c>
      <c r="B10718" s="1" t="n">
        <v>45154</v>
      </c>
      <c r="C10718" s="1" t="n">
        <v>45357</v>
      </c>
      <c r="D10718" t="inlineStr">
        <is>
          <t>VÄSTERBOTTENS LÄN</t>
        </is>
      </c>
      <c r="E10718" t="inlineStr">
        <is>
          <t>MALÅ</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37157-2023</t>
        </is>
      </c>
      <c r="B10719" s="1" t="n">
        <v>45154</v>
      </c>
      <c r="C10719" s="1" t="n">
        <v>45357</v>
      </c>
      <c r="D10719" t="inlineStr">
        <is>
          <t>VÄSTERBOTTENS LÄN</t>
        </is>
      </c>
      <c r="E10719" t="inlineStr">
        <is>
          <t>MALÅ</t>
        </is>
      </c>
      <c r="G10719" t="n">
        <v>32.5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37172-2023</t>
        </is>
      </c>
      <c r="B10720" s="1" t="n">
        <v>45154</v>
      </c>
      <c r="C10720" s="1" t="n">
        <v>45357</v>
      </c>
      <c r="D10720" t="inlineStr">
        <is>
          <t>VÄSTERBOTTENS LÄN</t>
        </is>
      </c>
      <c r="E10720" t="inlineStr">
        <is>
          <t>MALÅ</t>
        </is>
      </c>
      <c r="G10720" t="n">
        <v>73.7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37327-2023</t>
        </is>
      </c>
      <c r="B10721" s="1" t="n">
        <v>45154</v>
      </c>
      <c r="C10721" s="1" t="n">
        <v>45357</v>
      </c>
      <c r="D10721" t="inlineStr">
        <is>
          <t>VÄSTERBOTTENS LÄN</t>
        </is>
      </c>
      <c r="E10721" t="inlineStr">
        <is>
          <t>MALÅ</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37038-2023</t>
        </is>
      </c>
      <c r="B10722" s="1" t="n">
        <v>45155</v>
      </c>
      <c r="C10722" s="1" t="n">
        <v>45357</v>
      </c>
      <c r="D10722" t="inlineStr">
        <is>
          <t>VÄSTERBOTTENS LÄN</t>
        </is>
      </c>
      <c r="E10722" t="inlineStr">
        <is>
          <t>SORSELE</t>
        </is>
      </c>
      <c r="F10722" t="inlineStr">
        <is>
          <t>Kyrkan</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37042-2023</t>
        </is>
      </c>
      <c r="B10723" s="1" t="n">
        <v>45155</v>
      </c>
      <c r="C10723" s="1" t="n">
        <v>45357</v>
      </c>
      <c r="D10723" t="inlineStr">
        <is>
          <t>VÄSTERBOTTENS LÄN</t>
        </is>
      </c>
      <c r="E10723" t="inlineStr">
        <is>
          <t>NORSJÖ</t>
        </is>
      </c>
      <c r="F10723" t="inlineStr">
        <is>
          <t>Kommuner</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37057-2023</t>
        </is>
      </c>
      <c r="B10724" s="1" t="n">
        <v>45155</v>
      </c>
      <c r="C10724" s="1" t="n">
        <v>45357</v>
      </c>
      <c r="D10724" t="inlineStr">
        <is>
          <t>VÄSTERBOTTENS LÄN</t>
        </is>
      </c>
      <c r="E10724" t="inlineStr">
        <is>
          <t>NORSJÖ</t>
        </is>
      </c>
      <c r="F10724" t="inlineStr">
        <is>
          <t>Kommuner</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37012-2023</t>
        </is>
      </c>
      <c r="B10725" s="1" t="n">
        <v>45155</v>
      </c>
      <c r="C10725" s="1" t="n">
        <v>45357</v>
      </c>
      <c r="D10725" t="inlineStr">
        <is>
          <t>VÄSTERBOTTENS LÄN</t>
        </is>
      </c>
      <c r="E10725" t="inlineStr">
        <is>
          <t>NORSJÖ</t>
        </is>
      </c>
      <c r="F10725" t="inlineStr">
        <is>
          <t>Kommuner</t>
        </is>
      </c>
      <c r="G10725" t="n">
        <v>16.1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37078-2023</t>
        </is>
      </c>
      <c r="B10726" s="1" t="n">
        <v>45155</v>
      </c>
      <c r="C10726" s="1" t="n">
        <v>45357</v>
      </c>
      <c r="D10726" t="inlineStr">
        <is>
          <t>VÄSTERBOTTENS LÄN</t>
        </is>
      </c>
      <c r="E10726" t="inlineStr">
        <is>
          <t>MALÅ</t>
        </is>
      </c>
      <c r="G10726" t="n">
        <v>48.2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37100-2023</t>
        </is>
      </c>
      <c r="B10727" s="1" t="n">
        <v>45155</v>
      </c>
      <c r="C10727" s="1" t="n">
        <v>45357</v>
      </c>
      <c r="D10727" t="inlineStr">
        <is>
          <t>VÄSTERBOTTENS LÄN</t>
        </is>
      </c>
      <c r="E10727" t="inlineStr">
        <is>
          <t>NORSJÖ</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37075-2023</t>
        </is>
      </c>
      <c r="B10728" s="1" t="n">
        <v>45155</v>
      </c>
      <c r="C10728" s="1" t="n">
        <v>45357</v>
      </c>
      <c r="D10728" t="inlineStr">
        <is>
          <t>VÄSTERBOTTENS LÄN</t>
        </is>
      </c>
      <c r="E10728" t="inlineStr">
        <is>
          <t>MALÅ</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37167-2023</t>
        </is>
      </c>
      <c r="B10729" s="1" t="n">
        <v>45155</v>
      </c>
      <c r="C10729" s="1" t="n">
        <v>45357</v>
      </c>
      <c r="D10729" t="inlineStr">
        <is>
          <t>VÄSTERBOTTENS LÄN</t>
        </is>
      </c>
      <c r="E10729" t="inlineStr">
        <is>
          <t>MALÅ</t>
        </is>
      </c>
      <c r="F10729" t="inlineStr">
        <is>
          <t>Kyrkan</t>
        </is>
      </c>
      <c r="G10729" t="n">
        <v>17.6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37053-2023</t>
        </is>
      </c>
      <c r="B10730" s="1" t="n">
        <v>45155</v>
      </c>
      <c r="C10730" s="1" t="n">
        <v>45357</v>
      </c>
      <c r="D10730" t="inlineStr">
        <is>
          <t>VÄSTERBOTTENS LÄN</t>
        </is>
      </c>
      <c r="E10730" t="inlineStr">
        <is>
          <t>NORSJÖ</t>
        </is>
      </c>
      <c r="F10730" t="inlineStr">
        <is>
          <t>Kommuner</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37074-2023</t>
        </is>
      </c>
      <c r="B10731" s="1" t="n">
        <v>45155</v>
      </c>
      <c r="C10731" s="1" t="n">
        <v>45357</v>
      </c>
      <c r="D10731" t="inlineStr">
        <is>
          <t>VÄSTERBOTTENS LÄN</t>
        </is>
      </c>
      <c r="E10731" t="inlineStr">
        <is>
          <t>STORUMAN</t>
        </is>
      </c>
      <c r="G10731" t="n">
        <v>10.4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37134-2023</t>
        </is>
      </c>
      <c r="B10732" s="1" t="n">
        <v>45155</v>
      </c>
      <c r="C10732" s="1" t="n">
        <v>45357</v>
      </c>
      <c r="D10732" t="inlineStr">
        <is>
          <t>VÄSTERBOTTENS LÄN</t>
        </is>
      </c>
      <c r="E10732" t="inlineStr">
        <is>
          <t>SKELLEFTEÅ</t>
        </is>
      </c>
      <c r="F10732" t="inlineStr">
        <is>
          <t>Holmen skog AB</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37145-2023</t>
        </is>
      </c>
      <c r="B10733" s="1" t="n">
        <v>45155</v>
      </c>
      <c r="C10733" s="1" t="n">
        <v>45357</v>
      </c>
      <c r="D10733" t="inlineStr">
        <is>
          <t>VÄSTERBOTTENS LÄN</t>
        </is>
      </c>
      <c r="E10733" t="inlineStr">
        <is>
          <t>MALÅ</t>
        </is>
      </c>
      <c r="F10733" t="inlineStr">
        <is>
          <t>Sveaskog</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37229-2023</t>
        </is>
      </c>
      <c r="B10734" s="1" t="n">
        <v>45155</v>
      </c>
      <c r="C10734" s="1" t="n">
        <v>45357</v>
      </c>
      <c r="D10734" t="inlineStr">
        <is>
          <t>VÄSTERBOTTENS LÄN</t>
        </is>
      </c>
      <c r="E10734" t="inlineStr">
        <is>
          <t>SKELLEFTEÅ</t>
        </is>
      </c>
      <c r="G10734" t="n">
        <v>5.2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37142-2023</t>
        </is>
      </c>
      <c r="B10735" s="1" t="n">
        <v>45155</v>
      </c>
      <c r="C10735" s="1" t="n">
        <v>45357</v>
      </c>
      <c r="D10735" t="inlineStr">
        <is>
          <t>VÄSTERBOTTENS LÄN</t>
        </is>
      </c>
      <c r="E10735" t="inlineStr">
        <is>
          <t>MALÅ</t>
        </is>
      </c>
      <c r="F10735" t="inlineStr">
        <is>
          <t>Sveaskog</t>
        </is>
      </c>
      <c r="G10735" t="n">
        <v>63.1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37257-2023</t>
        </is>
      </c>
      <c r="B10736" s="1" t="n">
        <v>45156</v>
      </c>
      <c r="C10736" s="1" t="n">
        <v>45357</v>
      </c>
      <c r="D10736" t="inlineStr">
        <is>
          <t>VÄSTERBOTTENS LÄN</t>
        </is>
      </c>
      <c r="E10736" t="inlineStr">
        <is>
          <t>VINDELN</t>
        </is>
      </c>
      <c r="F10736" t="inlineStr">
        <is>
          <t>SCA</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37444-2023</t>
        </is>
      </c>
      <c r="B10737" s="1" t="n">
        <v>45155</v>
      </c>
      <c r="C10737" s="1" t="n">
        <v>45357</v>
      </c>
      <c r="D10737" t="inlineStr">
        <is>
          <t>VÄSTERBOTTENS LÄN</t>
        </is>
      </c>
      <c r="E10737" t="inlineStr">
        <is>
          <t>MALÅ</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37228-2023</t>
        </is>
      </c>
      <c r="B10738" s="1" t="n">
        <v>45156</v>
      </c>
      <c r="C10738" s="1" t="n">
        <v>45357</v>
      </c>
      <c r="D10738" t="inlineStr">
        <is>
          <t>VÄSTERBOTTENS LÄN</t>
        </is>
      </c>
      <c r="E10738" t="inlineStr">
        <is>
          <t>NORSJÖ</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37232-2023</t>
        </is>
      </c>
      <c r="B10739" s="1" t="n">
        <v>45155</v>
      </c>
      <c r="C10739" s="1" t="n">
        <v>45357</v>
      </c>
      <c r="D10739" t="inlineStr">
        <is>
          <t>VÄSTERBOTTENS LÄN</t>
        </is>
      </c>
      <c r="E10739" t="inlineStr">
        <is>
          <t>NORSJÖ</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37256-2023</t>
        </is>
      </c>
      <c r="B10740" s="1" t="n">
        <v>45155</v>
      </c>
      <c r="C10740" s="1" t="n">
        <v>45357</v>
      </c>
      <c r="D10740" t="inlineStr">
        <is>
          <t>VÄSTERBOTTENS LÄN</t>
        </is>
      </c>
      <c r="E10740" t="inlineStr">
        <is>
          <t>SORSELE</t>
        </is>
      </c>
      <c r="F10740" t="inlineStr">
        <is>
          <t>SCA</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37230-2023</t>
        </is>
      </c>
      <c r="B10741" s="1" t="n">
        <v>45156</v>
      </c>
      <c r="C10741" s="1" t="n">
        <v>45357</v>
      </c>
      <c r="D10741" t="inlineStr">
        <is>
          <t>VÄSTERBOTTENS LÄN</t>
        </is>
      </c>
      <c r="E10741" t="inlineStr">
        <is>
          <t>NORSJÖ</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37329-2023</t>
        </is>
      </c>
      <c r="B10742" s="1" t="n">
        <v>45155</v>
      </c>
      <c r="C10742" s="1" t="n">
        <v>45357</v>
      </c>
      <c r="D10742" t="inlineStr">
        <is>
          <t>VÄSTERBOTTENS LÄN</t>
        </is>
      </c>
      <c r="E10742" t="inlineStr">
        <is>
          <t>SORSELE</t>
        </is>
      </c>
      <c r="F10742" t="inlineStr">
        <is>
          <t>Allmännings- och besparingsskogar</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37435-2023</t>
        </is>
      </c>
      <c r="B10743" s="1" t="n">
        <v>45155</v>
      </c>
      <c r="C10743" s="1" t="n">
        <v>45357</v>
      </c>
      <c r="D10743" t="inlineStr">
        <is>
          <t>VÄSTERBOTTENS LÄN</t>
        </is>
      </c>
      <c r="E10743" t="inlineStr">
        <is>
          <t>MALÅ</t>
        </is>
      </c>
      <c r="G10743" t="n">
        <v>14.8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37231-2023</t>
        </is>
      </c>
      <c r="B10744" s="1" t="n">
        <v>45155</v>
      </c>
      <c r="C10744" s="1" t="n">
        <v>45357</v>
      </c>
      <c r="D10744" t="inlineStr">
        <is>
          <t>VÄSTERBOTTENS LÄN</t>
        </is>
      </c>
      <c r="E10744" t="inlineStr">
        <is>
          <t>NORSJÖ</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37250-2023</t>
        </is>
      </c>
      <c r="B10745" s="1" t="n">
        <v>45155</v>
      </c>
      <c r="C10745" s="1" t="n">
        <v>45357</v>
      </c>
      <c r="D10745" t="inlineStr">
        <is>
          <t>VÄSTERBOTTENS LÄN</t>
        </is>
      </c>
      <c r="E10745" t="inlineStr">
        <is>
          <t>VINDELN</t>
        </is>
      </c>
      <c r="F10745" t="inlineStr">
        <is>
          <t>SCA</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37254-2023</t>
        </is>
      </c>
      <c r="B10746" s="1" t="n">
        <v>45155</v>
      </c>
      <c r="C10746" s="1" t="n">
        <v>45357</v>
      </c>
      <c r="D10746" t="inlineStr">
        <is>
          <t>VÄSTERBOTTENS LÄN</t>
        </is>
      </c>
      <c r="E10746" t="inlineStr">
        <is>
          <t>DOROTEA</t>
        </is>
      </c>
      <c r="F10746" t="inlineStr">
        <is>
          <t>SCA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37247-2023</t>
        </is>
      </c>
      <c r="B10747" s="1" t="n">
        <v>45155</v>
      </c>
      <c r="C10747" s="1" t="n">
        <v>45357</v>
      </c>
      <c r="D10747" t="inlineStr">
        <is>
          <t>VÄSTERBOTTENS LÄN</t>
        </is>
      </c>
      <c r="E10747" t="inlineStr">
        <is>
          <t>DOROTEA</t>
        </is>
      </c>
      <c r="F10747" t="inlineStr">
        <is>
          <t>SCA</t>
        </is>
      </c>
      <c r="G10747" t="n">
        <v>15.1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37255-2023</t>
        </is>
      </c>
      <c r="B10748" s="1" t="n">
        <v>45155</v>
      </c>
      <c r="C10748" s="1" t="n">
        <v>45357</v>
      </c>
      <c r="D10748" t="inlineStr">
        <is>
          <t>VÄSTERBOTTENS LÄN</t>
        </is>
      </c>
      <c r="E10748" t="inlineStr">
        <is>
          <t>VINDELN</t>
        </is>
      </c>
      <c r="F10748" t="inlineStr">
        <is>
          <t>SCA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37262-2023</t>
        </is>
      </c>
      <c r="B10749" s="1" t="n">
        <v>45155</v>
      </c>
      <c r="C10749" s="1" t="n">
        <v>45357</v>
      </c>
      <c r="D10749" t="inlineStr">
        <is>
          <t>VÄSTERBOTTENS LÄN</t>
        </is>
      </c>
      <c r="E10749" t="inlineStr">
        <is>
          <t>LYCKSELE</t>
        </is>
      </c>
      <c r="F10749" t="inlineStr">
        <is>
          <t>SCA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37266-2023</t>
        </is>
      </c>
      <c r="B10750" s="1" t="n">
        <v>45156</v>
      </c>
      <c r="C10750" s="1" t="n">
        <v>45357</v>
      </c>
      <c r="D10750" t="inlineStr">
        <is>
          <t>VÄSTERBOTTENS LÄN</t>
        </is>
      </c>
      <c r="E10750" t="inlineStr">
        <is>
          <t>STORUMAN</t>
        </is>
      </c>
      <c r="F10750" t="inlineStr">
        <is>
          <t>SCA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37312-2023</t>
        </is>
      </c>
      <c r="B10751" s="1" t="n">
        <v>45155</v>
      </c>
      <c r="C10751" s="1" t="n">
        <v>45357</v>
      </c>
      <c r="D10751" t="inlineStr">
        <is>
          <t>VÄSTERBOTTENS LÄN</t>
        </is>
      </c>
      <c r="E10751" t="inlineStr">
        <is>
          <t>BJURHOLM</t>
        </is>
      </c>
      <c r="G10751" t="n">
        <v>14.6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37271-2023</t>
        </is>
      </c>
      <c r="B10752" s="1" t="n">
        <v>45155</v>
      </c>
      <c r="C10752" s="1" t="n">
        <v>45357</v>
      </c>
      <c r="D10752" t="inlineStr">
        <is>
          <t>VÄSTERBOTTENS LÄN</t>
        </is>
      </c>
      <c r="E10752" t="inlineStr">
        <is>
          <t>LYCKSELE</t>
        </is>
      </c>
      <c r="F10752" t="inlineStr">
        <is>
          <t>SCA</t>
        </is>
      </c>
      <c r="G10752" t="n">
        <v>4.7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37413-2023</t>
        </is>
      </c>
      <c r="B10753" s="1" t="n">
        <v>45155</v>
      </c>
      <c r="C10753" s="1" t="n">
        <v>45357</v>
      </c>
      <c r="D10753" t="inlineStr">
        <is>
          <t>VÄSTERBOTTENS LÄN</t>
        </is>
      </c>
      <c r="E10753" t="inlineStr">
        <is>
          <t>VILHELMINA</t>
        </is>
      </c>
      <c r="G10753" t="n">
        <v>12.3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37446-2023</t>
        </is>
      </c>
      <c r="B10754" s="1" t="n">
        <v>45155</v>
      </c>
      <c r="C10754" s="1" t="n">
        <v>45357</v>
      </c>
      <c r="D10754" t="inlineStr">
        <is>
          <t>VÄSTERBOTTENS LÄN</t>
        </is>
      </c>
      <c r="E10754" t="inlineStr">
        <is>
          <t>MALÅ</t>
        </is>
      </c>
      <c r="G10754" t="n">
        <v>46.2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37406-2023</t>
        </is>
      </c>
      <c r="B10755" s="1" t="n">
        <v>45155</v>
      </c>
      <c r="C10755" s="1" t="n">
        <v>45357</v>
      </c>
      <c r="D10755" t="inlineStr">
        <is>
          <t>VÄSTERBOTTENS LÄN</t>
        </is>
      </c>
      <c r="E10755" t="inlineStr">
        <is>
          <t>VILHELMINA</t>
        </is>
      </c>
      <c r="G10755" t="n">
        <v>13.2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37336-2023</t>
        </is>
      </c>
      <c r="B10756" s="1" t="n">
        <v>45156</v>
      </c>
      <c r="C10756" s="1" t="n">
        <v>45357</v>
      </c>
      <c r="D10756" t="inlineStr">
        <is>
          <t>VÄSTERBOTTENS LÄN</t>
        </is>
      </c>
      <c r="E10756" t="inlineStr">
        <is>
          <t>ÅSELE</t>
        </is>
      </c>
      <c r="F10756" t="inlineStr">
        <is>
          <t>Naturvårdsverket</t>
        </is>
      </c>
      <c r="G10756" t="n">
        <v>14.7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37344-2023</t>
        </is>
      </c>
      <c r="B10757" s="1" t="n">
        <v>45156</v>
      </c>
      <c r="C10757" s="1" t="n">
        <v>45357</v>
      </c>
      <c r="D10757" t="inlineStr">
        <is>
          <t>VÄSTERBOTTENS LÄN</t>
        </is>
      </c>
      <c r="E10757" t="inlineStr">
        <is>
          <t>ROBERTSFORS</t>
        </is>
      </c>
      <c r="F10757" t="inlineStr">
        <is>
          <t>Holmen skog AB</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37313-2023</t>
        </is>
      </c>
      <c r="B10758" s="1" t="n">
        <v>45156</v>
      </c>
      <c r="C10758" s="1" t="n">
        <v>45357</v>
      </c>
      <c r="D10758" t="inlineStr">
        <is>
          <t>VÄSTERBOTTENS LÄN</t>
        </is>
      </c>
      <c r="E10758" t="inlineStr">
        <is>
          <t>ROBERTSFORS</t>
        </is>
      </c>
      <c r="F10758" t="inlineStr">
        <is>
          <t>Holmen skog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37358-2023</t>
        </is>
      </c>
      <c r="B10759" s="1" t="n">
        <v>45156</v>
      </c>
      <c r="C10759" s="1" t="n">
        <v>45357</v>
      </c>
      <c r="D10759" t="inlineStr">
        <is>
          <t>VÄSTERBOTTENS LÄN</t>
        </is>
      </c>
      <c r="E10759" t="inlineStr">
        <is>
          <t>MALÅ</t>
        </is>
      </c>
      <c r="F10759" t="inlineStr">
        <is>
          <t>Sveaskog</t>
        </is>
      </c>
      <c r="G10759" t="n">
        <v>32.4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37367-2023</t>
        </is>
      </c>
      <c r="B10760" s="1" t="n">
        <v>45156</v>
      </c>
      <c r="C10760" s="1" t="n">
        <v>45357</v>
      </c>
      <c r="D10760" t="inlineStr">
        <is>
          <t>VÄSTERBOTTENS LÄN</t>
        </is>
      </c>
      <c r="E10760" t="inlineStr">
        <is>
          <t>MALÅ</t>
        </is>
      </c>
      <c r="F10760" t="inlineStr">
        <is>
          <t>Sveaskog</t>
        </is>
      </c>
      <c r="G10760" t="n">
        <v>26.1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37463-2023</t>
        </is>
      </c>
      <c r="B10761" s="1" t="n">
        <v>45156</v>
      </c>
      <c r="C10761" s="1" t="n">
        <v>45357</v>
      </c>
      <c r="D10761" t="inlineStr">
        <is>
          <t>VÄSTERBOTTENS LÄN</t>
        </is>
      </c>
      <c r="E10761" t="inlineStr">
        <is>
          <t>NORSJÖ</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37467-2023</t>
        </is>
      </c>
      <c r="B10762" s="1" t="n">
        <v>45156</v>
      </c>
      <c r="C10762" s="1" t="n">
        <v>45357</v>
      </c>
      <c r="D10762" t="inlineStr">
        <is>
          <t>VÄSTERBOTTENS LÄN</t>
        </is>
      </c>
      <c r="E10762" t="inlineStr">
        <is>
          <t>NORSJÖ</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37475-2023</t>
        </is>
      </c>
      <c r="B10763" s="1" t="n">
        <v>45156</v>
      </c>
      <c r="C10763" s="1" t="n">
        <v>45357</v>
      </c>
      <c r="D10763" t="inlineStr">
        <is>
          <t>VÄSTERBOTTENS LÄN</t>
        </is>
      </c>
      <c r="E10763" t="inlineStr">
        <is>
          <t>NORSJÖ</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37680-2023</t>
        </is>
      </c>
      <c r="B10764" s="1" t="n">
        <v>45156</v>
      </c>
      <c r="C10764" s="1" t="n">
        <v>45357</v>
      </c>
      <c r="D10764" t="inlineStr">
        <is>
          <t>VÄSTERBOTTENS LÄN</t>
        </is>
      </c>
      <c r="E10764" t="inlineStr">
        <is>
          <t>MALÅ</t>
        </is>
      </c>
      <c r="G10764" t="n">
        <v>29.4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37774-2023</t>
        </is>
      </c>
      <c r="B10765" s="1" t="n">
        <v>45156</v>
      </c>
      <c r="C10765" s="1" t="n">
        <v>45357</v>
      </c>
      <c r="D10765" t="inlineStr">
        <is>
          <t>VÄSTERBOTTENS LÄN</t>
        </is>
      </c>
      <c r="E10765" t="inlineStr">
        <is>
          <t>SKELLEFTEÅ</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37468-2023</t>
        </is>
      </c>
      <c r="B10766" s="1" t="n">
        <v>45156</v>
      </c>
      <c r="C10766" s="1" t="n">
        <v>45357</v>
      </c>
      <c r="D10766" t="inlineStr">
        <is>
          <t>VÄSTERBOTTENS LÄN</t>
        </is>
      </c>
      <c r="E10766" t="inlineStr">
        <is>
          <t>MALÅ</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37449-2023</t>
        </is>
      </c>
      <c r="B10767" s="1" t="n">
        <v>45156</v>
      </c>
      <c r="C10767" s="1" t="n">
        <v>45357</v>
      </c>
      <c r="D10767" t="inlineStr">
        <is>
          <t>VÄSTERBOTTENS LÄN</t>
        </is>
      </c>
      <c r="E10767" t="inlineStr">
        <is>
          <t>NORSJÖ</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37465-2023</t>
        </is>
      </c>
      <c r="B10768" s="1" t="n">
        <v>45156</v>
      </c>
      <c r="C10768" s="1" t="n">
        <v>45357</v>
      </c>
      <c r="D10768" t="inlineStr">
        <is>
          <t>VÄSTERBOTTENS LÄN</t>
        </is>
      </c>
      <c r="E10768" t="inlineStr">
        <is>
          <t>NORSJÖ</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37473-2023</t>
        </is>
      </c>
      <c r="B10769" s="1" t="n">
        <v>45156</v>
      </c>
      <c r="C10769" s="1" t="n">
        <v>45357</v>
      </c>
      <c r="D10769" t="inlineStr">
        <is>
          <t>VÄSTERBOTTENS LÄN</t>
        </is>
      </c>
      <c r="E10769" t="inlineStr">
        <is>
          <t>NORSJÖ</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37489-2023</t>
        </is>
      </c>
      <c r="B10770" s="1" t="n">
        <v>45157</v>
      </c>
      <c r="C10770" s="1" t="n">
        <v>45357</v>
      </c>
      <c r="D10770" t="inlineStr">
        <is>
          <t>VÄSTERBOTTENS LÄN</t>
        </is>
      </c>
      <c r="E10770" t="inlineStr">
        <is>
          <t>VINDELN</t>
        </is>
      </c>
      <c r="F10770" t="inlineStr">
        <is>
          <t>SCA</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37595-2023</t>
        </is>
      </c>
      <c r="B10771" s="1" t="n">
        <v>45156</v>
      </c>
      <c r="C10771" s="1" t="n">
        <v>45357</v>
      </c>
      <c r="D10771" t="inlineStr">
        <is>
          <t>VÄSTERBOTTENS LÄN</t>
        </is>
      </c>
      <c r="E10771" t="inlineStr">
        <is>
          <t>ÅSELE</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37651-2023</t>
        </is>
      </c>
      <c r="B10772" s="1" t="n">
        <v>45156</v>
      </c>
      <c r="C10772" s="1" t="n">
        <v>45357</v>
      </c>
      <c r="D10772" t="inlineStr">
        <is>
          <t>VÄSTERBOTTENS LÄN</t>
        </is>
      </c>
      <c r="E10772" t="inlineStr">
        <is>
          <t>STORUMAN</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37482-2023</t>
        </is>
      </c>
      <c r="B10773" s="1" t="n">
        <v>45157</v>
      </c>
      <c r="C10773" s="1" t="n">
        <v>45357</v>
      </c>
      <c r="D10773" t="inlineStr">
        <is>
          <t>VÄSTERBOTTENS LÄN</t>
        </is>
      </c>
      <c r="E10773" t="inlineStr">
        <is>
          <t>ÅSELE</t>
        </is>
      </c>
      <c r="F10773" t="inlineStr">
        <is>
          <t>SCA</t>
        </is>
      </c>
      <c r="G10773" t="n">
        <v>8.699999999999999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37740-2023</t>
        </is>
      </c>
      <c r="B10774" s="1" t="n">
        <v>45156</v>
      </c>
      <c r="C10774" s="1" t="n">
        <v>45357</v>
      </c>
      <c r="D10774" t="inlineStr">
        <is>
          <t>VÄSTERBOTTENS LÄN</t>
        </is>
      </c>
      <c r="E10774" t="inlineStr">
        <is>
          <t>SORSELE</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37743-2023</t>
        </is>
      </c>
      <c r="B10775" s="1" t="n">
        <v>45156</v>
      </c>
      <c r="C10775" s="1" t="n">
        <v>45357</v>
      </c>
      <c r="D10775" t="inlineStr">
        <is>
          <t>VÄSTERBOTTENS LÄN</t>
        </is>
      </c>
      <c r="E10775" t="inlineStr">
        <is>
          <t>SORSELE</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37293-2023</t>
        </is>
      </c>
      <c r="B10776" s="1" t="n">
        <v>45156</v>
      </c>
      <c r="C10776" s="1" t="n">
        <v>45357</v>
      </c>
      <c r="D10776" t="inlineStr">
        <is>
          <t>VÄSTERBOTTENS LÄN</t>
        </is>
      </c>
      <c r="E10776" t="inlineStr">
        <is>
          <t>ÅSELE</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37335-2023</t>
        </is>
      </c>
      <c r="B10777" s="1" t="n">
        <v>45156</v>
      </c>
      <c r="C10777" s="1" t="n">
        <v>45357</v>
      </c>
      <c r="D10777" t="inlineStr">
        <is>
          <t>VÄSTERBOTTENS LÄN</t>
        </is>
      </c>
      <c r="E10777" t="inlineStr">
        <is>
          <t>ROBERTSFORS</t>
        </is>
      </c>
      <c r="F10777" t="inlineStr">
        <is>
          <t>Holmen skog AB</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37364-2023</t>
        </is>
      </c>
      <c r="B10778" s="1" t="n">
        <v>45156</v>
      </c>
      <c r="C10778" s="1" t="n">
        <v>45357</v>
      </c>
      <c r="D10778" t="inlineStr">
        <is>
          <t>VÄSTERBOTTENS LÄN</t>
        </is>
      </c>
      <c r="E10778" t="inlineStr">
        <is>
          <t>MALÅ</t>
        </is>
      </c>
      <c r="F10778" t="inlineStr">
        <is>
          <t>Sveaskog</t>
        </is>
      </c>
      <c r="G10778" t="n">
        <v>40.2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37450-2023</t>
        </is>
      </c>
      <c r="B10779" s="1" t="n">
        <v>45156</v>
      </c>
      <c r="C10779" s="1" t="n">
        <v>45357</v>
      </c>
      <c r="D10779" t="inlineStr">
        <is>
          <t>VÄSTERBOTTENS LÄN</t>
        </is>
      </c>
      <c r="E10779" t="inlineStr">
        <is>
          <t>NORSJÖ</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37466-2023</t>
        </is>
      </c>
      <c r="B10780" s="1" t="n">
        <v>45156</v>
      </c>
      <c r="C10780" s="1" t="n">
        <v>45357</v>
      </c>
      <c r="D10780" t="inlineStr">
        <is>
          <t>VÄSTERBOTTENS LÄN</t>
        </is>
      </c>
      <c r="E10780" t="inlineStr">
        <is>
          <t>NORSJÖ</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37474-2023</t>
        </is>
      </c>
      <c r="B10781" s="1" t="n">
        <v>45157</v>
      </c>
      <c r="C10781" s="1" t="n">
        <v>45357</v>
      </c>
      <c r="D10781" t="inlineStr">
        <is>
          <t>VÄSTERBOTTENS LÄN</t>
        </is>
      </c>
      <c r="E10781" t="inlineStr">
        <is>
          <t>SKELLEFTEÅ</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37491-2023</t>
        </is>
      </c>
      <c r="B10782" s="1" t="n">
        <v>45156</v>
      </c>
      <c r="C10782" s="1" t="n">
        <v>45357</v>
      </c>
      <c r="D10782" t="inlineStr">
        <is>
          <t>VÄSTERBOTTENS LÄN</t>
        </is>
      </c>
      <c r="E10782" t="inlineStr">
        <is>
          <t>LYCKSELE</t>
        </is>
      </c>
      <c r="F10782" t="inlineStr">
        <is>
          <t>SCA</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37588-2023</t>
        </is>
      </c>
      <c r="B10783" s="1" t="n">
        <v>45156</v>
      </c>
      <c r="C10783" s="1" t="n">
        <v>45357</v>
      </c>
      <c r="D10783" t="inlineStr">
        <is>
          <t>VÄSTERBOTTENS LÄN</t>
        </is>
      </c>
      <c r="E10783" t="inlineStr">
        <is>
          <t>MALÅ</t>
        </is>
      </c>
      <c r="G10783" t="n">
        <v>32.9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37614-2023</t>
        </is>
      </c>
      <c r="B10784" s="1" t="n">
        <v>45156</v>
      </c>
      <c r="C10784" s="1" t="n">
        <v>45357</v>
      </c>
      <c r="D10784" t="inlineStr">
        <is>
          <t>VÄSTERBOTTENS LÄN</t>
        </is>
      </c>
      <c r="E10784" t="inlineStr">
        <is>
          <t>MALÅ</t>
        </is>
      </c>
      <c r="G10784" t="n">
        <v>48.7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37840-2023</t>
        </is>
      </c>
      <c r="B10785" s="1" t="n">
        <v>45156</v>
      </c>
      <c r="C10785" s="1" t="n">
        <v>45357</v>
      </c>
      <c r="D10785" t="inlineStr">
        <is>
          <t>VÄSTERBOTTENS LÄN</t>
        </is>
      </c>
      <c r="E10785" t="inlineStr">
        <is>
          <t>LYCKSELE</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37841-2023</t>
        </is>
      </c>
      <c r="B10786" s="1" t="n">
        <v>45156</v>
      </c>
      <c r="C10786" s="1" t="n">
        <v>45357</v>
      </c>
      <c r="D10786" t="inlineStr">
        <is>
          <t>VÄSTERBOTTENS LÄN</t>
        </is>
      </c>
      <c r="E10786" t="inlineStr">
        <is>
          <t>NORSJÖ</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37678-2023</t>
        </is>
      </c>
      <c r="B10787" s="1" t="n">
        <v>45156</v>
      </c>
      <c r="C10787" s="1" t="n">
        <v>45357</v>
      </c>
      <c r="D10787" t="inlineStr">
        <is>
          <t>VÄSTERBOTTENS LÄN</t>
        </is>
      </c>
      <c r="E10787" t="inlineStr">
        <is>
          <t>MALÅ</t>
        </is>
      </c>
      <c r="G10787" t="n">
        <v>7.3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37773-2023</t>
        </is>
      </c>
      <c r="B10788" s="1" t="n">
        <v>45156</v>
      </c>
      <c r="C10788" s="1" t="n">
        <v>45357</v>
      </c>
      <c r="D10788" t="inlineStr">
        <is>
          <t>VÄSTERBOTTENS LÄN</t>
        </is>
      </c>
      <c r="E10788" t="inlineStr">
        <is>
          <t>VILHELMINA</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37842-2023</t>
        </is>
      </c>
      <c r="B10789" s="1" t="n">
        <v>45156</v>
      </c>
      <c r="C10789" s="1" t="n">
        <v>45357</v>
      </c>
      <c r="D10789" t="inlineStr">
        <is>
          <t>VÄSTERBOTTENS LÄN</t>
        </is>
      </c>
      <c r="E10789" t="inlineStr">
        <is>
          <t>LYCKSELE</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37496-2023</t>
        </is>
      </c>
      <c r="B10790" s="1" t="n">
        <v>45157</v>
      </c>
      <c r="C10790" s="1" t="n">
        <v>45357</v>
      </c>
      <c r="D10790" t="inlineStr">
        <is>
          <t>VÄSTERBOTTENS LÄN</t>
        </is>
      </c>
      <c r="E10790" t="inlineStr">
        <is>
          <t>NORSJÖ</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37498-2023</t>
        </is>
      </c>
      <c r="B10791" s="1" t="n">
        <v>45157</v>
      </c>
      <c r="C10791" s="1" t="n">
        <v>45357</v>
      </c>
      <c r="D10791" t="inlineStr">
        <is>
          <t>VÄSTERBOTTENS LÄN</t>
        </is>
      </c>
      <c r="E10791" t="inlineStr">
        <is>
          <t>NORSJÖ</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37512-2023</t>
        </is>
      </c>
      <c r="B10792" s="1" t="n">
        <v>45158</v>
      </c>
      <c r="C10792" s="1" t="n">
        <v>45357</v>
      </c>
      <c r="D10792" t="inlineStr">
        <is>
          <t>VÄSTERBOTTENS LÄN</t>
        </is>
      </c>
      <c r="E10792" t="inlineStr">
        <is>
          <t>MALÅ</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37505-2023</t>
        </is>
      </c>
      <c r="B10793" s="1" t="n">
        <v>45158</v>
      </c>
      <c r="C10793" s="1" t="n">
        <v>45357</v>
      </c>
      <c r="D10793" t="inlineStr">
        <is>
          <t>VÄSTERBOTTENS LÄN</t>
        </is>
      </c>
      <c r="E10793" t="inlineStr">
        <is>
          <t>VILHELMINA</t>
        </is>
      </c>
      <c r="G10793" t="n">
        <v>10.5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37513-2023</t>
        </is>
      </c>
      <c r="B10794" s="1" t="n">
        <v>45158</v>
      </c>
      <c r="C10794" s="1" t="n">
        <v>45357</v>
      </c>
      <c r="D10794" t="inlineStr">
        <is>
          <t>VÄSTERBOTTENS LÄN</t>
        </is>
      </c>
      <c r="E10794" t="inlineStr">
        <is>
          <t>MALÅ</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37533-2023</t>
        </is>
      </c>
      <c r="B10795" s="1" t="n">
        <v>45158</v>
      </c>
      <c r="C10795" s="1" t="n">
        <v>45357</v>
      </c>
      <c r="D10795" t="inlineStr">
        <is>
          <t>VÄSTERBOTTENS LÄN</t>
        </is>
      </c>
      <c r="E10795" t="inlineStr">
        <is>
          <t>MALÅ</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37506-2023</t>
        </is>
      </c>
      <c r="B10796" s="1" t="n">
        <v>45158</v>
      </c>
      <c r="C10796" s="1" t="n">
        <v>45357</v>
      </c>
      <c r="D10796" t="inlineStr">
        <is>
          <t>VÄSTERBOTTENS LÄN</t>
        </is>
      </c>
      <c r="E10796" t="inlineStr">
        <is>
          <t>MALÅ</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37514-2023</t>
        </is>
      </c>
      <c r="B10797" s="1" t="n">
        <v>45158</v>
      </c>
      <c r="C10797" s="1" t="n">
        <v>45357</v>
      </c>
      <c r="D10797" t="inlineStr">
        <is>
          <t>VÄSTERBOTTENS LÄN</t>
        </is>
      </c>
      <c r="E10797" t="inlineStr">
        <is>
          <t>MALÅ</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37546-2023</t>
        </is>
      </c>
      <c r="B10798" s="1" t="n">
        <v>45158</v>
      </c>
      <c r="C10798" s="1" t="n">
        <v>45357</v>
      </c>
      <c r="D10798" t="inlineStr">
        <is>
          <t>VÄSTERBOTTENS LÄN</t>
        </is>
      </c>
      <c r="E10798" t="inlineStr">
        <is>
          <t>NORDMALING</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37511-2023</t>
        </is>
      </c>
      <c r="B10799" s="1" t="n">
        <v>45158</v>
      </c>
      <c r="C10799" s="1" t="n">
        <v>45357</v>
      </c>
      <c r="D10799" t="inlineStr">
        <is>
          <t>VÄSTERBOTTENS LÄN</t>
        </is>
      </c>
      <c r="E10799" t="inlineStr">
        <is>
          <t>MALÅ</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37535-2023</t>
        </is>
      </c>
      <c r="B10800" s="1" t="n">
        <v>45158</v>
      </c>
      <c r="C10800" s="1" t="n">
        <v>45357</v>
      </c>
      <c r="D10800" t="inlineStr">
        <is>
          <t>VÄSTERBOTTENS LÄN</t>
        </is>
      </c>
      <c r="E10800" t="inlineStr">
        <is>
          <t>MALÅ</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37539-2023</t>
        </is>
      </c>
      <c r="B10801" s="1" t="n">
        <v>45159</v>
      </c>
      <c r="C10801" s="1" t="n">
        <v>45357</v>
      </c>
      <c r="D10801" t="inlineStr">
        <is>
          <t>VÄSTERBOTTENS LÄN</t>
        </is>
      </c>
      <c r="E10801" t="inlineStr">
        <is>
          <t>DOROTEA</t>
        </is>
      </c>
      <c r="F10801" t="inlineStr">
        <is>
          <t>SCA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37540-2023</t>
        </is>
      </c>
      <c r="B10802" s="1" t="n">
        <v>45158</v>
      </c>
      <c r="C10802" s="1" t="n">
        <v>45357</v>
      </c>
      <c r="D10802" t="inlineStr">
        <is>
          <t>VÄSTERBOTTENS LÄN</t>
        </is>
      </c>
      <c r="E10802" t="inlineStr">
        <is>
          <t>DOROTEA</t>
        </is>
      </c>
      <c r="F10802" t="inlineStr">
        <is>
          <t>SCA</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37548-2023</t>
        </is>
      </c>
      <c r="B10803" s="1" t="n">
        <v>45159</v>
      </c>
      <c r="C10803" s="1" t="n">
        <v>45357</v>
      </c>
      <c r="D10803" t="inlineStr">
        <is>
          <t>VÄSTERBOTTENS LÄN</t>
        </is>
      </c>
      <c r="E10803" t="inlineStr">
        <is>
          <t>NORDMALING</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37537-2023</t>
        </is>
      </c>
      <c r="B10804" s="1" t="n">
        <v>45158</v>
      </c>
      <c r="C10804" s="1" t="n">
        <v>45357</v>
      </c>
      <c r="D10804" t="inlineStr">
        <is>
          <t>VÄSTERBOTTENS LÄN</t>
        </is>
      </c>
      <c r="E10804" t="inlineStr">
        <is>
          <t>MALÅ</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37541-2023</t>
        </is>
      </c>
      <c r="B10805" s="1" t="n">
        <v>45158</v>
      </c>
      <c r="C10805" s="1" t="n">
        <v>45357</v>
      </c>
      <c r="D10805" t="inlineStr">
        <is>
          <t>VÄSTERBOTTENS LÄN</t>
        </is>
      </c>
      <c r="E10805" t="inlineStr">
        <is>
          <t>DOROTEA</t>
        </is>
      </c>
      <c r="F10805" t="inlineStr">
        <is>
          <t>SCA</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37549-2023</t>
        </is>
      </c>
      <c r="B10806" s="1" t="n">
        <v>45158</v>
      </c>
      <c r="C10806" s="1" t="n">
        <v>45357</v>
      </c>
      <c r="D10806" t="inlineStr">
        <is>
          <t>VÄSTERBOTTENS LÄN</t>
        </is>
      </c>
      <c r="E10806" t="inlineStr">
        <is>
          <t>NORDMALING</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37565-2023</t>
        </is>
      </c>
      <c r="B10807" s="1" t="n">
        <v>45159</v>
      </c>
      <c r="C10807" s="1" t="n">
        <v>45357</v>
      </c>
      <c r="D10807" t="inlineStr">
        <is>
          <t>VÄSTERBOTTENS LÄN</t>
        </is>
      </c>
      <c r="E10807" t="inlineStr">
        <is>
          <t>MALÅ</t>
        </is>
      </c>
      <c r="F10807" t="inlineStr">
        <is>
          <t>Sveaskog</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37585-2023</t>
        </is>
      </c>
      <c r="B10808" s="1" t="n">
        <v>45159</v>
      </c>
      <c r="C10808" s="1" t="n">
        <v>45357</v>
      </c>
      <c r="D10808" t="inlineStr">
        <is>
          <t>VÄSTERBOTTENS LÄN</t>
        </is>
      </c>
      <c r="E10808" t="inlineStr">
        <is>
          <t>MALÅ</t>
        </is>
      </c>
      <c r="F10808" t="inlineStr">
        <is>
          <t>Sveaskog</t>
        </is>
      </c>
      <c r="G10808" t="n">
        <v>32.4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37617-2023</t>
        </is>
      </c>
      <c r="B10809" s="1" t="n">
        <v>45159</v>
      </c>
      <c r="C10809" s="1" t="n">
        <v>45357</v>
      </c>
      <c r="D10809" t="inlineStr">
        <is>
          <t>VÄSTERBOTTENS LÄN</t>
        </is>
      </c>
      <c r="E10809" t="inlineStr">
        <is>
          <t>ROBERTSFORS</t>
        </is>
      </c>
      <c r="F10809" t="inlineStr">
        <is>
          <t>Holmen skog AB</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37686-2023</t>
        </is>
      </c>
      <c r="B10810" s="1" t="n">
        <v>45159</v>
      </c>
      <c r="C10810" s="1" t="n">
        <v>45357</v>
      </c>
      <c r="D10810" t="inlineStr">
        <is>
          <t>VÄSTERBOTTENS LÄN</t>
        </is>
      </c>
      <c r="E10810" t="inlineStr">
        <is>
          <t>ÅSELE</t>
        </is>
      </c>
      <c r="F10810" t="inlineStr">
        <is>
          <t>Sveaskog</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37607-2023</t>
        </is>
      </c>
      <c r="B10811" s="1" t="n">
        <v>45159</v>
      </c>
      <c r="C10811" s="1" t="n">
        <v>45357</v>
      </c>
      <c r="D10811" t="inlineStr">
        <is>
          <t>VÄSTERBOTTENS LÄN</t>
        </is>
      </c>
      <c r="E10811" t="inlineStr">
        <is>
          <t>LYCKSELE</t>
        </is>
      </c>
      <c r="F10811" t="inlineStr">
        <is>
          <t>Sveaskog</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37815-2023</t>
        </is>
      </c>
      <c r="B10812" s="1" t="n">
        <v>45159</v>
      </c>
      <c r="C10812" s="1" t="n">
        <v>45357</v>
      </c>
      <c r="D10812" t="inlineStr">
        <is>
          <t>VÄSTERBOTTENS LÄN</t>
        </is>
      </c>
      <c r="E10812" t="inlineStr">
        <is>
          <t>SORSELE</t>
        </is>
      </c>
      <c r="F10812" t="inlineStr">
        <is>
          <t>SCA</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37916-2023</t>
        </is>
      </c>
      <c r="B10813" s="1" t="n">
        <v>45159</v>
      </c>
      <c r="C10813" s="1" t="n">
        <v>45357</v>
      </c>
      <c r="D10813" t="inlineStr">
        <is>
          <t>VÄSTERBOTTENS LÄN</t>
        </is>
      </c>
      <c r="E10813" t="inlineStr">
        <is>
          <t>MALÅ</t>
        </is>
      </c>
      <c r="G10813" t="n">
        <v>16.6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37555-2023</t>
        </is>
      </c>
      <c r="B10814" s="1" t="n">
        <v>45159</v>
      </c>
      <c r="C10814" s="1" t="n">
        <v>45357</v>
      </c>
      <c r="D10814" t="inlineStr">
        <is>
          <t>VÄSTERBOTTENS LÄN</t>
        </is>
      </c>
      <c r="E10814" t="inlineStr">
        <is>
          <t>ÅSELE</t>
        </is>
      </c>
      <c r="F10814" t="inlineStr">
        <is>
          <t>Holmen skog AB</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37755-2023</t>
        </is>
      </c>
      <c r="B10815" s="1" t="n">
        <v>45159</v>
      </c>
      <c r="C10815" s="1" t="n">
        <v>45357</v>
      </c>
      <c r="D10815" t="inlineStr">
        <is>
          <t>VÄSTERBOTTENS LÄN</t>
        </is>
      </c>
      <c r="E10815" t="inlineStr">
        <is>
          <t>SORSELE</t>
        </is>
      </c>
      <c r="F10815" t="inlineStr">
        <is>
          <t>SCA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37796-2023</t>
        </is>
      </c>
      <c r="B10816" s="1" t="n">
        <v>45160</v>
      </c>
      <c r="C10816" s="1" t="n">
        <v>45357</v>
      </c>
      <c r="D10816" t="inlineStr">
        <is>
          <t>VÄSTERBOTTENS LÄN</t>
        </is>
      </c>
      <c r="E10816" t="inlineStr">
        <is>
          <t>SKELLEFTEÅ</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37550-2023</t>
        </is>
      </c>
      <c r="B10817" s="1" t="n">
        <v>45159</v>
      </c>
      <c r="C10817" s="1" t="n">
        <v>45357</v>
      </c>
      <c r="D10817" t="inlineStr">
        <is>
          <t>VÄSTERBOTTENS LÄN</t>
        </is>
      </c>
      <c r="E10817" t="inlineStr">
        <is>
          <t>NORSJÖ</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37562-2023</t>
        </is>
      </c>
      <c r="B10818" s="1" t="n">
        <v>45159</v>
      </c>
      <c r="C10818" s="1" t="n">
        <v>45357</v>
      </c>
      <c r="D10818" t="inlineStr">
        <is>
          <t>VÄSTERBOTTENS LÄN</t>
        </is>
      </c>
      <c r="E10818" t="inlineStr">
        <is>
          <t>NORSJÖ</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37613-2023</t>
        </is>
      </c>
      <c r="B10819" s="1" t="n">
        <v>45159</v>
      </c>
      <c r="C10819" s="1" t="n">
        <v>45357</v>
      </c>
      <c r="D10819" t="inlineStr">
        <is>
          <t>VÄSTERBOTTENS LÄN</t>
        </is>
      </c>
      <c r="E10819" t="inlineStr">
        <is>
          <t>NORSJÖ</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37732-2023</t>
        </is>
      </c>
      <c r="B10820" s="1" t="n">
        <v>45159</v>
      </c>
      <c r="C10820" s="1" t="n">
        <v>45357</v>
      </c>
      <c r="D10820" t="inlineStr">
        <is>
          <t>VÄSTERBOTTENS LÄN</t>
        </is>
      </c>
      <c r="E10820" t="inlineStr">
        <is>
          <t>NORSJÖ</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37712-2023</t>
        </is>
      </c>
      <c r="B10821" s="1" t="n">
        <v>45159</v>
      </c>
      <c r="C10821" s="1" t="n">
        <v>45357</v>
      </c>
      <c r="D10821" t="inlineStr">
        <is>
          <t>VÄSTERBOTTENS LÄN</t>
        </is>
      </c>
      <c r="E10821" t="inlineStr">
        <is>
          <t>NORDMALING</t>
        </is>
      </c>
      <c r="G10821" t="n">
        <v>8.800000000000001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37756-2023</t>
        </is>
      </c>
      <c r="B10822" s="1" t="n">
        <v>45159</v>
      </c>
      <c r="C10822" s="1" t="n">
        <v>45357</v>
      </c>
      <c r="D10822" t="inlineStr">
        <is>
          <t>VÄSTERBOTTENS LÄN</t>
        </is>
      </c>
      <c r="E10822" t="inlineStr">
        <is>
          <t>NORSJÖ</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37766-2023</t>
        </is>
      </c>
      <c r="B10823" s="1" t="n">
        <v>45159</v>
      </c>
      <c r="C10823" s="1" t="n">
        <v>45357</v>
      </c>
      <c r="D10823" t="inlineStr">
        <is>
          <t>VÄSTERBOTTENS LÄN</t>
        </is>
      </c>
      <c r="E10823" t="inlineStr">
        <is>
          <t>NORSJÖ</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37785-2023</t>
        </is>
      </c>
      <c r="B10824" s="1" t="n">
        <v>45159</v>
      </c>
      <c r="C10824" s="1" t="n">
        <v>45357</v>
      </c>
      <c r="D10824" t="inlineStr">
        <is>
          <t>VÄSTERBOTTENS LÄN</t>
        </is>
      </c>
      <c r="E10824" t="inlineStr">
        <is>
          <t>MALÅ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37782-2023</t>
        </is>
      </c>
      <c r="B10825" s="1" t="n">
        <v>45159</v>
      </c>
      <c r="C10825" s="1" t="n">
        <v>45357</v>
      </c>
      <c r="D10825" t="inlineStr">
        <is>
          <t>VÄSTERBOTTENS LÄN</t>
        </is>
      </c>
      <c r="E10825" t="inlineStr">
        <is>
          <t>MALÅ</t>
        </is>
      </c>
      <c r="G10825" t="n">
        <v>12.2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37786-2023</t>
        </is>
      </c>
      <c r="B10826" s="1" t="n">
        <v>45159</v>
      </c>
      <c r="C10826" s="1" t="n">
        <v>45357</v>
      </c>
      <c r="D10826" t="inlineStr">
        <is>
          <t>VÄSTERBOTTENS LÄN</t>
        </is>
      </c>
      <c r="E10826" t="inlineStr">
        <is>
          <t>MALÅ</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37794-2023</t>
        </is>
      </c>
      <c r="B10827" s="1" t="n">
        <v>45159</v>
      </c>
      <c r="C10827" s="1" t="n">
        <v>45357</v>
      </c>
      <c r="D10827" t="inlineStr">
        <is>
          <t>VÄSTERBOTTENS LÄN</t>
        </is>
      </c>
      <c r="E10827" t="inlineStr">
        <is>
          <t>NORSJÖ</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37810-2023</t>
        </is>
      </c>
      <c r="B10828" s="1" t="n">
        <v>45159</v>
      </c>
      <c r="C10828" s="1" t="n">
        <v>45357</v>
      </c>
      <c r="D10828" t="inlineStr">
        <is>
          <t>VÄSTERBOTTENS LÄN</t>
        </is>
      </c>
      <c r="E10828" t="inlineStr">
        <is>
          <t>SORSELE</t>
        </is>
      </c>
      <c r="F10828" t="inlineStr">
        <is>
          <t>SCA</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37897-2023</t>
        </is>
      </c>
      <c r="B10829" s="1" t="n">
        <v>45159</v>
      </c>
      <c r="C10829" s="1" t="n">
        <v>45357</v>
      </c>
      <c r="D10829" t="inlineStr">
        <is>
          <t>VÄSTERBOTTENS LÄN</t>
        </is>
      </c>
      <c r="E10829" t="inlineStr">
        <is>
          <t>MALÅ</t>
        </is>
      </c>
      <c r="G10829" t="n">
        <v>30.4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38050-2023</t>
        </is>
      </c>
      <c r="B10830" s="1" t="n">
        <v>45159</v>
      </c>
      <c r="C10830" s="1" t="n">
        <v>45357</v>
      </c>
      <c r="D10830" t="inlineStr">
        <is>
          <t>VÄSTERBOTTENS LÄN</t>
        </is>
      </c>
      <c r="E10830" t="inlineStr">
        <is>
          <t>VINDELN</t>
        </is>
      </c>
      <c r="G10830" t="n">
        <v>9.5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37937-2023</t>
        </is>
      </c>
      <c r="B10831" s="1" t="n">
        <v>45159</v>
      </c>
      <c r="C10831" s="1" t="n">
        <v>45357</v>
      </c>
      <c r="D10831" t="inlineStr">
        <is>
          <t>VÄSTERBOTTENS LÄN</t>
        </is>
      </c>
      <c r="E10831" t="inlineStr">
        <is>
          <t>VILHELMINA</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38024-2023</t>
        </is>
      </c>
      <c r="B10832" s="1" t="n">
        <v>45159</v>
      </c>
      <c r="C10832" s="1" t="n">
        <v>45357</v>
      </c>
      <c r="D10832" t="inlineStr">
        <is>
          <t>VÄSTERBOTTENS LÄN</t>
        </is>
      </c>
      <c r="E10832" t="inlineStr">
        <is>
          <t>VINDELN</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37813-2023</t>
        </is>
      </c>
      <c r="B10833" s="1" t="n">
        <v>45159</v>
      </c>
      <c r="C10833" s="1" t="n">
        <v>45357</v>
      </c>
      <c r="D10833" t="inlineStr">
        <is>
          <t>VÄSTERBOTTENS LÄN</t>
        </is>
      </c>
      <c r="E10833" t="inlineStr">
        <is>
          <t>SORSELE</t>
        </is>
      </c>
      <c r="F10833" t="inlineStr">
        <is>
          <t>SCA</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37925-2023</t>
        </is>
      </c>
      <c r="B10834" s="1" t="n">
        <v>45159</v>
      </c>
      <c r="C10834" s="1" t="n">
        <v>45357</v>
      </c>
      <c r="D10834" t="inlineStr">
        <is>
          <t>VÄSTERBOTTENS LÄN</t>
        </is>
      </c>
      <c r="E10834" t="inlineStr">
        <is>
          <t>MALÅ</t>
        </is>
      </c>
      <c r="G10834" t="n">
        <v>28.7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37948-2023</t>
        </is>
      </c>
      <c r="B10835" s="1" t="n">
        <v>45159</v>
      </c>
      <c r="C10835" s="1" t="n">
        <v>45357</v>
      </c>
      <c r="D10835" t="inlineStr">
        <is>
          <t>VÄSTERBOTTENS LÄN</t>
        </is>
      </c>
      <c r="E10835" t="inlineStr">
        <is>
          <t>VINDELN</t>
        </is>
      </c>
      <c r="G10835" t="n">
        <v>1</v>
      </c>
      <c r="H10835" t="n">
        <v>0</v>
      </c>
      <c r="I10835" t="n">
        <v>0</v>
      </c>
      <c r="J10835" t="n">
        <v>0</v>
      </c>
      <c r="K10835" t="n">
        <v>0</v>
      </c>
      <c r="L10835" t="n">
        <v>0</v>
      </c>
      <c r="M10835" t="n">
        <v>0</v>
      </c>
      <c r="N10835" t="n">
        <v>0</v>
      </c>
      <c r="O10835" t="n">
        <v>0</v>
      </c>
      <c r="P10835" t="n">
        <v>0</v>
      </c>
      <c r="Q10835" t="n">
        <v>0</v>
      </c>
      <c r="R10835" s="2" t="inlineStr"/>
      <c r="U10835">
        <f>HYPERLINK("https://klasma.github.io/Logging_2404/knärot/A 37948-2023 karta knärot.png", "A 37948-2023")</f>
        <v/>
      </c>
      <c r="V10835">
        <f>HYPERLINK("https://klasma.github.io/Logging_2404/klagomål/A 37948-2023 FSC-klagomål.docx", "A 37948-2023")</f>
        <v/>
      </c>
      <c r="W10835">
        <f>HYPERLINK("https://klasma.github.io/Logging_2404/klagomålsmail/A 37948-2023 FSC-klagomål mail.docx", "A 37948-2023")</f>
        <v/>
      </c>
      <c r="X10835">
        <f>HYPERLINK("https://klasma.github.io/Logging_2404/tillsyn/A 37948-2023 tillsynsbegäran.docx", "A 37948-2023")</f>
        <v/>
      </c>
      <c r="Y10835">
        <f>HYPERLINK("https://klasma.github.io/Logging_2404/tillsynsmail/A 37948-2023 tillsynsbegäran mail.docx", "A 37948-2023")</f>
        <v/>
      </c>
    </row>
    <row r="10836" ht="15" customHeight="1">
      <c r="A10836" t="inlineStr">
        <is>
          <t>A 37959-2023</t>
        </is>
      </c>
      <c r="B10836" s="1" t="n">
        <v>45159</v>
      </c>
      <c r="C10836" s="1" t="n">
        <v>45357</v>
      </c>
      <c r="D10836" t="inlineStr">
        <is>
          <t>VÄSTERBOTTENS LÄN</t>
        </is>
      </c>
      <c r="E10836" t="inlineStr">
        <is>
          <t>VINDELN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37812-2023</t>
        </is>
      </c>
      <c r="B10837" s="1" t="n">
        <v>45160</v>
      </c>
      <c r="C10837" s="1" t="n">
        <v>45357</v>
      </c>
      <c r="D10837" t="inlineStr">
        <is>
          <t>VÄSTERBOTTENS LÄN</t>
        </is>
      </c>
      <c r="E10837" t="inlineStr">
        <is>
          <t>SORSELE</t>
        </is>
      </c>
      <c r="F10837" t="inlineStr">
        <is>
          <t>SCA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37816-2023</t>
        </is>
      </c>
      <c r="B10838" s="1" t="n">
        <v>45160</v>
      </c>
      <c r="C10838" s="1" t="n">
        <v>45357</v>
      </c>
      <c r="D10838" t="inlineStr">
        <is>
          <t>VÄSTERBOTTENS LÄN</t>
        </is>
      </c>
      <c r="E10838" t="inlineStr">
        <is>
          <t>SORSELE</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37922-2023</t>
        </is>
      </c>
      <c r="B10839" s="1" t="n">
        <v>45159</v>
      </c>
      <c r="C10839" s="1" t="n">
        <v>45357</v>
      </c>
      <c r="D10839" t="inlineStr">
        <is>
          <t>VÄSTERBOTTENS LÄN</t>
        </is>
      </c>
      <c r="E10839" t="inlineStr">
        <is>
          <t>MALÅ</t>
        </is>
      </c>
      <c r="G10839" t="n">
        <v>9.699999999999999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38042-2023</t>
        </is>
      </c>
      <c r="B10840" s="1" t="n">
        <v>45159</v>
      </c>
      <c r="C10840" s="1" t="n">
        <v>45357</v>
      </c>
      <c r="D10840" t="inlineStr">
        <is>
          <t>VÄSTERBOTTENS LÄN</t>
        </is>
      </c>
      <c r="E10840" t="inlineStr">
        <is>
          <t>VINDELN</t>
        </is>
      </c>
      <c r="G10840" t="n">
        <v>9.5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38060-2023</t>
        </is>
      </c>
      <c r="B10841" s="1" t="n">
        <v>45159</v>
      </c>
      <c r="C10841" s="1" t="n">
        <v>45357</v>
      </c>
      <c r="D10841" t="inlineStr">
        <is>
          <t>VÄSTERBOTTENS LÄN</t>
        </is>
      </c>
      <c r="E10841" t="inlineStr">
        <is>
          <t>VINDELN</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38140-2023</t>
        </is>
      </c>
      <c r="B10842" s="1" t="n">
        <v>45159</v>
      </c>
      <c r="C10842" s="1" t="n">
        <v>45357</v>
      </c>
      <c r="D10842" t="inlineStr">
        <is>
          <t>VÄSTERBOTTENS LÄN</t>
        </is>
      </c>
      <c r="E10842" t="inlineStr">
        <is>
          <t>SKELLEFTEÅ</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37954-2023</t>
        </is>
      </c>
      <c r="B10843" s="1" t="n">
        <v>45159</v>
      </c>
      <c r="C10843" s="1" t="n">
        <v>45357</v>
      </c>
      <c r="D10843" t="inlineStr">
        <is>
          <t>VÄSTERBOTTENS LÄN</t>
        </is>
      </c>
      <c r="E10843" t="inlineStr">
        <is>
          <t>MALÅ</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37975-2023</t>
        </is>
      </c>
      <c r="B10844" s="1" t="n">
        <v>45159</v>
      </c>
      <c r="C10844" s="1" t="n">
        <v>45357</v>
      </c>
      <c r="D10844" t="inlineStr">
        <is>
          <t>VÄSTERBOTTENS LÄN</t>
        </is>
      </c>
      <c r="E10844" t="inlineStr">
        <is>
          <t>MALÅ</t>
        </is>
      </c>
      <c r="G10844" t="n">
        <v>18.1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38035-2023</t>
        </is>
      </c>
      <c r="B10845" s="1" t="n">
        <v>45159</v>
      </c>
      <c r="C10845" s="1" t="n">
        <v>45357</v>
      </c>
      <c r="D10845" t="inlineStr">
        <is>
          <t>VÄSTERBOTTENS LÄN</t>
        </is>
      </c>
      <c r="E10845" t="inlineStr">
        <is>
          <t>VINDELN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38057-2023</t>
        </is>
      </c>
      <c r="B10846" s="1" t="n">
        <v>45159</v>
      </c>
      <c r="C10846" s="1" t="n">
        <v>45357</v>
      </c>
      <c r="D10846" t="inlineStr">
        <is>
          <t>VÄSTERBOTTENS LÄN</t>
        </is>
      </c>
      <c r="E10846" t="inlineStr">
        <is>
          <t>VINDELN</t>
        </is>
      </c>
      <c r="G10846" t="n">
        <v>11.3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38134-2023</t>
        </is>
      </c>
      <c r="B10847" s="1" t="n">
        <v>45159</v>
      </c>
      <c r="C10847" s="1" t="n">
        <v>45357</v>
      </c>
      <c r="D10847" t="inlineStr">
        <is>
          <t>VÄSTERBOTTENS LÄN</t>
        </is>
      </c>
      <c r="E10847" t="inlineStr">
        <is>
          <t>SKELLEFTEÅ</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37848-2023</t>
        </is>
      </c>
      <c r="B10848" s="1" t="n">
        <v>45160</v>
      </c>
      <c r="C10848" s="1" t="n">
        <v>45357</v>
      </c>
      <c r="D10848" t="inlineStr">
        <is>
          <t>VÄSTERBOTTENS LÄN</t>
        </is>
      </c>
      <c r="E10848" t="inlineStr">
        <is>
          <t>ROBERTSFORS</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37886-2023</t>
        </is>
      </c>
      <c r="B10849" s="1" t="n">
        <v>45160</v>
      </c>
      <c r="C10849" s="1" t="n">
        <v>45357</v>
      </c>
      <c r="D10849" t="inlineStr">
        <is>
          <t>VÄSTERBOTTENS LÄN</t>
        </is>
      </c>
      <c r="E10849" t="inlineStr">
        <is>
          <t>MALÅ</t>
        </is>
      </c>
      <c r="F10849" t="inlineStr">
        <is>
          <t>Sveaskog</t>
        </is>
      </c>
      <c r="G10849" t="n">
        <v>60.1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37825-2023</t>
        </is>
      </c>
      <c r="B10850" s="1" t="n">
        <v>45160</v>
      </c>
      <c r="C10850" s="1" t="n">
        <v>45357</v>
      </c>
      <c r="D10850" t="inlineStr">
        <is>
          <t>VÄSTERBOTTENS LÄN</t>
        </is>
      </c>
      <c r="E10850" t="inlineStr">
        <is>
          <t>SORSELE</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37867-2023</t>
        </is>
      </c>
      <c r="B10851" s="1" t="n">
        <v>45160</v>
      </c>
      <c r="C10851" s="1" t="n">
        <v>45357</v>
      </c>
      <c r="D10851" t="inlineStr">
        <is>
          <t>VÄSTERBOTTENS LÄN</t>
        </is>
      </c>
      <c r="E10851" t="inlineStr">
        <is>
          <t>MALÅ</t>
        </is>
      </c>
      <c r="G10851" t="n">
        <v>10.9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37883-2023</t>
        </is>
      </c>
      <c r="B10852" s="1" t="n">
        <v>45160</v>
      </c>
      <c r="C10852" s="1" t="n">
        <v>45357</v>
      </c>
      <c r="D10852" t="inlineStr">
        <is>
          <t>VÄSTERBOTTENS LÄN</t>
        </is>
      </c>
      <c r="E10852" t="inlineStr">
        <is>
          <t>SKELLEFTEÅ</t>
        </is>
      </c>
      <c r="F10852" t="inlineStr">
        <is>
          <t>Holmen skog AB</t>
        </is>
      </c>
      <c r="G10852" t="n">
        <v>10.4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37838-2023</t>
        </is>
      </c>
      <c r="B10853" s="1" t="n">
        <v>45160</v>
      </c>
      <c r="C10853" s="1" t="n">
        <v>45357</v>
      </c>
      <c r="D10853" t="inlineStr">
        <is>
          <t>VÄSTERBOTTENS LÄN</t>
        </is>
      </c>
      <c r="E10853" t="inlineStr">
        <is>
          <t>SKELLEFTEÅ</t>
        </is>
      </c>
      <c r="G10853" t="n">
        <v>4.8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37877-2023</t>
        </is>
      </c>
      <c r="B10854" s="1" t="n">
        <v>45160</v>
      </c>
      <c r="C10854" s="1" t="n">
        <v>45357</v>
      </c>
      <c r="D10854" t="inlineStr">
        <is>
          <t>VÄSTERBOTTENS LÄN</t>
        </is>
      </c>
      <c r="E10854" t="inlineStr">
        <is>
          <t>MALÅ</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37889-2023</t>
        </is>
      </c>
      <c r="B10855" s="1" t="n">
        <v>45160</v>
      </c>
      <c r="C10855" s="1" t="n">
        <v>45357</v>
      </c>
      <c r="D10855" t="inlineStr">
        <is>
          <t>VÄSTERBOTTENS LÄN</t>
        </is>
      </c>
      <c r="E10855" t="inlineStr">
        <is>
          <t>UMEÅ</t>
        </is>
      </c>
      <c r="F10855" t="inlineStr">
        <is>
          <t>Holmen skog AB</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37914-2023</t>
        </is>
      </c>
      <c r="B10856" s="1" t="n">
        <v>45160</v>
      </c>
      <c r="C10856" s="1" t="n">
        <v>45357</v>
      </c>
      <c r="D10856" t="inlineStr">
        <is>
          <t>VÄSTERBOTTENS LÄN</t>
        </is>
      </c>
      <c r="E10856" t="inlineStr">
        <is>
          <t>SKELLEFTEÅ</t>
        </is>
      </c>
      <c r="F10856" t="inlineStr">
        <is>
          <t>Holmen skog AB</t>
        </is>
      </c>
      <c r="G10856" t="n">
        <v>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37924-2023</t>
        </is>
      </c>
      <c r="B10857" s="1" t="n">
        <v>45160</v>
      </c>
      <c r="C10857" s="1" t="n">
        <v>45357</v>
      </c>
      <c r="D10857" t="inlineStr">
        <is>
          <t>VÄSTERBOTTENS LÄN</t>
        </is>
      </c>
      <c r="E10857" t="inlineStr">
        <is>
          <t>ROBERTSFORS</t>
        </is>
      </c>
      <c r="F10857" t="inlineStr">
        <is>
          <t>Holmen skog AB</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37978-2023</t>
        </is>
      </c>
      <c r="B10858" s="1" t="n">
        <v>45160</v>
      </c>
      <c r="C10858" s="1" t="n">
        <v>45357</v>
      </c>
      <c r="D10858" t="inlineStr">
        <is>
          <t>VÄSTERBOTTENS LÄN</t>
        </is>
      </c>
      <c r="E10858" t="inlineStr">
        <is>
          <t>MALÅ</t>
        </is>
      </c>
      <c r="F10858" t="inlineStr">
        <is>
          <t>Sveaskog</t>
        </is>
      </c>
      <c r="G10858" t="n">
        <v>23.4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38075-2023</t>
        </is>
      </c>
      <c r="B10859" s="1" t="n">
        <v>45160</v>
      </c>
      <c r="C10859" s="1" t="n">
        <v>45357</v>
      </c>
      <c r="D10859" t="inlineStr">
        <is>
          <t>VÄSTERBOTTENS LÄN</t>
        </is>
      </c>
      <c r="E10859" t="inlineStr">
        <is>
          <t>ÅSELE</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38083-2023</t>
        </is>
      </c>
      <c r="B10860" s="1" t="n">
        <v>45160</v>
      </c>
      <c r="C10860" s="1" t="n">
        <v>45357</v>
      </c>
      <c r="D10860" t="inlineStr">
        <is>
          <t>VÄSTERBOTTENS LÄN</t>
        </is>
      </c>
      <c r="E10860" t="inlineStr">
        <is>
          <t>ROBERTSFORS</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37921-2023</t>
        </is>
      </c>
      <c r="B10861" s="1" t="n">
        <v>45160</v>
      </c>
      <c r="C10861" s="1" t="n">
        <v>45357</v>
      </c>
      <c r="D10861" t="inlineStr">
        <is>
          <t>VÄSTERBOTTENS LÄN</t>
        </is>
      </c>
      <c r="E10861" t="inlineStr">
        <is>
          <t>BJURHOLM</t>
        </is>
      </c>
      <c r="F10861" t="inlineStr">
        <is>
          <t>Holmen skog AB</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37958-2023</t>
        </is>
      </c>
      <c r="B10862" s="1" t="n">
        <v>45160</v>
      </c>
      <c r="C10862" s="1" t="n">
        <v>45357</v>
      </c>
      <c r="D10862" t="inlineStr">
        <is>
          <t>VÄSTERBOTTENS LÄN</t>
        </is>
      </c>
      <c r="E10862" t="inlineStr">
        <is>
          <t>MALÅ</t>
        </is>
      </c>
      <c r="F10862" t="inlineStr">
        <is>
          <t>Sveaskog</t>
        </is>
      </c>
      <c r="G10862" t="n">
        <v>38.7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37964-2023</t>
        </is>
      </c>
      <c r="B10863" s="1" t="n">
        <v>45160</v>
      </c>
      <c r="C10863" s="1" t="n">
        <v>45357</v>
      </c>
      <c r="D10863" t="inlineStr">
        <is>
          <t>VÄSTERBOTTENS LÄN</t>
        </is>
      </c>
      <c r="E10863" t="inlineStr">
        <is>
          <t>MALÅ</t>
        </is>
      </c>
      <c r="F10863" t="inlineStr">
        <is>
          <t>Sveaskog</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37968-2023</t>
        </is>
      </c>
      <c r="B10864" s="1" t="n">
        <v>45160</v>
      </c>
      <c r="C10864" s="1" t="n">
        <v>45357</v>
      </c>
      <c r="D10864" t="inlineStr">
        <is>
          <t>VÄSTERBOTTENS LÄN</t>
        </is>
      </c>
      <c r="E10864" t="inlineStr">
        <is>
          <t>MALÅ</t>
        </is>
      </c>
      <c r="F10864" t="inlineStr">
        <is>
          <t>Sveaskog</t>
        </is>
      </c>
      <c r="G10864" t="n">
        <v>22.1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37973-2023</t>
        </is>
      </c>
      <c r="B10865" s="1" t="n">
        <v>45160</v>
      </c>
      <c r="C10865" s="1" t="n">
        <v>45357</v>
      </c>
      <c r="D10865" t="inlineStr">
        <is>
          <t>VÄSTERBOTTENS LÄN</t>
        </is>
      </c>
      <c r="E10865" t="inlineStr">
        <is>
          <t>MALÅ</t>
        </is>
      </c>
      <c r="F10865" t="inlineStr">
        <is>
          <t>Sveaskog</t>
        </is>
      </c>
      <c r="G10865" t="n">
        <v>17.2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37855-2023</t>
        </is>
      </c>
      <c r="B10866" s="1" t="n">
        <v>45160</v>
      </c>
      <c r="C10866" s="1" t="n">
        <v>45357</v>
      </c>
      <c r="D10866" t="inlineStr">
        <is>
          <t>VÄSTERBOTTENS LÄN</t>
        </is>
      </c>
      <c r="E10866" t="inlineStr">
        <is>
          <t>SKELLEFTEÅ</t>
        </is>
      </c>
      <c r="F10866" t="inlineStr">
        <is>
          <t>Holmen skog AB</t>
        </is>
      </c>
      <c r="G10866" t="n">
        <v>12.3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37980-2023</t>
        </is>
      </c>
      <c r="B10867" s="1" t="n">
        <v>45160</v>
      </c>
      <c r="C10867" s="1" t="n">
        <v>45357</v>
      </c>
      <c r="D10867" t="inlineStr">
        <is>
          <t>VÄSTERBOTTENS LÄN</t>
        </is>
      </c>
      <c r="E10867" t="inlineStr">
        <is>
          <t>MALÅ</t>
        </is>
      </c>
      <c r="F10867" t="inlineStr">
        <is>
          <t>Sveaskog</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37890-2023</t>
        </is>
      </c>
      <c r="B10868" s="1" t="n">
        <v>45160</v>
      </c>
      <c r="C10868" s="1" t="n">
        <v>45357</v>
      </c>
      <c r="D10868" t="inlineStr">
        <is>
          <t>VÄSTERBOTTENS LÄN</t>
        </is>
      </c>
      <c r="E10868" t="inlineStr">
        <is>
          <t>NORDMALING</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38009-2023</t>
        </is>
      </c>
      <c r="B10869" s="1" t="n">
        <v>45160</v>
      </c>
      <c r="C10869" s="1" t="n">
        <v>45357</v>
      </c>
      <c r="D10869" t="inlineStr">
        <is>
          <t>VÄSTERBOTTENS LÄN</t>
        </is>
      </c>
      <c r="E10869" t="inlineStr">
        <is>
          <t>SKELLEFTEÅ</t>
        </is>
      </c>
      <c r="F10869" t="inlineStr">
        <is>
          <t>Holmen skog AB</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38013-2023</t>
        </is>
      </c>
      <c r="B10870" s="1" t="n">
        <v>45160</v>
      </c>
      <c r="C10870" s="1" t="n">
        <v>45357</v>
      </c>
      <c r="D10870" t="inlineStr">
        <is>
          <t>VÄSTERBOTTENS LÄN</t>
        </is>
      </c>
      <c r="E10870" t="inlineStr">
        <is>
          <t>SKELLEFTEÅ</t>
        </is>
      </c>
      <c r="F10870" t="inlineStr">
        <is>
          <t>Holmen skog AB</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38077-2023</t>
        </is>
      </c>
      <c r="B10871" s="1" t="n">
        <v>45160</v>
      </c>
      <c r="C10871" s="1" t="n">
        <v>45357</v>
      </c>
      <c r="D10871" t="inlineStr">
        <is>
          <t>VÄSTERBOTTENS LÄN</t>
        </is>
      </c>
      <c r="E10871" t="inlineStr">
        <is>
          <t>BJURHOLM</t>
        </is>
      </c>
      <c r="F10871" t="inlineStr">
        <is>
          <t>Holmen skog AB</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38081-2023</t>
        </is>
      </c>
      <c r="B10872" s="1" t="n">
        <v>45160</v>
      </c>
      <c r="C10872" s="1" t="n">
        <v>45357</v>
      </c>
      <c r="D10872" t="inlineStr">
        <is>
          <t>VÄSTERBOTTENS LÄN</t>
        </is>
      </c>
      <c r="E10872" t="inlineStr">
        <is>
          <t>NORSJÖ</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37901-2023</t>
        </is>
      </c>
      <c r="B10873" s="1" t="n">
        <v>45160</v>
      </c>
      <c r="C10873" s="1" t="n">
        <v>45357</v>
      </c>
      <c r="D10873" t="inlineStr">
        <is>
          <t>VÄSTERBOTTENS LÄN</t>
        </is>
      </c>
      <c r="E10873" t="inlineStr">
        <is>
          <t>ROBERTSFORS</t>
        </is>
      </c>
      <c r="F10873" t="inlineStr">
        <is>
          <t>Holmen skog AB</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37960-2023</t>
        </is>
      </c>
      <c r="B10874" s="1" t="n">
        <v>45160</v>
      </c>
      <c r="C10874" s="1" t="n">
        <v>45357</v>
      </c>
      <c r="D10874" t="inlineStr">
        <is>
          <t>VÄSTERBOTTENS LÄN</t>
        </is>
      </c>
      <c r="E10874" t="inlineStr">
        <is>
          <t>MALÅ</t>
        </is>
      </c>
      <c r="F10874" t="inlineStr">
        <is>
          <t>Sveaskog</t>
        </is>
      </c>
      <c r="G10874" t="n">
        <v>21.8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37974-2023</t>
        </is>
      </c>
      <c r="B10875" s="1" t="n">
        <v>45160</v>
      </c>
      <c r="C10875" s="1" t="n">
        <v>45357</v>
      </c>
      <c r="D10875" t="inlineStr">
        <is>
          <t>VÄSTERBOTTENS LÄN</t>
        </is>
      </c>
      <c r="E10875" t="inlineStr">
        <is>
          <t>MALÅ</t>
        </is>
      </c>
      <c r="F10875" t="inlineStr">
        <is>
          <t>Sveaskog</t>
        </is>
      </c>
      <c r="G10875" t="n">
        <v>20.4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37982-2023</t>
        </is>
      </c>
      <c r="B10876" s="1" t="n">
        <v>45160</v>
      </c>
      <c r="C10876" s="1" t="n">
        <v>45357</v>
      </c>
      <c r="D10876" t="inlineStr">
        <is>
          <t>VÄSTERBOTTENS LÄN</t>
        </is>
      </c>
      <c r="E10876" t="inlineStr">
        <is>
          <t>MALÅ</t>
        </is>
      </c>
      <c r="F10876" t="inlineStr">
        <is>
          <t>Sveaskog</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38260-2023</t>
        </is>
      </c>
      <c r="B10877" s="1" t="n">
        <v>45160</v>
      </c>
      <c r="C10877" s="1" t="n">
        <v>45357</v>
      </c>
      <c r="D10877" t="inlineStr">
        <is>
          <t>VÄSTERBOTTENS LÄN</t>
        </is>
      </c>
      <c r="E10877" t="inlineStr">
        <is>
          <t>ROBERTSFORS</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38270-2023</t>
        </is>
      </c>
      <c r="B10878" s="1" t="n">
        <v>45160</v>
      </c>
      <c r="C10878" s="1" t="n">
        <v>45357</v>
      </c>
      <c r="D10878" t="inlineStr">
        <is>
          <t>VÄSTERBOTTENS LÄN</t>
        </is>
      </c>
      <c r="E10878" t="inlineStr">
        <is>
          <t>ROBERTSFORS</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38301-2023</t>
        </is>
      </c>
      <c r="B10879" s="1" t="n">
        <v>45160</v>
      </c>
      <c r="C10879" s="1" t="n">
        <v>45357</v>
      </c>
      <c r="D10879" t="inlineStr">
        <is>
          <t>VÄSTERBOTTENS LÄN</t>
        </is>
      </c>
      <c r="E10879" t="inlineStr">
        <is>
          <t>SKELLEFTEÅ</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38265-2023</t>
        </is>
      </c>
      <c r="B10880" s="1" t="n">
        <v>45160</v>
      </c>
      <c r="C10880" s="1" t="n">
        <v>45357</v>
      </c>
      <c r="D10880" t="inlineStr">
        <is>
          <t>VÄSTERBOTTENS LÄN</t>
        </is>
      </c>
      <c r="E10880" t="inlineStr">
        <is>
          <t>ROBERTSFORS</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37972-2023</t>
        </is>
      </c>
      <c r="B10881" s="1" t="n">
        <v>45160</v>
      </c>
      <c r="C10881" s="1" t="n">
        <v>45357</v>
      </c>
      <c r="D10881" t="inlineStr">
        <is>
          <t>VÄSTERBOTTENS LÄN</t>
        </is>
      </c>
      <c r="E10881" t="inlineStr">
        <is>
          <t>MALÅ</t>
        </is>
      </c>
      <c r="F10881" t="inlineStr">
        <is>
          <t>Sveaskog</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37979-2023</t>
        </is>
      </c>
      <c r="B10882" s="1" t="n">
        <v>45160</v>
      </c>
      <c r="C10882" s="1" t="n">
        <v>45357</v>
      </c>
      <c r="D10882" t="inlineStr">
        <is>
          <t>VÄSTERBOTTENS LÄN</t>
        </is>
      </c>
      <c r="E10882" t="inlineStr">
        <is>
          <t>MALÅ</t>
        </is>
      </c>
      <c r="F10882" t="inlineStr">
        <is>
          <t>Sveaskog</t>
        </is>
      </c>
      <c r="G10882" t="n">
        <v>7.1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38314-2023</t>
        </is>
      </c>
      <c r="B10883" s="1" t="n">
        <v>45160</v>
      </c>
      <c r="C10883" s="1" t="n">
        <v>45357</v>
      </c>
      <c r="D10883" t="inlineStr">
        <is>
          <t>VÄSTERBOTTENS LÄN</t>
        </is>
      </c>
      <c r="E10883" t="inlineStr">
        <is>
          <t>SKELLEFTEÅ</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38417-2023</t>
        </is>
      </c>
      <c r="B10884" s="1" t="n">
        <v>45160</v>
      </c>
      <c r="C10884" s="1" t="n">
        <v>45357</v>
      </c>
      <c r="D10884" t="inlineStr">
        <is>
          <t>VÄSTERBOTTENS LÄN</t>
        </is>
      </c>
      <c r="E10884" t="inlineStr">
        <is>
          <t>UMEÅ</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38309-2023</t>
        </is>
      </c>
      <c r="B10885" s="1" t="n">
        <v>45160</v>
      </c>
      <c r="C10885" s="1" t="n">
        <v>45357</v>
      </c>
      <c r="D10885" t="inlineStr">
        <is>
          <t>VÄSTERBOTTENS LÄN</t>
        </is>
      </c>
      <c r="E10885" t="inlineStr">
        <is>
          <t>SKELLEFTEÅ</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38031-2023</t>
        </is>
      </c>
      <c r="B10886" s="1" t="n">
        <v>45160</v>
      </c>
      <c r="C10886" s="1" t="n">
        <v>45357</v>
      </c>
      <c r="D10886" t="inlineStr">
        <is>
          <t>VÄSTERBOTTENS LÄN</t>
        </is>
      </c>
      <c r="E10886" t="inlineStr">
        <is>
          <t>SKELLEFTEÅ</t>
        </is>
      </c>
      <c r="F10886" t="inlineStr">
        <is>
          <t>Holmen skog AB</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38076-2023</t>
        </is>
      </c>
      <c r="B10887" s="1" t="n">
        <v>45160</v>
      </c>
      <c r="C10887" s="1" t="n">
        <v>45357</v>
      </c>
      <c r="D10887" t="inlineStr">
        <is>
          <t>VÄSTERBOTTENS LÄN</t>
        </is>
      </c>
      <c r="E10887" t="inlineStr">
        <is>
          <t>ÅSELE</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38080-2023</t>
        </is>
      </c>
      <c r="B10888" s="1" t="n">
        <v>45160</v>
      </c>
      <c r="C10888" s="1" t="n">
        <v>45357</v>
      </c>
      <c r="D10888" t="inlineStr">
        <is>
          <t>VÄSTERBOTTENS LÄN</t>
        </is>
      </c>
      <c r="E10888" t="inlineStr">
        <is>
          <t>NORSJÖ</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38258-2023</t>
        </is>
      </c>
      <c r="B10889" s="1" t="n">
        <v>45160</v>
      </c>
      <c r="C10889" s="1" t="n">
        <v>45357</v>
      </c>
      <c r="D10889" t="inlineStr">
        <is>
          <t>VÄSTERBOTTENS LÄN</t>
        </is>
      </c>
      <c r="E10889" t="inlineStr">
        <is>
          <t>SKELLEFTEÅ</t>
        </is>
      </c>
      <c r="G10889" t="n">
        <v>8.6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38266-2023</t>
        </is>
      </c>
      <c r="B10890" s="1" t="n">
        <v>45160</v>
      </c>
      <c r="C10890" s="1" t="n">
        <v>45357</v>
      </c>
      <c r="D10890" t="inlineStr">
        <is>
          <t>VÄSTERBOTTENS LÄN</t>
        </is>
      </c>
      <c r="E10890" t="inlineStr">
        <is>
          <t>UMEÅ</t>
        </is>
      </c>
      <c r="G10890" t="n">
        <v>9.1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38311-2023</t>
        </is>
      </c>
      <c r="B10891" s="1" t="n">
        <v>45160</v>
      </c>
      <c r="C10891" s="1" t="n">
        <v>45357</v>
      </c>
      <c r="D10891" t="inlineStr">
        <is>
          <t>VÄSTERBOTTENS LÄN</t>
        </is>
      </c>
      <c r="E10891" t="inlineStr">
        <is>
          <t>SKELLEFTEÅ</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38413-2023</t>
        </is>
      </c>
      <c r="B10892" s="1" t="n">
        <v>45160</v>
      </c>
      <c r="C10892" s="1" t="n">
        <v>45357</v>
      </c>
      <c r="D10892" t="inlineStr">
        <is>
          <t>VÄSTERBOTTENS LÄN</t>
        </is>
      </c>
      <c r="E10892" t="inlineStr">
        <is>
          <t>BJURHOLM</t>
        </is>
      </c>
      <c r="G10892" t="n">
        <v>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38082-2023</t>
        </is>
      </c>
      <c r="B10893" s="1" t="n">
        <v>45160</v>
      </c>
      <c r="C10893" s="1" t="n">
        <v>45357</v>
      </c>
      <c r="D10893" t="inlineStr">
        <is>
          <t>VÄSTERBOTTENS LÄN</t>
        </is>
      </c>
      <c r="E10893" t="inlineStr">
        <is>
          <t>NORSJÖ</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38253-2023</t>
        </is>
      </c>
      <c r="B10894" s="1" t="n">
        <v>45160</v>
      </c>
      <c r="C10894" s="1" t="n">
        <v>45357</v>
      </c>
      <c r="D10894" t="inlineStr">
        <is>
          <t>VÄSTERBOTTENS LÄN</t>
        </is>
      </c>
      <c r="E10894" t="inlineStr">
        <is>
          <t>SKELLEFTEÅ</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38271-2023</t>
        </is>
      </c>
      <c r="B10895" s="1" t="n">
        <v>45160</v>
      </c>
      <c r="C10895" s="1" t="n">
        <v>45357</v>
      </c>
      <c r="D10895" t="inlineStr">
        <is>
          <t>VÄSTERBOTTENS LÄN</t>
        </is>
      </c>
      <c r="E10895" t="inlineStr">
        <is>
          <t>ROBERTSFORS</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38305-2023</t>
        </is>
      </c>
      <c r="B10896" s="1" t="n">
        <v>45160</v>
      </c>
      <c r="C10896" s="1" t="n">
        <v>45357</v>
      </c>
      <c r="D10896" t="inlineStr">
        <is>
          <t>VÄSTERBOTTENS LÄN</t>
        </is>
      </c>
      <c r="E10896" t="inlineStr">
        <is>
          <t>SKELLEFTEÅ</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38408-2023</t>
        </is>
      </c>
      <c r="B10897" s="1" t="n">
        <v>45160</v>
      </c>
      <c r="C10897" s="1" t="n">
        <v>45357</v>
      </c>
      <c r="D10897" t="inlineStr">
        <is>
          <t>VÄSTERBOTTENS LÄN</t>
        </is>
      </c>
      <c r="E10897" t="inlineStr">
        <is>
          <t>SORSELE</t>
        </is>
      </c>
      <c r="F10897" t="inlineStr">
        <is>
          <t>Kommuner</t>
        </is>
      </c>
      <c r="G10897" t="n">
        <v>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38717-2023</t>
        </is>
      </c>
      <c r="B10898" s="1" t="n">
        <v>45160</v>
      </c>
      <c r="C10898" s="1" t="n">
        <v>45357</v>
      </c>
      <c r="D10898" t="inlineStr">
        <is>
          <t>VÄSTERBOTTENS LÄN</t>
        </is>
      </c>
      <c r="E10898" t="inlineStr">
        <is>
          <t>SKELLEFTEÅ</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38820-2023</t>
        </is>
      </c>
      <c r="B10899" s="1" t="n">
        <v>45161</v>
      </c>
      <c r="C10899" s="1" t="n">
        <v>45357</v>
      </c>
      <c r="D10899" t="inlineStr">
        <is>
          <t>VÄSTERBOTTENS LÄN</t>
        </is>
      </c>
      <c r="E10899" t="inlineStr">
        <is>
          <t>MALÅ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40997-2023</t>
        </is>
      </c>
      <c r="B10900" s="1" t="n">
        <v>45161</v>
      </c>
      <c r="C10900" s="1" t="n">
        <v>45357</v>
      </c>
      <c r="D10900" t="inlineStr">
        <is>
          <t>VÄSTERBOTTENS LÄN</t>
        </is>
      </c>
      <c r="E10900" t="inlineStr">
        <is>
          <t>NORSJÖ</t>
        </is>
      </c>
      <c r="G10900" t="n">
        <v>14.1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38178-2023</t>
        </is>
      </c>
      <c r="B10901" s="1" t="n">
        <v>45161</v>
      </c>
      <c r="C10901" s="1" t="n">
        <v>45357</v>
      </c>
      <c r="D10901" t="inlineStr">
        <is>
          <t>VÄSTERBOTTENS LÄN</t>
        </is>
      </c>
      <c r="E10901" t="inlineStr">
        <is>
          <t>BJURHOLM</t>
        </is>
      </c>
      <c r="F10901" t="inlineStr">
        <is>
          <t>Holmen skog AB</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38826-2023</t>
        </is>
      </c>
      <c r="B10902" s="1" t="n">
        <v>45161</v>
      </c>
      <c r="C10902" s="1" t="n">
        <v>45357</v>
      </c>
      <c r="D10902" t="inlineStr">
        <is>
          <t>VÄSTERBOTTENS LÄN</t>
        </is>
      </c>
      <c r="E10902" t="inlineStr">
        <is>
          <t>SKELLEFTEÅ</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41003-2023</t>
        </is>
      </c>
      <c r="B10903" s="1" t="n">
        <v>45161</v>
      </c>
      <c r="C10903" s="1" t="n">
        <v>45357</v>
      </c>
      <c r="D10903" t="inlineStr">
        <is>
          <t>VÄSTERBOTTENS LÄN</t>
        </is>
      </c>
      <c r="E10903" t="inlineStr">
        <is>
          <t>NORSJÖ</t>
        </is>
      </c>
      <c r="G10903" t="n">
        <v>8.199999999999999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38183-2023</t>
        </is>
      </c>
      <c r="B10904" s="1" t="n">
        <v>45161</v>
      </c>
      <c r="C10904" s="1" t="n">
        <v>45357</v>
      </c>
      <c r="D10904" t="inlineStr">
        <is>
          <t>VÄSTERBOTTENS LÄN</t>
        </is>
      </c>
      <c r="E10904" t="inlineStr">
        <is>
          <t>LYCKSELE</t>
        </is>
      </c>
      <c r="F10904" t="inlineStr">
        <is>
          <t>Holmen skog AB</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38200-2023</t>
        </is>
      </c>
      <c r="B10905" s="1" t="n">
        <v>45161</v>
      </c>
      <c r="C10905" s="1" t="n">
        <v>45357</v>
      </c>
      <c r="D10905" t="inlineStr">
        <is>
          <t>VÄSTERBOTTENS LÄN</t>
        </is>
      </c>
      <c r="E10905" t="inlineStr">
        <is>
          <t>NORSJÖ</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38195-2023</t>
        </is>
      </c>
      <c r="B10906" s="1" t="n">
        <v>45161</v>
      </c>
      <c r="C10906" s="1" t="n">
        <v>45357</v>
      </c>
      <c r="D10906" t="inlineStr">
        <is>
          <t>VÄSTERBOTTENS LÄN</t>
        </is>
      </c>
      <c r="E10906" t="inlineStr">
        <is>
          <t>NORSJÖ</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38250-2023</t>
        </is>
      </c>
      <c r="B10907" s="1" t="n">
        <v>45161</v>
      </c>
      <c r="C10907" s="1" t="n">
        <v>45357</v>
      </c>
      <c r="D10907" t="inlineStr">
        <is>
          <t>VÄSTERBOTTENS LÄN</t>
        </is>
      </c>
      <c r="E10907" t="inlineStr">
        <is>
          <t>LYCKSELE</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38272-2023</t>
        </is>
      </c>
      <c r="B10908" s="1" t="n">
        <v>45161</v>
      </c>
      <c r="C10908" s="1" t="n">
        <v>45357</v>
      </c>
      <c r="D10908" t="inlineStr">
        <is>
          <t>VÄSTERBOTTENS LÄN</t>
        </is>
      </c>
      <c r="E10908" t="inlineStr">
        <is>
          <t>NORSJÖ</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38312-2023</t>
        </is>
      </c>
      <c r="B10909" s="1" t="n">
        <v>45161</v>
      </c>
      <c r="C10909" s="1" t="n">
        <v>45357</v>
      </c>
      <c r="D10909" t="inlineStr">
        <is>
          <t>VÄSTERBOTTENS LÄN</t>
        </is>
      </c>
      <c r="E10909" t="inlineStr">
        <is>
          <t>MALÅ</t>
        </is>
      </c>
      <c r="F10909" t="inlineStr">
        <is>
          <t>Sveaskog</t>
        </is>
      </c>
      <c r="G10909" t="n">
        <v>63.6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38289-2023</t>
        </is>
      </c>
      <c r="B10910" s="1" t="n">
        <v>45161</v>
      </c>
      <c r="C10910" s="1" t="n">
        <v>45357</v>
      </c>
      <c r="D10910" t="inlineStr">
        <is>
          <t>VÄSTERBOTTENS LÄN</t>
        </is>
      </c>
      <c r="E10910" t="inlineStr">
        <is>
          <t>UMEÅ</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38293-2023</t>
        </is>
      </c>
      <c r="B10911" s="1" t="n">
        <v>45161</v>
      </c>
      <c r="C10911" s="1" t="n">
        <v>45357</v>
      </c>
      <c r="D10911" t="inlineStr">
        <is>
          <t>VÄSTERBOTTENS LÄN</t>
        </is>
      </c>
      <c r="E10911" t="inlineStr">
        <is>
          <t>VINDELN</t>
        </is>
      </c>
      <c r="F10911" t="inlineStr">
        <is>
          <t>Holmen skog AB</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38346-2023</t>
        </is>
      </c>
      <c r="B10912" s="1" t="n">
        <v>45161</v>
      </c>
      <c r="C10912" s="1" t="n">
        <v>45357</v>
      </c>
      <c r="D10912" t="inlineStr">
        <is>
          <t>VÄSTERBOTTENS LÄN</t>
        </is>
      </c>
      <c r="E10912" t="inlineStr">
        <is>
          <t>MALÅ</t>
        </is>
      </c>
      <c r="F10912" t="inlineStr">
        <is>
          <t>Sveaskog</t>
        </is>
      </c>
      <c r="G10912" t="n">
        <v>26.7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38363-2023</t>
        </is>
      </c>
      <c r="B10913" s="1" t="n">
        <v>45161</v>
      </c>
      <c r="C10913" s="1" t="n">
        <v>45357</v>
      </c>
      <c r="D10913" t="inlineStr">
        <is>
          <t>VÄSTERBOTTENS LÄN</t>
        </is>
      </c>
      <c r="E10913" t="inlineStr">
        <is>
          <t>VILHELMINA</t>
        </is>
      </c>
      <c r="F10913" t="inlineStr">
        <is>
          <t>SCA</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38364-2023</t>
        </is>
      </c>
      <c r="B10914" s="1" t="n">
        <v>45161</v>
      </c>
      <c r="C10914" s="1" t="n">
        <v>45357</v>
      </c>
      <c r="D10914" t="inlineStr">
        <is>
          <t>VÄSTERBOTTENS LÄN</t>
        </is>
      </c>
      <c r="E10914" t="inlineStr">
        <is>
          <t>VILHELMINA</t>
        </is>
      </c>
      <c r="F10914" t="inlineStr">
        <is>
          <t>SCA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38857-2023</t>
        </is>
      </c>
      <c r="B10915" s="1" t="n">
        <v>45161</v>
      </c>
      <c r="C10915" s="1" t="n">
        <v>45357</v>
      </c>
      <c r="D10915" t="inlineStr">
        <is>
          <t>VÄSTERBOTTENS LÄN</t>
        </is>
      </c>
      <c r="E10915" t="inlineStr">
        <is>
          <t>MALÅ</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38126-2023</t>
        </is>
      </c>
      <c r="B10916" s="1" t="n">
        <v>45161</v>
      </c>
      <c r="C10916" s="1" t="n">
        <v>45357</v>
      </c>
      <c r="D10916" t="inlineStr">
        <is>
          <t>VÄSTERBOTTENS LÄN</t>
        </is>
      </c>
      <c r="E10916" t="inlineStr">
        <is>
          <t>ÅSELE</t>
        </is>
      </c>
      <c r="F10916" t="inlineStr">
        <is>
          <t>Holmen skog AB</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38153-2023</t>
        </is>
      </c>
      <c r="B10917" s="1" t="n">
        <v>45161</v>
      </c>
      <c r="C10917" s="1" t="n">
        <v>45357</v>
      </c>
      <c r="D10917" t="inlineStr">
        <is>
          <t>VÄSTERBOTTENS LÄN</t>
        </is>
      </c>
      <c r="E10917" t="inlineStr">
        <is>
          <t>BJURHOLM</t>
        </is>
      </c>
      <c r="F10917" t="inlineStr">
        <is>
          <t>Holmen skog AB</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38157-2023</t>
        </is>
      </c>
      <c r="B10918" s="1" t="n">
        <v>45161</v>
      </c>
      <c r="C10918" s="1" t="n">
        <v>45357</v>
      </c>
      <c r="D10918" t="inlineStr">
        <is>
          <t>VÄSTERBOTTENS LÄN</t>
        </is>
      </c>
      <c r="E10918" t="inlineStr">
        <is>
          <t>LYCKSELE</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38236-2023</t>
        </is>
      </c>
      <c r="B10919" s="1" t="n">
        <v>45161</v>
      </c>
      <c r="C10919" s="1" t="n">
        <v>45357</v>
      </c>
      <c r="D10919" t="inlineStr">
        <is>
          <t>VÄSTERBOTTENS LÄN</t>
        </is>
      </c>
      <c r="E10919" t="inlineStr">
        <is>
          <t>LYCKSELE</t>
        </is>
      </c>
      <c r="F10919" t="inlineStr">
        <is>
          <t>Holmen skog AB</t>
        </is>
      </c>
      <c r="G10919" t="n">
        <v>9.5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38304-2023</t>
        </is>
      </c>
      <c r="B10920" s="1" t="n">
        <v>45161</v>
      </c>
      <c r="C10920" s="1" t="n">
        <v>45357</v>
      </c>
      <c r="D10920" t="inlineStr">
        <is>
          <t>VÄSTERBOTTENS LÄN</t>
        </is>
      </c>
      <c r="E10920" t="inlineStr">
        <is>
          <t>SKELLEFTEÅ</t>
        </is>
      </c>
      <c r="F10920" t="inlineStr">
        <is>
          <t>Holmen skog AB</t>
        </is>
      </c>
      <c r="G10920" t="n">
        <v>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38345-2023</t>
        </is>
      </c>
      <c r="B10921" s="1" t="n">
        <v>45161</v>
      </c>
      <c r="C10921" s="1" t="n">
        <v>45357</v>
      </c>
      <c r="D10921" t="inlineStr">
        <is>
          <t>VÄSTERBOTTENS LÄN</t>
        </is>
      </c>
      <c r="E10921" t="inlineStr">
        <is>
          <t>MALÅ</t>
        </is>
      </c>
      <c r="F10921" t="inlineStr">
        <is>
          <t>Sveaskog</t>
        </is>
      </c>
      <c r="G10921" t="n">
        <v>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38361-2023</t>
        </is>
      </c>
      <c r="B10922" s="1" t="n">
        <v>45162</v>
      </c>
      <c r="C10922" s="1" t="n">
        <v>45357</v>
      </c>
      <c r="D10922" t="inlineStr">
        <is>
          <t>VÄSTERBOTTENS LÄN</t>
        </is>
      </c>
      <c r="E10922" t="inlineStr">
        <is>
          <t>VILHELMINA</t>
        </is>
      </c>
      <c r="F10922" t="inlineStr">
        <is>
          <t>SCA</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38829-2023</t>
        </is>
      </c>
      <c r="B10923" s="1" t="n">
        <v>45161</v>
      </c>
      <c r="C10923" s="1" t="n">
        <v>45357</v>
      </c>
      <c r="D10923" t="inlineStr">
        <is>
          <t>VÄSTERBOTTENS LÄN</t>
        </is>
      </c>
      <c r="E10923" t="inlineStr">
        <is>
          <t>VILHELMINA</t>
        </is>
      </c>
      <c r="G10923" t="n">
        <v>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41005-2023</t>
        </is>
      </c>
      <c r="B10924" s="1" t="n">
        <v>45161</v>
      </c>
      <c r="C10924" s="1" t="n">
        <v>45357</v>
      </c>
      <c r="D10924" t="inlineStr">
        <is>
          <t>VÄSTERBOTTENS LÄN</t>
        </is>
      </c>
      <c r="E10924" t="inlineStr">
        <is>
          <t>NORSJÖ</t>
        </is>
      </c>
      <c r="G10924" t="n">
        <v>12.7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38164-2023</t>
        </is>
      </c>
      <c r="B10925" s="1" t="n">
        <v>45161</v>
      </c>
      <c r="C10925" s="1" t="n">
        <v>45357</v>
      </c>
      <c r="D10925" t="inlineStr">
        <is>
          <t>VÄSTERBOTTENS LÄN</t>
        </is>
      </c>
      <c r="E10925" t="inlineStr">
        <is>
          <t>LYCKSELE</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38303-2023</t>
        </is>
      </c>
      <c r="B10926" s="1" t="n">
        <v>45161</v>
      </c>
      <c r="C10926" s="1" t="n">
        <v>45357</v>
      </c>
      <c r="D10926" t="inlineStr">
        <is>
          <t>VÄSTERBOTTENS LÄN</t>
        </is>
      </c>
      <c r="E10926" t="inlineStr">
        <is>
          <t>BJURHOLM</t>
        </is>
      </c>
      <c r="F10926" t="inlineStr">
        <is>
          <t>Holmen skog AB</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38315-2023</t>
        </is>
      </c>
      <c r="B10927" s="1" t="n">
        <v>45161</v>
      </c>
      <c r="C10927" s="1" t="n">
        <v>45357</v>
      </c>
      <c r="D10927" t="inlineStr">
        <is>
          <t>VÄSTERBOTTENS LÄN</t>
        </is>
      </c>
      <c r="E10927" t="inlineStr">
        <is>
          <t>VINDELN</t>
        </is>
      </c>
      <c r="F10927" t="inlineStr">
        <is>
          <t>Holmen skog AB</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38343-2023</t>
        </is>
      </c>
      <c r="B10928" s="1" t="n">
        <v>45161</v>
      </c>
      <c r="C10928" s="1" t="n">
        <v>45357</v>
      </c>
      <c r="D10928" t="inlineStr">
        <is>
          <t>VÄSTERBOTTENS LÄN</t>
        </is>
      </c>
      <c r="E10928" t="inlineStr">
        <is>
          <t>MALÅ</t>
        </is>
      </c>
      <c r="F10928" t="inlineStr">
        <is>
          <t>Sveaskog</t>
        </is>
      </c>
      <c r="G10928" t="n">
        <v>31.6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38352-2023</t>
        </is>
      </c>
      <c r="B10929" s="1" t="n">
        <v>45161</v>
      </c>
      <c r="C10929" s="1" t="n">
        <v>45357</v>
      </c>
      <c r="D10929" t="inlineStr">
        <is>
          <t>VÄSTERBOTTENS LÄN</t>
        </is>
      </c>
      <c r="E10929" t="inlineStr">
        <is>
          <t>ROBERTSFORS</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38356-2023</t>
        </is>
      </c>
      <c r="B10930" s="1" t="n">
        <v>45161</v>
      </c>
      <c r="C10930" s="1" t="n">
        <v>45357</v>
      </c>
      <c r="D10930" t="inlineStr">
        <is>
          <t>VÄSTERBOTTENS LÄN</t>
        </is>
      </c>
      <c r="E10930" t="inlineStr">
        <is>
          <t>SKELLEFTEÅ</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38377-2023</t>
        </is>
      </c>
      <c r="B10931" s="1" t="n">
        <v>45162</v>
      </c>
      <c r="C10931" s="1" t="n">
        <v>45357</v>
      </c>
      <c r="D10931" t="inlineStr">
        <is>
          <t>VÄSTERBOTTENS LÄN</t>
        </is>
      </c>
      <c r="E10931" t="inlineStr">
        <is>
          <t>DOROTEA</t>
        </is>
      </c>
      <c r="F10931" t="inlineStr">
        <is>
          <t>SCA</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38574-2023</t>
        </is>
      </c>
      <c r="B10932" s="1" t="n">
        <v>45161</v>
      </c>
      <c r="C10932" s="1" t="n">
        <v>45357</v>
      </c>
      <c r="D10932" t="inlineStr">
        <is>
          <t>VÄSTERBOTTENS LÄN</t>
        </is>
      </c>
      <c r="E10932" t="inlineStr">
        <is>
          <t>SKELLEFTEÅ</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38785-2023</t>
        </is>
      </c>
      <c r="B10933" s="1" t="n">
        <v>45161</v>
      </c>
      <c r="C10933" s="1" t="n">
        <v>45357</v>
      </c>
      <c r="D10933" t="inlineStr">
        <is>
          <t>VÄSTERBOTTENS LÄN</t>
        </is>
      </c>
      <c r="E10933" t="inlineStr">
        <is>
          <t>MALÅ</t>
        </is>
      </c>
      <c r="G10933" t="n">
        <v>20.8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38808-2023</t>
        </is>
      </c>
      <c r="B10934" s="1" t="n">
        <v>45161</v>
      </c>
      <c r="C10934" s="1" t="n">
        <v>45357</v>
      </c>
      <c r="D10934" t="inlineStr">
        <is>
          <t>VÄSTERBOTTENS LÄN</t>
        </is>
      </c>
      <c r="E10934" t="inlineStr">
        <is>
          <t>NORSJÖ</t>
        </is>
      </c>
      <c r="G10934" t="n">
        <v>20.4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38811-2023</t>
        </is>
      </c>
      <c r="B10935" s="1" t="n">
        <v>45161</v>
      </c>
      <c r="C10935" s="1" t="n">
        <v>45357</v>
      </c>
      <c r="D10935" t="inlineStr">
        <is>
          <t>VÄSTERBOTTENS LÄN</t>
        </is>
      </c>
      <c r="E10935" t="inlineStr">
        <is>
          <t>SKELLEFTEÅ</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38577-2023</t>
        </is>
      </c>
      <c r="B10936" s="1" t="n">
        <v>45161</v>
      </c>
      <c r="C10936" s="1" t="n">
        <v>45357</v>
      </c>
      <c r="D10936" t="inlineStr">
        <is>
          <t>VÄSTERBOTTENS LÄN</t>
        </is>
      </c>
      <c r="E10936" t="inlineStr">
        <is>
          <t>SKELLEFTEÅ</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38809-2023</t>
        </is>
      </c>
      <c r="B10937" s="1" t="n">
        <v>45161</v>
      </c>
      <c r="C10937" s="1" t="n">
        <v>45357</v>
      </c>
      <c r="D10937" t="inlineStr">
        <is>
          <t>VÄSTERBOTTENS LÄN</t>
        </is>
      </c>
      <c r="E10937" t="inlineStr">
        <is>
          <t>SKELLEFTEÅ</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38788-2023</t>
        </is>
      </c>
      <c r="B10938" s="1" t="n">
        <v>45161</v>
      </c>
      <c r="C10938" s="1" t="n">
        <v>45357</v>
      </c>
      <c r="D10938" t="inlineStr">
        <is>
          <t>VÄSTERBOTTENS LÄN</t>
        </is>
      </c>
      <c r="E10938" t="inlineStr">
        <is>
          <t>MALÅ</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38805-2023</t>
        </is>
      </c>
      <c r="B10939" s="1" t="n">
        <v>45161</v>
      </c>
      <c r="C10939" s="1" t="n">
        <v>45357</v>
      </c>
      <c r="D10939" t="inlineStr">
        <is>
          <t>VÄSTERBOTTENS LÄN</t>
        </is>
      </c>
      <c r="E10939" t="inlineStr">
        <is>
          <t>SKELLEFTEÅ</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38818-2023</t>
        </is>
      </c>
      <c r="B10940" s="1" t="n">
        <v>45161</v>
      </c>
      <c r="C10940" s="1" t="n">
        <v>45357</v>
      </c>
      <c r="D10940" t="inlineStr">
        <is>
          <t>VÄSTERBOTTENS LÄN</t>
        </is>
      </c>
      <c r="E10940" t="inlineStr">
        <is>
          <t>SKELLEFTEÅ</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38396-2023</t>
        </is>
      </c>
      <c r="B10941" s="1" t="n">
        <v>45162</v>
      </c>
      <c r="C10941" s="1" t="n">
        <v>45357</v>
      </c>
      <c r="D10941" t="inlineStr">
        <is>
          <t>VÄSTERBOTTENS LÄN</t>
        </is>
      </c>
      <c r="E10941" t="inlineStr">
        <is>
          <t>SKELLEFTEÅ</t>
        </is>
      </c>
      <c r="F10941" t="inlineStr">
        <is>
          <t>Sveaskog</t>
        </is>
      </c>
      <c r="G10941" t="n">
        <v>12.1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38404-2023</t>
        </is>
      </c>
      <c r="B10942" s="1" t="n">
        <v>45162</v>
      </c>
      <c r="C10942" s="1" t="n">
        <v>45357</v>
      </c>
      <c r="D10942" t="inlineStr">
        <is>
          <t>VÄSTERBOTTENS LÄN</t>
        </is>
      </c>
      <c r="E10942" t="inlineStr">
        <is>
          <t>MALÅ</t>
        </is>
      </c>
      <c r="G10942" t="n">
        <v>17.5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38421-2023</t>
        </is>
      </c>
      <c r="B10943" s="1" t="n">
        <v>45162</v>
      </c>
      <c r="C10943" s="1" t="n">
        <v>45357</v>
      </c>
      <c r="D10943" t="inlineStr">
        <is>
          <t>VÄSTERBOTTENS LÄN</t>
        </is>
      </c>
      <c r="E10943" t="inlineStr">
        <is>
          <t>SKELLEFTEÅ</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38395-2023</t>
        </is>
      </c>
      <c r="B10944" s="1" t="n">
        <v>45162</v>
      </c>
      <c r="C10944" s="1" t="n">
        <v>45357</v>
      </c>
      <c r="D10944" t="inlineStr">
        <is>
          <t>VÄSTERBOTTENS LÄN</t>
        </is>
      </c>
      <c r="E10944" t="inlineStr">
        <is>
          <t>SKELLEFTEÅ</t>
        </is>
      </c>
      <c r="F10944" t="inlineStr">
        <is>
          <t>Sveaskog</t>
        </is>
      </c>
      <c r="G10944" t="n">
        <v>18.9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38414-2023</t>
        </is>
      </c>
      <c r="B10945" s="1" t="n">
        <v>45162</v>
      </c>
      <c r="C10945" s="1" t="n">
        <v>45357</v>
      </c>
      <c r="D10945" t="inlineStr">
        <is>
          <t>VÄSTERBOTTENS LÄN</t>
        </is>
      </c>
      <c r="E10945" t="inlineStr">
        <is>
          <t>MALÅ</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38456-2023</t>
        </is>
      </c>
      <c r="B10946" s="1" t="n">
        <v>45162</v>
      </c>
      <c r="C10946" s="1" t="n">
        <v>45357</v>
      </c>
      <c r="D10946" t="inlineStr">
        <is>
          <t>VÄSTERBOTTENS LÄN</t>
        </is>
      </c>
      <c r="E10946" t="inlineStr">
        <is>
          <t>VINDELN</t>
        </is>
      </c>
      <c r="F10946" t="inlineStr">
        <is>
          <t>Holmen skog AB</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38480-2023</t>
        </is>
      </c>
      <c r="B10947" s="1" t="n">
        <v>45162</v>
      </c>
      <c r="C10947" s="1" t="n">
        <v>45357</v>
      </c>
      <c r="D10947" t="inlineStr">
        <is>
          <t>VÄSTERBOTTENS LÄN</t>
        </is>
      </c>
      <c r="E10947" t="inlineStr">
        <is>
          <t>ROBERTSFORS</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38412-2023</t>
        </is>
      </c>
      <c r="B10948" s="1" t="n">
        <v>45162</v>
      </c>
      <c r="C10948" s="1" t="n">
        <v>45357</v>
      </c>
      <c r="D10948" t="inlineStr">
        <is>
          <t>VÄSTERBOTTENS LÄN</t>
        </is>
      </c>
      <c r="E10948" t="inlineStr">
        <is>
          <t>UMEÅ</t>
        </is>
      </c>
      <c r="F10948" t="inlineStr">
        <is>
          <t>Sveaskog</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38450-2023</t>
        </is>
      </c>
      <c r="B10949" s="1" t="n">
        <v>45162</v>
      </c>
      <c r="C10949" s="1" t="n">
        <v>45357</v>
      </c>
      <c r="D10949" t="inlineStr">
        <is>
          <t>VÄSTERBOTTENS LÄN</t>
        </is>
      </c>
      <c r="E10949" t="inlineStr">
        <is>
          <t>SKELLEFTEÅ</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39200-2023</t>
        </is>
      </c>
      <c r="B10950" s="1" t="n">
        <v>45162</v>
      </c>
      <c r="C10950" s="1" t="n">
        <v>45357</v>
      </c>
      <c r="D10950" t="inlineStr">
        <is>
          <t>VÄSTERBOTTENS LÄN</t>
        </is>
      </c>
      <c r="E10950" t="inlineStr">
        <is>
          <t>MALÅ</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39227-2023</t>
        </is>
      </c>
      <c r="B10951" s="1" t="n">
        <v>45162</v>
      </c>
      <c r="C10951" s="1" t="n">
        <v>45357</v>
      </c>
      <c r="D10951" t="inlineStr">
        <is>
          <t>VÄSTERBOTTENS LÄN</t>
        </is>
      </c>
      <c r="E10951" t="inlineStr">
        <is>
          <t>MALÅ</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38565-2023</t>
        </is>
      </c>
      <c r="B10952" s="1" t="n">
        <v>45162</v>
      </c>
      <c r="C10952" s="1" t="n">
        <v>45357</v>
      </c>
      <c r="D10952" t="inlineStr">
        <is>
          <t>VÄSTERBOTTENS LÄN</t>
        </is>
      </c>
      <c r="E10952" t="inlineStr">
        <is>
          <t>BJURHOLM</t>
        </is>
      </c>
      <c r="F10952" t="inlineStr">
        <is>
          <t>Holmen skog AB</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38466-2023</t>
        </is>
      </c>
      <c r="B10953" s="1" t="n">
        <v>45162</v>
      </c>
      <c r="C10953" s="1" t="n">
        <v>45357</v>
      </c>
      <c r="D10953" t="inlineStr">
        <is>
          <t>VÄSTERBOTTENS LÄN</t>
        </is>
      </c>
      <c r="E10953" t="inlineStr">
        <is>
          <t>VINDELN</t>
        </is>
      </c>
      <c r="F10953" t="inlineStr">
        <is>
          <t>Holmen skog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38490-2023</t>
        </is>
      </c>
      <c r="B10954" s="1" t="n">
        <v>45162</v>
      </c>
      <c r="C10954" s="1" t="n">
        <v>45357</v>
      </c>
      <c r="D10954" t="inlineStr">
        <is>
          <t>VÄSTERBOTTENS LÄN</t>
        </is>
      </c>
      <c r="E10954" t="inlineStr">
        <is>
          <t>VINDELN</t>
        </is>
      </c>
      <c r="F10954" t="inlineStr">
        <is>
          <t>Holmen skog AB</t>
        </is>
      </c>
      <c r="G10954" t="n">
        <v>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38494-2023</t>
        </is>
      </c>
      <c r="B10955" s="1" t="n">
        <v>45162</v>
      </c>
      <c r="C10955" s="1" t="n">
        <v>45357</v>
      </c>
      <c r="D10955" t="inlineStr">
        <is>
          <t>VÄSTERBOTTENS LÄN</t>
        </is>
      </c>
      <c r="E10955" t="inlineStr">
        <is>
          <t>ROBERTSFORS</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38393-2023</t>
        </is>
      </c>
      <c r="B10956" s="1" t="n">
        <v>45162</v>
      </c>
      <c r="C10956" s="1" t="n">
        <v>45357</v>
      </c>
      <c r="D10956" t="inlineStr">
        <is>
          <t>VÄSTERBOTTENS LÄN</t>
        </is>
      </c>
      <c r="E10956" t="inlineStr">
        <is>
          <t>SKELLEFTEÅ</t>
        </is>
      </c>
      <c r="F10956" t="inlineStr">
        <is>
          <t>Holmen skog AB</t>
        </is>
      </c>
      <c r="G10956" t="n">
        <v>9.699999999999999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38397-2023</t>
        </is>
      </c>
      <c r="B10957" s="1" t="n">
        <v>45162</v>
      </c>
      <c r="C10957" s="1" t="n">
        <v>45357</v>
      </c>
      <c r="D10957" t="inlineStr">
        <is>
          <t>VÄSTERBOTTENS LÄN</t>
        </is>
      </c>
      <c r="E10957" t="inlineStr">
        <is>
          <t>SKELLEFTEÅ</t>
        </is>
      </c>
      <c r="F10957" t="inlineStr">
        <is>
          <t>Sveaskog</t>
        </is>
      </c>
      <c r="G10957" t="n">
        <v>11.7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38445-2023</t>
        </is>
      </c>
      <c r="B10958" s="1" t="n">
        <v>45162</v>
      </c>
      <c r="C10958" s="1" t="n">
        <v>45357</v>
      </c>
      <c r="D10958" t="inlineStr">
        <is>
          <t>VÄSTERBOTTENS LÄN</t>
        </is>
      </c>
      <c r="E10958" t="inlineStr">
        <is>
          <t>SKELLEFTEÅ</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38473-2023</t>
        </is>
      </c>
      <c r="B10959" s="1" t="n">
        <v>45162</v>
      </c>
      <c r="C10959" s="1" t="n">
        <v>45357</v>
      </c>
      <c r="D10959" t="inlineStr">
        <is>
          <t>VÄSTERBOTTENS LÄN</t>
        </is>
      </c>
      <c r="E10959" t="inlineStr">
        <is>
          <t>SKELLEFTEÅ</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38999-2023</t>
        </is>
      </c>
      <c r="B10960" s="1" t="n">
        <v>45162</v>
      </c>
      <c r="C10960" s="1" t="n">
        <v>45357</v>
      </c>
      <c r="D10960" t="inlineStr">
        <is>
          <t>VÄSTERBOTTENS LÄN</t>
        </is>
      </c>
      <c r="E10960" t="inlineStr">
        <is>
          <t>MALÅ</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38877-2023</t>
        </is>
      </c>
      <c r="B10961" s="1" t="n">
        <v>45162</v>
      </c>
      <c r="C10961" s="1" t="n">
        <v>45357</v>
      </c>
      <c r="D10961" t="inlineStr">
        <is>
          <t>VÄSTERBOTTENS LÄN</t>
        </is>
      </c>
      <c r="E10961" t="inlineStr">
        <is>
          <t>MALÅ</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39010-2023</t>
        </is>
      </c>
      <c r="B10962" s="1" t="n">
        <v>45162</v>
      </c>
      <c r="C10962" s="1" t="n">
        <v>45357</v>
      </c>
      <c r="D10962" t="inlineStr">
        <is>
          <t>VÄSTERBOTTENS LÄN</t>
        </is>
      </c>
      <c r="E10962" t="inlineStr">
        <is>
          <t>VINDELN</t>
        </is>
      </c>
      <c r="G10962" t="n">
        <v>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39209-2023</t>
        </is>
      </c>
      <c r="B10963" s="1" t="n">
        <v>45162</v>
      </c>
      <c r="C10963" s="1" t="n">
        <v>45357</v>
      </c>
      <c r="D10963" t="inlineStr">
        <is>
          <t>VÄSTERBOTTENS LÄN</t>
        </is>
      </c>
      <c r="E10963" t="inlineStr">
        <is>
          <t>MALÅ</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39234-2023</t>
        </is>
      </c>
      <c r="B10964" s="1" t="n">
        <v>45162</v>
      </c>
      <c r="C10964" s="1" t="n">
        <v>45357</v>
      </c>
      <c r="D10964" t="inlineStr">
        <is>
          <t>VÄSTERBOTTENS LÄN</t>
        </is>
      </c>
      <c r="E10964" t="inlineStr">
        <is>
          <t>MALÅ</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39322-2023</t>
        </is>
      </c>
      <c r="B10965" s="1" t="n">
        <v>45162</v>
      </c>
      <c r="C10965" s="1" t="n">
        <v>45357</v>
      </c>
      <c r="D10965" t="inlineStr">
        <is>
          <t>VÄSTERBOTTENS LÄN</t>
        </is>
      </c>
      <c r="E10965" t="inlineStr">
        <is>
          <t>MALÅ</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39337-2023</t>
        </is>
      </c>
      <c r="B10966" s="1" t="n">
        <v>45162</v>
      </c>
      <c r="C10966" s="1" t="n">
        <v>45357</v>
      </c>
      <c r="D10966" t="inlineStr">
        <is>
          <t>VÄSTERBOTTENS LÄN</t>
        </is>
      </c>
      <c r="E10966" t="inlineStr">
        <is>
          <t>NORSJÖ</t>
        </is>
      </c>
      <c r="G10966" t="n">
        <v>9.800000000000001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39350-2023</t>
        </is>
      </c>
      <c r="B10967" s="1" t="n">
        <v>45162</v>
      </c>
      <c r="C10967" s="1" t="n">
        <v>45357</v>
      </c>
      <c r="D10967" t="inlineStr">
        <is>
          <t>VÄSTERBOTTENS LÄN</t>
        </is>
      </c>
      <c r="E10967" t="inlineStr">
        <is>
          <t>NORSJÖ</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38649-2023</t>
        </is>
      </c>
      <c r="B10968" s="1" t="n">
        <v>45162</v>
      </c>
      <c r="C10968" s="1" t="n">
        <v>45357</v>
      </c>
      <c r="D10968" t="inlineStr">
        <is>
          <t>VÄSTERBOTTENS LÄN</t>
        </is>
      </c>
      <c r="E10968" t="inlineStr">
        <is>
          <t>MALÅ</t>
        </is>
      </c>
      <c r="F10968" t="inlineStr">
        <is>
          <t>Sveaskog</t>
        </is>
      </c>
      <c r="G10968" t="n">
        <v>28.9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38655-2023</t>
        </is>
      </c>
      <c r="B10969" s="1" t="n">
        <v>45162</v>
      </c>
      <c r="C10969" s="1" t="n">
        <v>45357</v>
      </c>
      <c r="D10969" t="inlineStr">
        <is>
          <t>VÄSTERBOTTENS LÄN</t>
        </is>
      </c>
      <c r="E10969" t="inlineStr">
        <is>
          <t>MALÅ</t>
        </is>
      </c>
      <c r="F10969" t="inlineStr">
        <is>
          <t>Sveaskog</t>
        </is>
      </c>
      <c r="G10969" t="n">
        <v>26.7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38636-2023</t>
        </is>
      </c>
      <c r="B10970" s="1" t="n">
        <v>45162</v>
      </c>
      <c r="C10970" s="1" t="n">
        <v>45357</v>
      </c>
      <c r="D10970" t="inlineStr">
        <is>
          <t>VÄSTERBOTTENS LÄN</t>
        </is>
      </c>
      <c r="E10970" t="inlineStr">
        <is>
          <t>ÅSELE</t>
        </is>
      </c>
      <c r="F10970" t="inlineStr">
        <is>
          <t>Sveaskog</t>
        </is>
      </c>
      <c r="G10970" t="n">
        <v>15.7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38672-2023</t>
        </is>
      </c>
      <c r="B10971" s="1" t="n">
        <v>45162</v>
      </c>
      <c r="C10971" s="1" t="n">
        <v>45357</v>
      </c>
      <c r="D10971" t="inlineStr">
        <is>
          <t>VÄSTERBOTTENS LÄN</t>
        </is>
      </c>
      <c r="E10971" t="inlineStr">
        <is>
          <t>NORSJÖ</t>
        </is>
      </c>
      <c r="G10971" t="n">
        <v>65.8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38676-2023</t>
        </is>
      </c>
      <c r="B10972" s="1" t="n">
        <v>45162</v>
      </c>
      <c r="C10972" s="1" t="n">
        <v>45357</v>
      </c>
      <c r="D10972" t="inlineStr">
        <is>
          <t>VÄSTERBOTTENS LÄN</t>
        </is>
      </c>
      <c r="E10972" t="inlineStr">
        <is>
          <t>DOROTEA</t>
        </is>
      </c>
      <c r="F10972" t="inlineStr">
        <is>
          <t>SCA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38671-2023</t>
        </is>
      </c>
      <c r="B10973" s="1" t="n">
        <v>45162</v>
      </c>
      <c r="C10973" s="1" t="n">
        <v>45357</v>
      </c>
      <c r="D10973" t="inlineStr">
        <is>
          <t>VÄSTERBOTTENS LÄN</t>
        </is>
      </c>
      <c r="E10973" t="inlineStr">
        <is>
          <t>NORSJÖ</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38695-2023</t>
        </is>
      </c>
      <c r="B10974" s="1" t="n">
        <v>45162</v>
      </c>
      <c r="C10974" s="1" t="n">
        <v>45357</v>
      </c>
      <c r="D10974" t="inlineStr">
        <is>
          <t>VÄSTERBOTTENS LÄN</t>
        </is>
      </c>
      <c r="E10974" t="inlineStr">
        <is>
          <t>VINDELN</t>
        </is>
      </c>
      <c r="F10974" t="inlineStr">
        <is>
          <t>SCA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38696-2023</t>
        </is>
      </c>
      <c r="B10975" s="1" t="n">
        <v>45163</v>
      </c>
      <c r="C10975" s="1" t="n">
        <v>45357</v>
      </c>
      <c r="D10975" t="inlineStr">
        <is>
          <t>VÄSTERBOTTENS LÄN</t>
        </is>
      </c>
      <c r="E10975" t="inlineStr">
        <is>
          <t>VINDELN</t>
        </is>
      </c>
      <c r="F10975" t="inlineStr">
        <is>
          <t>SCA</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38646-2023</t>
        </is>
      </c>
      <c r="B10976" s="1" t="n">
        <v>45162</v>
      </c>
      <c r="C10976" s="1" t="n">
        <v>45357</v>
      </c>
      <c r="D10976" t="inlineStr">
        <is>
          <t>VÄSTERBOTTENS LÄN</t>
        </is>
      </c>
      <c r="E10976" t="inlineStr">
        <is>
          <t>MALÅ</t>
        </is>
      </c>
      <c r="F10976" t="inlineStr">
        <is>
          <t>Sveaskog</t>
        </is>
      </c>
      <c r="G10976" t="n">
        <v>13.7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38651-2023</t>
        </is>
      </c>
      <c r="B10977" s="1" t="n">
        <v>45162</v>
      </c>
      <c r="C10977" s="1" t="n">
        <v>45357</v>
      </c>
      <c r="D10977" t="inlineStr">
        <is>
          <t>VÄSTERBOTTENS LÄN</t>
        </is>
      </c>
      <c r="E10977" t="inlineStr">
        <is>
          <t>MALÅ</t>
        </is>
      </c>
      <c r="F10977" t="inlineStr">
        <is>
          <t>Sveaskog</t>
        </is>
      </c>
      <c r="G10977" t="n">
        <v>16.4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38677-2023</t>
        </is>
      </c>
      <c r="B10978" s="1" t="n">
        <v>45162</v>
      </c>
      <c r="C10978" s="1" t="n">
        <v>45357</v>
      </c>
      <c r="D10978" t="inlineStr">
        <is>
          <t>VÄSTERBOTTENS LÄN</t>
        </is>
      </c>
      <c r="E10978" t="inlineStr">
        <is>
          <t>ROBERTSFORS</t>
        </is>
      </c>
      <c r="F10978" t="inlineStr">
        <is>
          <t>SCA</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38653-2023</t>
        </is>
      </c>
      <c r="B10979" s="1" t="n">
        <v>45162</v>
      </c>
      <c r="C10979" s="1" t="n">
        <v>45357</v>
      </c>
      <c r="D10979" t="inlineStr">
        <is>
          <t>VÄSTERBOTTENS LÄN</t>
        </is>
      </c>
      <c r="E10979" t="inlineStr">
        <is>
          <t>MALÅ</t>
        </is>
      </c>
      <c r="F10979" t="inlineStr">
        <is>
          <t>Sveaskog</t>
        </is>
      </c>
      <c r="G10979" t="n">
        <v>10.7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38647-2023</t>
        </is>
      </c>
      <c r="B10980" s="1" t="n">
        <v>45162</v>
      </c>
      <c r="C10980" s="1" t="n">
        <v>45357</v>
      </c>
      <c r="D10980" t="inlineStr">
        <is>
          <t>VÄSTERBOTTENS LÄN</t>
        </is>
      </c>
      <c r="E10980" t="inlineStr">
        <is>
          <t>MALÅ</t>
        </is>
      </c>
      <c r="F10980" t="inlineStr">
        <is>
          <t>Sveaskog</t>
        </is>
      </c>
      <c r="G10980" t="n">
        <v>38.1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38635-2023</t>
        </is>
      </c>
      <c r="B10981" s="1" t="n">
        <v>45162</v>
      </c>
      <c r="C10981" s="1" t="n">
        <v>45357</v>
      </c>
      <c r="D10981" t="inlineStr">
        <is>
          <t>VÄSTERBOTTENS LÄN</t>
        </is>
      </c>
      <c r="E10981" t="inlineStr">
        <is>
          <t>BJURHOLM</t>
        </is>
      </c>
      <c r="F10981" t="inlineStr">
        <is>
          <t>Sveaskog</t>
        </is>
      </c>
      <c r="G10981" t="n">
        <v>9.5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38674-2023</t>
        </is>
      </c>
      <c r="B10982" s="1" t="n">
        <v>45163</v>
      </c>
      <c r="C10982" s="1" t="n">
        <v>45357</v>
      </c>
      <c r="D10982" t="inlineStr">
        <is>
          <t>VÄSTERBOTTENS LÄN</t>
        </is>
      </c>
      <c r="E10982" t="inlineStr">
        <is>
          <t>VILHELMINA</t>
        </is>
      </c>
      <c r="F10982" t="inlineStr">
        <is>
          <t>SCA</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38694-2023</t>
        </is>
      </c>
      <c r="B10983" s="1" t="n">
        <v>45162</v>
      </c>
      <c r="C10983" s="1" t="n">
        <v>45357</v>
      </c>
      <c r="D10983" t="inlineStr">
        <is>
          <t>VÄSTERBOTTENS LÄN</t>
        </is>
      </c>
      <c r="E10983" t="inlineStr">
        <is>
          <t>SORSELE</t>
        </is>
      </c>
      <c r="F10983" t="inlineStr">
        <is>
          <t>SCA</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38822-2023</t>
        </is>
      </c>
      <c r="B10984" s="1" t="n">
        <v>45163</v>
      </c>
      <c r="C10984" s="1" t="n">
        <v>45357</v>
      </c>
      <c r="D10984" t="inlineStr">
        <is>
          <t>VÄSTERBOTTENS LÄN</t>
        </is>
      </c>
      <c r="E10984" t="inlineStr">
        <is>
          <t>NORSJÖ</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38832-2023</t>
        </is>
      </c>
      <c r="B10985" s="1" t="n">
        <v>45163</v>
      </c>
      <c r="C10985" s="1" t="n">
        <v>45357</v>
      </c>
      <c r="D10985" t="inlineStr">
        <is>
          <t>VÄSTERBOTTENS LÄN</t>
        </is>
      </c>
      <c r="E10985" t="inlineStr">
        <is>
          <t>NORSJÖ</t>
        </is>
      </c>
      <c r="F10985" t="inlineStr">
        <is>
          <t>Sveaskog</t>
        </is>
      </c>
      <c r="G10985" t="n">
        <v>20.7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38853-2023</t>
        </is>
      </c>
      <c r="B10986" s="1" t="n">
        <v>45163</v>
      </c>
      <c r="C10986" s="1" t="n">
        <v>45357</v>
      </c>
      <c r="D10986" t="inlineStr">
        <is>
          <t>VÄSTERBOTTENS LÄN</t>
        </is>
      </c>
      <c r="E10986" t="inlineStr">
        <is>
          <t>NORSJÖ</t>
        </is>
      </c>
      <c r="F10986" t="inlineStr">
        <is>
          <t>Sveaskog</t>
        </is>
      </c>
      <c r="G10986" t="n">
        <v>10.9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38930-2023</t>
        </is>
      </c>
      <c r="B10987" s="1" t="n">
        <v>45163</v>
      </c>
      <c r="C10987" s="1" t="n">
        <v>45357</v>
      </c>
      <c r="D10987" t="inlineStr">
        <is>
          <t>VÄSTERBOTTENS LÄN</t>
        </is>
      </c>
      <c r="E10987" t="inlineStr">
        <is>
          <t>MALÅ</t>
        </is>
      </c>
      <c r="F10987" t="inlineStr">
        <is>
          <t>Sveaskog</t>
        </is>
      </c>
      <c r="G10987" t="n">
        <v>12.5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38952-2023</t>
        </is>
      </c>
      <c r="B10988" s="1" t="n">
        <v>45163</v>
      </c>
      <c r="C10988" s="1" t="n">
        <v>45357</v>
      </c>
      <c r="D10988" t="inlineStr">
        <is>
          <t>VÄSTERBOTTENS LÄN</t>
        </is>
      </c>
      <c r="E10988" t="inlineStr">
        <is>
          <t>SKELLEFTEÅ</t>
        </is>
      </c>
      <c r="F10988" t="inlineStr">
        <is>
          <t>Sveaskog</t>
        </is>
      </c>
      <c r="G10988" t="n">
        <v>11.2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39041-2023</t>
        </is>
      </c>
      <c r="B10989" s="1" t="n">
        <v>45164</v>
      </c>
      <c r="C10989" s="1" t="n">
        <v>45357</v>
      </c>
      <c r="D10989" t="inlineStr">
        <is>
          <t>VÄSTERBOTTENS LÄN</t>
        </is>
      </c>
      <c r="E10989" t="inlineStr">
        <is>
          <t>NORSJÖ</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38819-2023</t>
        </is>
      </c>
      <c r="B10990" s="1" t="n">
        <v>45163</v>
      </c>
      <c r="C10990" s="1" t="n">
        <v>45357</v>
      </c>
      <c r="D10990" t="inlineStr">
        <is>
          <t>VÄSTERBOTTENS LÄN</t>
        </is>
      </c>
      <c r="E10990" t="inlineStr">
        <is>
          <t>NORSJÖ</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38824-2023</t>
        </is>
      </c>
      <c r="B10991" s="1" t="n">
        <v>45163</v>
      </c>
      <c r="C10991" s="1" t="n">
        <v>45357</v>
      </c>
      <c r="D10991" t="inlineStr">
        <is>
          <t>VÄSTERBOTTENS LÄN</t>
        </is>
      </c>
      <c r="E10991" t="inlineStr">
        <is>
          <t>NORSJÖ</t>
        </is>
      </c>
      <c r="F10991" t="inlineStr">
        <is>
          <t>Sveaskog</t>
        </is>
      </c>
      <c r="G10991" t="n">
        <v>15.7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38830-2023</t>
        </is>
      </c>
      <c r="B10992" s="1" t="n">
        <v>45163</v>
      </c>
      <c r="C10992" s="1" t="n">
        <v>45357</v>
      </c>
      <c r="D10992" t="inlineStr">
        <is>
          <t>VÄSTERBOTTENS LÄN</t>
        </is>
      </c>
      <c r="E10992" t="inlineStr">
        <is>
          <t>SKELLEFTEÅ</t>
        </is>
      </c>
      <c r="F10992" t="inlineStr">
        <is>
          <t>Holmen skog AB</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38843-2023</t>
        </is>
      </c>
      <c r="B10993" s="1" t="n">
        <v>45163</v>
      </c>
      <c r="C10993" s="1" t="n">
        <v>45357</v>
      </c>
      <c r="D10993" t="inlineStr">
        <is>
          <t>VÄSTERBOTTENS LÄN</t>
        </is>
      </c>
      <c r="E10993" t="inlineStr">
        <is>
          <t>NORSJÖ</t>
        </is>
      </c>
      <c r="F10993" t="inlineStr">
        <is>
          <t>Sveaskog</t>
        </is>
      </c>
      <c r="G10993" t="n">
        <v>24.3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38828-2023</t>
        </is>
      </c>
      <c r="B10994" s="1" t="n">
        <v>45163</v>
      </c>
      <c r="C10994" s="1" t="n">
        <v>45357</v>
      </c>
      <c r="D10994" t="inlineStr">
        <is>
          <t>VÄSTERBOTTENS LÄN</t>
        </is>
      </c>
      <c r="E10994" t="inlineStr">
        <is>
          <t>NORSJÖ</t>
        </is>
      </c>
      <c r="F10994" t="inlineStr">
        <is>
          <t>Sveaskog</t>
        </is>
      </c>
      <c r="G10994" t="n">
        <v>8.199999999999999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38833-2023</t>
        </is>
      </c>
      <c r="B10995" s="1" t="n">
        <v>45163</v>
      </c>
      <c r="C10995" s="1" t="n">
        <v>45357</v>
      </c>
      <c r="D10995" t="inlineStr">
        <is>
          <t>VÄSTERBOTTENS LÄN</t>
        </is>
      </c>
      <c r="E10995" t="inlineStr">
        <is>
          <t>SKELLEFTEÅ</t>
        </is>
      </c>
      <c r="F10995" t="inlineStr">
        <is>
          <t>Sveaskog</t>
        </is>
      </c>
      <c r="G10995" t="n">
        <v>11.4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39049-2023</t>
        </is>
      </c>
      <c r="B10996" s="1" t="n">
        <v>45163</v>
      </c>
      <c r="C10996" s="1" t="n">
        <v>45357</v>
      </c>
      <c r="D10996" t="inlineStr">
        <is>
          <t>VÄSTERBOTTENS LÄN</t>
        </is>
      </c>
      <c r="E10996" t="inlineStr">
        <is>
          <t>NORSJÖ</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38837-2023</t>
        </is>
      </c>
      <c r="B10997" s="1" t="n">
        <v>45163</v>
      </c>
      <c r="C10997" s="1" t="n">
        <v>45357</v>
      </c>
      <c r="D10997" t="inlineStr">
        <is>
          <t>VÄSTERBOTTENS LÄN</t>
        </is>
      </c>
      <c r="E10997" t="inlineStr">
        <is>
          <t>SKELLEFTEÅ</t>
        </is>
      </c>
      <c r="F10997" t="inlineStr">
        <is>
          <t>Sveaskog</t>
        </is>
      </c>
      <c r="G10997" t="n">
        <v>10.8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38861-2023</t>
        </is>
      </c>
      <c r="B10998" s="1" t="n">
        <v>45163</v>
      </c>
      <c r="C10998" s="1" t="n">
        <v>45357</v>
      </c>
      <c r="D10998" t="inlineStr">
        <is>
          <t>VÄSTERBOTTENS LÄN</t>
        </is>
      </c>
      <c r="E10998" t="inlineStr">
        <is>
          <t>NORSJÖ</t>
        </is>
      </c>
      <c r="F10998" t="inlineStr">
        <is>
          <t>Sveaskog</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38909-2023</t>
        </is>
      </c>
      <c r="B10999" s="1" t="n">
        <v>45163</v>
      </c>
      <c r="C10999" s="1" t="n">
        <v>45357</v>
      </c>
      <c r="D10999" t="inlineStr">
        <is>
          <t>VÄSTERBOTTENS LÄN</t>
        </is>
      </c>
      <c r="E10999" t="inlineStr">
        <is>
          <t>VINDELN</t>
        </is>
      </c>
      <c r="F10999" t="inlineStr">
        <is>
          <t>Holmen skog AB</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38924-2023</t>
        </is>
      </c>
      <c r="B11000" s="1" t="n">
        <v>45163</v>
      </c>
      <c r="C11000" s="1" t="n">
        <v>45357</v>
      </c>
      <c r="D11000" t="inlineStr">
        <is>
          <t>VÄSTERBOTTENS LÄN</t>
        </is>
      </c>
      <c r="E11000" t="inlineStr">
        <is>
          <t>MALÅ</t>
        </is>
      </c>
      <c r="F11000" t="inlineStr">
        <is>
          <t>Sveaskog</t>
        </is>
      </c>
      <c r="G11000" t="n">
        <v>18.3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38949-2023</t>
        </is>
      </c>
      <c r="B11001" s="1" t="n">
        <v>45163</v>
      </c>
      <c r="C11001" s="1" t="n">
        <v>45357</v>
      </c>
      <c r="D11001" t="inlineStr">
        <is>
          <t>VÄSTERBOTTENS LÄN</t>
        </is>
      </c>
      <c r="E11001" t="inlineStr">
        <is>
          <t>SKELLEFTEÅ</t>
        </is>
      </c>
      <c r="F11001" t="inlineStr">
        <is>
          <t>Sveaskog</t>
        </is>
      </c>
      <c r="G11001" t="n">
        <v>19.1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38953-2023</t>
        </is>
      </c>
      <c r="B11002" s="1" t="n">
        <v>45163</v>
      </c>
      <c r="C11002" s="1" t="n">
        <v>45357</v>
      </c>
      <c r="D11002" t="inlineStr">
        <is>
          <t>VÄSTERBOTTENS LÄN</t>
        </is>
      </c>
      <c r="E11002" t="inlineStr">
        <is>
          <t>VINDELN</t>
        </is>
      </c>
      <c r="F11002" t="inlineStr">
        <is>
          <t>Holmen skog AB</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38987-2023</t>
        </is>
      </c>
      <c r="B11003" s="1" t="n">
        <v>45163</v>
      </c>
      <c r="C11003" s="1" t="n">
        <v>45357</v>
      </c>
      <c r="D11003" t="inlineStr">
        <is>
          <t>VÄSTERBOTTENS LÄN</t>
        </is>
      </c>
      <c r="E11003" t="inlineStr">
        <is>
          <t>VINDELN</t>
        </is>
      </c>
      <c r="F11003" t="inlineStr">
        <is>
          <t>Holmen skog AB</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38990-2023</t>
        </is>
      </c>
      <c r="B11004" s="1" t="n">
        <v>45163</v>
      </c>
      <c r="C11004" s="1" t="n">
        <v>45357</v>
      </c>
      <c r="D11004" t="inlineStr">
        <is>
          <t>VÄSTERBOTTENS LÄN</t>
        </is>
      </c>
      <c r="E11004" t="inlineStr">
        <is>
          <t>NORSJÖ</t>
        </is>
      </c>
      <c r="F11004" t="inlineStr">
        <is>
          <t>Sveaskog</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38994-2023</t>
        </is>
      </c>
      <c r="B11005" s="1" t="n">
        <v>45163</v>
      </c>
      <c r="C11005" s="1" t="n">
        <v>45357</v>
      </c>
      <c r="D11005" t="inlineStr">
        <is>
          <t>VÄSTERBOTTENS LÄN</t>
        </is>
      </c>
      <c r="E11005" t="inlineStr">
        <is>
          <t>NORSJÖ</t>
        </is>
      </c>
      <c r="F11005" t="inlineStr">
        <is>
          <t>Sveaskog</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39039-2023</t>
        </is>
      </c>
      <c r="B11006" s="1" t="n">
        <v>45163</v>
      </c>
      <c r="C11006" s="1" t="n">
        <v>45357</v>
      </c>
      <c r="D11006" t="inlineStr">
        <is>
          <t>VÄSTERBOTTENS LÄN</t>
        </is>
      </c>
      <c r="E11006" t="inlineStr">
        <is>
          <t>MALÅ</t>
        </is>
      </c>
      <c r="G11006" t="n">
        <v>86.59999999999999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39018-2023</t>
        </is>
      </c>
      <c r="B11007" s="1" t="n">
        <v>45163</v>
      </c>
      <c r="C11007" s="1" t="n">
        <v>45357</v>
      </c>
      <c r="D11007" t="inlineStr">
        <is>
          <t>VÄSTERBOTTENS LÄN</t>
        </is>
      </c>
      <c r="E11007" t="inlineStr">
        <is>
          <t>SKELLEFTEÅ</t>
        </is>
      </c>
      <c r="F11007" t="inlineStr">
        <is>
          <t>Sveaskog</t>
        </is>
      </c>
      <c r="G11007" t="n">
        <v>20</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39022-2023</t>
        </is>
      </c>
      <c r="B11008" s="1" t="n">
        <v>45163</v>
      </c>
      <c r="C11008" s="1" t="n">
        <v>45357</v>
      </c>
      <c r="D11008" t="inlineStr">
        <is>
          <t>VÄSTERBOTTENS LÄN</t>
        </is>
      </c>
      <c r="E11008" t="inlineStr">
        <is>
          <t>VINDELN</t>
        </is>
      </c>
      <c r="G11008" t="n">
        <v>7.9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39026-2023</t>
        </is>
      </c>
      <c r="B11009" s="1" t="n">
        <v>45163</v>
      </c>
      <c r="C11009" s="1" t="n">
        <v>45357</v>
      </c>
      <c r="D11009" t="inlineStr">
        <is>
          <t>VÄSTERBOTTENS LÄN</t>
        </is>
      </c>
      <c r="E11009" t="inlineStr">
        <is>
          <t>SKELLEFTEÅ</t>
        </is>
      </c>
      <c r="F11009" t="inlineStr">
        <is>
          <t>Sveaskog</t>
        </is>
      </c>
      <c r="G11009" t="n">
        <v>10.8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39047-2023</t>
        </is>
      </c>
      <c r="B11010" s="1" t="n">
        <v>45164</v>
      </c>
      <c r="C11010" s="1" t="n">
        <v>45357</v>
      </c>
      <c r="D11010" t="inlineStr">
        <is>
          <t>VÄSTERBOTTENS LÄN</t>
        </is>
      </c>
      <c r="E11010" t="inlineStr">
        <is>
          <t>LYCKSELE</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39059-2023</t>
        </is>
      </c>
      <c r="B11011" s="1" t="n">
        <v>45163</v>
      </c>
      <c r="C11011" s="1" t="n">
        <v>45357</v>
      </c>
      <c r="D11011" t="inlineStr">
        <is>
          <t>VÄSTERBOTTENS LÄN</t>
        </is>
      </c>
      <c r="E11011" t="inlineStr">
        <is>
          <t>SORSELE</t>
        </is>
      </c>
      <c r="F11011" t="inlineStr">
        <is>
          <t>SCA</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39034-2023</t>
        </is>
      </c>
      <c r="B11012" s="1" t="n">
        <v>45163</v>
      </c>
      <c r="C11012" s="1" t="n">
        <v>45357</v>
      </c>
      <c r="D11012" t="inlineStr">
        <is>
          <t>VÄSTERBOTTENS LÄN</t>
        </is>
      </c>
      <c r="E11012" t="inlineStr">
        <is>
          <t>SKELLEFTEÅ</t>
        </is>
      </c>
      <c r="F11012" t="inlineStr">
        <is>
          <t>Sveaskog</t>
        </is>
      </c>
      <c r="G11012" t="n">
        <v>10.8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39042-2023</t>
        </is>
      </c>
      <c r="B11013" s="1" t="n">
        <v>45164</v>
      </c>
      <c r="C11013" s="1" t="n">
        <v>45357</v>
      </c>
      <c r="D11013" t="inlineStr">
        <is>
          <t>VÄSTERBOTTENS LÄN</t>
        </is>
      </c>
      <c r="E11013" t="inlineStr">
        <is>
          <t>NORSJÖ</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39050-2023</t>
        </is>
      </c>
      <c r="B11014" s="1" t="n">
        <v>45163</v>
      </c>
      <c r="C11014" s="1" t="n">
        <v>45357</v>
      </c>
      <c r="D11014" t="inlineStr">
        <is>
          <t>VÄSTERBOTTENS LÄN</t>
        </is>
      </c>
      <c r="E11014" t="inlineStr">
        <is>
          <t>NORSJÖ</t>
        </is>
      </c>
      <c r="G11014" t="n">
        <v>12.2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39412-2023</t>
        </is>
      </c>
      <c r="B11015" s="1" t="n">
        <v>45163</v>
      </c>
      <c r="C11015" s="1" t="n">
        <v>45357</v>
      </c>
      <c r="D11015" t="inlineStr">
        <is>
          <t>VÄSTERBOTTENS LÄN</t>
        </is>
      </c>
      <c r="E11015" t="inlineStr">
        <is>
          <t>SKELLEFTEÅ</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38835-2023</t>
        </is>
      </c>
      <c r="B11016" s="1" t="n">
        <v>45163</v>
      </c>
      <c r="C11016" s="1" t="n">
        <v>45357</v>
      </c>
      <c r="D11016" t="inlineStr">
        <is>
          <t>VÄSTERBOTTENS LÄN</t>
        </is>
      </c>
      <c r="E11016" t="inlineStr">
        <is>
          <t>NORSJÖ</t>
        </is>
      </c>
      <c r="F11016" t="inlineStr">
        <is>
          <t>Sveaskog</t>
        </is>
      </c>
      <c r="G11016" t="n">
        <v>24.3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38839-2023</t>
        </is>
      </c>
      <c r="B11017" s="1" t="n">
        <v>45163</v>
      </c>
      <c r="C11017" s="1" t="n">
        <v>45357</v>
      </c>
      <c r="D11017" t="inlineStr">
        <is>
          <t>VÄSTERBOTTENS LÄN</t>
        </is>
      </c>
      <c r="E11017" t="inlineStr">
        <is>
          <t>NORSJÖ</t>
        </is>
      </c>
      <c r="F11017" t="inlineStr">
        <is>
          <t>Sveaskog</t>
        </is>
      </c>
      <c r="G11017" t="n">
        <v>11.6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38848-2023</t>
        </is>
      </c>
      <c r="B11018" s="1" t="n">
        <v>45163</v>
      </c>
      <c r="C11018" s="1" t="n">
        <v>45357</v>
      </c>
      <c r="D11018" t="inlineStr">
        <is>
          <t>VÄSTERBOTTENS LÄN</t>
        </is>
      </c>
      <c r="E11018" t="inlineStr">
        <is>
          <t>NORSJÖ</t>
        </is>
      </c>
      <c r="F11018" t="inlineStr">
        <is>
          <t>Sveaskog</t>
        </is>
      </c>
      <c r="G11018" t="n">
        <v>15.4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38968-2023</t>
        </is>
      </c>
      <c r="B11019" s="1" t="n">
        <v>45163</v>
      </c>
      <c r="C11019" s="1" t="n">
        <v>45357</v>
      </c>
      <c r="D11019" t="inlineStr">
        <is>
          <t>VÄSTERBOTTENS LÄN</t>
        </is>
      </c>
      <c r="E11019" t="inlineStr">
        <is>
          <t>VINDELN</t>
        </is>
      </c>
      <c r="F11019" t="inlineStr">
        <is>
          <t>Holmen skog AB</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39040-2023</t>
        </is>
      </c>
      <c r="B11020" s="1" t="n">
        <v>45163</v>
      </c>
      <c r="C11020" s="1" t="n">
        <v>45357</v>
      </c>
      <c r="D11020" t="inlineStr">
        <is>
          <t>VÄSTERBOTTENS LÄN</t>
        </is>
      </c>
      <c r="E11020" t="inlineStr">
        <is>
          <t>MALÅ</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39420-2023</t>
        </is>
      </c>
      <c r="B11021" s="1" t="n">
        <v>45163</v>
      </c>
      <c r="C11021" s="1" t="n">
        <v>45357</v>
      </c>
      <c r="D11021" t="inlineStr">
        <is>
          <t>VÄSTERBOTTENS LÄN</t>
        </is>
      </c>
      <c r="E11021" t="inlineStr">
        <is>
          <t>SKELLEFTEÅ</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38777-2023</t>
        </is>
      </c>
      <c r="B11022" s="1" t="n">
        <v>45163</v>
      </c>
      <c r="C11022" s="1" t="n">
        <v>45357</v>
      </c>
      <c r="D11022" t="inlineStr">
        <is>
          <t>VÄSTERBOTTENS LÄN</t>
        </is>
      </c>
      <c r="E11022" t="inlineStr">
        <is>
          <t>ROBERTSFORS</t>
        </is>
      </c>
      <c r="F11022" t="inlineStr">
        <is>
          <t>Holmen skog AB</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38781-2023</t>
        </is>
      </c>
      <c r="B11023" s="1" t="n">
        <v>45163</v>
      </c>
      <c r="C11023" s="1" t="n">
        <v>45357</v>
      </c>
      <c r="D11023" t="inlineStr">
        <is>
          <t>VÄSTERBOTTENS LÄN</t>
        </is>
      </c>
      <c r="E11023" t="inlineStr">
        <is>
          <t>MALÅ</t>
        </is>
      </c>
      <c r="F11023" t="inlineStr">
        <is>
          <t>Sveaskog</t>
        </is>
      </c>
      <c r="G11023" t="n">
        <v>15.5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38790-2023</t>
        </is>
      </c>
      <c r="B11024" s="1" t="n">
        <v>45163</v>
      </c>
      <c r="C11024" s="1" t="n">
        <v>45357</v>
      </c>
      <c r="D11024" t="inlineStr">
        <is>
          <t>VÄSTERBOTTENS LÄN</t>
        </is>
      </c>
      <c r="E11024" t="inlineStr">
        <is>
          <t>SKELLEFTEÅ</t>
        </is>
      </c>
      <c r="F11024" t="inlineStr">
        <is>
          <t>Holmen skog AB</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38796-2023</t>
        </is>
      </c>
      <c r="B11025" s="1" t="n">
        <v>45163</v>
      </c>
      <c r="C11025" s="1" t="n">
        <v>45357</v>
      </c>
      <c r="D11025" t="inlineStr">
        <is>
          <t>VÄSTERBOTTENS LÄN</t>
        </is>
      </c>
      <c r="E11025" t="inlineStr">
        <is>
          <t>NORSJÖ</t>
        </is>
      </c>
      <c r="F11025" t="inlineStr">
        <is>
          <t>Sveaskog</t>
        </is>
      </c>
      <c r="G11025" t="n">
        <v>13.9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38776-2023</t>
        </is>
      </c>
      <c r="B11026" s="1" t="n">
        <v>45163</v>
      </c>
      <c r="C11026" s="1" t="n">
        <v>45357</v>
      </c>
      <c r="D11026" t="inlineStr">
        <is>
          <t>VÄSTERBOTTENS LÄN</t>
        </is>
      </c>
      <c r="E11026" t="inlineStr">
        <is>
          <t>NORSJÖ</t>
        </is>
      </c>
      <c r="F11026" t="inlineStr">
        <is>
          <t>Sveaskog</t>
        </is>
      </c>
      <c r="G11026" t="n">
        <v>19.6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38792-2023</t>
        </is>
      </c>
      <c r="B11027" s="1" t="n">
        <v>45163</v>
      </c>
      <c r="C11027" s="1" t="n">
        <v>45357</v>
      </c>
      <c r="D11027" t="inlineStr">
        <is>
          <t>VÄSTERBOTTENS LÄN</t>
        </is>
      </c>
      <c r="E11027" t="inlineStr">
        <is>
          <t>NORSJÖ</t>
        </is>
      </c>
      <c r="F11027" t="inlineStr">
        <is>
          <t>Sveaskog</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38798-2023</t>
        </is>
      </c>
      <c r="B11028" s="1" t="n">
        <v>45163</v>
      </c>
      <c r="C11028" s="1" t="n">
        <v>45357</v>
      </c>
      <c r="D11028" t="inlineStr">
        <is>
          <t>VÄSTERBOTTENS LÄN</t>
        </is>
      </c>
      <c r="E11028" t="inlineStr">
        <is>
          <t>NORSJÖ</t>
        </is>
      </c>
      <c r="F11028" t="inlineStr">
        <is>
          <t>Sveaskog</t>
        </is>
      </c>
      <c r="G11028" t="n">
        <v>12.5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38804-2023</t>
        </is>
      </c>
      <c r="B11029" s="1" t="n">
        <v>45163</v>
      </c>
      <c r="C11029" s="1" t="n">
        <v>45357</v>
      </c>
      <c r="D11029" t="inlineStr">
        <is>
          <t>VÄSTERBOTTENS LÄN</t>
        </is>
      </c>
      <c r="E11029" t="inlineStr">
        <is>
          <t>BJURHOLM</t>
        </is>
      </c>
      <c r="F11029" t="inlineStr">
        <is>
          <t>Holmen skog AB</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38812-2023</t>
        </is>
      </c>
      <c r="B11030" s="1" t="n">
        <v>45163</v>
      </c>
      <c r="C11030" s="1" t="n">
        <v>45357</v>
      </c>
      <c r="D11030" t="inlineStr">
        <is>
          <t>VÄSTERBOTTENS LÄN</t>
        </is>
      </c>
      <c r="E11030" t="inlineStr">
        <is>
          <t>NORSJÖ</t>
        </is>
      </c>
      <c r="F11030" t="inlineStr">
        <is>
          <t>Sveaskog</t>
        </is>
      </c>
      <c r="G11030" t="n">
        <v>15.5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38816-2023</t>
        </is>
      </c>
      <c r="B11031" s="1" t="n">
        <v>45163</v>
      </c>
      <c r="C11031" s="1" t="n">
        <v>45357</v>
      </c>
      <c r="D11031" t="inlineStr">
        <is>
          <t>VÄSTERBOTTENS LÄN</t>
        </is>
      </c>
      <c r="E11031" t="inlineStr">
        <is>
          <t>NORSJÖ</t>
        </is>
      </c>
      <c r="G11031" t="n">
        <v>8.199999999999999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38814-2023</t>
        </is>
      </c>
      <c r="B11032" s="1" t="n">
        <v>45163</v>
      </c>
      <c r="C11032" s="1" t="n">
        <v>45357</v>
      </c>
      <c r="D11032" t="inlineStr">
        <is>
          <t>VÄSTERBOTTENS LÄN</t>
        </is>
      </c>
      <c r="E11032" t="inlineStr">
        <is>
          <t>NORSJÖ</t>
        </is>
      </c>
      <c r="F11032" t="inlineStr">
        <is>
          <t>Sveaskog</t>
        </is>
      </c>
      <c r="G11032" t="n">
        <v>12.2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38758-2023</t>
        </is>
      </c>
      <c r="B11033" s="1" t="n">
        <v>45163</v>
      </c>
      <c r="C11033" s="1" t="n">
        <v>45357</v>
      </c>
      <c r="D11033" t="inlineStr">
        <is>
          <t>VÄSTERBOTTENS LÄN</t>
        </is>
      </c>
      <c r="E11033" t="inlineStr">
        <is>
          <t>ÅSELE</t>
        </is>
      </c>
      <c r="F11033" t="inlineStr">
        <is>
          <t>Holmen skog AB</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38749-2023</t>
        </is>
      </c>
      <c r="B11034" s="1" t="n">
        <v>45163</v>
      </c>
      <c r="C11034" s="1" t="n">
        <v>45357</v>
      </c>
      <c r="D11034" t="inlineStr">
        <is>
          <t>VÄSTERBOTTENS LÄN</t>
        </is>
      </c>
      <c r="E11034" t="inlineStr">
        <is>
          <t>ÅSELE</t>
        </is>
      </c>
      <c r="F11034" t="inlineStr">
        <is>
          <t>Holmen skog AB</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39607-2023</t>
        </is>
      </c>
      <c r="B11035" s="1" t="n">
        <v>45163</v>
      </c>
      <c r="C11035" s="1" t="n">
        <v>45357</v>
      </c>
      <c r="D11035" t="inlineStr">
        <is>
          <t>VÄSTERBOTTENS LÄN</t>
        </is>
      </c>
      <c r="E11035" t="inlineStr">
        <is>
          <t>UMEÅ</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38782-2023</t>
        </is>
      </c>
      <c r="B11036" s="1" t="n">
        <v>45163</v>
      </c>
      <c r="C11036" s="1" t="n">
        <v>45357</v>
      </c>
      <c r="D11036" t="inlineStr">
        <is>
          <t>VÄSTERBOTTENS LÄN</t>
        </is>
      </c>
      <c r="E11036" t="inlineStr">
        <is>
          <t>NORSJÖ</t>
        </is>
      </c>
      <c r="F11036" t="inlineStr">
        <is>
          <t>Sveaskog</t>
        </is>
      </c>
      <c r="G11036" t="n">
        <v>22.7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38810-2023</t>
        </is>
      </c>
      <c r="B11037" s="1" t="n">
        <v>45163</v>
      </c>
      <c r="C11037" s="1" t="n">
        <v>45357</v>
      </c>
      <c r="D11037" t="inlineStr">
        <is>
          <t>VÄSTERBOTTENS LÄN</t>
        </is>
      </c>
      <c r="E11037" t="inlineStr">
        <is>
          <t>NORSJÖ</t>
        </is>
      </c>
      <c r="F11037" t="inlineStr">
        <is>
          <t>Sveaskog</t>
        </is>
      </c>
      <c r="G11037" t="n">
        <v>7.7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38815-2023</t>
        </is>
      </c>
      <c r="B11038" s="1" t="n">
        <v>45163</v>
      </c>
      <c r="C11038" s="1" t="n">
        <v>45357</v>
      </c>
      <c r="D11038" t="inlineStr">
        <is>
          <t>VÄSTERBOTTENS LÄN</t>
        </is>
      </c>
      <c r="E11038" t="inlineStr">
        <is>
          <t>NORSJÖ</t>
        </is>
      </c>
      <c r="F11038" t="inlineStr">
        <is>
          <t>Sveaskog</t>
        </is>
      </c>
      <c r="G11038" t="n">
        <v>12.3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38801-2023</t>
        </is>
      </c>
      <c r="B11039" s="1" t="n">
        <v>45163</v>
      </c>
      <c r="C11039" s="1" t="n">
        <v>45357</v>
      </c>
      <c r="D11039" t="inlineStr">
        <is>
          <t>VÄSTERBOTTENS LÄN</t>
        </is>
      </c>
      <c r="E11039" t="inlineStr">
        <is>
          <t>NORSJÖ</t>
        </is>
      </c>
      <c r="F11039" t="inlineStr">
        <is>
          <t>Sveaskog</t>
        </is>
      </c>
      <c r="G11039" t="n">
        <v>21.3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38806-2023</t>
        </is>
      </c>
      <c r="B11040" s="1" t="n">
        <v>45163</v>
      </c>
      <c r="C11040" s="1" t="n">
        <v>45357</v>
      </c>
      <c r="D11040" t="inlineStr">
        <is>
          <t>VÄSTERBOTTENS LÄN</t>
        </is>
      </c>
      <c r="E11040" t="inlineStr">
        <is>
          <t>MALÅ</t>
        </is>
      </c>
      <c r="F11040" t="inlineStr">
        <is>
          <t>Sveaskog</t>
        </is>
      </c>
      <c r="G11040" t="n">
        <v>29.4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39083-2023</t>
        </is>
      </c>
      <c r="B11041" s="1" t="n">
        <v>45164</v>
      </c>
      <c r="C11041" s="1" t="n">
        <v>45357</v>
      </c>
      <c r="D11041" t="inlineStr">
        <is>
          <t>VÄSTERBOTTENS LÄN</t>
        </is>
      </c>
      <c r="E11041" t="inlineStr">
        <is>
          <t>MALÅ</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39132-2023</t>
        </is>
      </c>
      <c r="B11042" s="1" t="n">
        <v>45165</v>
      </c>
      <c r="C11042" s="1" t="n">
        <v>45357</v>
      </c>
      <c r="D11042" t="inlineStr">
        <is>
          <t>VÄSTERBOTTENS LÄN</t>
        </is>
      </c>
      <c r="E11042" t="inlineStr">
        <is>
          <t>SKELLEFTEÅ</t>
        </is>
      </c>
      <c r="F11042" t="inlineStr">
        <is>
          <t>Holmen skog AB</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39115-2023</t>
        </is>
      </c>
      <c r="B11043" s="1" t="n">
        <v>45165</v>
      </c>
      <c r="C11043" s="1" t="n">
        <v>45357</v>
      </c>
      <c r="D11043" t="inlineStr">
        <is>
          <t>VÄSTERBOTTENS LÄN</t>
        </is>
      </c>
      <c r="E11043" t="inlineStr">
        <is>
          <t>UMEÅ</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39135-2023</t>
        </is>
      </c>
      <c r="B11044" s="1" t="n">
        <v>45165</v>
      </c>
      <c r="C11044" s="1" t="n">
        <v>45357</v>
      </c>
      <c r="D11044" t="inlineStr">
        <is>
          <t>VÄSTERBOTTENS LÄN</t>
        </is>
      </c>
      <c r="E11044" t="inlineStr">
        <is>
          <t>SKELLEFTEÅ</t>
        </is>
      </c>
      <c r="F11044" t="inlineStr">
        <is>
          <t>Holmen skog AB</t>
        </is>
      </c>
      <c r="G11044" t="n">
        <v>20.5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39146-2023</t>
        </is>
      </c>
      <c r="B11045" s="1" t="n">
        <v>45166</v>
      </c>
      <c r="C11045" s="1" t="n">
        <v>45357</v>
      </c>
      <c r="D11045" t="inlineStr">
        <is>
          <t>VÄSTERBOTTENS LÄN</t>
        </is>
      </c>
      <c r="E11045" t="inlineStr">
        <is>
          <t>UMEÅ</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39162-2023</t>
        </is>
      </c>
      <c r="B11046" s="1" t="n">
        <v>45166</v>
      </c>
      <c r="C11046" s="1" t="n">
        <v>45357</v>
      </c>
      <c r="D11046" t="inlineStr">
        <is>
          <t>VÄSTERBOTTENS LÄN</t>
        </is>
      </c>
      <c r="E11046" t="inlineStr">
        <is>
          <t>MALÅ</t>
        </is>
      </c>
      <c r="G11046" t="n">
        <v>10.6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39175-2023</t>
        </is>
      </c>
      <c r="B11047" s="1" t="n">
        <v>45166</v>
      </c>
      <c r="C11047" s="1" t="n">
        <v>45357</v>
      </c>
      <c r="D11047" t="inlineStr">
        <is>
          <t>VÄSTERBOTTENS LÄN</t>
        </is>
      </c>
      <c r="E11047" t="inlineStr">
        <is>
          <t>VINDELN</t>
        </is>
      </c>
      <c r="F11047" t="inlineStr">
        <is>
          <t>Sveaskog</t>
        </is>
      </c>
      <c r="G11047" t="n">
        <v>16.7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39179-2023</t>
        </is>
      </c>
      <c r="B11048" s="1" t="n">
        <v>45166</v>
      </c>
      <c r="C11048" s="1" t="n">
        <v>45357</v>
      </c>
      <c r="D11048" t="inlineStr">
        <is>
          <t>VÄSTERBOTTENS LÄN</t>
        </is>
      </c>
      <c r="E11048" t="inlineStr">
        <is>
          <t>VINDELN</t>
        </is>
      </c>
      <c r="F11048" t="inlineStr">
        <is>
          <t>Sveaskog</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39208-2023</t>
        </is>
      </c>
      <c r="B11049" s="1" t="n">
        <v>45166</v>
      </c>
      <c r="C11049" s="1" t="n">
        <v>45357</v>
      </c>
      <c r="D11049" t="inlineStr">
        <is>
          <t>VÄSTERBOTTENS LÄN</t>
        </is>
      </c>
      <c r="E11049" t="inlineStr">
        <is>
          <t>VINDELN</t>
        </is>
      </c>
      <c r="F11049" t="inlineStr">
        <is>
          <t>Sveaskog</t>
        </is>
      </c>
      <c r="G11049" t="n">
        <v>13.8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39147-2023</t>
        </is>
      </c>
      <c r="B11050" s="1" t="n">
        <v>45166</v>
      </c>
      <c r="C11050" s="1" t="n">
        <v>45357</v>
      </c>
      <c r="D11050" t="inlineStr">
        <is>
          <t>VÄSTERBOTTENS LÄN</t>
        </is>
      </c>
      <c r="E11050" t="inlineStr">
        <is>
          <t>SKELLEFTEÅ</t>
        </is>
      </c>
      <c r="F11050" t="inlineStr">
        <is>
          <t>Holmen skog AB</t>
        </is>
      </c>
      <c r="G11050" t="n">
        <v>10.8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39180-2023</t>
        </is>
      </c>
      <c r="B11051" s="1" t="n">
        <v>45166</v>
      </c>
      <c r="C11051" s="1" t="n">
        <v>45357</v>
      </c>
      <c r="D11051" t="inlineStr">
        <is>
          <t>VÄSTERBOTTENS LÄN</t>
        </is>
      </c>
      <c r="E11051" t="inlineStr">
        <is>
          <t>MALÅ</t>
        </is>
      </c>
      <c r="F11051" t="inlineStr">
        <is>
          <t>Sveaskog</t>
        </is>
      </c>
      <c r="G11051" t="n">
        <v>20.3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39184-2023</t>
        </is>
      </c>
      <c r="B11052" s="1" t="n">
        <v>45166</v>
      </c>
      <c r="C11052" s="1" t="n">
        <v>45357</v>
      </c>
      <c r="D11052" t="inlineStr">
        <is>
          <t>VÄSTERBOTTENS LÄN</t>
        </is>
      </c>
      <c r="E11052" t="inlineStr">
        <is>
          <t>VINDELN</t>
        </is>
      </c>
      <c r="F11052" t="inlineStr">
        <is>
          <t>Sveaskog</t>
        </is>
      </c>
      <c r="G11052" t="n">
        <v>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39204-2023</t>
        </is>
      </c>
      <c r="B11053" s="1" t="n">
        <v>45166</v>
      </c>
      <c r="C11053" s="1" t="n">
        <v>45357</v>
      </c>
      <c r="D11053" t="inlineStr">
        <is>
          <t>VÄSTERBOTTENS LÄN</t>
        </is>
      </c>
      <c r="E11053" t="inlineStr">
        <is>
          <t>VINDELN</t>
        </is>
      </c>
      <c r="F11053" t="inlineStr">
        <is>
          <t>Sveaskog</t>
        </is>
      </c>
      <c r="G11053" t="n">
        <v>9.699999999999999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39148-2023</t>
        </is>
      </c>
      <c r="B11054" s="1" t="n">
        <v>45166</v>
      </c>
      <c r="C11054" s="1" t="n">
        <v>45357</v>
      </c>
      <c r="D11054" t="inlineStr">
        <is>
          <t>VÄSTERBOTTENS LÄN</t>
        </is>
      </c>
      <c r="E11054" t="inlineStr">
        <is>
          <t>MALÅ</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39152-2023</t>
        </is>
      </c>
      <c r="B11055" s="1" t="n">
        <v>45166</v>
      </c>
      <c r="C11055" s="1" t="n">
        <v>45357</v>
      </c>
      <c r="D11055" t="inlineStr">
        <is>
          <t>VÄSTERBOTTENS LÄN</t>
        </is>
      </c>
      <c r="E11055" t="inlineStr">
        <is>
          <t>MALÅ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39156-2023</t>
        </is>
      </c>
      <c r="B11056" s="1" t="n">
        <v>45166</v>
      </c>
      <c r="C11056" s="1" t="n">
        <v>45357</v>
      </c>
      <c r="D11056" t="inlineStr">
        <is>
          <t>VÄSTERBOTTENS LÄN</t>
        </is>
      </c>
      <c r="E11056" t="inlineStr">
        <is>
          <t>SKELLEFTEÅ</t>
        </is>
      </c>
      <c r="F11056" t="inlineStr">
        <is>
          <t>Sveaskog</t>
        </is>
      </c>
      <c r="G11056" t="n">
        <v>43.7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39164-2023</t>
        </is>
      </c>
      <c r="B11057" s="1" t="n">
        <v>45166</v>
      </c>
      <c r="C11057" s="1" t="n">
        <v>45357</v>
      </c>
      <c r="D11057" t="inlineStr">
        <is>
          <t>VÄSTERBOTTENS LÄN</t>
        </is>
      </c>
      <c r="E11057" t="inlineStr">
        <is>
          <t>MALÅ</t>
        </is>
      </c>
      <c r="F11057" t="inlineStr">
        <is>
          <t>Sveaskog</t>
        </is>
      </c>
      <c r="G11057" t="n">
        <v>10.8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39177-2023</t>
        </is>
      </c>
      <c r="B11058" s="1" t="n">
        <v>45166</v>
      </c>
      <c r="C11058" s="1" t="n">
        <v>45357</v>
      </c>
      <c r="D11058" t="inlineStr">
        <is>
          <t>VÄSTERBOTTENS LÄN</t>
        </is>
      </c>
      <c r="E11058" t="inlineStr">
        <is>
          <t>VINDELN</t>
        </is>
      </c>
      <c r="F11058" t="inlineStr">
        <is>
          <t>Sveaskog</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39215-2023</t>
        </is>
      </c>
      <c r="B11059" s="1" t="n">
        <v>45166</v>
      </c>
      <c r="C11059" s="1" t="n">
        <v>45357</v>
      </c>
      <c r="D11059" t="inlineStr">
        <is>
          <t>VÄSTERBOTTENS LÄN</t>
        </is>
      </c>
      <c r="E11059" t="inlineStr">
        <is>
          <t>ÅSELE</t>
        </is>
      </c>
      <c r="F11059" t="inlineStr">
        <is>
          <t>Holmen skog AB</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39244-2023</t>
        </is>
      </c>
      <c r="B11060" s="1" t="n">
        <v>45166</v>
      </c>
      <c r="C11060" s="1" t="n">
        <v>45357</v>
      </c>
      <c r="D11060" t="inlineStr">
        <is>
          <t>VÄSTERBOTTENS LÄN</t>
        </is>
      </c>
      <c r="E11060" t="inlineStr">
        <is>
          <t>UMEÅ</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39250-2023</t>
        </is>
      </c>
      <c r="B11061" s="1" t="n">
        <v>45166</v>
      </c>
      <c r="C11061" s="1" t="n">
        <v>45357</v>
      </c>
      <c r="D11061" t="inlineStr">
        <is>
          <t>VÄSTERBOTTENS LÄN</t>
        </is>
      </c>
      <c r="E11061" t="inlineStr">
        <is>
          <t>LYCKSELE</t>
        </is>
      </c>
      <c r="F11061" t="inlineStr">
        <is>
          <t>Holmen skog AB</t>
        </is>
      </c>
      <c r="G11061" t="n">
        <v>13.9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39320-2023</t>
        </is>
      </c>
      <c r="B11062" s="1" t="n">
        <v>45166</v>
      </c>
      <c r="C11062" s="1" t="n">
        <v>45357</v>
      </c>
      <c r="D11062" t="inlineStr">
        <is>
          <t>VÄSTERBOTTENS LÄN</t>
        </is>
      </c>
      <c r="E11062" t="inlineStr">
        <is>
          <t>MALÅ</t>
        </is>
      </c>
      <c r="F11062" t="inlineStr">
        <is>
          <t>Kyrkan</t>
        </is>
      </c>
      <c r="G11062" t="n">
        <v>84.5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39153-2023</t>
        </is>
      </c>
      <c r="B11063" s="1" t="n">
        <v>45166</v>
      </c>
      <c r="C11063" s="1" t="n">
        <v>45357</v>
      </c>
      <c r="D11063" t="inlineStr">
        <is>
          <t>VÄSTERBOTTENS LÄN</t>
        </is>
      </c>
      <c r="E11063" t="inlineStr">
        <is>
          <t>MALÅ</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39338-2023</t>
        </is>
      </c>
      <c r="B11064" s="1" t="n">
        <v>45166</v>
      </c>
      <c r="C11064" s="1" t="n">
        <v>45357</v>
      </c>
      <c r="D11064" t="inlineStr">
        <is>
          <t>VÄSTERBOTTENS LÄN</t>
        </is>
      </c>
      <c r="E11064" t="inlineStr">
        <is>
          <t>MALÅ</t>
        </is>
      </c>
      <c r="F11064" t="inlineStr">
        <is>
          <t>Kyrkan</t>
        </is>
      </c>
      <c r="G11064" t="n">
        <v>9.699999999999999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39182-2023</t>
        </is>
      </c>
      <c r="B11065" s="1" t="n">
        <v>45166</v>
      </c>
      <c r="C11065" s="1" t="n">
        <v>45357</v>
      </c>
      <c r="D11065" t="inlineStr">
        <is>
          <t>VÄSTERBOTTENS LÄN</t>
        </is>
      </c>
      <c r="E11065" t="inlineStr">
        <is>
          <t>VINDELN</t>
        </is>
      </c>
      <c r="F11065" t="inlineStr">
        <is>
          <t>Sveaskog</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39187-2023</t>
        </is>
      </c>
      <c r="B11066" s="1" t="n">
        <v>45166</v>
      </c>
      <c r="C11066" s="1" t="n">
        <v>45357</v>
      </c>
      <c r="D11066" t="inlineStr">
        <is>
          <t>VÄSTERBOTTENS LÄN</t>
        </is>
      </c>
      <c r="E11066" t="inlineStr">
        <is>
          <t>ÅSELE</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39191-2023</t>
        </is>
      </c>
      <c r="B11067" s="1" t="n">
        <v>45166</v>
      </c>
      <c r="C11067" s="1" t="n">
        <v>45357</v>
      </c>
      <c r="D11067" t="inlineStr">
        <is>
          <t>VÄSTERBOTTENS LÄN</t>
        </is>
      </c>
      <c r="E11067" t="inlineStr">
        <is>
          <t>ÅSELE</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39202-2023</t>
        </is>
      </c>
      <c r="B11068" s="1" t="n">
        <v>45166</v>
      </c>
      <c r="C11068" s="1" t="n">
        <v>45357</v>
      </c>
      <c r="D11068" t="inlineStr">
        <is>
          <t>VÄSTERBOTTENS LÄN</t>
        </is>
      </c>
      <c r="E11068" t="inlineStr">
        <is>
          <t>VINDELN</t>
        </is>
      </c>
      <c r="F11068" t="inlineStr">
        <is>
          <t>Sveaskog</t>
        </is>
      </c>
      <c r="G11068" t="n">
        <v>7.3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39214-2023</t>
        </is>
      </c>
      <c r="B11069" s="1" t="n">
        <v>45166</v>
      </c>
      <c r="C11069" s="1" t="n">
        <v>45357</v>
      </c>
      <c r="D11069" t="inlineStr">
        <is>
          <t>VÄSTERBOTTENS LÄN</t>
        </is>
      </c>
      <c r="E11069" t="inlineStr">
        <is>
          <t>MALÅ</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39237-2023</t>
        </is>
      </c>
      <c r="B11070" s="1" t="n">
        <v>45166</v>
      </c>
      <c r="C11070" s="1" t="n">
        <v>45357</v>
      </c>
      <c r="D11070" t="inlineStr">
        <is>
          <t>VÄSTERBOTTENS LÄN</t>
        </is>
      </c>
      <c r="E11070" t="inlineStr">
        <is>
          <t>MALÅ</t>
        </is>
      </c>
      <c r="F11070" t="inlineStr">
        <is>
          <t>Sveaskog</t>
        </is>
      </c>
      <c r="G11070" t="n">
        <v>10.6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39235-2023</t>
        </is>
      </c>
      <c r="B11071" s="1" t="n">
        <v>45166</v>
      </c>
      <c r="C11071" s="1" t="n">
        <v>45357</v>
      </c>
      <c r="D11071" t="inlineStr">
        <is>
          <t>VÄSTERBOTTENS LÄN</t>
        </is>
      </c>
      <c r="E11071" t="inlineStr">
        <is>
          <t>MALÅ</t>
        </is>
      </c>
      <c r="F11071" t="inlineStr">
        <is>
          <t>Sveaskog</t>
        </is>
      </c>
      <c r="G11071" t="n">
        <v>11.6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39246-2023</t>
        </is>
      </c>
      <c r="B11072" s="1" t="n">
        <v>45166</v>
      </c>
      <c r="C11072" s="1" t="n">
        <v>45357</v>
      </c>
      <c r="D11072" t="inlineStr">
        <is>
          <t>VÄSTERBOTTENS LÄN</t>
        </is>
      </c>
      <c r="E11072" t="inlineStr">
        <is>
          <t>MALÅ</t>
        </is>
      </c>
      <c r="F11072" t="inlineStr">
        <is>
          <t>Sveaskog</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39243-2023</t>
        </is>
      </c>
      <c r="B11073" s="1" t="n">
        <v>45166</v>
      </c>
      <c r="C11073" s="1" t="n">
        <v>45357</v>
      </c>
      <c r="D11073" t="inlineStr">
        <is>
          <t>VÄSTERBOTTENS LÄN</t>
        </is>
      </c>
      <c r="E11073" t="inlineStr">
        <is>
          <t>MALÅ</t>
        </is>
      </c>
      <c r="F11073" t="inlineStr">
        <is>
          <t>Sveaskog</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39266-2023</t>
        </is>
      </c>
      <c r="B11074" s="1" t="n">
        <v>45166</v>
      </c>
      <c r="C11074" s="1" t="n">
        <v>45357</v>
      </c>
      <c r="D11074" t="inlineStr">
        <is>
          <t>VÄSTERBOTTENS LÄN</t>
        </is>
      </c>
      <c r="E11074" t="inlineStr">
        <is>
          <t>BJURHOLM</t>
        </is>
      </c>
      <c r="F11074" t="inlineStr">
        <is>
          <t>Holmen skog AB</t>
        </is>
      </c>
      <c r="G11074" t="n">
        <v>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39292-2023</t>
        </is>
      </c>
      <c r="B11075" s="1" t="n">
        <v>45166</v>
      </c>
      <c r="C11075" s="1" t="n">
        <v>45357</v>
      </c>
      <c r="D11075" t="inlineStr">
        <is>
          <t>VÄSTERBOTTENS LÄN</t>
        </is>
      </c>
      <c r="E11075" t="inlineStr">
        <is>
          <t>VINDELN</t>
        </is>
      </c>
      <c r="F11075" t="inlineStr">
        <is>
          <t>Holmen skog AB</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39386-2023</t>
        </is>
      </c>
      <c r="B11076" s="1" t="n">
        <v>45166</v>
      </c>
      <c r="C11076" s="1" t="n">
        <v>45357</v>
      </c>
      <c r="D11076" t="inlineStr">
        <is>
          <t>VÄSTERBOTTENS LÄN</t>
        </is>
      </c>
      <c r="E11076" t="inlineStr">
        <is>
          <t>MALÅ</t>
        </is>
      </c>
      <c r="F11076" t="inlineStr">
        <is>
          <t>Sveaskog</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39409-2023</t>
        </is>
      </c>
      <c r="B11077" s="1" t="n">
        <v>45166</v>
      </c>
      <c r="C11077" s="1" t="n">
        <v>45357</v>
      </c>
      <c r="D11077" t="inlineStr">
        <is>
          <t>VÄSTERBOTTENS LÄN</t>
        </is>
      </c>
      <c r="E11077" t="inlineStr">
        <is>
          <t>LYCKSELE</t>
        </is>
      </c>
      <c r="F11077" t="inlineStr">
        <is>
          <t>Sveaskog</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39280-2023</t>
        </is>
      </c>
      <c r="B11078" s="1" t="n">
        <v>45166</v>
      </c>
      <c r="C11078" s="1" t="n">
        <v>45357</v>
      </c>
      <c r="D11078" t="inlineStr">
        <is>
          <t>VÄSTERBOTTENS LÄN</t>
        </is>
      </c>
      <c r="E11078" t="inlineStr">
        <is>
          <t>NORSJÖ</t>
        </is>
      </c>
      <c r="F11078" t="inlineStr">
        <is>
          <t>Sveaskog</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39353-2023</t>
        </is>
      </c>
      <c r="B11079" s="1" t="n">
        <v>45166</v>
      </c>
      <c r="C11079" s="1" t="n">
        <v>45357</v>
      </c>
      <c r="D11079" t="inlineStr">
        <is>
          <t>VÄSTERBOTTENS LÄN</t>
        </is>
      </c>
      <c r="E11079" t="inlineStr">
        <is>
          <t>NORSJÖ</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39365-2023</t>
        </is>
      </c>
      <c r="B11080" s="1" t="n">
        <v>45166</v>
      </c>
      <c r="C11080" s="1" t="n">
        <v>45357</v>
      </c>
      <c r="D11080" t="inlineStr">
        <is>
          <t>VÄSTERBOTTENS LÄN</t>
        </is>
      </c>
      <c r="E11080" t="inlineStr">
        <is>
          <t>NORSJÖ</t>
        </is>
      </c>
      <c r="F11080" t="inlineStr">
        <is>
          <t>Sveaskog</t>
        </is>
      </c>
      <c r="G11080" t="n">
        <v>15.8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39304-2023</t>
        </is>
      </c>
      <c r="B11081" s="1" t="n">
        <v>45166</v>
      </c>
      <c r="C11081" s="1" t="n">
        <v>45357</v>
      </c>
      <c r="D11081" t="inlineStr">
        <is>
          <t>VÄSTERBOTTENS LÄN</t>
        </is>
      </c>
      <c r="E11081" t="inlineStr">
        <is>
          <t>MALÅ</t>
        </is>
      </c>
      <c r="F11081" t="inlineStr">
        <is>
          <t>Kyrkan</t>
        </is>
      </c>
      <c r="G11081" t="n">
        <v>27.3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39383-2023</t>
        </is>
      </c>
      <c r="B11082" s="1" t="n">
        <v>45166</v>
      </c>
      <c r="C11082" s="1" t="n">
        <v>45357</v>
      </c>
      <c r="D11082" t="inlineStr">
        <is>
          <t>VÄSTERBOTTENS LÄN</t>
        </is>
      </c>
      <c r="E11082" t="inlineStr">
        <is>
          <t>MALÅ</t>
        </is>
      </c>
      <c r="F11082" t="inlineStr">
        <is>
          <t>Sveaskog</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39410-2023</t>
        </is>
      </c>
      <c r="B11083" s="1" t="n">
        <v>45166</v>
      </c>
      <c r="C11083" s="1" t="n">
        <v>45357</v>
      </c>
      <c r="D11083" t="inlineStr">
        <is>
          <t>VÄSTERBOTTENS LÄN</t>
        </is>
      </c>
      <c r="E11083" t="inlineStr">
        <is>
          <t>LYCKSELE</t>
        </is>
      </c>
      <c r="F11083" t="inlineStr">
        <is>
          <t>Sveaskog</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39445-2023</t>
        </is>
      </c>
      <c r="B11084" s="1" t="n">
        <v>45166</v>
      </c>
      <c r="C11084" s="1" t="n">
        <v>45357</v>
      </c>
      <c r="D11084" t="inlineStr">
        <is>
          <t>VÄSTERBOTTENS LÄN</t>
        </is>
      </c>
      <c r="E11084" t="inlineStr">
        <is>
          <t>UMEÅ</t>
        </is>
      </c>
      <c r="G11084" t="n">
        <v>33.4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39385-2023</t>
        </is>
      </c>
      <c r="B11085" s="1" t="n">
        <v>45166</v>
      </c>
      <c r="C11085" s="1" t="n">
        <v>45357</v>
      </c>
      <c r="D11085" t="inlineStr">
        <is>
          <t>VÄSTERBOTTENS LÄN</t>
        </is>
      </c>
      <c r="E11085" t="inlineStr">
        <is>
          <t>MALÅ</t>
        </is>
      </c>
      <c r="F11085" t="inlineStr">
        <is>
          <t>Sveaskog</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39393-2023</t>
        </is>
      </c>
      <c r="B11086" s="1" t="n">
        <v>45166</v>
      </c>
      <c r="C11086" s="1" t="n">
        <v>45357</v>
      </c>
      <c r="D11086" t="inlineStr">
        <is>
          <t>VÄSTERBOTTENS LÄN</t>
        </is>
      </c>
      <c r="E11086" t="inlineStr">
        <is>
          <t>LYCKSELE</t>
        </is>
      </c>
      <c r="F11086" t="inlineStr">
        <is>
          <t>Sveaskog</t>
        </is>
      </c>
      <c r="G11086" t="n">
        <v>15.2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39397-2023</t>
        </is>
      </c>
      <c r="B11087" s="1" t="n">
        <v>45166</v>
      </c>
      <c r="C11087" s="1" t="n">
        <v>45357</v>
      </c>
      <c r="D11087" t="inlineStr">
        <is>
          <t>VÄSTERBOTTENS LÄN</t>
        </is>
      </c>
      <c r="E11087" t="inlineStr">
        <is>
          <t>LYCKSELE</t>
        </is>
      </c>
      <c r="F11087" t="inlineStr">
        <is>
          <t>Sveaskog</t>
        </is>
      </c>
      <c r="G11087" t="n">
        <v>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39402-2023</t>
        </is>
      </c>
      <c r="B11088" s="1" t="n">
        <v>45166</v>
      </c>
      <c r="C11088" s="1" t="n">
        <v>45357</v>
      </c>
      <c r="D11088" t="inlineStr">
        <is>
          <t>VÄSTERBOTTENS LÄN</t>
        </is>
      </c>
      <c r="E11088" t="inlineStr">
        <is>
          <t>LYCKSELE</t>
        </is>
      </c>
      <c r="F11088" t="inlineStr">
        <is>
          <t>Sveaskog</t>
        </is>
      </c>
      <c r="G11088" t="n">
        <v>4.4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39262-2023</t>
        </is>
      </c>
      <c r="B11089" s="1" t="n">
        <v>45166</v>
      </c>
      <c r="C11089" s="1" t="n">
        <v>45357</v>
      </c>
      <c r="D11089" t="inlineStr">
        <is>
          <t>VÄSTERBOTTENS LÄN</t>
        </is>
      </c>
      <c r="E11089" t="inlineStr">
        <is>
          <t>NORSJÖ</t>
        </is>
      </c>
      <c r="F11089" t="inlineStr">
        <is>
          <t>Sveaskog</t>
        </is>
      </c>
      <c r="G11089" t="n">
        <v>16.4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39308-2023</t>
        </is>
      </c>
      <c r="B11090" s="1" t="n">
        <v>45166</v>
      </c>
      <c r="C11090" s="1" t="n">
        <v>45357</v>
      </c>
      <c r="D11090" t="inlineStr">
        <is>
          <t>VÄSTERBOTTENS LÄN</t>
        </is>
      </c>
      <c r="E11090" t="inlineStr">
        <is>
          <t>MALÅ</t>
        </is>
      </c>
      <c r="F11090" t="inlineStr">
        <is>
          <t>Kyrkan</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39388-2023</t>
        </is>
      </c>
      <c r="B11091" s="1" t="n">
        <v>45166</v>
      </c>
      <c r="C11091" s="1" t="n">
        <v>45357</v>
      </c>
      <c r="D11091" t="inlineStr">
        <is>
          <t>VÄSTERBOTTENS LÄN</t>
        </is>
      </c>
      <c r="E11091" t="inlineStr">
        <is>
          <t>MALÅ</t>
        </is>
      </c>
      <c r="F11091" t="inlineStr">
        <is>
          <t>Sveaskog</t>
        </is>
      </c>
      <c r="G11091" t="n">
        <v>21.3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39483-2023</t>
        </is>
      </c>
      <c r="B11092" s="1" t="n">
        <v>45166</v>
      </c>
      <c r="C11092" s="1" t="n">
        <v>45357</v>
      </c>
      <c r="D11092" t="inlineStr">
        <is>
          <t>VÄSTERBOTTENS LÄN</t>
        </is>
      </c>
      <c r="E11092" t="inlineStr">
        <is>
          <t>NORSJÖ</t>
        </is>
      </c>
      <c r="G11092" t="n">
        <v>18.5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39695-2023</t>
        </is>
      </c>
      <c r="B11093" s="1" t="n">
        <v>45166</v>
      </c>
      <c r="C11093" s="1" t="n">
        <v>45357</v>
      </c>
      <c r="D11093" t="inlineStr">
        <is>
          <t>VÄSTERBOTTENS LÄN</t>
        </is>
      </c>
      <c r="E11093" t="inlineStr">
        <is>
          <t>SKELLEFTEÅ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39750-2023</t>
        </is>
      </c>
      <c r="B11094" s="1" t="n">
        <v>45166</v>
      </c>
      <c r="C11094" s="1" t="n">
        <v>45357</v>
      </c>
      <c r="D11094" t="inlineStr">
        <is>
          <t>VÄSTERBOTTENS LÄN</t>
        </is>
      </c>
      <c r="E11094" t="inlineStr">
        <is>
          <t>ROBERTSFORS</t>
        </is>
      </c>
      <c r="G11094" t="n">
        <v>10.5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39913-2023</t>
        </is>
      </c>
      <c r="B11095" s="1" t="n">
        <v>45166</v>
      </c>
      <c r="C11095" s="1" t="n">
        <v>45357</v>
      </c>
      <c r="D11095" t="inlineStr">
        <is>
          <t>VÄSTERBOTTENS LÄN</t>
        </is>
      </c>
      <c r="E11095" t="inlineStr">
        <is>
          <t>UMEÅ</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39851-2023</t>
        </is>
      </c>
      <c r="B11096" s="1" t="n">
        <v>45166</v>
      </c>
      <c r="C11096" s="1" t="n">
        <v>45357</v>
      </c>
      <c r="D11096" t="inlineStr">
        <is>
          <t>VÄSTERBOTTENS LÄN</t>
        </is>
      </c>
      <c r="E11096" t="inlineStr">
        <is>
          <t>NORDMALING</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39507-2023</t>
        </is>
      </c>
      <c r="B11097" s="1" t="n">
        <v>45167</v>
      </c>
      <c r="C11097" s="1" t="n">
        <v>45357</v>
      </c>
      <c r="D11097" t="inlineStr">
        <is>
          <t>VÄSTERBOTTENS LÄN</t>
        </is>
      </c>
      <c r="E11097" t="inlineStr">
        <is>
          <t>NORSJÖ</t>
        </is>
      </c>
      <c r="F11097" t="inlineStr">
        <is>
          <t>Övriga Aktiebolag</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39688-2023</t>
        </is>
      </c>
      <c r="B11098" s="1" t="n">
        <v>45166</v>
      </c>
      <c r="C11098" s="1" t="n">
        <v>45357</v>
      </c>
      <c r="D11098" t="inlineStr">
        <is>
          <t>VÄSTERBOTTENS LÄN</t>
        </is>
      </c>
      <c r="E11098" t="inlineStr">
        <is>
          <t>SORSELE</t>
        </is>
      </c>
      <c r="G11098" t="n">
        <v>10.9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39914-2023</t>
        </is>
      </c>
      <c r="B11099" s="1" t="n">
        <v>45166</v>
      </c>
      <c r="C11099" s="1" t="n">
        <v>45357</v>
      </c>
      <c r="D11099" t="inlineStr">
        <is>
          <t>VÄSTERBOTTENS LÄN</t>
        </is>
      </c>
      <c r="E11099" t="inlineStr">
        <is>
          <t>VILHELMINA</t>
        </is>
      </c>
      <c r="G11099" t="n">
        <v>27.5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39564-2023</t>
        </is>
      </c>
      <c r="B11100" s="1" t="n">
        <v>45167</v>
      </c>
      <c r="C11100" s="1" t="n">
        <v>45357</v>
      </c>
      <c r="D11100" t="inlineStr">
        <is>
          <t>VÄSTERBOTTENS LÄN</t>
        </is>
      </c>
      <c r="E11100" t="inlineStr">
        <is>
          <t>ROBERTSFORS</t>
        </is>
      </c>
      <c r="F11100" t="inlineStr">
        <is>
          <t>Holmen skog AB</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39594-2023</t>
        </is>
      </c>
      <c r="B11101" s="1" t="n">
        <v>45167</v>
      </c>
      <c r="C11101" s="1" t="n">
        <v>45357</v>
      </c>
      <c r="D11101" t="inlineStr">
        <is>
          <t>VÄSTERBOTTENS LÄN</t>
        </is>
      </c>
      <c r="E11101" t="inlineStr">
        <is>
          <t>UMEÅ</t>
        </is>
      </c>
      <c r="F11101" t="inlineStr">
        <is>
          <t>Sveaskog</t>
        </is>
      </c>
      <c r="G11101" t="n">
        <v>8.6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39599-2023</t>
        </is>
      </c>
      <c r="B11102" s="1" t="n">
        <v>45167</v>
      </c>
      <c r="C11102" s="1" t="n">
        <v>45357</v>
      </c>
      <c r="D11102" t="inlineStr">
        <is>
          <t>VÄSTERBOTTENS LÄN</t>
        </is>
      </c>
      <c r="E11102" t="inlineStr">
        <is>
          <t>UMEÅ</t>
        </is>
      </c>
      <c r="F11102" t="inlineStr">
        <is>
          <t>Sveaskog</t>
        </is>
      </c>
      <c r="G11102" t="n">
        <v>25.5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39606-2023</t>
        </is>
      </c>
      <c r="B11103" s="1" t="n">
        <v>45167</v>
      </c>
      <c r="C11103" s="1" t="n">
        <v>45357</v>
      </c>
      <c r="D11103" t="inlineStr">
        <is>
          <t>VÄSTERBOTTENS LÄN</t>
        </is>
      </c>
      <c r="E11103" t="inlineStr">
        <is>
          <t>UMEÅ</t>
        </is>
      </c>
      <c r="F11103" t="inlineStr">
        <is>
          <t>Sveaskog</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39626-2023</t>
        </is>
      </c>
      <c r="B11104" s="1" t="n">
        <v>45167</v>
      </c>
      <c r="C11104" s="1" t="n">
        <v>45357</v>
      </c>
      <c r="D11104" t="inlineStr">
        <is>
          <t>VÄSTERBOTTENS LÄN</t>
        </is>
      </c>
      <c r="E11104" t="inlineStr">
        <is>
          <t>BJURHOLM</t>
        </is>
      </c>
      <c r="F11104" t="inlineStr">
        <is>
          <t>Sveaskog</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39666-2023</t>
        </is>
      </c>
      <c r="B11105" s="1" t="n">
        <v>45167</v>
      </c>
      <c r="C11105" s="1" t="n">
        <v>45357</v>
      </c>
      <c r="D11105" t="inlineStr">
        <is>
          <t>VÄSTERBOTTENS LÄN</t>
        </is>
      </c>
      <c r="E11105" t="inlineStr">
        <is>
          <t>MALÅ</t>
        </is>
      </c>
      <c r="F11105" t="inlineStr">
        <is>
          <t>Sveaskog</t>
        </is>
      </c>
      <c r="G11105" t="n">
        <v>20.3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39686-2023</t>
        </is>
      </c>
      <c r="B11106" s="1" t="n">
        <v>45167</v>
      </c>
      <c r="C11106" s="1" t="n">
        <v>45357</v>
      </c>
      <c r="D11106" t="inlineStr">
        <is>
          <t>VÄSTERBOTTENS LÄN</t>
        </is>
      </c>
      <c r="E11106" t="inlineStr">
        <is>
          <t>MALÅ</t>
        </is>
      </c>
      <c r="F11106" t="inlineStr">
        <is>
          <t>Sveaskog</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39767-2023</t>
        </is>
      </c>
      <c r="B11107" s="1" t="n">
        <v>45167</v>
      </c>
      <c r="C11107" s="1" t="n">
        <v>45357</v>
      </c>
      <c r="D11107" t="inlineStr">
        <is>
          <t>VÄSTERBOTTENS LÄN</t>
        </is>
      </c>
      <c r="E11107" t="inlineStr">
        <is>
          <t>LYCKSELE</t>
        </is>
      </c>
      <c r="F11107" t="inlineStr">
        <is>
          <t>Sveaskog</t>
        </is>
      </c>
      <c r="G11107" t="n">
        <v>11.7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39771-2023</t>
        </is>
      </c>
      <c r="B11108" s="1" t="n">
        <v>45167</v>
      </c>
      <c r="C11108" s="1" t="n">
        <v>45357</v>
      </c>
      <c r="D11108" t="inlineStr">
        <is>
          <t>VÄSTERBOTTENS LÄN</t>
        </is>
      </c>
      <c r="E11108" t="inlineStr">
        <is>
          <t>MALÅ</t>
        </is>
      </c>
      <c r="G11108" t="n">
        <v>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39783-2023</t>
        </is>
      </c>
      <c r="B11109" s="1" t="n">
        <v>45167</v>
      </c>
      <c r="C11109" s="1" t="n">
        <v>45357</v>
      </c>
      <c r="D11109" t="inlineStr">
        <is>
          <t>VÄSTERBOTTENS LÄN</t>
        </is>
      </c>
      <c r="E11109" t="inlineStr">
        <is>
          <t>NORSJÖ</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39513-2023</t>
        </is>
      </c>
      <c r="B11110" s="1" t="n">
        <v>45167</v>
      </c>
      <c r="C11110" s="1" t="n">
        <v>45357</v>
      </c>
      <c r="D11110" t="inlineStr">
        <is>
          <t>VÄSTERBOTTENS LÄN</t>
        </is>
      </c>
      <c r="E11110" t="inlineStr">
        <is>
          <t>SKELLEFTEÅ</t>
        </is>
      </c>
      <c r="F11110" t="inlineStr">
        <is>
          <t>Holmen skog AB</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39521-2023</t>
        </is>
      </c>
      <c r="B11111" s="1" t="n">
        <v>45167</v>
      </c>
      <c r="C11111" s="1" t="n">
        <v>45357</v>
      </c>
      <c r="D11111" t="inlineStr">
        <is>
          <t>VÄSTERBOTTENS LÄN</t>
        </is>
      </c>
      <c r="E11111" t="inlineStr">
        <is>
          <t>UMEÅ</t>
        </is>
      </c>
      <c r="F11111" t="inlineStr">
        <is>
          <t>Holmen skog AB</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39578-2023</t>
        </is>
      </c>
      <c r="B11112" s="1" t="n">
        <v>45167</v>
      </c>
      <c r="C11112" s="1" t="n">
        <v>45357</v>
      </c>
      <c r="D11112" t="inlineStr">
        <is>
          <t>VÄSTERBOTTENS LÄN</t>
        </is>
      </c>
      <c r="E11112" t="inlineStr">
        <is>
          <t>ROBERTSFORS</t>
        </is>
      </c>
      <c r="F11112" t="inlineStr">
        <is>
          <t>Holmen skog AB</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39553-2023</t>
        </is>
      </c>
      <c r="B11113" s="1" t="n">
        <v>45167</v>
      </c>
      <c r="C11113" s="1" t="n">
        <v>45357</v>
      </c>
      <c r="D11113" t="inlineStr">
        <is>
          <t>VÄSTERBOTTENS LÄN</t>
        </is>
      </c>
      <c r="E11113" t="inlineStr">
        <is>
          <t>SKELLEFTEÅ</t>
        </is>
      </c>
      <c r="F11113" t="inlineStr">
        <is>
          <t>Holmen skog AB</t>
        </is>
      </c>
      <c r="G11113" t="n">
        <v>6.9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39589-2023</t>
        </is>
      </c>
      <c r="B11114" s="1" t="n">
        <v>45167</v>
      </c>
      <c r="C11114" s="1" t="n">
        <v>45357</v>
      </c>
      <c r="D11114" t="inlineStr">
        <is>
          <t>VÄSTERBOTTENS LÄN</t>
        </is>
      </c>
      <c r="E11114" t="inlineStr">
        <is>
          <t>SKELLEFTEÅ</t>
        </is>
      </c>
      <c r="F11114" t="inlineStr">
        <is>
          <t>Holmen skog AB</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39602-2023</t>
        </is>
      </c>
      <c r="B11115" s="1" t="n">
        <v>45167</v>
      </c>
      <c r="C11115" s="1" t="n">
        <v>45357</v>
      </c>
      <c r="D11115" t="inlineStr">
        <is>
          <t>VÄSTERBOTTENS LÄN</t>
        </is>
      </c>
      <c r="E11115" t="inlineStr">
        <is>
          <t>UMEÅ</t>
        </is>
      </c>
      <c r="F11115" t="inlineStr">
        <is>
          <t>Sveaskog</t>
        </is>
      </c>
      <c r="G11115" t="n">
        <v>7.5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39617-2023</t>
        </is>
      </c>
      <c r="B11116" s="1" t="n">
        <v>45167</v>
      </c>
      <c r="C11116" s="1" t="n">
        <v>45357</v>
      </c>
      <c r="D11116" t="inlineStr">
        <is>
          <t>VÄSTERBOTTENS LÄN</t>
        </is>
      </c>
      <c r="E11116" t="inlineStr">
        <is>
          <t>ROBERTSFORS</t>
        </is>
      </c>
      <c r="F11116" t="inlineStr">
        <is>
          <t>Holmen skog AB</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39629-2023</t>
        </is>
      </c>
      <c r="B11117" s="1" t="n">
        <v>45167</v>
      </c>
      <c r="C11117" s="1" t="n">
        <v>45357</v>
      </c>
      <c r="D11117" t="inlineStr">
        <is>
          <t>VÄSTERBOTTENS LÄN</t>
        </is>
      </c>
      <c r="E11117" t="inlineStr">
        <is>
          <t>VÄNNÄS</t>
        </is>
      </c>
      <c r="G11117" t="n">
        <v>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39787-2023</t>
        </is>
      </c>
      <c r="B11118" s="1" t="n">
        <v>45167</v>
      </c>
      <c r="C11118" s="1" t="n">
        <v>45357</v>
      </c>
      <c r="D11118" t="inlineStr">
        <is>
          <t>VÄSTERBOTTENS LÄN</t>
        </is>
      </c>
      <c r="E11118" t="inlineStr">
        <is>
          <t>MALÅ</t>
        </is>
      </c>
      <c r="G11118" t="n">
        <v>10.9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39791-2023</t>
        </is>
      </c>
      <c r="B11119" s="1" t="n">
        <v>45167</v>
      </c>
      <c r="C11119" s="1" t="n">
        <v>45357</v>
      </c>
      <c r="D11119" t="inlineStr">
        <is>
          <t>VÄSTERBOTTENS LÄN</t>
        </is>
      </c>
      <c r="E11119" t="inlineStr">
        <is>
          <t>MALÅ</t>
        </is>
      </c>
      <c r="G11119" t="n">
        <v>10</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39544-2023</t>
        </is>
      </c>
      <c r="B11120" s="1" t="n">
        <v>45167</v>
      </c>
      <c r="C11120" s="1" t="n">
        <v>45357</v>
      </c>
      <c r="D11120" t="inlineStr">
        <is>
          <t>VÄSTERBOTTENS LÄN</t>
        </is>
      </c>
      <c r="E11120" t="inlineStr">
        <is>
          <t>SKELLEFTEÅ</t>
        </is>
      </c>
      <c r="F11120" t="inlineStr">
        <is>
          <t>Sveaskog</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39554-2023</t>
        </is>
      </c>
      <c r="B11121" s="1" t="n">
        <v>45167</v>
      </c>
      <c r="C11121" s="1" t="n">
        <v>45357</v>
      </c>
      <c r="D11121" t="inlineStr">
        <is>
          <t>VÄSTERBOTTENS LÄN</t>
        </is>
      </c>
      <c r="E11121" t="inlineStr">
        <is>
          <t>UMEÅ</t>
        </is>
      </c>
      <c r="F11121" t="inlineStr">
        <is>
          <t>Holmen skog AB</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39610-2023</t>
        </is>
      </c>
      <c r="B11122" s="1" t="n">
        <v>45167</v>
      </c>
      <c r="C11122" s="1" t="n">
        <v>45357</v>
      </c>
      <c r="D11122" t="inlineStr">
        <is>
          <t>VÄSTERBOTTENS LÄN</t>
        </is>
      </c>
      <c r="E11122" t="inlineStr">
        <is>
          <t>BJURHOLM</t>
        </is>
      </c>
      <c r="F11122" t="inlineStr">
        <is>
          <t>Sveaskog</t>
        </is>
      </c>
      <c r="G11122" t="n">
        <v>12.5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39769-2023</t>
        </is>
      </c>
      <c r="B11123" s="1" t="n">
        <v>45167</v>
      </c>
      <c r="C11123" s="1" t="n">
        <v>45357</v>
      </c>
      <c r="D11123" t="inlineStr">
        <is>
          <t>VÄSTERBOTTENS LÄN</t>
        </is>
      </c>
      <c r="E11123" t="inlineStr">
        <is>
          <t>BJURHOLM</t>
        </is>
      </c>
      <c r="F11123" t="inlineStr">
        <is>
          <t>Sveaskog</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39773-2023</t>
        </is>
      </c>
      <c r="B11124" s="1" t="n">
        <v>45167</v>
      </c>
      <c r="C11124" s="1" t="n">
        <v>45357</v>
      </c>
      <c r="D11124" t="inlineStr">
        <is>
          <t>VÄSTERBOTTENS LÄN</t>
        </is>
      </c>
      <c r="E11124" t="inlineStr">
        <is>
          <t>BJURHOLM</t>
        </is>
      </c>
      <c r="F11124" t="inlineStr">
        <is>
          <t>Sveaskog</t>
        </is>
      </c>
      <c r="G11124" t="n">
        <v>11.2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39785-2023</t>
        </is>
      </c>
      <c r="B11125" s="1" t="n">
        <v>45168</v>
      </c>
      <c r="C11125" s="1" t="n">
        <v>45357</v>
      </c>
      <c r="D11125" t="inlineStr">
        <is>
          <t>VÄSTERBOTTENS LÄN</t>
        </is>
      </c>
      <c r="E11125" t="inlineStr">
        <is>
          <t>NORSJÖ</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39789-2023</t>
        </is>
      </c>
      <c r="B11126" s="1" t="n">
        <v>45167</v>
      </c>
      <c r="C11126" s="1" t="n">
        <v>45357</v>
      </c>
      <c r="D11126" t="inlineStr">
        <is>
          <t>VÄSTERBOTTENS LÄN</t>
        </is>
      </c>
      <c r="E11126" t="inlineStr">
        <is>
          <t>MALÅ</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39793-2023</t>
        </is>
      </c>
      <c r="B11127" s="1" t="n">
        <v>45167</v>
      </c>
      <c r="C11127" s="1" t="n">
        <v>45357</v>
      </c>
      <c r="D11127" t="inlineStr">
        <is>
          <t>VÄSTERBOTTENS LÄN</t>
        </is>
      </c>
      <c r="E11127" t="inlineStr">
        <is>
          <t>MALÅ</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39809-2023</t>
        </is>
      </c>
      <c r="B11128" s="1" t="n">
        <v>45167</v>
      </c>
      <c r="C11128" s="1" t="n">
        <v>45357</v>
      </c>
      <c r="D11128" t="inlineStr">
        <is>
          <t>VÄSTERBOTTENS LÄN</t>
        </is>
      </c>
      <c r="E11128" t="inlineStr">
        <is>
          <t>VINDELN</t>
        </is>
      </c>
      <c r="F11128" t="inlineStr">
        <is>
          <t>SCA</t>
        </is>
      </c>
      <c r="G11128" t="n">
        <v>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40019-2023</t>
        </is>
      </c>
      <c r="B11129" s="1" t="n">
        <v>45167</v>
      </c>
      <c r="C11129" s="1" t="n">
        <v>45357</v>
      </c>
      <c r="D11129" t="inlineStr">
        <is>
          <t>VÄSTERBOTTENS LÄN</t>
        </is>
      </c>
      <c r="E11129" t="inlineStr">
        <is>
          <t>MALÅ</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40008-2023</t>
        </is>
      </c>
      <c r="B11130" s="1" t="n">
        <v>45167</v>
      </c>
      <c r="C11130" s="1" t="n">
        <v>45357</v>
      </c>
      <c r="D11130" t="inlineStr">
        <is>
          <t>VÄSTERBOTTENS LÄN</t>
        </is>
      </c>
      <c r="E11130" t="inlineStr">
        <is>
          <t>NORDMALING</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39663-2023</t>
        </is>
      </c>
      <c r="B11131" s="1" t="n">
        <v>45167</v>
      </c>
      <c r="C11131" s="1" t="n">
        <v>45357</v>
      </c>
      <c r="D11131" t="inlineStr">
        <is>
          <t>VÄSTERBOTTENS LÄN</t>
        </is>
      </c>
      <c r="E11131" t="inlineStr">
        <is>
          <t>MALÅ</t>
        </is>
      </c>
      <c r="F11131" t="inlineStr">
        <is>
          <t>Sveaskog</t>
        </is>
      </c>
      <c r="G11131" t="n">
        <v>30.8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39672-2023</t>
        </is>
      </c>
      <c r="B11132" s="1" t="n">
        <v>45167</v>
      </c>
      <c r="C11132" s="1" t="n">
        <v>45357</v>
      </c>
      <c r="D11132" t="inlineStr">
        <is>
          <t>VÄSTERBOTTENS LÄN</t>
        </is>
      </c>
      <c r="E11132" t="inlineStr">
        <is>
          <t>MALÅ</t>
        </is>
      </c>
      <c r="F11132" t="inlineStr">
        <is>
          <t>Sveaskog</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39687-2023</t>
        </is>
      </c>
      <c r="B11133" s="1" t="n">
        <v>45167</v>
      </c>
      <c r="C11133" s="1" t="n">
        <v>45357</v>
      </c>
      <c r="D11133" t="inlineStr">
        <is>
          <t>VÄSTERBOTTENS LÄN</t>
        </is>
      </c>
      <c r="E11133" t="inlineStr">
        <is>
          <t>MALÅ</t>
        </is>
      </c>
      <c r="F11133" t="inlineStr">
        <is>
          <t>Sveaskog</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39731-2023</t>
        </is>
      </c>
      <c r="B11134" s="1" t="n">
        <v>45167</v>
      </c>
      <c r="C11134" s="1" t="n">
        <v>45357</v>
      </c>
      <c r="D11134" t="inlineStr">
        <is>
          <t>VÄSTERBOTTENS LÄN</t>
        </is>
      </c>
      <c r="E11134" t="inlineStr">
        <is>
          <t>ÅSELE</t>
        </is>
      </c>
      <c r="F11134" t="inlineStr">
        <is>
          <t>Sveaskog</t>
        </is>
      </c>
      <c r="G11134" t="n">
        <v>17.6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39768-2023</t>
        </is>
      </c>
      <c r="B11135" s="1" t="n">
        <v>45167</v>
      </c>
      <c r="C11135" s="1" t="n">
        <v>45357</v>
      </c>
      <c r="D11135" t="inlineStr">
        <is>
          <t>VÄSTERBOTTENS LÄN</t>
        </is>
      </c>
      <c r="E11135" t="inlineStr">
        <is>
          <t>BJURHOLM</t>
        </is>
      </c>
      <c r="F11135" t="inlineStr">
        <is>
          <t>Sveaskog</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39784-2023</t>
        </is>
      </c>
      <c r="B11136" s="1" t="n">
        <v>45167</v>
      </c>
      <c r="C11136" s="1" t="n">
        <v>45357</v>
      </c>
      <c r="D11136" t="inlineStr">
        <is>
          <t>VÄSTERBOTTENS LÄN</t>
        </is>
      </c>
      <c r="E11136" t="inlineStr">
        <is>
          <t>NORSJÖ</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39788-2023</t>
        </is>
      </c>
      <c r="B11137" s="1" t="n">
        <v>45167</v>
      </c>
      <c r="C11137" s="1" t="n">
        <v>45357</v>
      </c>
      <c r="D11137" t="inlineStr">
        <is>
          <t>VÄSTERBOTTENS LÄN</t>
        </is>
      </c>
      <c r="E11137" t="inlineStr">
        <is>
          <t>MALÅ</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39804-2023</t>
        </is>
      </c>
      <c r="B11138" s="1" t="n">
        <v>45167</v>
      </c>
      <c r="C11138" s="1" t="n">
        <v>45357</v>
      </c>
      <c r="D11138" t="inlineStr">
        <is>
          <t>VÄSTERBOTTENS LÄN</t>
        </is>
      </c>
      <c r="E11138" t="inlineStr">
        <is>
          <t>NORSJÖ</t>
        </is>
      </c>
      <c r="F11138" t="inlineStr">
        <is>
          <t>Övriga Aktiebolag</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39808-2023</t>
        </is>
      </c>
      <c r="B11139" s="1" t="n">
        <v>45167</v>
      </c>
      <c r="C11139" s="1" t="n">
        <v>45357</v>
      </c>
      <c r="D11139" t="inlineStr">
        <is>
          <t>VÄSTERBOTTENS LÄN</t>
        </is>
      </c>
      <c r="E11139" t="inlineStr">
        <is>
          <t>SORSELE</t>
        </is>
      </c>
      <c r="F11139" t="inlineStr">
        <is>
          <t>SCA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39816-2023</t>
        </is>
      </c>
      <c r="B11140" s="1" t="n">
        <v>45168</v>
      </c>
      <c r="C11140" s="1" t="n">
        <v>45357</v>
      </c>
      <c r="D11140" t="inlineStr">
        <is>
          <t>VÄSTERBOTTENS LÄN</t>
        </is>
      </c>
      <c r="E11140" t="inlineStr">
        <is>
          <t>NORDMALING</t>
        </is>
      </c>
      <c r="F11140" t="inlineStr">
        <is>
          <t>SCA</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39989-2023</t>
        </is>
      </c>
      <c r="B11141" s="1" t="n">
        <v>45167</v>
      </c>
      <c r="C11141" s="1" t="n">
        <v>45357</v>
      </c>
      <c r="D11141" t="inlineStr">
        <is>
          <t>VÄSTERBOTTENS LÄN</t>
        </is>
      </c>
      <c r="E11141" t="inlineStr">
        <is>
          <t>ÅSELE</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40032-2023</t>
        </is>
      </c>
      <c r="B11142" s="1" t="n">
        <v>45167</v>
      </c>
      <c r="C11142" s="1" t="n">
        <v>45357</v>
      </c>
      <c r="D11142" t="inlineStr">
        <is>
          <t>VÄSTERBOTTENS LÄN</t>
        </is>
      </c>
      <c r="E11142" t="inlineStr">
        <is>
          <t>UMEÅ</t>
        </is>
      </c>
      <c r="G11142" t="n">
        <v>5.5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39661-2023</t>
        </is>
      </c>
      <c r="B11143" s="1" t="n">
        <v>45167</v>
      </c>
      <c r="C11143" s="1" t="n">
        <v>45357</v>
      </c>
      <c r="D11143" t="inlineStr">
        <is>
          <t>VÄSTERBOTTENS LÄN</t>
        </is>
      </c>
      <c r="E11143" t="inlineStr">
        <is>
          <t>UMEÅ</t>
        </is>
      </c>
      <c r="F11143" t="inlineStr">
        <is>
          <t>Holmen skog AB</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39715-2023</t>
        </is>
      </c>
      <c r="B11144" s="1" t="n">
        <v>45167</v>
      </c>
      <c r="C11144" s="1" t="n">
        <v>45357</v>
      </c>
      <c r="D11144" t="inlineStr">
        <is>
          <t>VÄSTERBOTTENS LÄN</t>
        </is>
      </c>
      <c r="E11144" t="inlineStr">
        <is>
          <t>NORSJÖ</t>
        </is>
      </c>
      <c r="F11144" t="inlineStr">
        <is>
          <t>Holmen skog AB</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39724-2023</t>
        </is>
      </c>
      <c r="B11145" s="1" t="n">
        <v>45167</v>
      </c>
      <c r="C11145" s="1" t="n">
        <v>45357</v>
      </c>
      <c r="D11145" t="inlineStr">
        <is>
          <t>VÄSTERBOTTENS LÄN</t>
        </is>
      </c>
      <c r="E11145" t="inlineStr">
        <is>
          <t>UMEÅ</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39786-2023</t>
        </is>
      </c>
      <c r="B11146" s="1" t="n">
        <v>45168</v>
      </c>
      <c r="C11146" s="1" t="n">
        <v>45357</v>
      </c>
      <c r="D11146" t="inlineStr">
        <is>
          <t>VÄSTERBOTTENS LÄN</t>
        </is>
      </c>
      <c r="E11146" t="inlineStr">
        <is>
          <t>NORSJÖ</t>
        </is>
      </c>
      <c r="G11146" t="n">
        <v>9.199999999999999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39790-2023</t>
        </is>
      </c>
      <c r="B11147" s="1" t="n">
        <v>45167</v>
      </c>
      <c r="C11147" s="1" t="n">
        <v>45357</v>
      </c>
      <c r="D11147" t="inlineStr">
        <is>
          <t>VÄSTERBOTTENS LÄN</t>
        </is>
      </c>
      <c r="E11147" t="inlineStr">
        <is>
          <t>MALÅ</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39794-2023</t>
        </is>
      </c>
      <c r="B11148" s="1" t="n">
        <v>45167</v>
      </c>
      <c r="C11148" s="1" t="n">
        <v>45357</v>
      </c>
      <c r="D11148" t="inlineStr">
        <is>
          <t>VÄSTERBOTTENS LÄN</t>
        </is>
      </c>
      <c r="E11148" t="inlineStr">
        <is>
          <t>MALÅ</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39810-2023</t>
        </is>
      </c>
      <c r="B11149" s="1" t="n">
        <v>45167</v>
      </c>
      <c r="C11149" s="1" t="n">
        <v>45357</v>
      </c>
      <c r="D11149" t="inlineStr">
        <is>
          <t>VÄSTERBOTTENS LÄN</t>
        </is>
      </c>
      <c r="E11149" t="inlineStr">
        <is>
          <t>BJURHOLM</t>
        </is>
      </c>
      <c r="F11149" t="inlineStr">
        <is>
          <t>SCA</t>
        </is>
      </c>
      <c r="G11149" t="n">
        <v>37.2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40000-2023</t>
        </is>
      </c>
      <c r="B11150" s="1" t="n">
        <v>45167</v>
      </c>
      <c r="C11150" s="1" t="n">
        <v>45357</v>
      </c>
      <c r="D11150" t="inlineStr">
        <is>
          <t>VÄSTERBOTTENS LÄN</t>
        </is>
      </c>
      <c r="E11150" t="inlineStr">
        <is>
          <t>MALÅ</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39840-2023</t>
        </is>
      </c>
      <c r="B11151" s="1" t="n">
        <v>45168</v>
      </c>
      <c r="C11151" s="1" t="n">
        <v>45357</v>
      </c>
      <c r="D11151" t="inlineStr">
        <is>
          <t>VÄSTERBOTTENS LÄN</t>
        </is>
      </c>
      <c r="E11151" t="inlineStr">
        <is>
          <t>MALÅ</t>
        </is>
      </c>
      <c r="F11151" t="inlineStr">
        <is>
          <t>Sveaskog</t>
        </is>
      </c>
      <c r="G11151" t="n">
        <v>18.9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39908-2023</t>
        </is>
      </c>
      <c r="B11152" s="1" t="n">
        <v>45168</v>
      </c>
      <c r="C11152" s="1" t="n">
        <v>45357</v>
      </c>
      <c r="D11152" t="inlineStr">
        <is>
          <t>VÄSTERBOTTENS LÄN</t>
        </is>
      </c>
      <c r="E11152" t="inlineStr">
        <is>
          <t>NORSJÖ</t>
        </is>
      </c>
      <c r="F11152" t="inlineStr">
        <is>
          <t>Holmen skog AB</t>
        </is>
      </c>
      <c r="G11152" t="n">
        <v>7.1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39945-2023</t>
        </is>
      </c>
      <c r="B11153" s="1" t="n">
        <v>45168</v>
      </c>
      <c r="C11153" s="1" t="n">
        <v>45357</v>
      </c>
      <c r="D11153" t="inlineStr">
        <is>
          <t>VÄSTERBOTTENS LÄN</t>
        </is>
      </c>
      <c r="E11153" t="inlineStr">
        <is>
          <t>UMEÅ</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39831-2023</t>
        </is>
      </c>
      <c r="B11154" s="1" t="n">
        <v>45168</v>
      </c>
      <c r="C11154" s="1" t="n">
        <v>45357</v>
      </c>
      <c r="D11154" t="inlineStr">
        <is>
          <t>VÄSTERBOTTENS LÄN</t>
        </is>
      </c>
      <c r="E11154" t="inlineStr">
        <is>
          <t>MALÅ</t>
        </is>
      </c>
      <c r="G11154" t="n">
        <v>8.5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39848-2023</t>
        </is>
      </c>
      <c r="B11155" s="1" t="n">
        <v>45168</v>
      </c>
      <c r="C11155" s="1" t="n">
        <v>45357</v>
      </c>
      <c r="D11155" t="inlineStr">
        <is>
          <t>VÄSTERBOTTENS LÄN</t>
        </is>
      </c>
      <c r="E11155" t="inlineStr">
        <is>
          <t>MALÅ</t>
        </is>
      </c>
      <c r="F11155" t="inlineStr">
        <is>
          <t>Sveaskog</t>
        </is>
      </c>
      <c r="G11155" t="n">
        <v>16.9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39856-2023</t>
        </is>
      </c>
      <c r="B11156" s="1" t="n">
        <v>45168</v>
      </c>
      <c r="C11156" s="1" t="n">
        <v>45357</v>
      </c>
      <c r="D11156" t="inlineStr">
        <is>
          <t>VÄSTERBOTTENS LÄN</t>
        </is>
      </c>
      <c r="E11156" t="inlineStr">
        <is>
          <t>MALÅ</t>
        </is>
      </c>
      <c r="F11156" t="inlineStr">
        <is>
          <t>Sveaskog</t>
        </is>
      </c>
      <c r="G11156" t="n">
        <v>11.3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40081-2023</t>
        </is>
      </c>
      <c r="B11157" s="1" t="n">
        <v>45168</v>
      </c>
      <c r="C11157" s="1" t="n">
        <v>45357</v>
      </c>
      <c r="D11157" t="inlineStr">
        <is>
          <t>VÄSTERBOTTENS LÄN</t>
        </is>
      </c>
      <c r="E11157" t="inlineStr">
        <is>
          <t>NORSJÖ</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40089-2023</t>
        </is>
      </c>
      <c r="B11158" s="1" t="n">
        <v>45168</v>
      </c>
      <c r="C11158" s="1" t="n">
        <v>45357</v>
      </c>
      <c r="D11158" t="inlineStr">
        <is>
          <t>VÄSTERBOTTENS LÄN</t>
        </is>
      </c>
      <c r="E11158" t="inlineStr">
        <is>
          <t>NORSJÖ</t>
        </is>
      </c>
      <c r="F11158" t="inlineStr">
        <is>
          <t>Sveaskog</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39846-2023</t>
        </is>
      </c>
      <c r="B11159" s="1" t="n">
        <v>45168</v>
      </c>
      <c r="C11159" s="1" t="n">
        <v>45357</v>
      </c>
      <c r="D11159" t="inlineStr">
        <is>
          <t>VÄSTERBOTTENS LÄN</t>
        </is>
      </c>
      <c r="E11159" t="inlineStr">
        <is>
          <t>SKELLEFTEÅ</t>
        </is>
      </c>
      <c r="F11159" t="inlineStr">
        <is>
          <t>Holmen skog AB</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39863-2023</t>
        </is>
      </c>
      <c r="B11160" s="1" t="n">
        <v>45168</v>
      </c>
      <c r="C11160" s="1" t="n">
        <v>45357</v>
      </c>
      <c r="D11160" t="inlineStr">
        <is>
          <t>VÄSTERBOTTENS LÄN</t>
        </is>
      </c>
      <c r="E11160" t="inlineStr">
        <is>
          <t>MALÅ</t>
        </is>
      </c>
      <c r="F11160" t="inlineStr">
        <is>
          <t>Sveaskog</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39960-2023</t>
        </is>
      </c>
      <c r="B11161" s="1" t="n">
        <v>45168</v>
      </c>
      <c r="C11161" s="1" t="n">
        <v>45357</v>
      </c>
      <c r="D11161" t="inlineStr">
        <is>
          <t>VÄSTERBOTTENS LÄN</t>
        </is>
      </c>
      <c r="E11161" t="inlineStr">
        <is>
          <t>UMEÅ</t>
        </is>
      </c>
      <c r="F11161" t="inlineStr">
        <is>
          <t>Sveaskog</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39994-2023</t>
        </is>
      </c>
      <c r="B11162" s="1" t="n">
        <v>45168</v>
      </c>
      <c r="C11162" s="1" t="n">
        <v>45357</v>
      </c>
      <c r="D11162" t="inlineStr">
        <is>
          <t>VÄSTERBOTTENS LÄN</t>
        </is>
      </c>
      <c r="E11162" t="inlineStr">
        <is>
          <t>MALÅ</t>
        </is>
      </c>
      <c r="G11162" t="n">
        <v>27.9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40041-2023</t>
        </is>
      </c>
      <c r="B11163" s="1" t="n">
        <v>45168</v>
      </c>
      <c r="C11163" s="1" t="n">
        <v>45357</v>
      </c>
      <c r="D11163" t="inlineStr">
        <is>
          <t>VÄSTERBOTTENS LÄN</t>
        </is>
      </c>
      <c r="E11163" t="inlineStr">
        <is>
          <t>MALÅ</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39979-2023</t>
        </is>
      </c>
      <c r="B11164" s="1" t="n">
        <v>45168</v>
      </c>
      <c r="C11164" s="1" t="n">
        <v>45357</v>
      </c>
      <c r="D11164" t="inlineStr">
        <is>
          <t>VÄSTERBOTTENS LÄN</t>
        </is>
      </c>
      <c r="E11164" t="inlineStr">
        <is>
          <t>UMEÅ</t>
        </is>
      </c>
      <c r="F11164" t="inlineStr">
        <is>
          <t>Sveaskog</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40045-2023</t>
        </is>
      </c>
      <c r="B11165" s="1" t="n">
        <v>45168</v>
      </c>
      <c r="C11165" s="1" t="n">
        <v>45357</v>
      </c>
      <c r="D11165" t="inlineStr">
        <is>
          <t>VÄSTERBOTTENS LÄN</t>
        </is>
      </c>
      <c r="E11165" t="inlineStr">
        <is>
          <t>MALÅ</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40087-2023</t>
        </is>
      </c>
      <c r="B11166" s="1" t="n">
        <v>45168</v>
      </c>
      <c r="C11166" s="1" t="n">
        <v>45357</v>
      </c>
      <c r="D11166" t="inlineStr">
        <is>
          <t>VÄSTERBOTTENS LÄN</t>
        </is>
      </c>
      <c r="E11166" t="inlineStr">
        <is>
          <t>NORSJÖ</t>
        </is>
      </c>
      <c r="F11166" t="inlineStr">
        <is>
          <t>Sveaskog</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40142-2023</t>
        </is>
      </c>
      <c r="B11167" s="1" t="n">
        <v>45168</v>
      </c>
      <c r="C11167" s="1" t="n">
        <v>45357</v>
      </c>
      <c r="D11167" t="inlineStr">
        <is>
          <t>VÄSTERBOTTENS LÄN</t>
        </is>
      </c>
      <c r="E11167" t="inlineStr">
        <is>
          <t>BJURHOLM</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40370-2023</t>
        </is>
      </c>
      <c r="B11168" s="1" t="n">
        <v>45168</v>
      </c>
      <c r="C11168" s="1" t="n">
        <v>45357</v>
      </c>
      <c r="D11168" t="inlineStr">
        <is>
          <t>VÄSTERBOTTENS LÄN</t>
        </is>
      </c>
      <c r="E11168" t="inlineStr">
        <is>
          <t>MALÅ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40086-2023</t>
        </is>
      </c>
      <c r="B11169" s="1" t="n">
        <v>45168</v>
      </c>
      <c r="C11169" s="1" t="n">
        <v>45357</v>
      </c>
      <c r="D11169" t="inlineStr">
        <is>
          <t>VÄSTERBOTTENS LÄN</t>
        </is>
      </c>
      <c r="E11169" t="inlineStr">
        <is>
          <t>NORSJÖ</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40090-2023</t>
        </is>
      </c>
      <c r="B11170" s="1" t="n">
        <v>45168</v>
      </c>
      <c r="C11170" s="1" t="n">
        <v>45357</v>
      </c>
      <c r="D11170" t="inlineStr">
        <is>
          <t>VÄSTERBOTTENS LÄN</t>
        </is>
      </c>
      <c r="E11170" t="inlineStr">
        <is>
          <t>NORSJÖ</t>
        </is>
      </c>
      <c r="F11170" t="inlineStr">
        <is>
          <t>Sveaskog</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40111-2023</t>
        </is>
      </c>
      <c r="B11171" s="1" t="n">
        <v>45169</v>
      </c>
      <c r="C11171" s="1" t="n">
        <v>45357</v>
      </c>
      <c r="D11171" t="inlineStr">
        <is>
          <t>VÄSTERBOTTENS LÄN</t>
        </is>
      </c>
      <c r="E11171" t="inlineStr">
        <is>
          <t>STORUMAN</t>
        </is>
      </c>
      <c r="F11171" t="inlineStr">
        <is>
          <t>SCA</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40130-2023</t>
        </is>
      </c>
      <c r="B11172" s="1" t="n">
        <v>45168</v>
      </c>
      <c r="C11172" s="1" t="n">
        <v>45357</v>
      </c>
      <c r="D11172" t="inlineStr">
        <is>
          <t>VÄSTERBOTTENS LÄN</t>
        </is>
      </c>
      <c r="E11172" t="inlineStr">
        <is>
          <t>BJURHOLM</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39853-2023</t>
        </is>
      </c>
      <c r="B11173" s="1" t="n">
        <v>45168</v>
      </c>
      <c r="C11173" s="1" t="n">
        <v>45357</v>
      </c>
      <c r="D11173" t="inlineStr">
        <is>
          <t>VÄSTERBOTTENS LÄN</t>
        </is>
      </c>
      <c r="E11173" t="inlineStr">
        <is>
          <t>VINDELN</t>
        </is>
      </c>
      <c r="F11173" t="inlineStr">
        <is>
          <t>Sveaskog</t>
        </is>
      </c>
      <c r="G11173" t="n">
        <v>19.4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39861-2023</t>
        </is>
      </c>
      <c r="B11174" s="1" t="n">
        <v>45168</v>
      </c>
      <c r="C11174" s="1" t="n">
        <v>45357</v>
      </c>
      <c r="D11174" t="inlineStr">
        <is>
          <t>VÄSTERBOTTENS LÄN</t>
        </is>
      </c>
      <c r="E11174" t="inlineStr">
        <is>
          <t>MALÅ</t>
        </is>
      </c>
      <c r="F11174" t="inlineStr">
        <is>
          <t>Sveaskog</t>
        </is>
      </c>
      <c r="G11174" t="n">
        <v>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39865-2023</t>
        </is>
      </c>
      <c r="B11175" s="1" t="n">
        <v>45168</v>
      </c>
      <c r="C11175" s="1" t="n">
        <v>45357</v>
      </c>
      <c r="D11175" t="inlineStr">
        <is>
          <t>VÄSTERBOTTENS LÄN</t>
        </is>
      </c>
      <c r="E11175" t="inlineStr">
        <is>
          <t>MALÅ</t>
        </is>
      </c>
      <c r="F11175" t="inlineStr">
        <is>
          <t>Sveaskog</t>
        </is>
      </c>
      <c r="G11175" t="n">
        <v>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39953-2023</t>
        </is>
      </c>
      <c r="B11176" s="1" t="n">
        <v>45168</v>
      </c>
      <c r="C11176" s="1" t="n">
        <v>45357</v>
      </c>
      <c r="D11176" t="inlineStr">
        <is>
          <t>VÄSTERBOTTENS LÄN</t>
        </is>
      </c>
      <c r="E11176" t="inlineStr">
        <is>
          <t>NORSJÖ</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39965-2023</t>
        </is>
      </c>
      <c r="B11177" s="1" t="n">
        <v>45168</v>
      </c>
      <c r="C11177" s="1" t="n">
        <v>45357</v>
      </c>
      <c r="D11177" t="inlineStr">
        <is>
          <t>VÄSTERBOTTENS LÄN</t>
        </is>
      </c>
      <c r="E11177" t="inlineStr">
        <is>
          <t>LYCKSELE</t>
        </is>
      </c>
      <c r="F11177" t="inlineStr">
        <is>
          <t>Holmen skog AB</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40088-2023</t>
        </is>
      </c>
      <c r="B11178" s="1" t="n">
        <v>45168</v>
      </c>
      <c r="C11178" s="1" t="n">
        <v>45357</v>
      </c>
      <c r="D11178" t="inlineStr">
        <is>
          <t>VÄSTERBOTTENS LÄN</t>
        </is>
      </c>
      <c r="E11178" t="inlineStr">
        <is>
          <t>NORSJÖ</t>
        </is>
      </c>
      <c r="F11178" t="inlineStr">
        <is>
          <t>Sveaskog</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40367-2023</t>
        </is>
      </c>
      <c r="B11179" s="1" t="n">
        <v>45168</v>
      </c>
      <c r="C11179" s="1" t="n">
        <v>45357</v>
      </c>
      <c r="D11179" t="inlineStr">
        <is>
          <t>VÄSTERBOTTENS LÄN</t>
        </is>
      </c>
      <c r="E11179" t="inlineStr">
        <is>
          <t>MALÅ</t>
        </is>
      </c>
      <c r="G11179" t="n">
        <v>10.6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40125-2023</t>
        </is>
      </c>
      <c r="B11180" s="1" t="n">
        <v>45169</v>
      </c>
      <c r="C11180" s="1" t="n">
        <v>45357</v>
      </c>
      <c r="D11180" t="inlineStr">
        <is>
          <t>VÄSTERBOTTENS LÄN</t>
        </is>
      </c>
      <c r="E11180" t="inlineStr">
        <is>
          <t>ROBERTSFORS</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40189-2023</t>
        </is>
      </c>
      <c r="B11181" s="1" t="n">
        <v>45169</v>
      </c>
      <c r="C11181" s="1" t="n">
        <v>45357</v>
      </c>
      <c r="D11181" t="inlineStr">
        <is>
          <t>VÄSTERBOTTENS LÄN</t>
        </is>
      </c>
      <c r="E11181" t="inlineStr">
        <is>
          <t>SKELLEFTEÅ</t>
        </is>
      </c>
      <c r="G11181" t="n">
        <v>10.1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40220-2023</t>
        </is>
      </c>
      <c r="B11182" s="1" t="n">
        <v>45169</v>
      </c>
      <c r="C11182" s="1" t="n">
        <v>45357</v>
      </c>
      <c r="D11182" t="inlineStr">
        <is>
          <t>VÄSTERBOTTENS LÄN</t>
        </is>
      </c>
      <c r="E11182" t="inlineStr">
        <is>
          <t>NORSJÖ</t>
        </is>
      </c>
      <c r="F11182" t="inlineStr">
        <is>
          <t>Sveaskog</t>
        </is>
      </c>
      <c r="G11182" t="n">
        <v>8.9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40229-2023</t>
        </is>
      </c>
      <c r="B11183" s="1" t="n">
        <v>45169</v>
      </c>
      <c r="C11183" s="1" t="n">
        <v>45357</v>
      </c>
      <c r="D11183" t="inlineStr">
        <is>
          <t>VÄSTERBOTTENS LÄN</t>
        </is>
      </c>
      <c r="E11183" t="inlineStr">
        <is>
          <t>NORSJÖ</t>
        </is>
      </c>
      <c r="F11183" t="inlineStr">
        <is>
          <t>Sveaskog</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40391-2023</t>
        </is>
      </c>
      <c r="B11184" s="1" t="n">
        <v>45169</v>
      </c>
      <c r="C11184" s="1" t="n">
        <v>45357</v>
      </c>
      <c r="D11184" t="inlineStr">
        <is>
          <t>VÄSTERBOTTENS LÄN</t>
        </is>
      </c>
      <c r="E11184" t="inlineStr">
        <is>
          <t>MALÅ</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40353-2023</t>
        </is>
      </c>
      <c r="B11185" s="1" t="n">
        <v>45169</v>
      </c>
      <c r="C11185" s="1" t="n">
        <v>45357</v>
      </c>
      <c r="D11185" t="inlineStr">
        <is>
          <t>VÄSTERBOTTENS LÄN</t>
        </is>
      </c>
      <c r="E11185" t="inlineStr">
        <is>
          <t>ÅSELE</t>
        </is>
      </c>
      <c r="G11185" t="n">
        <v>9.4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40373-2023</t>
        </is>
      </c>
      <c r="B11186" s="1" t="n">
        <v>45169</v>
      </c>
      <c r="C11186" s="1" t="n">
        <v>45357</v>
      </c>
      <c r="D11186" t="inlineStr">
        <is>
          <t>VÄSTERBOTTENS LÄN</t>
        </is>
      </c>
      <c r="E11186" t="inlineStr">
        <is>
          <t>SKELLEFTEÅ</t>
        </is>
      </c>
      <c r="F11186" t="inlineStr">
        <is>
          <t>Sveaskog</t>
        </is>
      </c>
      <c r="G11186" t="n">
        <v>16.6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40381-2023</t>
        </is>
      </c>
      <c r="B11187" s="1" t="n">
        <v>45169</v>
      </c>
      <c r="C11187" s="1" t="n">
        <v>45357</v>
      </c>
      <c r="D11187" t="inlineStr">
        <is>
          <t>VÄSTERBOTTENS LÄN</t>
        </is>
      </c>
      <c r="E11187" t="inlineStr">
        <is>
          <t>MALÅ</t>
        </is>
      </c>
      <c r="G11187" t="n">
        <v>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40385-2023</t>
        </is>
      </c>
      <c r="B11188" s="1" t="n">
        <v>45169</v>
      </c>
      <c r="C11188" s="1" t="n">
        <v>45357</v>
      </c>
      <c r="D11188" t="inlineStr">
        <is>
          <t>VÄSTERBOTTENS LÄN</t>
        </is>
      </c>
      <c r="E11188" t="inlineStr">
        <is>
          <t>NORSJÖ</t>
        </is>
      </c>
      <c r="G11188" t="n">
        <v>37.1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40132-2023</t>
        </is>
      </c>
      <c r="B11189" s="1" t="n">
        <v>45169</v>
      </c>
      <c r="C11189" s="1" t="n">
        <v>45357</v>
      </c>
      <c r="D11189" t="inlineStr">
        <is>
          <t>VÄSTERBOTTENS LÄN</t>
        </is>
      </c>
      <c r="E11189" t="inlineStr">
        <is>
          <t>SKELLEFTEÅ</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40149-2023</t>
        </is>
      </c>
      <c r="B11190" s="1" t="n">
        <v>45169</v>
      </c>
      <c r="C11190" s="1" t="n">
        <v>45357</v>
      </c>
      <c r="D11190" t="inlineStr">
        <is>
          <t>VÄSTERBOTTENS LÄN</t>
        </is>
      </c>
      <c r="E11190" t="inlineStr">
        <is>
          <t>VINDELN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40274-2023</t>
        </is>
      </c>
      <c r="B11191" s="1" t="n">
        <v>45169</v>
      </c>
      <c r="C11191" s="1" t="n">
        <v>45357</v>
      </c>
      <c r="D11191" t="inlineStr">
        <is>
          <t>VÄSTERBOTTENS LÄN</t>
        </is>
      </c>
      <c r="E11191" t="inlineStr">
        <is>
          <t>SKELLEFTEÅ</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40608-2023</t>
        </is>
      </c>
      <c r="B11192" s="1" t="n">
        <v>45169</v>
      </c>
      <c r="C11192" s="1" t="n">
        <v>45357</v>
      </c>
      <c r="D11192" t="inlineStr">
        <is>
          <t>VÄSTERBOTTENS LÄN</t>
        </is>
      </c>
      <c r="E11192" t="inlineStr">
        <is>
          <t>SORSELE</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40431-2023</t>
        </is>
      </c>
      <c r="B11193" s="1" t="n">
        <v>45170</v>
      </c>
      <c r="C11193" s="1" t="n">
        <v>45357</v>
      </c>
      <c r="D11193" t="inlineStr">
        <is>
          <t>VÄSTERBOTTENS LÄN</t>
        </is>
      </c>
      <c r="E11193" t="inlineStr">
        <is>
          <t>VILHELMINA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40436-2023</t>
        </is>
      </c>
      <c r="B11194" s="1" t="n">
        <v>45170</v>
      </c>
      <c r="C11194" s="1" t="n">
        <v>45357</v>
      </c>
      <c r="D11194" t="inlineStr">
        <is>
          <t>VÄSTERBOTTENS LÄN</t>
        </is>
      </c>
      <c r="E11194" t="inlineStr">
        <is>
          <t>DOROTEA</t>
        </is>
      </c>
      <c r="F11194" t="inlineStr">
        <is>
          <t>SCA</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40435-2023</t>
        </is>
      </c>
      <c r="B11195" s="1" t="n">
        <v>45169</v>
      </c>
      <c r="C11195" s="1" t="n">
        <v>45357</v>
      </c>
      <c r="D11195" t="inlineStr">
        <is>
          <t>VÄSTERBOTTENS LÄN</t>
        </is>
      </c>
      <c r="E11195" t="inlineStr">
        <is>
          <t>DOROTEA</t>
        </is>
      </c>
      <c r="F11195" t="inlineStr">
        <is>
          <t>SCA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40426-2023</t>
        </is>
      </c>
      <c r="B11196" s="1" t="n">
        <v>45169</v>
      </c>
      <c r="C11196" s="1" t="n">
        <v>45357</v>
      </c>
      <c r="D11196" t="inlineStr">
        <is>
          <t>VÄSTERBOTTENS LÄN</t>
        </is>
      </c>
      <c r="E11196" t="inlineStr">
        <is>
          <t>VILHELMINA</t>
        </is>
      </c>
      <c r="F11196" t="inlineStr">
        <is>
          <t>SCA</t>
        </is>
      </c>
      <c r="G11196" t="n">
        <v>12.6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40437-2023</t>
        </is>
      </c>
      <c r="B11197" s="1" t="n">
        <v>45170</v>
      </c>
      <c r="C11197" s="1" t="n">
        <v>45357</v>
      </c>
      <c r="D11197" t="inlineStr">
        <is>
          <t>VÄSTERBOTTENS LÄN</t>
        </is>
      </c>
      <c r="E11197" t="inlineStr">
        <is>
          <t>DOROTEA</t>
        </is>
      </c>
      <c r="F11197" t="inlineStr">
        <is>
          <t>SCA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40388-2023</t>
        </is>
      </c>
      <c r="B11198" s="1" t="n">
        <v>45169</v>
      </c>
      <c r="C11198" s="1" t="n">
        <v>45357</v>
      </c>
      <c r="D11198" t="inlineStr">
        <is>
          <t>VÄSTERBOTTENS LÄN</t>
        </is>
      </c>
      <c r="E11198" t="inlineStr">
        <is>
          <t>NORSJÖ</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40393-2023</t>
        </is>
      </c>
      <c r="B11199" s="1" t="n">
        <v>45169</v>
      </c>
      <c r="C11199" s="1" t="n">
        <v>45357</v>
      </c>
      <c r="D11199" t="inlineStr">
        <is>
          <t>VÄSTERBOTTENS LÄN</t>
        </is>
      </c>
      <c r="E11199" t="inlineStr">
        <is>
          <t>SKELLEFTEÅ</t>
        </is>
      </c>
      <c r="G11199" t="n">
        <v>10.7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40409-2023</t>
        </is>
      </c>
      <c r="B11200" s="1" t="n">
        <v>45170</v>
      </c>
      <c r="C11200" s="1" t="n">
        <v>45357</v>
      </c>
      <c r="D11200" t="inlineStr">
        <is>
          <t>VÄSTERBOTTENS LÄN</t>
        </is>
      </c>
      <c r="E11200" t="inlineStr">
        <is>
          <t>BJURHOLM</t>
        </is>
      </c>
      <c r="F11200" t="inlineStr">
        <is>
          <t>SCA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40438-2023</t>
        </is>
      </c>
      <c r="B11201" s="1" t="n">
        <v>45170</v>
      </c>
      <c r="C11201" s="1" t="n">
        <v>45357</v>
      </c>
      <c r="D11201" t="inlineStr">
        <is>
          <t>VÄSTERBOTTENS LÄN</t>
        </is>
      </c>
      <c r="E11201" t="inlineStr">
        <is>
          <t>DOROTEA</t>
        </is>
      </c>
      <c r="F11201" t="inlineStr">
        <is>
          <t>SCA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40434-2023</t>
        </is>
      </c>
      <c r="B11202" s="1" t="n">
        <v>45170</v>
      </c>
      <c r="C11202" s="1" t="n">
        <v>45357</v>
      </c>
      <c r="D11202" t="inlineStr">
        <is>
          <t>VÄSTERBOTTENS LÄN</t>
        </is>
      </c>
      <c r="E11202" t="inlineStr">
        <is>
          <t>DOROTEA</t>
        </is>
      </c>
      <c r="F11202" t="inlineStr">
        <is>
          <t>SCA</t>
        </is>
      </c>
      <c r="G11202" t="n">
        <v>13.9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40442-2023</t>
        </is>
      </c>
      <c r="B11203" s="1" t="n">
        <v>45170</v>
      </c>
      <c r="C11203" s="1" t="n">
        <v>45357</v>
      </c>
      <c r="D11203" t="inlineStr">
        <is>
          <t>VÄSTERBOTTENS LÄN</t>
        </is>
      </c>
      <c r="E11203" t="inlineStr">
        <is>
          <t>SKELLEFTEÅ</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40532-2023</t>
        </is>
      </c>
      <c r="B11204" s="1" t="n">
        <v>45170</v>
      </c>
      <c r="C11204" s="1" t="n">
        <v>45357</v>
      </c>
      <c r="D11204" t="inlineStr">
        <is>
          <t>VÄSTERBOTTENS LÄN</t>
        </is>
      </c>
      <c r="E11204" t="inlineStr">
        <is>
          <t>MALÅ</t>
        </is>
      </c>
      <c r="F11204" t="inlineStr">
        <is>
          <t>Sveaskog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40572-2023</t>
        </is>
      </c>
      <c r="B11205" s="1" t="n">
        <v>45170</v>
      </c>
      <c r="C11205" s="1" t="n">
        <v>45357</v>
      </c>
      <c r="D11205" t="inlineStr">
        <is>
          <t>VÄSTERBOTTENS LÄN</t>
        </is>
      </c>
      <c r="E11205" t="inlineStr">
        <is>
          <t>MALÅ</t>
        </is>
      </c>
      <c r="F11205" t="inlineStr">
        <is>
          <t>Sveaskog</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40530-2023</t>
        </is>
      </c>
      <c r="B11206" s="1" t="n">
        <v>45170</v>
      </c>
      <c r="C11206" s="1" t="n">
        <v>45357</v>
      </c>
      <c r="D11206" t="inlineStr">
        <is>
          <t>VÄSTERBOTTENS LÄN</t>
        </is>
      </c>
      <c r="E11206" t="inlineStr">
        <is>
          <t>MALÅ</t>
        </is>
      </c>
      <c r="F11206" t="inlineStr">
        <is>
          <t>Sveaskog</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40618-2023</t>
        </is>
      </c>
      <c r="B11207" s="1" t="n">
        <v>45170</v>
      </c>
      <c r="C11207" s="1" t="n">
        <v>45357</v>
      </c>
      <c r="D11207" t="inlineStr">
        <is>
          <t>VÄSTERBOTTENS LÄN</t>
        </is>
      </c>
      <c r="E11207" t="inlineStr">
        <is>
          <t>MALÅ</t>
        </is>
      </c>
      <c r="F11207" t="inlineStr">
        <is>
          <t>Sveaskog</t>
        </is>
      </c>
      <c r="G11207" t="n">
        <v>23.4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40478-2023</t>
        </is>
      </c>
      <c r="B11208" s="1" t="n">
        <v>45170</v>
      </c>
      <c r="C11208" s="1" t="n">
        <v>45357</v>
      </c>
      <c r="D11208" t="inlineStr">
        <is>
          <t>VÄSTERBOTTENS LÄN</t>
        </is>
      </c>
      <c r="E11208" t="inlineStr">
        <is>
          <t>NORSJÖ</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40493-2023</t>
        </is>
      </c>
      <c r="B11209" s="1" t="n">
        <v>45170</v>
      </c>
      <c r="C11209" s="1" t="n">
        <v>45357</v>
      </c>
      <c r="D11209" t="inlineStr">
        <is>
          <t>VÄSTERBOTTENS LÄN</t>
        </is>
      </c>
      <c r="E11209" t="inlineStr">
        <is>
          <t>NORSJÖ</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40645-2023</t>
        </is>
      </c>
      <c r="B11210" s="1" t="n">
        <v>45170</v>
      </c>
      <c r="C11210" s="1" t="n">
        <v>45357</v>
      </c>
      <c r="D11210" t="inlineStr">
        <is>
          <t>VÄSTERBOTTENS LÄN</t>
        </is>
      </c>
      <c r="E11210" t="inlineStr">
        <is>
          <t>VINDELN</t>
        </is>
      </c>
      <c r="F11210" t="inlineStr">
        <is>
          <t>Sveaskog</t>
        </is>
      </c>
      <c r="G11210" t="n">
        <v>14.9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40649-2023</t>
        </is>
      </c>
      <c r="B11211" s="1" t="n">
        <v>45170</v>
      </c>
      <c r="C11211" s="1" t="n">
        <v>45357</v>
      </c>
      <c r="D11211" t="inlineStr">
        <is>
          <t>VÄSTERBOTTENS LÄN</t>
        </is>
      </c>
      <c r="E11211" t="inlineStr">
        <is>
          <t>VILHELMINA</t>
        </is>
      </c>
      <c r="G11211" t="n">
        <v>18.5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40588-2023</t>
        </is>
      </c>
      <c r="B11212" s="1" t="n">
        <v>45170</v>
      </c>
      <c r="C11212" s="1" t="n">
        <v>45357</v>
      </c>
      <c r="D11212" t="inlineStr">
        <is>
          <t>VÄSTERBOTTENS LÄN</t>
        </is>
      </c>
      <c r="E11212" t="inlineStr">
        <is>
          <t>MALÅ</t>
        </is>
      </c>
      <c r="F11212" t="inlineStr">
        <is>
          <t>Sveaskog</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40594-2023</t>
        </is>
      </c>
      <c r="B11213" s="1" t="n">
        <v>45170</v>
      </c>
      <c r="C11213" s="1" t="n">
        <v>45357</v>
      </c>
      <c r="D11213" t="inlineStr">
        <is>
          <t>VÄSTERBOTTENS LÄN</t>
        </is>
      </c>
      <c r="E11213" t="inlineStr">
        <is>
          <t>LYCKSELE</t>
        </is>
      </c>
      <c r="F11213" t="inlineStr">
        <is>
          <t>Holmen skog AB</t>
        </is>
      </c>
      <c r="G11213" t="n">
        <v>7.2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40607-2023</t>
        </is>
      </c>
      <c r="B11214" s="1" t="n">
        <v>45170</v>
      </c>
      <c r="C11214" s="1" t="n">
        <v>45357</v>
      </c>
      <c r="D11214" t="inlineStr">
        <is>
          <t>VÄSTERBOTTENS LÄN</t>
        </is>
      </c>
      <c r="E11214" t="inlineStr">
        <is>
          <t>MALÅ</t>
        </is>
      </c>
      <c r="F11214" t="inlineStr">
        <is>
          <t>Sveaskog</t>
        </is>
      </c>
      <c r="G11214" t="n">
        <v>14.7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40604-2023</t>
        </is>
      </c>
      <c r="B11215" s="1" t="n">
        <v>45170</v>
      </c>
      <c r="C11215" s="1" t="n">
        <v>45357</v>
      </c>
      <c r="D11215" t="inlineStr">
        <is>
          <t>VÄSTERBOTTENS LÄN</t>
        </is>
      </c>
      <c r="E11215" t="inlineStr">
        <is>
          <t>MALÅ</t>
        </is>
      </c>
      <c r="F11215" t="inlineStr">
        <is>
          <t>Sveaskog</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40619-2023</t>
        </is>
      </c>
      <c r="B11216" s="1" t="n">
        <v>45170</v>
      </c>
      <c r="C11216" s="1" t="n">
        <v>45357</v>
      </c>
      <c r="D11216" t="inlineStr">
        <is>
          <t>VÄSTERBOTTENS LÄN</t>
        </is>
      </c>
      <c r="E11216" t="inlineStr">
        <is>
          <t>MALÅ</t>
        </is>
      </c>
      <c r="F11216" t="inlineStr">
        <is>
          <t>Sveaskog</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40721-2023</t>
        </is>
      </c>
      <c r="B11217" s="1" t="n">
        <v>45170</v>
      </c>
      <c r="C11217" s="1" t="n">
        <v>45357</v>
      </c>
      <c r="D11217" t="inlineStr">
        <is>
          <t>VÄSTERBOTTENS LÄN</t>
        </is>
      </c>
      <c r="E11217" t="inlineStr">
        <is>
          <t>MALÅ</t>
        </is>
      </c>
      <c r="G11217" t="n">
        <v>15.1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40457-2023</t>
        </is>
      </c>
      <c r="B11218" s="1" t="n">
        <v>45170</v>
      </c>
      <c r="C11218" s="1" t="n">
        <v>45357</v>
      </c>
      <c r="D11218" t="inlineStr">
        <is>
          <t>VÄSTERBOTTENS LÄN</t>
        </is>
      </c>
      <c r="E11218" t="inlineStr">
        <is>
          <t>ROBERTSFORS</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40668-2023</t>
        </is>
      </c>
      <c r="B11219" s="1" t="n">
        <v>45170</v>
      </c>
      <c r="C11219" s="1" t="n">
        <v>45357</v>
      </c>
      <c r="D11219" t="inlineStr">
        <is>
          <t>VÄSTERBOTTENS LÄN</t>
        </is>
      </c>
      <c r="E11219" t="inlineStr">
        <is>
          <t>MALÅ</t>
        </is>
      </c>
      <c r="F11219" t="inlineStr">
        <is>
          <t>Sveaskog</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40633-2023</t>
        </is>
      </c>
      <c r="B11220" s="1" t="n">
        <v>45170</v>
      </c>
      <c r="C11220" s="1" t="n">
        <v>45357</v>
      </c>
      <c r="D11220" t="inlineStr">
        <is>
          <t>VÄSTERBOTTENS LÄN</t>
        </is>
      </c>
      <c r="E11220" t="inlineStr">
        <is>
          <t>ROBERTSFORS</t>
        </is>
      </c>
      <c r="F11220" t="inlineStr">
        <is>
          <t>Sveaskog</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40754-2023</t>
        </is>
      </c>
      <c r="B11221" s="1" t="n">
        <v>45171</v>
      </c>
      <c r="C11221" s="1" t="n">
        <v>45357</v>
      </c>
      <c r="D11221" t="inlineStr">
        <is>
          <t>VÄSTERBOTTENS LÄN</t>
        </is>
      </c>
      <c r="E11221" t="inlineStr">
        <is>
          <t>NORSJÖ</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40524-2023</t>
        </is>
      </c>
      <c r="B11222" s="1" t="n">
        <v>45170</v>
      </c>
      <c r="C11222" s="1" t="n">
        <v>45357</v>
      </c>
      <c r="D11222" t="inlineStr">
        <is>
          <t>VÄSTERBOTTENS LÄN</t>
        </is>
      </c>
      <c r="E11222" t="inlineStr">
        <is>
          <t>LYCKSELE</t>
        </is>
      </c>
      <c r="F11222" t="inlineStr">
        <is>
          <t>Sveaskog</t>
        </is>
      </c>
      <c r="G11222" t="n">
        <v>45.7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40528-2023</t>
        </is>
      </c>
      <c r="B11223" s="1" t="n">
        <v>45170</v>
      </c>
      <c r="C11223" s="1" t="n">
        <v>45357</v>
      </c>
      <c r="D11223" t="inlineStr">
        <is>
          <t>VÄSTERBOTTENS LÄN</t>
        </is>
      </c>
      <c r="E11223" t="inlineStr">
        <is>
          <t>MALÅ</t>
        </is>
      </c>
      <c r="F11223" t="inlineStr">
        <is>
          <t>Sveaskog</t>
        </is>
      </c>
      <c r="G11223" t="n">
        <v>20.8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40581-2023</t>
        </is>
      </c>
      <c r="B11224" s="1" t="n">
        <v>45170</v>
      </c>
      <c r="C11224" s="1" t="n">
        <v>45357</v>
      </c>
      <c r="D11224" t="inlineStr">
        <is>
          <t>VÄSTERBOTTENS LÄN</t>
        </is>
      </c>
      <c r="E11224" t="inlineStr">
        <is>
          <t>MALÅ</t>
        </is>
      </c>
      <c r="F11224" t="inlineStr">
        <is>
          <t>Sveaskog</t>
        </is>
      </c>
      <c r="G11224" t="n">
        <v>9.1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40593-2023</t>
        </is>
      </c>
      <c r="B11225" s="1" t="n">
        <v>45170</v>
      </c>
      <c r="C11225" s="1" t="n">
        <v>45357</v>
      </c>
      <c r="D11225" t="inlineStr">
        <is>
          <t>VÄSTERBOTTENS LÄN</t>
        </is>
      </c>
      <c r="E11225" t="inlineStr">
        <is>
          <t>MALÅ</t>
        </is>
      </c>
      <c r="F11225" t="inlineStr">
        <is>
          <t>Sveaskog</t>
        </is>
      </c>
      <c r="G11225" t="n">
        <v>18.2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40621-2023</t>
        </is>
      </c>
      <c r="B11226" s="1" t="n">
        <v>45170</v>
      </c>
      <c r="C11226" s="1" t="n">
        <v>45357</v>
      </c>
      <c r="D11226" t="inlineStr">
        <is>
          <t>VÄSTERBOTTENS LÄN</t>
        </is>
      </c>
      <c r="E11226" t="inlineStr">
        <is>
          <t>MALÅ</t>
        </is>
      </c>
      <c r="F11226" t="inlineStr">
        <is>
          <t>Sveaskog</t>
        </is>
      </c>
      <c r="G11226" t="n">
        <v>28.3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40636-2023</t>
        </is>
      </c>
      <c r="B11227" s="1" t="n">
        <v>45170</v>
      </c>
      <c r="C11227" s="1" t="n">
        <v>45357</v>
      </c>
      <c r="D11227" t="inlineStr">
        <is>
          <t>VÄSTERBOTTENS LÄN</t>
        </is>
      </c>
      <c r="E11227" t="inlineStr">
        <is>
          <t>VINDELN</t>
        </is>
      </c>
      <c r="F11227" t="inlineStr">
        <is>
          <t>Sveaskog</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40643-2023</t>
        </is>
      </c>
      <c r="B11228" s="1" t="n">
        <v>45170</v>
      </c>
      <c r="C11228" s="1" t="n">
        <v>45357</v>
      </c>
      <c r="D11228" t="inlineStr">
        <is>
          <t>VÄSTERBOTTENS LÄN</t>
        </is>
      </c>
      <c r="E11228" t="inlineStr">
        <is>
          <t>VINDELN</t>
        </is>
      </c>
      <c r="F11228" t="inlineStr">
        <is>
          <t>Sveaskog</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40720-2023</t>
        </is>
      </c>
      <c r="B11229" s="1" t="n">
        <v>45170</v>
      </c>
      <c r="C11229" s="1" t="n">
        <v>45357</v>
      </c>
      <c r="D11229" t="inlineStr">
        <is>
          <t>VÄSTERBOTTENS LÄN</t>
        </is>
      </c>
      <c r="E11229" t="inlineStr">
        <is>
          <t>MALÅ</t>
        </is>
      </c>
      <c r="G11229" t="n">
        <v>7.4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40752-2023</t>
        </is>
      </c>
      <c r="B11230" s="1" t="n">
        <v>45170</v>
      </c>
      <c r="C11230" s="1" t="n">
        <v>45357</v>
      </c>
      <c r="D11230" t="inlineStr">
        <is>
          <t>VÄSTERBOTTENS LÄN</t>
        </is>
      </c>
      <c r="E11230" t="inlineStr">
        <is>
          <t>MALÅ</t>
        </is>
      </c>
      <c r="G11230" t="n">
        <v>15.8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40756-2023</t>
        </is>
      </c>
      <c r="B11231" s="1" t="n">
        <v>45170</v>
      </c>
      <c r="C11231" s="1" t="n">
        <v>45357</v>
      </c>
      <c r="D11231" t="inlineStr">
        <is>
          <t>VÄSTERBOTTENS LÄN</t>
        </is>
      </c>
      <c r="E11231" t="inlineStr">
        <is>
          <t>NORSJÖ</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40641-2023</t>
        </is>
      </c>
      <c r="B11232" s="1" t="n">
        <v>45170</v>
      </c>
      <c r="C11232" s="1" t="n">
        <v>45357</v>
      </c>
      <c r="D11232" t="inlineStr">
        <is>
          <t>VÄSTERBOTTENS LÄN</t>
        </is>
      </c>
      <c r="E11232" t="inlineStr">
        <is>
          <t>MALÅ</t>
        </is>
      </c>
      <c r="F11232" t="inlineStr">
        <is>
          <t>Sveaskog</t>
        </is>
      </c>
      <c r="G11232" t="n">
        <v>23.1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40647-2023</t>
        </is>
      </c>
      <c r="B11233" s="1" t="n">
        <v>45170</v>
      </c>
      <c r="C11233" s="1" t="n">
        <v>45357</v>
      </c>
      <c r="D11233" t="inlineStr">
        <is>
          <t>VÄSTERBOTTENS LÄN</t>
        </is>
      </c>
      <c r="E11233" t="inlineStr">
        <is>
          <t>VINDELN</t>
        </is>
      </c>
      <c r="F11233" t="inlineStr">
        <is>
          <t>Sveaskog</t>
        </is>
      </c>
      <c r="G11233" t="n">
        <v>14.2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40753-2023</t>
        </is>
      </c>
      <c r="B11234" s="1" t="n">
        <v>45171</v>
      </c>
      <c r="C11234" s="1" t="n">
        <v>45357</v>
      </c>
      <c r="D11234" t="inlineStr">
        <is>
          <t>VÄSTERBOTTENS LÄN</t>
        </is>
      </c>
      <c r="E11234" t="inlineStr">
        <is>
          <t>NORSJÖ</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40757-2023</t>
        </is>
      </c>
      <c r="B11235" s="1" t="n">
        <v>45170</v>
      </c>
      <c r="C11235" s="1" t="n">
        <v>45357</v>
      </c>
      <c r="D11235" t="inlineStr">
        <is>
          <t>VÄSTERBOTTENS LÄN</t>
        </is>
      </c>
      <c r="E11235" t="inlineStr">
        <is>
          <t>NORSJÖ</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40785-2023</t>
        </is>
      </c>
      <c r="B11236" s="1" t="n">
        <v>45171</v>
      </c>
      <c r="C11236" s="1" t="n">
        <v>45357</v>
      </c>
      <c r="D11236" t="inlineStr">
        <is>
          <t>VÄSTERBOTTENS LÄN</t>
        </is>
      </c>
      <c r="E11236" t="inlineStr">
        <is>
          <t>VILHELMINA</t>
        </is>
      </c>
      <c r="F11236" t="inlineStr">
        <is>
          <t>SCA</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40781-2023</t>
        </is>
      </c>
      <c r="B11237" s="1" t="n">
        <v>45171</v>
      </c>
      <c r="C11237" s="1" t="n">
        <v>45357</v>
      </c>
      <c r="D11237" t="inlineStr">
        <is>
          <t>VÄSTERBOTTENS LÄN</t>
        </is>
      </c>
      <c r="E11237" t="inlineStr">
        <is>
          <t>VILHELMINA</t>
        </is>
      </c>
      <c r="F11237" t="inlineStr">
        <is>
          <t>SCA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40758-2023</t>
        </is>
      </c>
      <c r="B11238" s="1" t="n">
        <v>45171</v>
      </c>
      <c r="C11238" s="1" t="n">
        <v>45357</v>
      </c>
      <c r="D11238" t="inlineStr">
        <is>
          <t>VÄSTERBOTTENS LÄN</t>
        </is>
      </c>
      <c r="E11238" t="inlineStr">
        <is>
          <t>NORSJÖ</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40782-2023</t>
        </is>
      </c>
      <c r="B11239" s="1" t="n">
        <v>45171</v>
      </c>
      <c r="C11239" s="1" t="n">
        <v>45357</v>
      </c>
      <c r="D11239" t="inlineStr">
        <is>
          <t>VÄSTERBOTTENS LÄN</t>
        </is>
      </c>
      <c r="E11239" t="inlineStr">
        <is>
          <t>VILHELMINA</t>
        </is>
      </c>
      <c r="F11239" t="inlineStr">
        <is>
          <t>SCA</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41107-2023</t>
        </is>
      </c>
      <c r="B11240" s="1" t="n">
        <v>45170</v>
      </c>
      <c r="C11240" s="1" t="n">
        <v>45357</v>
      </c>
      <c r="D11240" t="inlineStr">
        <is>
          <t>VÄSTERBOTTENS LÄN</t>
        </is>
      </c>
      <c r="E11240" t="inlineStr">
        <is>
          <t>DOROTEA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41287-2023</t>
        </is>
      </c>
      <c r="B11241" s="1" t="n">
        <v>45170</v>
      </c>
      <c r="C11241" s="1" t="n">
        <v>45357</v>
      </c>
      <c r="D11241" t="inlineStr">
        <is>
          <t>VÄSTERBOTTENS LÄN</t>
        </is>
      </c>
      <c r="E11241" t="inlineStr">
        <is>
          <t>UMEÅ</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40719-2023</t>
        </is>
      </c>
      <c r="B11242" s="1" t="n">
        <v>45170</v>
      </c>
      <c r="C11242" s="1" t="n">
        <v>45357</v>
      </c>
      <c r="D11242" t="inlineStr">
        <is>
          <t>VÄSTERBOTTENS LÄN</t>
        </is>
      </c>
      <c r="E11242" t="inlineStr">
        <is>
          <t>MALÅ</t>
        </is>
      </c>
      <c r="G11242" t="n">
        <v>15.1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40751-2023</t>
        </is>
      </c>
      <c r="B11243" s="1" t="n">
        <v>45171</v>
      </c>
      <c r="C11243" s="1" t="n">
        <v>45357</v>
      </c>
      <c r="D11243" t="inlineStr">
        <is>
          <t>VÄSTERBOTTENS LÄN</t>
        </is>
      </c>
      <c r="E11243" t="inlineStr">
        <is>
          <t>NORSJÖ</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40759-2023</t>
        </is>
      </c>
      <c r="B11244" s="1" t="n">
        <v>45171</v>
      </c>
      <c r="C11244" s="1" t="n">
        <v>45357</v>
      </c>
      <c r="D11244" t="inlineStr">
        <is>
          <t>VÄSTERBOTTENS LÄN</t>
        </is>
      </c>
      <c r="E11244" t="inlineStr">
        <is>
          <t>DOROTEA</t>
        </is>
      </c>
      <c r="G11244" t="n">
        <v>23.1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40783-2023</t>
        </is>
      </c>
      <c r="B11245" s="1" t="n">
        <v>45171</v>
      </c>
      <c r="C11245" s="1" t="n">
        <v>45357</v>
      </c>
      <c r="D11245" t="inlineStr">
        <is>
          <t>VÄSTERBOTTENS LÄN</t>
        </is>
      </c>
      <c r="E11245" t="inlineStr">
        <is>
          <t>VILHELMINA</t>
        </is>
      </c>
      <c r="F11245" t="inlineStr">
        <is>
          <t>SCA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40787-2023</t>
        </is>
      </c>
      <c r="B11246" s="1" t="n">
        <v>45171</v>
      </c>
      <c r="C11246" s="1" t="n">
        <v>45357</v>
      </c>
      <c r="D11246" t="inlineStr">
        <is>
          <t>VÄSTERBOTTENS LÄN</t>
        </is>
      </c>
      <c r="E11246" t="inlineStr">
        <is>
          <t>VILHELMINA</t>
        </is>
      </c>
      <c r="F11246" t="inlineStr">
        <is>
          <t>SCA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41082-2023</t>
        </is>
      </c>
      <c r="B11247" s="1" t="n">
        <v>45170</v>
      </c>
      <c r="C11247" s="1" t="n">
        <v>45357</v>
      </c>
      <c r="D11247" t="inlineStr">
        <is>
          <t>VÄSTERBOTTENS LÄN</t>
        </is>
      </c>
      <c r="E11247" t="inlineStr">
        <is>
          <t>NORSJÖ</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41104-2023</t>
        </is>
      </c>
      <c r="B11248" s="1" t="n">
        <v>45170</v>
      </c>
      <c r="C11248" s="1" t="n">
        <v>45357</v>
      </c>
      <c r="D11248" t="inlineStr">
        <is>
          <t>VÄSTERBOTTENS LÄN</t>
        </is>
      </c>
      <c r="E11248" t="inlineStr">
        <is>
          <t>DOROTEA</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41108-2023</t>
        </is>
      </c>
      <c r="B11249" s="1" t="n">
        <v>45170</v>
      </c>
      <c r="C11249" s="1" t="n">
        <v>45357</v>
      </c>
      <c r="D11249" t="inlineStr">
        <is>
          <t>VÄSTERBOTTENS LÄN</t>
        </is>
      </c>
      <c r="E11249" t="inlineStr">
        <is>
          <t>STORUMAN</t>
        </is>
      </c>
      <c r="G11249" t="n">
        <v>9.699999999999999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40784-2023</t>
        </is>
      </c>
      <c r="B11250" s="1" t="n">
        <v>45171</v>
      </c>
      <c r="C11250" s="1" t="n">
        <v>45357</v>
      </c>
      <c r="D11250" t="inlineStr">
        <is>
          <t>VÄSTERBOTTENS LÄN</t>
        </is>
      </c>
      <c r="E11250" t="inlineStr">
        <is>
          <t>VILHELMINA</t>
        </is>
      </c>
      <c r="F11250" t="inlineStr">
        <is>
          <t>SCA</t>
        </is>
      </c>
      <c r="G11250" t="n">
        <v>9.1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40780-2023</t>
        </is>
      </c>
      <c r="B11251" s="1" t="n">
        <v>45170</v>
      </c>
      <c r="C11251" s="1" t="n">
        <v>45357</v>
      </c>
      <c r="D11251" t="inlineStr">
        <is>
          <t>VÄSTERBOTTENS LÄN</t>
        </is>
      </c>
      <c r="E11251" t="inlineStr">
        <is>
          <t>VILHELMINA</t>
        </is>
      </c>
      <c r="F11251" t="inlineStr">
        <is>
          <t>SCA</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41109-2023</t>
        </is>
      </c>
      <c r="B11252" s="1" t="n">
        <v>45170</v>
      </c>
      <c r="C11252" s="1" t="n">
        <v>45357</v>
      </c>
      <c r="D11252" t="inlineStr">
        <is>
          <t>VÄSTERBOTTENS LÄN</t>
        </is>
      </c>
      <c r="E11252" t="inlineStr">
        <is>
          <t>SKELLEFTEÅ</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40822-2023</t>
        </is>
      </c>
      <c r="B11253" s="1" t="n">
        <v>45171</v>
      </c>
      <c r="C11253" s="1" t="n">
        <v>45357</v>
      </c>
      <c r="D11253" t="inlineStr">
        <is>
          <t>VÄSTERBOTTENS LÄN</t>
        </is>
      </c>
      <c r="E11253" t="inlineStr">
        <is>
          <t>MALÅ</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40805-2023</t>
        </is>
      </c>
      <c r="B11254" s="1" t="n">
        <v>45171</v>
      </c>
      <c r="C11254" s="1" t="n">
        <v>45357</v>
      </c>
      <c r="D11254" t="inlineStr">
        <is>
          <t>VÄSTERBOTTENS LÄN</t>
        </is>
      </c>
      <c r="E11254" t="inlineStr">
        <is>
          <t>UMEÅ</t>
        </is>
      </c>
      <c r="G11254" t="n">
        <v>5.6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40821-2023</t>
        </is>
      </c>
      <c r="B11255" s="1" t="n">
        <v>45171</v>
      </c>
      <c r="C11255" s="1" t="n">
        <v>45357</v>
      </c>
      <c r="D11255" t="inlineStr">
        <is>
          <t>VÄSTERBOTTENS LÄN</t>
        </is>
      </c>
      <c r="E11255" t="inlineStr">
        <is>
          <t>MALÅ</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41483-2023</t>
        </is>
      </c>
      <c r="B11256" s="1" t="n">
        <v>45172</v>
      </c>
      <c r="C11256" s="1" t="n">
        <v>45357</v>
      </c>
      <c r="D11256" t="inlineStr">
        <is>
          <t>VÄSTERBOTTENS LÄN</t>
        </is>
      </c>
      <c r="E11256" t="inlineStr">
        <is>
          <t>MALÅ</t>
        </is>
      </c>
      <c r="G11256" t="n">
        <v>14.1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41448-2023</t>
        </is>
      </c>
      <c r="B11257" s="1" t="n">
        <v>45172</v>
      </c>
      <c r="C11257" s="1" t="n">
        <v>45357</v>
      </c>
      <c r="D11257" t="inlineStr">
        <is>
          <t>VÄSTERBOTTENS LÄN</t>
        </is>
      </c>
      <c r="E11257" t="inlineStr">
        <is>
          <t>MALÅ</t>
        </is>
      </c>
      <c r="G11257" t="n">
        <v>8.300000000000001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41473-2023</t>
        </is>
      </c>
      <c r="B11258" s="1" t="n">
        <v>45172</v>
      </c>
      <c r="C11258" s="1" t="n">
        <v>45357</v>
      </c>
      <c r="D11258" t="inlineStr">
        <is>
          <t>VÄSTERBOTTENS LÄN</t>
        </is>
      </c>
      <c r="E11258" t="inlineStr">
        <is>
          <t>MALÅ</t>
        </is>
      </c>
      <c r="G11258" t="n">
        <v>14.1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41498-2023</t>
        </is>
      </c>
      <c r="B11259" s="1" t="n">
        <v>45172</v>
      </c>
      <c r="C11259" s="1" t="n">
        <v>45357</v>
      </c>
      <c r="D11259" t="inlineStr">
        <is>
          <t>VÄSTERBOTTENS LÄN</t>
        </is>
      </c>
      <c r="E11259" t="inlineStr">
        <is>
          <t>MALÅ</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41537-2023</t>
        </is>
      </c>
      <c r="B11260" s="1" t="n">
        <v>45172</v>
      </c>
      <c r="C11260" s="1" t="n">
        <v>45357</v>
      </c>
      <c r="D11260" t="inlineStr">
        <is>
          <t>VÄSTERBOTTENS LÄN</t>
        </is>
      </c>
      <c r="E11260" t="inlineStr">
        <is>
          <t>NORSJÖ</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41495-2023</t>
        </is>
      </c>
      <c r="B11261" s="1" t="n">
        <v>45172</v>
      </c>
      <c r="C11261" s="1" t="n">
        <v>45357</v>
      </c>
      <c r="D11261" t="inlineStr">
        <is>
          <t>VÄSTERBOTTENS LÄN</t>
        </is>
      </c>
      <c r="E11261" t="inlineStr">
        <is>
          <t>MALÅ</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41548-2023</t>
        </is>
      </c>
      <c r="B11262" s="1" t="n">
        <v>45172</v>
      </c>
      <c r="C11262" s="1" t="n">
        <v>45357</v>
      </c>
      <c r="D11262" t="inlineStr">
        <is>
          <t>VÄSTERBOTTENS LÄN</t>
        </is>
      </c>
      <c r="E11262" t="inlineStr">
        <is>
          <t>NORSJÖ</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40854-2023</t>
        </is>
      </c>
      <c r="B11263" s="1" t="n">
        <v>45173</v>
      </c>
      <c r="C11263" s="1" t="n">
        <v>45357</v>
      </c>
      <c r="D11263" t="inlineStr">
        <is>
          <t>VÄSTERBOTTENS LÄN</t>
        </is>
      </c>
      <c r="E11263" t="inlineStr">
        <is>
          <t>ÅSELE</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40899-2023</t>
        </is>
      </c>
      <c r="B11264" s="1" t="n">
        <v>45173</v>
      </c>
      <c r="C11264" s="1" t="n">
        <v>45357</v>
      </c>
      <c r="D11264" t="inlineStr">
        <is>
          <t>VÄSTERBOTTENS LÄN</t>
        </is>
      </c>
      <c r="E11264" t="inlineStr">
        <is>
          <t>ÅSELE</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40855-2023</t>
        </is>
      </c>
      <c r="B11265" s="1" t="n">
        <v>45173</v>
      </c>
      <c r="C11265" s="1" t="n">
        <v>45357</v>
      </c>
      <c r="D11265" t="inlineStr">
        <is>
          <t>VÄSTERBOTTENS LÄN</t>
        </is>
      </c>
      <c r="E11265" t="inlineStr">
        <is>
          <t>UMEÅ</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40928-2023</t>
        </is>
      </c>
      <c r="B11266" s="1" t="n">
        <v>45173</v>
      </c>
      <c r="C11266" s="1" t="n">
        <v>45357</v>
      </c>
      <c r="D11266" t="inlineStr">
        <is>
          <t>VÄSTERBOTTENS LÄN</t>
        </is>
      </c>
      <c r="E11266" t="inlineStr">
        <is>
          <t>NORSJÖ</t>
        </is>
      </c>
      <c r="F11266" t="inlineStr">
        <is>
          <t>Holmen skog AB</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41006-2023</t>
        </is>
      </c>
      <c r="B11267" s="1" t="n">
        <v>45173</v>
      </c>
      <c r="C11267" s="1" t="n">
        <v>45357</v>
      </c>
      <c r="D11267" t="inlineStr">
        <is>
          <t>VÄSTERBOTTENS LÄN</t>
        </is>
      </c>
      <c r="E11267" t="inlineStr">
        <is>
          <t>SKELLEFTEÅ</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41017-2023</t>
        </is>
      </c>
      <c r="B11268" s="1" t="n">
        <v>45173</v>
      </c>
      <c r="C11268" s="1" t="n">
        <v>45357</v>
      </c>
      <c r="D11268" t="inlineStr">
        <is>
          <t>VÄSTERBOTTENS LÄN</t>
        </is>
      </c>
      <c r="E11268" t="inlineStr">
        <is>
          <t>BJURHOLM</t>
        </is>
      </c>
      <c r="F11268" t="inlineStr">
        <is>
          <t>Holmen skog AB</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41025-2023</t>
        </is>
      </c>
      <c r="B11269" s="1" t="n">
        <v>45173</v>
      </c>
      <c r="C11269" s="1" t="n">
        <v>45357</v>
      </c>
      <c r="D11269" t="inlineStr">
        <is>
          <t>VÄSTERBOTTENS LÄN</t>
        </is>
      </c>
      <c r="E11269" t="inlineStr">
        <is>
          <t>NORDMALING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41053-2023</t>
        </is>
      </c>
      <c r="B11270" s="1" t="n">
        <v>45173</v>
      </c>
      <c r="C11270" s="1" t="n">
        <v>45357</v>
      </c>
      <c r="D11270" t="inlineStr">
        <is>
          <t>VÄSTERBOTTENS LÄN</t>
        </is>
      </c>
      <c r="E11270" t="inlineStr">
        <is>
          <t>NORSJÖ</t>
        </is>
      </c>
      <c r="F11270" t="inlineStr">
        <is>
          <t>Holmen skog AB</t>
        </is>
      </c>
      <c r="G11270" t="n">
        <v>5.5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41092-2023</t>
        </is>
      </c>
      <c r="B11271" s="1" t="n">
        <v>45173</v>
      </c>
      <c r="C11271" s="1" t="n">
        <v>45357</v>
      </c>
      <c r="D11271" t="inlineStr">
        <is>
          <t>VÄSTERBOTTENS LÄN</t>
        </is>
      </c>
      <c r="E11271" t="inlineStr">
        <is>
          <t>SKELLEFTEÅ</t>
        </is>
      </c>
      <c r="F11271" t="inlineStr">
        <is>
          <t>Holmen skog AB</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41101-2023</t>
        </is>
      </c>
      <c r="B11272" s="1" t="n">
        <v>45173</v>
      </c>
      <c r="C11272" s="1" t="n">
        <v>45357</v>
      </c>
      <c r="D11272" t="inlineStr">
        <is>
          <t>VÄSTERBOTTENS LÄN</t>
        </is>
      </c>
      <c r="E11272" t="inlineStr">
        <is>
          <t>NORSJÖ</t>
        </is>
      </c>
      <c r="F11272" t="inlineStr">
        <is>
          <t>Holmen skog AB</t>
        </is>
      </c>
      <c r="G11272" t="n">
        <v>10</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41063-2023</t>
        </is>
      </c>
      <c r="B11273" s="1" t="n">
        <v>45173</v>
      </c>
      <c r="C11273" s="1" t="n">
        <v>45357</v>
      </c>
      <c r="D11273" t="inlineStr">
        <is>
          <t>VÄSTERBOTTENS LÄN</t>
        </is>
      </c>
      <c r="E11273" t="inlineStr">
        <is>
          <t>BJURHOLM</t>
        </is>
      </c>
      <c r="F11273" t="inlineStr">
        <is>
          <t>Holmen skog AB</t>
        </is>
      </c>
      <c r="G11273" t="n">
        <v>12.6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40908-2023</t>
        </is>
      </c>
      <c r="B11274" s="1" t="n">
        <v>45173</v>
      </c>
      <c r="C11274" s="1" t="n">
        <v>45357</v>
      </c>
      <c r="D11274" t="inlineStr">
        <is>
          <t>VÄSTERBOTTENS LÄN</t>
        </is>
      </c>
      <c r="E11274" t="inlineStr">
        <is>
          <t>VILHELMINA</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41095-2023</t>
        </is>
      </c>
      <c r="B11275" s="1" t="n">
        <v>45173</v>
      </c>
      <c r="C11275" s="1" t="n">
        <v>45357</v>
      </c>
      <c r="D11275" t="inlineStr">
        <is>
          <t>VÄSTERBOTTENS LÄN</t>
        </is>
      </c>
      <c r="E11275" t="inlineStr">
        <is>
          <t>UMEÅ</t>
        </is>
      </c>
      <c r="F11275" t="inlineStr">
        <is>
          <t>Holmen skog AB</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41100-2023</t>
        </is>
      </c>
      <c r="B11276" s="1" t="n">
        <v>45173</v>
      </c>
      <c r="C11276" s="1" t="n">
        <v>45357</v>
      </c>
      <c r="D11276" t="inlineStr">
        <is>
          <t>VÄSTERBOTTENS LÄN</t>
        </is>
      </c>
      <c r="E11276" t="inlineStr">
        <is>
          <t>NORSJÖ</t>
        </is>
      </c>
      <c r="F11276" t="inlineStr">
        <is>
          <t>Holmen skog AB</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41125-2023</t>
        </is>
      </c>
      <c r="B11277" s="1" t="n">
        <v>45173</v>
      </c>
      <c r="C11277" s="1" t="n">
        <v>45357</v>
      </c>
      <c r="D11277" t="inlineStr">
        <is>
          <t>VÄSTERBOTTENS LÄN</t>
        </is>
      </c>
      <c r="E11277" t="inlineStr">
        <is>
          <t>ÅSELE</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41137-2023</t>
        </is>
      </c>
      <c r="B11278" s="1" t="n">
        <v>45173</v>
      </c>
      <c r="C11278" s="1" t="n">
        <v>45357</v>
      </c>
      <c r="D11278" t="inlineStr">
        <is>
          <t>VÄSTERBOTTENS LÄN</t>
        </is>
      </c>
      <c r="E11278" t="inlineStr">
        <is>
          <t>NORSJÖ</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41138-2023</t>
        </is>
      </c>
      <c r="B11279" s="1" t="n">
        <v>45173</v>
      </c>
      <c r="C11279" s="1" t="n">
        <v>45357</v>
      </c>
      <c r="D11279" t="inlineStr">
        <is>
          <t>VÄSTERBOTTENS LÄN</t>
        </is>
      </c>
      <c r="E11279" t="inlineStr">
        <is>
          <t>MALÅ</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41516-2023</t>
        </is>
      </c>
      <c r="B11280" s="1" t="n">
        <v>45173</v>
      </c>
      <c r="C11280" s="1" t="n">
        <v>45357</v>
      </c>
      <c r="D11280" t="inlineStr">
        <is>
          <t>VÄSTERBOTTENS LÄN</t>
        </is>
      </c>
      <c r="E11280" t="inlineStr">
        <is>
          <t>UMEÅ</t>
        </is>
      </c>
      <c r="G11280" t="n">
        <v>11.6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41564-2023</t>
        </is>
      </c>
      <c r="B11281" s="1" t="n">
        <v>45173</v>
      </c>
      <c r="C11281" s="1" t="n">
        <v>45357</v>
      </c>
      <c r="D11281" t="inlineStr">
        <is>
          <t>VÄSTERBOTTENS LÄN</t>
        </is>
      </c>
      <c r="E11281" t="inlineStr">
        <is>
          <t>NORSJÖ</t>
        </is>
      </c>
      <c r="G11281" t="n">
        <v>12.3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41585-2023</t>
        </is>
      </c>
      <c r="B11282" s="1" t="n">
        <v>45173</v>
      </c>
      <c r="C11282" s="1" t="n">
        <v>45357</v>
      </c>
      <c r="D11282" t="inlineStr">
        <is>
          <t>VÄSTERBOTTENS LÄN</t>
        </is>
      </c>
      <c r="E11282" t="inlineStr">
        <is>
          <t>NORSJÖ</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41501-2023</t>
        </is>
      </c>
      <c r="B11283" s="1" t="n">
        <v>45173</v>
      </c>
      <c r="C11283" s="1" t="n">
        <v>45357</v>
      </c>
      <c r="D11283" t="inlineStr">
        <is>
          <t>VÄSTERBOTTENS LÄN</t>
        </is>
      </c>
      <c r="E11283" t="inlineStr">
        <is>
          <t>UMEÅ</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41525-2023</t>
        </is>
      </c>
      <c r="B11284" s="1" t="n">
        <v>45173</v>
      </c>
      <c r="C11284" s="1" t="n">
        <v>45357</v>
      </c>
      <c r="D11284" t="inlineStr">
        <is>
          <t>VÄSTERBOTTENS LÄN</t>
        </is>
      </c>
      <c r="E11284" t="inlineStr">
        <is>
          <t>UMEÅ</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41552-2023</t>
        </is>
      </c>
      <c r="B11285" s="1" t="n">
        <v>45173</v>
      </c>
      <c r="C11285" s="1" t="n">
        <v>45357</v>
      </c>
      <c r="D11285" t="inlineStr">
        <is>
          <t>VÄSTERBOTTENS LÄN</t>
        </is>
      </c>
      <c r="E11285" t="inlineStr">
        <is>
          <t>NORSJÖ</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41559-2023</t>
        </is>
      </c>
      <c r="B11286" s="1" t="n">
        <v>45173</v>
      </c>
      <c r="C11286" s="1" t="n">
        <v>45357</v>
      </c>
      <c r="D11286" t="inlineStr">
        <is>
          <t>VÄSTERBOTTENS LÄN</t>
        </is>
      </c>
      <c r="E11286" t="inlineStr">
        <is>
          <t>NORSJÖ</t>
        </is>
      </c>
      <c r="G11286" t="n">
        <v>7.7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41589-2023</t>
        </is>
      </c>
      <c r="B11287" s="1" t="n">
        <v>45173</v>
      </c>
      <c r="C11287" s="1" t="n">
        <v>45357</v>
      </c>
      <c r="D11287" t="inlineStr">
        <is>
          <t>VÄSTERBOTTENS LÄN</t>
        </is>
      </c>
      <c r="E11287" t="inlineStr">
        <is>
          <t>SORSELE</t>
        </is>
      </c>
      <c r="G11287" t="n">
        <v>35.6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41825-2023</t>
        </is>
      </c>
      <c r="B11288" s="1" t="n">
        <v>45173</v>
      </c>
      <c r="C11288" s="1" t="n">
        <v>45357</v>
      </c>
      <c r="D11288" t="inlineStr">
        <is>
          <t>VÄSTERBOTTENS LÄN</t>
        </is>
      </c>
      <c r="E11288" t="inlineStr">
        <is>
          <t>MALÅ</t>
        </is>
      </c>
      <c r="G11288" t="n">
        <v>22.3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41527-2023</t>
        </is>
      </c>
      <c r="B11289" s="1" t="n">
        <v>45173</v>
      </c>
      <c r="C11289" s="1" t="n">
        <v>45357</v>
      </c>
      <c r="D11289" t="inlineStr">
        <is>
          <t>VÄSTERBOTTENS LÄN</t>
        </is>
      </c>
      <c r="E11289" t="inlineStr">
        <is>
          <t>MALÅ</t>
        </is>
      </c>
      <c r="G11289" t="n">
        <v>26.1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41597-2023</t>
        </is>
      </c>
      <c r="B11290" s="1" t="n">
        <v>45173</v>
      </c>
      <c r="C11290" s="1" t="n">
        <v>45357</v>
      </c>
      <c r="D11290" t="inlineStr">
        <is>
          <t>VÄSTERBOTTENS LÄN</t>
        </is>
      </c>
      <c r="E11290" t="inlineStr">
        <is>
          <t>NORDMALING</t>
        </is>
      </c>
      <c r="G11290" t="n">
        <v>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40888-2023</t>
        </is>
      </c>
      <c r="B11291" s="1" t="n">
        <v>45173</v>
      </c>
      <c r="C11291" s="1" t="n">
        <v>45357</v>
      </c>
      <c r="D11291" t="inlineStr">
        <is>
          <t>VÄSTERBOTTENS LÄN</t>
        </is>
      </c>
      <c r="E11291" t="inlineStr">
        <is>
          <t>ÅSELE</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40930-2023</t>
        </is>
      </c>
      <c r="B11292" s="1" t="n">
        <v>45173</v>
      </c>
      <c r="C11292" s="1" t="n">
        <v>45357</v>
      </c>
      <c r="D11292" t="inlineStr">
        <is>
          <t>VÄSTERBOTTENS LÄN</t>
        </is>
      </c>
      <c r="E11292" t="inlineStr">
        <is>
          <t>LYCKSELE</t>
        </is>
      </c>
      <c r="F11292" t="inlineStr">
        <is>
          <t>Holmen skog AB</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40939-2023</t>
        </is>
      </c>
      <c r="B11293" s="1" t="n">
        <v>45173</v>
      </c>
      <c r="C11293" s="1" t="n">
        <v>45357</v>
      </c>
      <c r="D11293" t="inlineStr">
        <is>
          <t>VÄSTERBOTTENS LÄN</t>
        </is>
      </c>
      <c r="E11293" t="inlineStr">
        <is>
          <t>NORSJÖ</t>
        </is>
      </c>
      <c r="F11293" t="inlineStr">
        <is>
          <t>Holmen skog AB</t>
        </is>
      </c>
      <c r="G11293" t="n">
        <v>16.3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41064-2023</t>
        </is>
      </c>
      <c r="B11294" s="1" t="n">
        <v>45173</v>
      </c>
      <c r="C11294" s="1" t="n">
        <v>45357</v>
      </c>
      <c r="D11294" t="inlineStr">
        <is>
          <t>VÄSTERBOTTENS LÄN</t>
        </is>
      </c>
      <c r="E11294" t="inlineStr">
        <is>
          <t>UMEÅ</t>
        </is>
      </c>
      <c r="F11294" t="inlineStr">
        <is>
          <t>Holmen skog AB</t>
        </is>
      </c>
      <c r="G11294" t="n">
        <v>6.5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41126-2023</t>
        </is>
      </c>
      <c r="B11295" s="1" t="n">
        <v>45173</v>
      </c>
      <c r="C11295" s="1" t="n">
        <v>45357</v>
      </c>
      <c r="D11295" t="inlineStr">
        <is>
          <t>VÄSTERBOTTENS LÄN</t>
        </is>
      </c>
      <c r="E11295" t="inlineStr">
        <is>
          <t>MALÅ</t>
        </is>
      </c>
      <c r="G11295" t="n">
        <v>8.5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41139-2023</t>
        </is>
      </c>
      <c r="B11296" s="1" t="n">
        <v>45173</v>
      </c>
      <c r="C11296" s="1" t="n">
        <v>45357</v>
      </c>
      <c r="D11296" t="inlineStr">
        <is>
          <t>VÄSTERBOTTENS LÄN</t>
        </is>
      </c>
      <c r="E11296" t="inlineStr">
        <is>
          <t>MALÅ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41524-2023</t>
        </is>
      </c>
      <c r="B11297" s="1" t="n">
        <v>45173</v>
      </c>
      <c r="C11297" s="1" t="n">
        <v>45357</v>
      </c>
      <c r="D11297" t="inlineStr">
        <is>
          <t>VÄSTERBOTTENS LÄN</t>
        </is>
      </c>
      <c r="E11297" t="inlineStr">
        <is>
          <t>UMEÅ</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41582-2023</t>
        </is>
      </c>
      <c r="B11298" s="1" t="n">
        <v>45173</v>
      </c>
      <c r="C11298" s="1" t="n">
        <v>45357</v>
      </c>
      <c r="D11298" t="inlineStr">
        <is>
          <t>VÄSTERBOTTENS LÄN</t>
        </is>
      </c>
      <c r="E11298" t="inlineStr">
        <is>
          <t>NORSJÖ</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41591-2023</t>
        </is>
      </c>
      <c r="B11299" s="1" t="n">
        <v>45173</v>
      </c>
      <c r="C11299" s="1" t="n">
        <v>45357</v>
      </c>
      <c r="D11299" t="inlineStr">
        <is>
          <t>VÄSTERBOTTENS LÄN</t>
        </is>
      </c>
      <c r="E11299" t="inlineStr">
        <is>
          <t>NORSJÖ</t>
        </is>
      </c>
      <c r="G11299" t="n">
        <v>7.6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41285-2023</t>
        </is>
      </c>
      <c r="B11300" s="1" t="n">
        <v>45174</v>
      </c>
      <c r="C11300" s="1" t="n">
        <v>45357</v>
      </c>
      <c r="D11300" t="inlineStr">
        <is>
          <t>VÄSTERBOTTENS LÄN</t>
        </is>
      </c>
      <c r="E11300" t="inlineStr">
        <is>
          <t>MALÅ</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41353-2023</t>
        </is>
      </c>
      <c r="B11301" s="1" t="n">
        <v>45174</v>
      </c>
      <c r="C11301" s="1" t="n">
        <v>45357</v>
      </c>
      <c r="D11301" t="inlineStr">
        <is>
          <t>VÄSTERBOTTENS LÄN</t>
        </is>
      </c>
      <c r="E11301" t="inlineStr">
        <is>
          <t>MALÅ</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41361-2023</t>
        </is>
      </c>
      <c r="B11302" s="1" t="n">
        <v>45174</v>
      </c>
      <c r="C11302" s="1" t="n">
        <v>45357</v>
      </c>
      <c r="D11302" t="inlineStr">
        <is>
          <t>VÄSTERBOTTENS LÄN</t>
        </is>
      </c>
      <c r="E11302" t="inlineStr">
        <is>
          <t>LYCKSELE</t>
        </is>
      </c>
      <c r="F11302" t="inlineStr">
        <is>
          <t>Holmen skog AB</t>
        </is>
      </c>
      <c r="G11302" t="n">
        <v>6.6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41385-2023</t>
        </is>
      </c>
      <c r="B11303" s="1" t="n">
        <v>45174</v>
      </c>
      <c r="C11303" s="1" t="n">
        <v>45357</v>
      </c>
      <c r="D11303" t="inlineStr">
        <is>
          <t>VÄSTERBOTTENS LÄN</t>
        </is>
      </c>
      <c r="E11303" t="inlineStr">
        <is>
          <t>MALÅ</t>
        </is>
      </c>
      <c r="G11303" t="n">
        <v>16.9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41389-2023</t>
        </is>
      </c>
      <c r="B11304" s="1" t="n">
        <v>45174</v>
      </c>
      <c r="C11304" s="1" t="n">
        <v>45357</v>
      </c>
      <c r="D11304" t="inlineStr">
        <is>
          <t>VÄSTERBOTTENS LÄN</t>
        </is>
      </c>
      <c r="E11304" t="inlineStr">
        <is>
          <t>MALÅ</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41397-2023</t>
        </is>
      </c>
      <c r="B11305" s="1" t="n">
        <v>45174</v>
      </c>
      <c r="C11305" s="1" t="n">
        <v>45357</v>
      </c>
      <c r="D11305" t="inlineStr">
        <is>
          <t>VÄSTERBOTTENS LÄN</t>
        </is>
      </c>
      <c r="E11305" t="inlineStr">
        <is>
          <t>SKELLEFTEÅ</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41409-2023</t>
        </is>
      </c>
      <c r="B11306" s="1" t="n">
        <v>45175</v>
      </c>
      <c r="C11306" s="1" t="n">
        <v>45357</v>
      </c>
      <c r="D11306" t="inlineStr">
        <is>
          <t>VÄSTERBOTTENS LÄN</t>
        </is>
      </c>
      <c r="E11306" t="inlineStr">
        <is>
          <t>ÅSELE</t>
        </is>
      </c>
      <c r="F11306" t="inlineStr">
        <is>
          <t>SCA</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41154-2023</t>
        </is>
      </c>
      <c r="B11307" s="1" t="n">
        <v>45174</v>
      </c>
      <c r="C11307" s="1" t="n">
        <v>45357</v>
      </c>
      <c r="D11307" t="inlineStr">
        <is>
          <t>VÄSTERBOTTENS LÄN</t>
        </is>
      </c>
      <c r="E11307" t="inlineStr">
        <is>
          <t>NORDMALING</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41851-2023</t>
        </is>
      </c>
      <c r="B11308" s="1" t="n">
        <v>45174</v>
      </c>
      <c r="C11308" s="1" t="n">
        <v>45357</v>
      </c>
      <c r="D11308" t="inlineStr">
        <is>
          <t>VÄSTERBOTTENS LÄN</t>
        </is>
      </c>
      <c r="E11308" t="inlineStr">
        <is>
          <t>MALÅ</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41965-2023</t>
        </is>
      </c>
      <c r="B11309" s="1" t="n">
        <v>45174</v>
      </c>
      <c r="C11309" s="1" t="n">
        <v>45357</v>
      </c>
      <c r="D11309" t="inlineStr">
        <is>
          <t>VÄSTERBOTTENS LÄN</t>
        </is>
      </c>
      <c r="E11309" t="inlineStr">
        <is>
          <t>MALÅ</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41218-2023</t>
        </is>
      </c>
      <c r="B11310" s="1" t="n">
        <v>45174</v>
      </c>
      <c r="C11310" s="1" t="n">
        <v>45357</v>
      </c>
      <c r="D11310" t="inlineStr">
        <is>
          <t>VÄSTERBOTTENS LÄN</t>
        </is>
      </c>
      <c r="E11310" t="inlineStr">
        <is>
          <t>UMEÅ</t>
        </is>
      </c>
      <c r="F11310" t="inlineStr">
        <is>
          <t>Holmen skog AB</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41358-2023</t>
        </is>
      </c>
      <c r="B11311" s="1" t="n">
        <v>45174</v>
      </c>
      <c r="C11311" s="1" t="n">
        <v>45357</v>
      </c>
      <c r="D11311" t="inlineStr">
        <is>
          <t>VÄSTERBOTTENS LÄN</t>
        </is>
      </c>
      <c r="E11311" t="inlineStr">
        <is>
          <t>LYCKSELE</t>
        </is>
      </c>
      <c r="F11311" t="inlineStr">
        <is>
          <t>Holmen skog AB</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41386-2023</t>
        </is>
      </c>
      <c r="B11312" s="1" t="n">
        <v>45175</v>
      </c>
      <c r="C11312" s="1" t="n">
        <v>45357</v>
      </c>
      <c r="D11312" t="inlineStr">
        <is>
          <t>VÄSTERBOTTENS LÄN</t>
        </is>
      </c>
      <c r="E11312" t="inlineStr">
        <is>
          <t>NORSJÖ</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41390-2023</t>
        </is>
      </c>
      <c r="B11313" s="1" t="n">
        <v>45175</v>
      </c>
      <c r="C11313" s="1" t="n">
        <v>45357</v>
      </c>
      <c r="D11313" t="inlineStr">
        <is>
          <t>VÄSTERBOTTENS LÄN</t>
        </is>
      </c>
      <c r="E11313" t="inlineStr">
        <is>
          <t>NORSJÖ</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41398-2023</t>
        </is>
      </c>
      <c r="B11314" s="1" t="n">
        <v>45175</v>
      </c>
      <c r="C11314" s="1" t="n">
        <v>45357</v>
      </c>
      <c r="D11314" t="inlineStr">
        <is>
          <t>VÄSTERBOTTENS LÄN</t>
        </is>
      </c>
      <c r="E11314" t="inlineStr">
        <is>
          <t>ÅSELE</t>
        </is>
      </c>
      <c r="F11314" t="inlineStr">
        <is>
          <t>SCA</t>
        </is>
      </c>
      <c r="G11314" t="n">
        <v>8.5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41410-2023</t>
        </is>
      </c>
      <c r="B11315" s="1" t="n">
        <v>45175</v>
      </c>
      <c r="C11315" s="1" t="n">
        <v>45357</v>
      </c>
      <c r="D11315" t="inlineStr">
        <is>
          <t>VÄSTERBOTTENS LÄN</t>
        </is>
      </c>
      <c r="E11315" t="inlineStr">
        <is>
          <t>ÅSELE</t>
        </is>
      </c>
      <c r="F11315" t="inlineStr">
        <is>
          <t>SCA</t>
        </is>
      </c>
      <c r="G11315" t="n">
        <v>16.5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41852-2023</t>
        </is>
      </c>
      <c r="B11316" s="1" t="n">
        <v>45174</v>
      </c>
      <c r="C11316" s="1" t="n">
        <v>45357</v>
      </c>
      <c r="D11316" t="inlineStr">
        <is>
          <t>VÄSTERBOTTENS LÄN</t>
        </is>
      </c>
      <c r="E11316" t="inlineStr">
        <is>
          <t>MALÅ</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41356-2023</t>
        </is>
      </c>
      <c r="B11317" s="1" t="n">
        <v>45174</v>
      </c>
      <c r="C11317" s="1" t="n">
        <v>45357</v>
      </c>
      <c r="D11317" t="inlineStr">
        <is>
          <t>VÄSTERBOTTENS LÄN</t>
        </is>
      </c>
      <c r="E11317" t="inlineStr">
        <is>
          <t>LYCKSELE</t>
        </is>
      </c>
      <c r="F11317" t="inlineStr">
        <is>
          <t>Holmen skog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41360-2023</t>
        </is>
      </c>
      <c r="B11318" s="1" t="n">
        <v>45174</v>
      </c>
      <c r="C11318" s="1" t="n">
        <v>45357</v>
      </c>
      <c r="D11318" t="inlineStr">
        <is>
          <t>VÄSTERBOTTENS LÄN</t>
        </is>
      </c>
      <c r="E11318" t="inlineStr">
        <is>
          <t>MALÅ</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41384-2023</t>
        </is>
      </c>
      <c r="B11319" s="1" t="n">
        <v>45174</v>
      </c>
      <c r="C11319" s="1" t="n">
        <v>45357</v>
      </c>
      <c r="D11319" t="inlineStr">
        <is>
          <t>VÄSTERBOTTENS LÄN</t>
        </is>
      </c>
      <c r="E11319" t="inlineStr">
        <is>
          <t>MALÅ</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41388-2023</t>
        </is>
      </c>
      <c r="B11320" s="1" t="n">
        <v>45174</v>
      </c>
      <c r="C11320" s="1" t="n">
        <v>45357</v>
      </c>
      <c r="D11320" t="inlineStr">
        <is>
          <t>VÄSTERBOTTENS LÄN</t>
        </is>
      </c>
      <c r="E11320" t="inlineStr">
        <is>
          <t>NORSJÖ</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41400-2023</t>
        </is>
      </c>
      <c r="B11321" s="1" t="n">
        <v>45175</v>
      </c>
      <c r="C11321" s="1" t="n">
        <v>45357</v>
      </c>
      <c r="D11321" t="inlineStr">
        <is>
          <t>VÄSTERBOTTENS LÄN</t>
        </is>
      </c>
      <c r="E11321" t="inlineStr">
        <is>
          <t>ÅSELE</t>
        </is>
      </c>
      <c r="F11321" t="inlineStr">
        <is>
          <t>SCA</t>
        </is>
      </c>
      <c r="G11321" t="n">
        <v>11.8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41408-2023</t>
        </is>
      </c>
      <c r="B11322" s="1" t="n">
        <v>45174</v>
      </c>
      <c r="C11322" s="1" t="n">
        <v>45357</v>
      </c>
      <c r="D11322" t="inlineStr">
        <is>
          <t>VÄSTERBOTTENS LÄN</t>
        </is>
      </c>
      <c r="E11322" t="inlineStr">
        <is>
          <t>ÅSELE</t>
        </is>
      </c>
      <c r="F11322" t="inlineStr">
        <is>
          <t>SCA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41845-2023</t>
        </is>
      </c>
      <c r="B11323" s="1" t="n">
        <v>45174</v>
      </c>
      <c r="C11323" s="1" t="n">
        <v>45357</v>
      </c>
      <c r="D11323" t="inlineStr">
        <is>
          <t>VÄSTERBOTTENS LÄN</t>
        </is>
      </c>
      <c r="E11323" t="inlineStr">
        <is>
          <t>MALÅ</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42015-2023</t>
        </is>
      </c>
      <c r="B11324" s="1" t="n">
        <v>45174</v>
      </c>
      <c r="C11324" s="1" t="n">
        <v>45357</v>
      </c>
      <c r="D11324" t="inlineStr">
        <is>
          <t>VÄSTERBOTTENS LÄN</t>
        </is>
      </c>
      <c r="E11324" t="inlineStr">
        <is>
          <t>VINDELN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41339-2023</t>
        </is>
      </c>
      <c r="B11325" s="1" t="n">
        <v>45174</v>
      </c>
      <c r="C11325" s="1" t="n">
        <v>45357</v>
      </c>
      <c r="D11325" t="inlineStr">
        <is>
          <t>VÄSTERBOTTENS LÄN</t>
        </is>
      </c>
      <c r="E11325" t="inlineStr">
        <is>
          <t>NORDMALING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41359-2023</t>
        </is>
      </c>
      <c r="B11326" s="1" t="n">
        <v>45174</v>
      </c>
      <c r="C11326" s="1" t="n">
        <v>45357</v>
      </c>
      <c r="D11326" t="inlineStr">
        <is>
          <t>VÄSTERBOTTENS LÄN</t>
        </is>
      </c>
      <c r="E11326" t="inlineStr">
        <is>
          <t>MALÅ</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41383-2023</t>
        </is>
      </c>
      <c r="B11327" s="1" t="n">
        <v>45174</v>
      </c>
      <c r="C11327" s="1" t="n">
        <v>45357</v>
      </c>
      <c r="D11327" t="inlineStr">
        <is>
          <t>VÄSTERBOTTENS LÄN</t>
        </is>
      </c>
      <c r="E11327" t="inlineStr">
        <is>
          <t>MALÅ</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41387-2023</t>
        </is>
      </c>
      <c r="B11328" s="1" t="n">
        <v>45174</v>
      </c>
      <c r="C11328" s="1" t="n">
        <v>45357</v>
      </c>
      <c r="D11328" t="inlineStr">
        <is>
          <t>VÄSTERBOTTENS LÄN</t>
        </is>
      </c>
      <c r="E11328" t="inlineStr">
        <is>
          <t>NORSJÖ</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41391-2023</t>
        </is>
      </c>
      <c r="B11329" s="1" t="n">
        <v>45175</v>
      </c>
      <c r="C11329" s="1" t="n">
        <v>45357</v>
      </c>
      <c r="D11329" t="inlineStr">
        <is>
          <t>VÄSTERBOTTENS LÄN</t>
        </is>
      </c>
      <c r="E11329" t="inlineStr">
        <is>
          <t>NORSJÖ</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41395-2023</t>
        </is>
      </c>
      <c r="B11330" s="1" t="n">
        <v>45175</v>
      </c>
      <c r="C11330" s="1" t="n">
        <v>45357</v>
      </c>
      <c r="D11330" t="inlineStr">
        <is>
          <t>VÄSTERBOTTENS LÄN</t>
        </is>
      </c>
      <c r="E11330" t="inlineStr">
        <is>
          <t>NORSJÖ</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41399-2023</t>
        </is>
      </c>
      <c r="B11331" s="1" t="n">
        <v>45175</v>
      </c>
      <c r="C11331" s="1" t="n">
        <v>45357</v>
      </c>
      <c r="D11331" t="inlineStr">
        <is>
          <t>VÄSTERBOTTENS LÄN</t>
        </is>
      </c>
      <c r="E11331" t="inlineStr">
        <is>
          <t>ÅSELE</t>
        </is>
      </c>
      <c r="F11331" t="inlineStr">
        <is>
          <t>SCA</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41411-2023</t>
        </is>
      </c>
      <c r="B11332" s="1" t="n">
        <v>45175</v>
      </c>
      <c r="C11332" s="1" t="n">
        <v>45357</v>
      </c>
      <c r="D11332" t="inlineStr">
        <is>
          <t>VÄSTERBOTTENS LÄN</t>
        </is>
      </c>
      <c r="E11332" t="inlineStr">
        <is>
          <t>ÅSELE</t>
        </is>
      </c>
      <c r="F11332" t="inlineStr">
        <is>
          <t>SCA</t>
        </is>
      </c>
      <c r="G11332" t="n">
        <v>12.7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42012-2023</t>
        </is>
      </c>
      <c r="B11333" s="1" t="n">
        <v>45174</v>
      </c>
      <c r="C11333" s="1" t="n">
        <v>45357</v>
      </c>
      <c r="D11333" t="inlineStr">
        <is>
          <t>VÄSTERBOTTENS LÄN</t>
        </is>
      </c>
      <c r="E11333" t="inlineStr">
        <is>
          <t>UMEÅ</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42024-2023</t>
        </is>
      </c>
      <c r="B11334" s="1" t="n">
        <v>45174</v>
      </c>
      <c r="C11334" s="1" t="n">
        <v>45357</v>
      </c>
      <c r="D11334" t="inlineStr">
        <is>
          <t>VÄSTERBOTTENS LÄN</t>
        </is>
      </c>
      <c r="E11334" t="inlineStr">
        <is>
          <t>LYCKSELE</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41465-2023</t>
        </is>
      </c>
      <c r="B11335" s="1" t="n">
        <v>45175</v>
      </c>
      <c r="C11335" s="1" t="n">
        <v>45357</v>
      </c>
      <c r="D11335" t="inlineStr">
        <is>
          <t>VÄSTERBOTTENS LÄN</t>
        </is>
      </c>
      <c r="E11335" t="inlineStr">
        <is>
          <t>LYCKSELE</t>
        </is>
      </c>
      <c r="F11335" t="inlineStr">
        <is>
          <t>Sveaskog</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41567-2023</t>
        </is>
      </c>
      <c r="B11336" s="1" t="n">
        <v>45175</v>
      </c>
      <c r="C11336" s="1" t="n">
        <v>45357</v>
      </c>
      <c r="D11336" t="inlineStr">
        <is>
          <t>VÄSTERBOTTENS LÄN</t>
        </is>
      </c>
      <c r="E11336" t="inlineStr">
        <is>
          <t>MALÅ</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41419-2023</t>
        </is>
      </c>
      <c r="B11337" s="1" t="n">
        <v>45175</v>
      </c>
      <c r="C11337" s="1" t="n">
        <v>45357</v>
      </c>
      <c r="D11337" t="inlineStr">
        <is>
          <t>VÄSTERBOTTENS LÄN</t>
        </is>
      </c>
      <c r="E11337" t="inlineStr">
        <is>
          <t>LYCKSELE</t>
        </is>
      </c>
      <c r="F11337" t="inlineStr">
        <is>
          <t>Sveaskog</t>
        </is>
      </c>
      <c r="G11337" t="n">
        <v>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41423-2023</t>
        </is>
      </c>
      <c r="B11338" s="1" t="n">
        <v>45175</v>
      </c>
      <c r="C11338" s="1" t="n">
        <v>45357</v>
      </c>
      <c r="D11338" t="inlineStr">
        <is>
          <t>VÄSTERBOTTENS LÄN</t>
        </is>
      </c>
      <c r="E11338" t="inlineStr">
        <is>
          <t>LYCKSELE</t>
        </is>
      </c>
      <c r="F11338" t="inlineStr">
        <is>
          <t>Sveaskog</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41454-2023</t>
        </is>
      </c>
      <c r="B11339" s="1" t="n">
        <v>45175</v>
      </c>
      <c r="C11339" s="1" t="n">
        <v>45357</v>
      </c>
      <c r="D11339" t="inlineStr">
        <is>
          <t>VÄSTERBOTTENS LÄN</t>
        </is>
      </c>
      <c r="E11339" t="inlineStr">
        <is>
          <t>VINDELN</t>
        </is>
      </c>
      <c r="F11339" t="inlineStr">
        <is>
          <t>Naturvårdsverket</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41487-2023</t>
        </is>
      </c>
      <c r="B11340" s="1" t="n">
        <v>45175</v>
      </c>
      <c r="C11340" s="1" t="n">
        <v>45357</v>
      </c>
      <c r="D11340" t="inlineStr">
        <is>
          <t>VÄSTERBOTTENS LÄN</t>
        </is>
      </c>
      <c r="E11340" t="inlineStr">
        <is>
          <t>BJURHOLM</t>
        </is>
      </c>
      <c r="F11340" t="inlineStr">
        <is>
          <t>Holmen skog AB</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41646-2023</t>
        </is>
      </c>
      <c r="B11341" s="1" t="n">
        <v>45176</v>
      </c>
      <c r="C11341" s="1" t="n">
        <v>45357</v>
      </c>
      <c r="D11341" t="inlineStr">
        <is>
          <t>VÄSTERBOTTENS LÄN</t>
        </is>
      </c>
      <c r="E11341" t="inlineStr">
        <is>
          <t>NORSJÖ</t>
        </is>
      </c>
      <c r="G11341" t="n">
        <v>8.1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41570-2023</t>
        </is>
      </c>
      <c r="B11342" s="1" t="n">
        <v>45175</v>
      </c>
      <c r="C11342" s="1" t="n">
        <v>45357</v>
      </c>
      <c r="D11342" t="inlineStr">
        <is>
          <t>VÄSTERBOTTENS LÄN</t>
        </is>
      </c>
      <c r="E11342" t="inlineStr">
        <is>
          <t>MALÅ</t>
        </is>
      </c>
      <c r="G11342" t="n">
        <v>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41592-2023</t>
        </is>
      </c>
      <c r="B11343" s="1" t="n">
        <v>45175</v>
      </c>
      <c r="C11343" s="1" t="n">
        <v>45357</v>
      </c>
      <c r="D11343" t="inlineStr">
        <is>
          <t>VÄSTERBOTTENS LÄN</t>
        </is>
      </c>
      <c r="E11343" t="inlineStr">
        <is>
          <t>BJURHOLM</t>
        </is>
      </c>
      <c r="F11343" t="inlineStr">
        <is>
          <t>Holmen skog AB</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42317-2023</t>
        </is>
      </c>
      <c r="B11344" s="1" t="n">
        <v>45175</v>
      </c>
      <c r="C11344" s="1" t="n">
        <v>45357</v>
      </c>
      <c r="D11344" t="inlineStr">
        <is>
          <t>VÄSTERBOTTENS LÄN</t>
        </is>
      </c>
      <c r="E11344" t="inlineStr">
        <is>
          <t>VÄNNÄS</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42389-2023</t>
        </is>
      </c>
      <c r="B11345" s="1" t="n">
        <v>45175</v>
      </c>
      <c r="C11345" s="1" t="n">
        <v>45357</v>
      </c>
      <c r="D11345" t="inlineStr">
        <is>
          <t>VÄSTERBOTTENS LÄN</t>
        </is>
      </c>
      <c r="E11345" t="inlineStr">
        <is>
          <t>ROBERTSFORS</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41645-2023</t>
        </is>
      </c>
      <c r="B11346" s="1" t="n">
        <v>45175</v>
      </c>
      <c r="C11346" s="1" t="n">
        <v>45357</v>
      </c>
      <c r="D11346" t="inlineStr">
        <is>
          <t>VÄSTERBOTTENS LÄN</t>
        </is>
      </c>
      <c r="E11346" t="inlineStr">
        <is>
          <t>SKELLEFTEÅ</t>
        </is>
      </c>
      <c r="G11346" t="n">
        <v>26.4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41594-2023</t>
        </is>
      </c>
      <c r="B11347" s="1" t="n">
        <v>45175</v>
      </c>
      <c r="C11347" s="1" t="n">
        <v>45357</v>
      </c>
      <c r="D11347" t="inlineStr">
        <is>
          <t>VÄSTERBOTTENS LÄN</t>
        </is>
      </c>
      <c r="E11347" t="inlineStr">
        <is>
          <t>UMEÅ</t>
        </is>
      </c>
      <c r="F11347" t="inlineStr">
        <is>
          <t>Holmen skog AB</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41617-2023</t>
        </is>
      </c>
      <c r="B11348" s="1" t="n">
        <v>45175</v>
      </c>
      <c r="C11348" s="1" t="n">
        <v>45357</v>
      </c>
      <c r="D11348" t="inlineStr">
        <is>
          <t>VÄSTERBOTTENS LÄN</t>
        </is>
      </c>
      <c r="E11348" t="inlineStr">
        <is>
          <t>SKELLEFTEÅ</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41856-2023</t>
        </is>
      </c>
      <c r="B11349" s="1" t="n">
        <v>45175</v>
      </c>
      <c r="C11349" s="1" t="n">
        <v>45357</v>
      </c>
      <c r="D11349" t="inlineStr">
        <is>
          <t>VÄSTERBOTTENS LÄN</t>
        </is>
      </c>
      <c r="E11349" t="inlineStr">
        <is>
          <t>MALÅ</t>
        </is>
      </c>
      <c r="G11349" t="n">
        <v>9.300000000000001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42327-2023</t>
        </is>
      </c>
      <c r="B11350" s="1" t="n">
        <v>45175</v>
      </c>
      <c r="C11350" s="1" t="n">
        <v>45357</v>
      </c>
      <c r="D11350" t="inlineStr">
        <is>
          <t>VÄSTERBOTTENS LÄN</t>
        </is>
      </c>
      <c r="E11350" t="inlineStr">
        <is>
          <t>VÄNNÄS</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42361-2023</t>
        </is>
      </c>
      <c r="B11351" s="1" t="n">
        <v>45175</v>
      </c>
      <c r="C11351" s="1" t="n">
        <v>45357</v>
      </c>
      <c r="D11351" t="inlineStr">
        <is>
          <t>VÄSTERBOTTENS LÄN</t>
        </is>
      </c>
      <c r="E11351" t="inlineStr">
        <is>
          <t>MALÅ</t>
        </is>
      </c>
      <c r="G11351" t="n">
        <v>28.9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42329-2023</t>
        </is>
      </c>
      <c r="B11352" s="1" t="n">
        <v>45175</v>
      </c>
      <c r="C11352" s="1" t="n">
        <v>45357</v>
      </c>
      <c r="D11352" t="inlineStr">
        <is>
          <t>VÄSTERBOTTENS LÄN</t>
        </is>
      </c>
      <c r="E11352" t="inlineStr">
        <is>
          <t>SKELLEFTEÅ</t>
        </is>
      </c>
      <c r="F11352" t="inlineStr">
        <is>
          <t>Kyrkan</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42395-2023</t>
        </is>
      </c>
      <c r="B11353" s="1" t="n">
        <v>45175</v>
      </c>
      <c r="C11353" s="1" t="n">
        <v>45357</v>
      </c>
      <c r="D11353" t="inlineStr">
        <is>
          <t>VÄSTERBOTTENS LÄN</t>
        </is>
      </c>
      <c r="E11353" t="inlineStr">
        <is>
          <t>ROBERTSFORS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42322-2023</t>
        </is>
      </c>
      <c r="B11354" s="1" t="n">
        <v>45175</v>
      </c>
      <c r="C11354" s="1" t="n">
        <v>45357</v>
      </c>
      <c r="D11354" t="inlineStr">
        <is>
          <t>VÄSTERBOTTENS LÄN</t>
        </is>
      </c>
      <c r="E11354" t="inlineStr">
        <is>
          <t>NORSJÖ</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42401-2023</t>
        </is>
      </c>
      <c r="B11355" s="1" t="n">
        <v>45175</v>
      </c>
      <c r="C11355" s="1" t="n">
        <v>45357</v>
      </c>
      <c r="D11355" t="inlineStr">
        <is>
          <t>VÄSTERBOTTENS LÄN</t>
        </is>
      </c>
      <c r="E11355" t="inlineStr">
        <is>
          <t>VINDELN</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42433-2023</t>
        </is>
      </c>
      <c r="B11356" s="1" t="n">
        <v>45175</v>
      </c>
      <c r="C11356" s="1" t="n">
        <v>45357</v>
      </c>
      <c r="D11356" t="inlineStr">
        <is>
          <t>VÄSTERBOTTENS LÄN</t>
        </is>
      </c>
      <c r="E11356" t="inlineStr">
        <is>
          <t>SKELLEFTEÅ</t>
        </is>
      </c>
      <c r="G11356" t="n">
        <v>10.5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41728-2023</t>
        </is>
      </c>
      <c r="B11357" s="1" t="n">
        <v>45176</v>
      </c>
      <c r="C11357" s="1" t="n">
        <v>45357</v>
      </c>
      <c r="D11357" t="inlineStr">
        <is>
          <t>VÄSTERBOTTENS LÄN</t>
        </is>
      </c>
      <c r="E11357" t="inlineStr">
        <is>
          <t>LYCKSELE</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41732-2023</t>
        </is>
      </c>
      <c r="B11358" s="1" t="n">
        <v>45176</v>
      </c>
      <c r="C11358" s="1" t="n">
        <v>45357</v>
      </c>
      <c r="D11358" t="inlineStr">
        <is>
          <t>VÄSTERBOTTENS LÄN</t>
        </is>
      </c>
      <c r="E11358" t="inlineStr">
        <is>
          <t>UMEÅ</t>
        </is>
      </c>
      <c r="F11358" t="inlineStr">
        <is>
          <t>Holmen skog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41752-2023</t>
        </is>
      </c>
      <c r="B11359" s="1" t="n">
        <v>45176</v>
      </c>
      <c r="C11359" s="1" t="n">
        <v>45357</v>
      </c>
      <c r="D11359" t="inlineStr">
        <is>
          <t>VÄSTERBOTTENS LÄN</t>
        </is>
      </c>
      <c r="E11359" t="inlineStr">
        <is>
          <t>ROBERTSFORS</t>
        </is>
      </c>
      <c r="F11359" t="inlineStr">
        <is>
          <t>Holmen skog AB</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41789-2023</t>
        </is>
      </c>
      <c r="B11360" s="1" t="n">
        <v>45176</v>
      </c>
      <c r="C11360" s="1" t="n">
        <v>45357</v>
      </c>
      <c r="D11360" t="inlineStr">
        <is>
          <t>VÄSTERBOTTENS LÄN</t>
        </is>
      </c>
      <c r="E11360" t="inlineStr">
        <is>
          <t>MALÅ</t>
        </is>
      </c>
      <c r="F11360" t="inlineStr">
        <is>
          <t>Sveaskog</t>
        </is>
      </c>
      <c r="G11360" t="n">
        <v>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41793-2023</t>
        </is>
      </c>
      <c r="B11361" s="1" t="n">
        <v>45176</v>
      </c>
      <c r="C11361" s="1" t="n">
        <v>45357</v>
      </c>
      <c r="D11361" t="inlineStr">
        <is>
          <t>VÄSTERBOTTENS LÄN</t>
        </is>
      </c>
      <c r="E11361" t="inlineStr">
        <is>
          <t>MALÅ</t>
        </is>
      </c>
      <c r="F11361" t="inlineStr">
        <is>
          <t>Sveaskog</t>
        </is>
      </c>
      <c r="G11361" t="n">
        <v>19.8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41694-2023</t>
        </is>
      </c>
      <c r="B11362" s="1" t="n">
        <v>45176</v>
      </c>
      <c r="C11362" s="1" t="n">
        <v>45357</v>
      </c>
      <c r="D11362" t="inlineStr">
        <is>
          <t>VÄSTERBOTTENS LÄN</t>
        </is>
      </c>
      <c r="E11362" t="inlineStr">
        <is>
          <t>ÅSELE</t>
        </is>
      </c>
      <c r="F11362" t="inlineStr">
        <is>
          <t>Holmen skog AB</t>
        </is>
      </c>
      <c r="G11362" t="n">
        <v>10.3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41703-2023</t>
        </is>
      </c>
      <c r="B11363" s="1" t="n">
        <v>45176</v>
      </c>
      <c r="C11363" s="1" t="n">
        <v>45357</v>
      </c>
      <c r="D11363" t="inlineStr">
        <is>
          <t>VÄSTERBOTTENS LÄN</t>
        </is>
      </c>
      <c r="E11363" t="inlineStr">
        <is>
          <t>LYCKSELE</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41707-2023</t>
        </is>
      </c>
      <c r="B11364" s="1" t="n">
        <v>45176</v>
      </c>
      <c r="C11364" s="1" t="n">
        <v>45357</v>
      </c>
      <c r="D11364" t="inlineStr">
        <is>
          <t>VÄSTERBOTTENS LÄN</t>
        </is>
      </c>
      <c r="E11364" t="inlineStr">
        <is>
          <t>LYCKSELE</t>
        </is>
      </c>
      <c r="F11364" t="inlineStr">
        <is>
          <t>Holmen skog AB</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41786-2023</t>
        </is>
      </c>
      <c r="B11365" s="1" t="n">
        <v>45176</v>
      </c>
      <c r="C11365" s="1" t="n">
        <v>45357</v>
      </c>
      <c r="D11365" t="inlineStr">
        <is>
          <t>VÄSTERBOTTENS LÄN</t>
        </is>
      </c>
      <c r="E11365" t="inlineStr">
        <is>
          <t>MALÅ</t>
        </is>
      </c>
      <c r="F11365" t="inlineStr">
        <is>
          <t>Sveaskog</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41794-2023</t>
        </is>
      </c>
      <c r="B11366" s="1" t="n">
        <v>45176</v>
      </c>
      <c r="C11366" s="1" t="n">
        <v>45357</v>
      </c>
      <c r="D11366" t="inlineStr">
        <is>
          <t>VÄSTERBOTTENS LÄN</t>
        </is>
      </c>
      <c r="E11366" t="inlineStr">
        <is>
          <t>MALÅ</t>
        </is>
      </c>
      <c r="F11366" t="inlineStr">
        <is>
          <t>Sveaskog</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41711-2023</t>
        </is>
      </c>
      <c r="B11367" s="1" t="n">
        <v>45176</v>
      </c>
      <c r="C11367" s="1" t="n">
        <v>45357</v>
      </c>
      <c r="D11367" t="inlineStr">
        <is>
          <t>VÄSTERBOTTENS LÄN</t>
        </is>
      </c>
      <c r="E11367" t="inlineStr">
        <is>
          <t>LYCKSELE</t>
        </is>
      </c>
      <c r="F11367" t="inlineStr">
        <is>
          <t>Holmen skog AB</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41906-2023</t>
        </is>
      </c>
      <c r="B11368" s="1" t="n">
        <v>45177</v>
      </c>
      <c r="C11368" s="1" t="n">
        <v>45357</v>
      </c>
      <c r="D11368" t="inlineStr">
        <is>
          <t>VÄSTERBOTTENS LÄN</t>
        </is>
      </c>
      <c r="E11368" t="inlineStr">
        <is>
          <t>NORSJÖ</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41910-2023</t>
        </is>
      </c>
      <c r="B11369" s="1" t="n">
        <v>45176</v>
      </c>
      <c r="C11369" s="1" t="n">
        <v>45357</v>
      </c>
      <c r="D11369" t="inlineStr">
        <is>
          <t>VÄSTERBOTTENS LÄN</t>
        </is>
      </c>
      <c r="E11369" t="inlineStr">
        <is>
          <t>MALÅ</t>
        </is>
      </c>
      <c r="F11369" t="inlineStr">
        <is>
          <t>Sveaskog</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41915-2023</t>
        </is>
      </c>
      <c r="B11370" s="1" t="n">
        <v>45176</v>
      </c>
      <c r="C11370" s="1" t="n">
        <v>45357</v>
      </c>
      <c r="D11370" t="inlineStr">
        <is>
          <t>VÄSTERBOTTENS LÄN</t>
        </is>
      </c>
      <c r="E11370" t="inlineStr">
        <is>
          <t>MALÅ</t>
        </is>
      </c>
      <c r="F11370" t="inlineStr">
        <is>
          <t>Sveaskog</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41931-2023</t>
        </is>
      </c>
      <c r="B11371" s="1" t="n">
        <v>45177</v>
      </c>
      <c r="C11371" s="1" t="n">
        <v>45357</v>
      </c>
      <c r="D11371" t="inlineStr">
        <is>
          <t>VÄSTERBOTTENS LÄN</t>
        </is>
      </c>
      <c r="E11371" t="inlineStr">
        <is>
          <t>VILHELMINA</t>
        </is>
      </c>
      <c r="F11371" t="inlineStr">
        <is>
          <t>SCA</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41788-2023</t>
        </is>
      </c>
      <c r="B11372" s="1" t="n">
        <v>45176</v>
      </c>
      <c r="C11372" s="1" t="n">
        <v>45357</v>
      </c>
      <c r="D11372" t="inlineStr">
        <is>
          <t>VÄSTERBOTTENS LÄN</t>
        </is>
      </c>
      <c r="E11372" t="inlineStr">
        <is>
          <t>MALÅ</t>
        </is>
      </c>
      <c r="F11372" t="inlineStr">
        <is>
          <t>Sveaskog</t>
        </is>
      </c>
      <c r="G11372" t="n">
        <v>15.9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41792-2023</t>
        </is>
      </c>
      <c r="B11373" s="1" t="n">
        <v>45176</v>
      </c>
      <c r="C11373" s="1" t="n">
        <v>45357</v>
      </c>
      <c r="D11373" t="inlineStr">
        <is>
          <t>VÄSTERBOTTENS LÄN</t>
        </is>
      </c>
      <c r="E11373" t="inlineStr">
        <is>
          <t>MALÅ</t>
        </is>
      </c>
      <c r="F11373" t="inlineStr">
        <is>
          <t>Sveaskog</t>
        </is>
      </c>
      <c r="G11373" t="n">
        <v>10.7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41820-2023</t>
        </is>
      </c>
      <c r="B11374" s="1" t="n">
        <v>45176</v>
      </c>
      <c r="C11374" s="1" t="n">
        <v>45357</v>
      </c>
      <c r="D11374" t="inlineStr">
        <is>
          <t>VÄSTERBOTTENS LÄN</t>
        </is>
      </c>
      <c r="E11374" t="inlineStr">
        <is>
          <t>MALÅ</t>
        </is>
      </c>
      <c r="F11374" t="inlineStr">
        <is>
          <t>Sveaskog</t>
        </is>
      </c>
      <c r="G11374" t="n">
        <v>24.4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41850-2023</t>
        </is>
      </c>
      <c r="B11375" s="1" t="n">
        <v>45176</v>
      </c>
      <c r="C11375" s="1" t="n">
        <v>45357</v>
      </c>
      <c r="D11375" t="inlineStr">
        <is>
          <t>VÄSTERBOTTENS LÄN</t>
        </is>
      </c>
      <c r="E11375" t="inlineStr">
        <is>
          <t>ROBERTSFORS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41909-2023</t>
        </is>
      </c>
      <c r="B11376" s="1" t="n">
        <v>45176</v>
      </c>
      <c r="C11376" s="1" t="n">
        <v>45357</v>
      </c>
      <c r="D11376" t="inlineStr">
        <is>
          <t>VÄSTERBOTTENS LÄN</t>
        </is>
      </c>
      <c r="E11376" t="inlineStr">
        <is>
          <t>MALÅ</t>
        </is>
      </c>
      <c r="F11376" t="inlineStr">
        <is>
          <t>Sveaskog</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41914-2023</t>
        </is>
      </c>
      <c r="B11377" s="1" t="n">
        <v>45176</v>
      </c>
      <c r="C11377" s="1" t="n">
        <v>45357</v>
      </c>
      <c r="D11377" t="inlineStr">
        <is>
          <t>VÄSTERBOTTENS LÄN</t>
        </is>
      </c>
      <c r="E11377" t="inlineStr">
        <is>
          <t>MALÅ</t>
        </is>
      </c>
      <c r="F11377" t="inlineStr">
        <is>
          <t>Sveaskog</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41714-2023</t>
        </is>
      </c>
      <c r="B11378" s="1" t="n">
        <v>45176</v>
      </c>
      <c r="C11378" s="1" t="n">
        <v>45357</v>
      </c>
      <c r="D11378" t="inlineStr">
        <is>
          <t>VÄSTERBOTTENS LÄN</t>
        </is>
      </c>
      <c r="E11378" t="inlineStr">
        <is>
          <t>UMEÅ</t>
        </is>
      </c>
      <c r="F11378" t="inlineStr">
        <is>
          <t>Holmen skog AB</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41750-2023</t>
        </is>
      </c>
      <c r="B11379" s="1" t="n">
        <v>45176</v>
      </c>
      <c r="C11379" s="1" t="n">
        <v>45357</v>
      </c>
      <c r="D11379" t="inlineStr">
        <is>
          <t>VÄSTERBOTTENS LÄN</t>
        </is>
      </c>
      <c r="E11379" t="inlineStr">
        <is>
          <t>VINDELN</t>
        </is>
      </c>
      <c r="F11379" t="inlineStr">
        <is>
          <t>Holmen skog AB</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41767-2023</t>
        </is>
      </c>
      <c r="B11380" s="1" t="n">
        <v>45176</v>
      </c>
      <c r="C11380" s="1" t="n">
        <v>45357</v>
      </c>
      <c r="D11380" t="inlineStr">
        <is>
          <t>VÄSTERBOTTENS LÄN</t>
        </is>
      </c>
      <c r="E11380" t="inlineStr">
        <is>
          <t>ROBERTSFORS</t>
        </is>
      </c>
      <c r="F11380" t="inlineStr">
        <is>
          <t>Holmen skog AB</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41787-2023</t>
        </is>
      </c>
      <c r="B11381" s="1" t="n">
        <v>45176</v>
      </c>
      <c r="C11381" s="1" t="n">
        <v>45357</v>
      </c>
      <c r="D11381" t="inlineStr">
        <is>
          <t>VÄSTERBOTTENS LÄN</t>
        </is>
      </c>
      <c r="E11381" t="inlineStr">
        <is>
          <t>MALÅ</t>
        </is>
      </c>
      <c r="F11381" t="inlineStr">
        <is>
          <t>Sveaskog</t>
        </is>
      </c>
      <c r="G11381" t="n">
        <v>12.1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41795-2023</t>
        </is>
      </c>
      <c r="B11382" s="1" t="n">
        <v>45176</v>
      </c>
      <c r="C11382" s="1" t="n">
        <v>45357</v>
      </c>
      <c r="D11382" t="inlineStr">
        <is>
          <t>VÄSTERBOTTENS LÄN</t>
        </is>
      </c>
      <c r="E11382" t="inlineStr">
        <is>
          <t>MALÅ</t>
        </is>
      </c>
      <c r="F11382" t="inlineStr">
        <is>
          <t>Sveaskog</t>
        </is>
      </c>
      <c r="G11382" t="n">
        <v>51.6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41807-2023</t>
        </is>
      </c>
      <c r="B11383" s="1" t="n">
        <v>45176</v>
      </c>
      <c r="C11383" s="1" t="n">
        <v>45357</v>
      </c>
      <c r="D11383" t="inlineStr">
        <is>
          <t>VÄSTERBOTTENS LÄN</t>
        </is>
      </c>
      <c r="E11383" t="inlineStr">
        <is>
          <t>MALÅ</t>
        </is>
      </c>
      <c r="F11383" t="inlineStr">
        <is>
          <t>Sveaskog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41855-2023</t>
        </is>
      </c>
      <c r="B11384" s="1" t="n">
        <v>45176</v>
      </c>
      <c r="C11384" s="1" t="n">
        <v>45357</v>
      </c>
      <c r="D11384" t="inlineStr">
        <is>
          <t>VÄSTERBOTTENS LÄN</t>
        </is>
      </c>
      <c r="E11384" t="inlineStr">
        <is>
          <t>ROBERTSFORS</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41904-2023</t>
        </is>
      </c>
      <c r="B11385" s="1" t="n">
        <v>45177</v>
      </c>
      <c r="C11385" s="1" t="n">
        <v>45357</v>
      </c>
      <c r="D11385" t="inlineStr">
        <is>
          <t>VÄSTERBOTTENS LÄN</t>
        </is>
      </c>
      <c r="E11385" t="inlineStr">
        <is>
          <t>SKELLEFTEÅ</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41908-2023</t>
        </is>
      </c>
      <c r="B11386" s="1" t="n">
        <v>45176</v>
      </c>
      <c r="C11386" s="1" t="n">
        <v>45357</v>
      </c>
      <c r="D11386" t="inlineStr">
        <is>
          <t>VÄSTERBOTTENS LÄN</t>
        </is>
      </c>
      <c r="E11386" t="inlineStr">
        <is>
          <t>MALÅ</t>
        </is>
      </c>
      <c r="F11386" t="inlineStr">
        <is>
          <t>Sveaskog</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41913-2023</t>
        </is>
      </c>
      <c r="B11387" s="1" t="n">
        <v>45176</v>
      </c>
      <c r="C11387" s="1" t="n">
        <v>45357</v>
      </c>
      <c r="D11387" t="inlineStr">
        <is>
          <t>VÄSTERBOTTENS LÄN</t>
        </is>
      </c>
      <c r="E11387" t="inlineStr">
        <is>
          <t>MALÅ</t>
        </is>
      </c>
      <c r="F11387" t="inlineStr">
        <is>
          <t>Sveaskog</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41907-2023</t>
        </is>
      </c>
      <c r="B11388" s="1" t="n">
        <v>45177</v>
      </c>
      <c r="C11388" s="1" t="n">
        <v>45357</v>
      </c>
      <c r="D11388" t="inlineStr">
        <is>
          <t>VÄSTERBOTTENS LÄN</t>
        </is>
      </c>
      <c r="E11388" t="inlineStr">
        <is>
          <t>NORSJÖ</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41912-2023</t>
        </is>
      </c>
      <c r="B11389" s="1" t="n">
        <v>45176</v>
      </c>
      <c r="C11389" s="1" t="n">
        <v>45357</v>
      </c>
      <c r="D11389" t="inlineStr">
        <is>
          <t>VÄSTERBOTTENS LÄN</t>
        </is>
      </c>
      <c r="E11389" t="inlineStr">
        <is>
          <t>MALÅ</t>
        </is>
      </c>
      <c r="F11389" t="inlineStr">
        <is>
          <t>Sveaskog</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41928-2023</t>
        </is>
      </c>
      <c r="B11390" s="1" t="n">
        <v>45177</v>
      </c>
      <c r="C11390" s="1" t="n">
        <v>45357</v>
      </c>
      <c r="D11390" t="inlineStr">
        <is>
          <t>VÄSTERBOTTENS LÄN</t>
        </is>
      </c>
      <c r="E11390" t="inlineStr">
        <is>
          <t>NORDMALING</t>
        </is>
      </c>
      <c r="F11390" t="inlineStr">
        <is>
          <t>SCA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42587-2023</t>
        </is>
      </c>
      <c r="B11391" s="1" t="n">
        <v>45176</v>
      </c>
      <c r="C11391" s="1" t="n">
        <v>45357</v>
      </c>
      <c r="D11391" t="inlineStr">
        <is>
          <t>VÄSTERBOTTENS LÄN</t>
        </is>
      </c>
      <c r="E11391" t="inlineStr">
        <is>
          <t>SKELLEFTEÅ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41930-2023</t>
        </is>
      </c>
      <c r="B11392" s="1" t="n">
        <v>45177</v>
      </c>
      <c r="C11392" s="1" t="n">
        <v>45357</v>
      </c>
      <c r="D11392" t="inlineStr">
        <is>
          <t>VÄSTERBOTTENS LÄN</t>
        </is>
      </c>
      <c r="E11392" t="inlineStr">
        <is>
          <t>VILHELMINA</t>
        </is>
      </c>
      <c r="F11392" t="inlineStr">
        <is>
          <t>SCA</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42595-2023</t>
        </is>
      </c>
      <c r="B11393" s="1" t="n">
        <v>45176</v>
      </c>
      <c r="C11393" s="1" t="n">
        <v>45357</v>
      </c>
      <c r="D11393" t="inlineStr">
        <is>
          <t>VÄSTERBOTTENS LÄN</t>
        </is>
      </c>
      <c r="E11393" t="inlineStr">
        <is>
          <t>SKELLEFTEÅ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42717-2023</t>
        </is>
      </c>
      <c r="B11394" s="1" t="n">
        <v>45176</v>
      </c>
      <c r="C11394" s="1" t="n">
        <v>45357</v>
      </c>
      <c r="D11394" t="inlineStr">
        <is>
          <t>VÄSTERBOTTENS LÄN</t>
        </is>
      </c>
      <c r="E11394" t="inlineStr">
        <is>
          <t>NORDMALING</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41932-2023</t>
        </is>
      </c>
      <c r="B11395" s="1" t="n">
        <v>45177</v>
      </c>
      <c r="C11395" s="1" t="n">
        <v>45357</v>
      </c>
      <c r="D11395" t="inlineStr">
        <is>
          <t>VÄSTERBOTTENS LÄN</t>
        </is>
      </c>
      <c r="E11395" t="inlineStr">
        <is>
          <t>VILHELMINA</t>
        </is>
      </c>
      <c r="F11395" t="inlineStr">
        <is>
          <t>SCA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41962-2023</t>
        </is>
      </c>
      <c r="B11396" s="1" t="n">
        <v>45177</v>
      </c>
      <c r="C11396" s="1" t="n">
        <v>45357</v>
      </c>
      <c r="D11396" t="inlineStr">
        <is>
          <t>VÄSTERBOTTENS LÄN</t>
        </is>
      </c>
      <c r="E11396" t="inlineStr">
        <is>
          <t>ROBERTSFORS</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41981-2023</t>
        </is>
      </c>
      <c r="B11397" s="1" t="n">
        <v>45177</v>
      </c>
      <c r="C11397" s="1" t="n">
        <v>45357</v>
      </c>
      <c r="D11397" t="inlineStr">
        <is>
          <t>VÄSTERBOTTENS LÄN</t>
        </is>
      </c>
      <c r="E11397" t="inlineStr">
        <is>
          <t>NORSJÖ</t>
        </is>
      </c>
      <c r="F11397" t="inlineStr">
        <is>
          <t>Holmen skog AB</t>
        </is>
      </c>
      <c r="G11397" t="n">
        <v>7.4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41972-2023</t>
        </is>
      </c>
      <c r="B11398" s="1" t="n">
        <v>45177</v>
      </c>
      <c r="C11398" s="1" t="n">
        <v>45357</v>
      </c>
      <c r="D11398" t="inlineStr">
        <is>
          <t>VÄSTERBOTTENS LÄN</t>
        </is>
      </c>
      <c r="E11398" t="inlineStr">
        <is>
          <t>NORDMALING</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42037-2023</t>
        </is>
      </c>
      <c r="B11399" s="1" t="n">
        <v>45177</v>
      </c>
      <c r="C11399" s="1" t="n">
        <v>45357</v>
      </c>
      <c r="D11399" t="inlineStr">
        <is>
          <t>VÄSTERBOTTENS LÄN</t>
        </is>
      </c>
      <c r="E11399" t="inlineStr">
        <is>
          <t>ÅSELE</t>
        </is>
      </c>
      <c r="F11399" t="inlineStr">
        <is>
          <t>Holmen skog AB</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42138-2023</t>
        </is>
      </c>
      <c r="B11400" s="1" t="n">
        <v>45177</v>
      </c>
      <c r="C11400" s="1" t="n">
        <v>45357</v>
      </c>
      <c r="D11400" t="inlineStr">
        <is>
          <t>VÄSTERBOTTENS LÄN</t>
        </is>
      </c>
      <c r="E11400" t="inlineStr">
        <is>
          <t>SKELLEFTEÅ</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42822-2023</t>
        </is>
      </c>
      <c r="B11401" s="1" t="n">
        <v>45177</v>
      </c>
      <c r="C11401" s="1" t="n">
        <v>45357</v>
      </c>
      <c r="D11401" t="inlineStr">
        <is>
          <t>VÄSTERBOTTENS LÄN</t>
        </is>
      </c>
      <c r="E11401" t="inlineStr">
        <is>
          <t>SKELLEFTEÅ</t>
        </is>
      </c>
      <c r="G11401" t="n">
        <v>11.2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42136-2023</t>
        </is>
      </c>
      <c r="B11402" s="1" t="n">
        <v>45177</v>
      </c>
      <c r="C11402" s="1" t="n">
        <v>45357</v>
      </c>
      <c r="D11402" t="inlineStr">
        <is>
          <t>VÄSTERBOTTENS LÄN</t>
        </is>
      </c>
      <c r="E11402" t="inlineStr">
        <is>
          <t>SKELLEFTEÅ</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42144-2023</t>
        </is>
      </c>
      <c r="B11403" s="1" t="n">
        <v>45177</v>
      </c>
      <c r="C11403" s="1" t="n">
        <v>45357</v>
      </c>
      <c r="D11403" t="inlineStr">
        <is>
          <t>VÄSTERBOTTENS LÄN</t>
        </is>
      </c>
      <c r="E11403" t="inlineStr">
        <is>
          <t>SKELLEFTEÅ</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42009-2023</t>
        </is>
      </c>
      <c r="B11404" s="1" t="n">
        <v>45177</v>
      </c>
      <c r="C11404" s="1" t="n">
        <v>45357</v>
      </c>
      <c r="D11404" t="inlineStr">
        <is>
          <t>VÄSTERBOTTENS LÄN</t>
        </is>
      </c>
      <c r="E11404" t="inlineStr">
        <is>
          <t>NORSJÖ</t>
        </is>
      </c>
      <c r="F11404" t="inlineStr">
        <is>
          <t>Holmen skog AB</t>
        </is>
      </c>
      <c r="G11404" t="n">
        <v>11.3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42034-2023</t>
        </is>
      </c>
      <c r="B11405" s="1" t="n">
        <v>45177</v>
      </c>
      <c r="C11405" s="1" t="n">
        <v>45357</v>
      </c>
      <c r="D11405" t="inlineStr">
        <is>
          <t>VÄSTERBOTTENS LÄN</t>
        </is>
      </c>
      <c r="E11405" t="inlineStr">
        <is>
          <t>NORSJÖ</t>
        </is>
      </c>
      <c r="F11405" t="inlineStr">
        <is>
          <t>Holmen skog AB</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42051-2023</t>
        </is>
      </c>
      <c r="B11406" s="1" t="n">
        <v>45177</v>
      </c>
      <c r="C11406" s="1" t="n">
        <v>45357</v>
      </c>
      <c r="D11406" t="inlineStr">
        <is>
          <t>VÄSTERBOTTENS LÄN</t>
        </is>
      </c>
      <c r="E11406" t="inlineStr">
        <is>
          <t>NORSJÖ</t>
        </is>
      </c>
      <c r="F11406" t="inlineStr">
        <is>
          <t>Holmen skog AB</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42749-2023</t>
        </is>
      </c>
      <c r="B11407" s="1" t="n">
        <v>45177</v>
      </c>
      <c r="C11407" s="1" t="n">
        <v>45357</v>
      </c>
      <c r="D11407" t="inlineStr">
        <is>
          <t>VÄSTERBOTTENS LÄN</t>
        </is>
      </c>
      <c r="E11407" t="inlineStr">
        <is>
          <t>SORSELE</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42105-2023</t>
        </is>
      </c>
      <c r="B11408" s="1" t="n">
        <v>45177</v>
      </c>
      <c r="C11408" s="1" t="n">
        <v>45357</v>
      </c>
      <c r="D11408" t="inlineStr">
        <is>
          <t>VÄSTERBOTTENS LÄN</t>
        </is>
      </c>
      <c r="E11408" t="inlineStr">
        <is>
          <t>UMEÅ</t>
        </is>
      </c>
      <c r="F11408" t="inlineStr">
        <is>
          <t>Holmen skog AB</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42114-2023</t>
        </is>
      </c>
      <c r="B11409" s="1" t="n">
        <v>45177</v>
      </c>
      <c r="C11409" s="1" t="n">
        <v>45357</v>
      </c>
      <c r="D11409" t="inlineStr">
        <is>
          <t>VÄSTERBOTTENS LÄN</t>
        </is>
      </c>
      <c r="E11409" t="inlineStr">
        <is>
          <t>MALÅ</t>
        </is>
      </c>
      <c r="G11409" t="n">
        <v>20.6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42137-2023</t>
        </is>
      </c>
      <c r="B11410" s="1" t="n">
        <v>45177</v>
      </c>
      <c r="C11410" s="1" t="n">
        <v>45357</v>
      </c>
      <c r="D11410" t="inlineStr">
        <is>
          <t>VÄSTERBOTTENS LÄN</t>
        </is>
      </c>
      <c r="E11410" t="inlineStr">
        <is>
          <t>SKELLEFTEÅ</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42141-2023</t>
        </is>
      </c>
      <c r="B11411" s="1" t="n">
        <v>45177</v>
      </c>
      <c r="C11411" s="1" t="n">
        <v>45357</v>
      </c>
      <c r="D11411" t="inlineStr">
        <is>
          <t>VÄSTERBOTTENS LÄN</t>
        </is>
      </c>
      <c r="E11411" t="inlineStr">
        <is>
          <t>VÄNNÄS</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42842-2023</t>
        </is>
      </c>
      <c r="B11412" s="1" t="n">
        <v>45177</v>
      </c>
      <c r="C11412" s="1" t="n">
        <v>45357</v>
      </c>
      <c r="D11412" t="inlineStr">
        <is>
          <t>VÄSTERBOTTENS LÄN</t>
        </is>
      </c>
      <c r="E11412" t="inlineStr">
        <is>
          <t>SKELLEFTEÅ</t>
        </is>
      </c>
      <c r="G11412" t="n">
        <v>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42180-2023</t>
        </is>
      </c>
      <c r="B11413" s="1" t="n">
        <v>45178</v>
      </c>
      <c r="C11413" s="1" t="n">
        <v>45357</v>
      </c>
      <c r="D11413" t="inlineStr">
        <is>
          <t>VÄSTERBOTTENS LÄN</t>
        </is>
      </c>
      <c r="E11413" t="inlineStr">
        <is>
          <t>MALÅ</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42184-2023</t>
        </is>
      </c>
      <c r="B11414" s="1" t="n">
        <v>45178</v>
      </c>
      <c r="C11414" s="1" t="n">
        <v>45357</v>
      </c>
      <c r="D11414" t="inlineStr">
        <is>
          <t>VÄSTERBOTTENS LÄN</t>
        </is>
      </c>
      <c r="E11414" t="inlineStr">
        <is>
          <t>MALÅ</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42188-2023</t>
        </is>
      </c>
      <c r="B11415" s="1" t="n">
        <v>45178</v>
      </c>
      <c r="C11415" s="1" t="n">
        <v>45357</v>
      </c>
      <c r="D11415" t="inlineStr">
        <is>
          <t>VÄSTERBOTTENS LÄN</t>
        </is>
      </c>
      <c r="E11415" t="inlineStr">
        <is>
          <t>MALÅ</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42181-2023</t>
        </is>
      </c>
      <c r="B11416" s="1" t="n">
        <v>45179</v>
      </c>
      <c r="C11416" s="1" t="n">
        <v>45357</v>
      </c>
      <c r="D11416" t="inlineStr">
        <is>
          <t>VÄSTERBOTTENS LÄN</t>
        </is>
      </c>
      <c r="E11416" t="inlineStr">
        <is>
          <t>NORSJÖ</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42185-2023</t>
        </is>
      </c>
      <c r="B11417" s="1" t="n">
        <v>45178</v>
      </c>
      <c r="C11417" s="1" t="n">
        <v>45357</v>
      </c>
      <c r="D11417" t="inlineStr">
        <is>
          <t>VÄSTERBOTTENS LÄN</t>
        </is>
      </c>
      <c r="E11417" t="inlineStr">
        <is>
          <t>MALÅ</t>
        </is>
      </c>
      <c r="G11417" t="n">
        <v>21.9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42171-2023</t>
        </is>
      </c>
      <c r="B11418" s="1" t="n">
        <v>45178</v>
      </c>
      <c r="C11418" s="1" t="n">
        <v>45357</v>
      </c>
      <c r="D11418" t="inlineStr">
        <is>
          <t>VÄSTERBOTTENS LÄN</t>
        </is>
      </c>
      <c r="E11418" t="inlineStr">
        <is>
          <t>STORUMAN</t>
        </is>
      </c>
      <c r="G11418" t="n">
        <v>10</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42179-2023</t>
        </is>
      </c>
      <c r="B11419" s="1" t="n">
        <v>45178</v>
      </c>
      <c r="C11419" s="1" t="n">
        <v>45357</v>
      </c>
      <c r="D11419" t="inlineStr">
        <is>
          <t>VÄSTERBOTTENS LÄN</t>
        </is>
      </c>
      <c r="E11419" t="inlineStr">
        <is>
          <t>MALÅ</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42183-2023</t>
        </is>
      </c>
      <c r="B11420" s="1" t="n">
        <v>45178</v>
      </c>
      <c r="C11420" s="1" t="n">
        <v>45357</v>
      </c>
      <c r="D11420" t="inlineStr">
        <is>
          <t>VÄSTERBOTTENS LÄN</t>
        </is>
      </c>
      <c r="E11420" t="inlineStr">
        <is>
          <t>MALÅ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42187-2023</t>
        </is>
      </c>
      <c r="B11421" s="1" t="n">
        <v>45178</v>
      </c>
      <c r="C11421" s="1" t="n">
        <v>45357</v>
      </c>
      <c r="D11421" t="inlineStr">
        <is>
          <t>VÄSTERBOTTENS LÄN</t>
        </is>
      </c>
      <c r="E11421" t="inlineStr">
        <is>
          <t>MALÅ</t>
        </is>
      </c>
      <c r="G11421" t="n">
        <v>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42178-2023</t>
        </is>
      </c>
      <c r="B11422" s="1" t="n">
        <v>45178</v>
      </c>
      <c r="C11422" s="1" t="n">
        <v>45357</v>
      </c>
      <c r="D11422" t="inlineStr">
        <is>
          <t>VÄSTERBOTTENS LÄN</t>
        </is>
      </c>
      <c r="E11422" t="inlineStr">
        <is>
          <t>MALÅ</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42182-2023</t>
        </is>
      </c>
      <c r="B11423" s="1" t="n">
        <v>45178</v>
      </c>
      <c r="C11423" s="1" t="n">
        <v>45357</v>
      </c>
      <c r="D11423" t="inlineStr">
        <is>
          <t>VÄSTERBOTTENS LÄN</t>
        </is>
      </c>
      <c r="E11423" t="inlineStr">
        <is>
          <t>MALÅ</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42186-2023</t>
        </is>
      </c>
      <c r="B11424" s="1" t="n">
        <v>45178</v>
      </c>
      <c r="C11424" s="1" t="n">
        <v>45357</v>
      </c>
      <c r="D11424" t="inlineStr">
        <is>
          <t>VÄSTERBOTTENS LÄN</t>
        </is>
      </c>
      <c r="E11424" t="inlineStr">
        <is>
          <t>MALÅ</t>
        </is>
      </c>
      <c r="G11424" t="n">
        <v>12.6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42207-2023</t>
        </is>
      </c>
      <c r="B11425" s="1" t="n">
        <v>45179</v>
      </c>
      <c r="C11425" s="1" t="n">
        <v>45357</v>
      </c>
      <c r="D11425" t="inlineStr">
        <is>
          <t>VÄSTERBOTTENS LÄN</t>
        </is>
      </c>
      <c r="E11425" t="inlineStr">
        <is>
          <t>MALÅ</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42211-2023</t>
        </is>
      </c>
      <c r="B11426" s="1" t="n">
        <v>45179</v>
      </c>
      <c r="C11426" s="1" t="n">
        <v>45357</v>
      </c>
      <c r="D11426" t="inlineStr">
        <is>
          <t>VÄSTERBOTTENS LÄN</t>
        </is>
      </c>
      <c r="E11426" t="inlineStr">
        <is>
          <t>MALÅ</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42209-2023</t>
        </is>
      </c>
      <c r="B11427" s="1" t="n">
        <v>45179</v>
      </c>
      <c r="C11427" s="1" t="n">
        <v>45357</v>
      </c>
      <c r="D11427" t="inlineStr">
        <is>
          <t>VÄSTERBOTTENS LÄN</t>
        </is>
      </c>
      <c r="E11427" t="inlineStr">
        <is>
          <t>MALÅ</t>
        </is>
      </c>
      <c r="G11427" t="n">
        <v>20.2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42206-2023</t>
        </is>
      </c>
      <c r="B11428" s="1" t="n">
        <v>45179</v>
      </c>
      <c r="C11428" s="1" t="n">
        <v>45357</v>
      </c>
      <c r="D11428" t="inlineStr">
        <is>
          <t>VÄSTERBOTTENS LÄN</t>
        </is>
      </c>
      <c r="E11428" t="inlineStr">
        <is>
          <t>MALÅ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42210-2023</t>
        </is>
      </c>
      <c r="B11429" s="1" t="n">
        <v>45179</v>
      </c>
      <c r="C11429" s="1" t="n">
        <v>45357</v>
      </c>
      <c r="D11429" t="inlineStr">
        <is>
          <t>VÄSTERBOTTENS LÄN</t>
        </is>
      </c>
      <c r="E11429" t="inlineStr">
        <is>
          <t>MALÅ</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42214-2023</t>
        </is>
      </c>
      <c r="B11430" s="1" t="n">
        <v>45179</v>
      </c>
      <c r="C11430" s="1" t="n">
        <v>45357</v>
      </c>
      <c r="D11430" t="inlineStr">
        <is>
          <t>VÄSTERBOTTENS LÄN</t>
        </is>
      </c>
      <c r="E11430" t="inlineStr">
        <is>
          <t>MALÅ</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42218-2023</t>
        </is>
      </c>
      <c r="B11431" s="1" t="n">
        <v>45179</v>
      </c>
      <c r="C11431" s="1" t="n">
        <v>45357</v>
      </c>
      <c r="D11431" t="inlineStr">
        <is>
          <t>VÄSTERBOTTENS LÄN</t>
        </is>
      </c>
      <c r="E11431" t="inlineStr">
        <is>
          <t>MALÅ</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42215-2023</t>
        </is>
      </c>
      <c r="B11432" s="1" t="n">
        <v>45179</v>
      </c>
      <c r="C11432" s="1" t="n">
        <v>45357</v>
      </c>
      <c r="D11432" t="inlineStr">
        <is>
          <t>VÄSTERBOTTENS LÄN</t>
        </is>
      </c>
      <c r="E11432" t="inlineStr">
        <is>
          <t>MALÅ</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42219-2023</t>
        </is>
      </c>
      <c r="B11433" s="1" t="n">
        <v>45179</v>
      </c>
      <c r="C11433" s="1" t="n">
        <v>45357</v>
      </c>
      <c r="D11433" t="inlineStr">
        <is>
          <t>VÄSTERBOTTENS LÄN</t>
        </is>
      </c>
      <c r="E11433" t="inlineStr">
        <is>
          <t>MALÅ</t>
        </is>
      </c>
      <c r="G11433" t="n">
        <v>8.4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42213-2023</t>
        </is>
      </c>
      <c r="B11434" s="1" t="n">
        <v>45179</v>
      </c>
      <c r="C11434" s="1" t="n">
        <v>45357</v>
      </c>
      <c r="D11434" t="inlineStr">
        <is>
          <t>VÄSTERBOTTENS LÄN</t>
        </is>
      </c>
      <c r="E11434" t="inlineStr">
        <is>
          <t>MALÅ</t>
        </is>
      </c>
      <c r="G11434" t="n">
        <v>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42217-2023</t>
        </is>
      </c>
      <c r="B11435" s="1" t="n">
        <v>45179</v>
      </c>
      <c r="C11435" s="1" t="n">
        <v>45357</v>
      </c>
      <c r="D11435" t="inlineStr">
        <is>
          <t>VÄSTERBOTTENS LÄN</t>
        </is>
      </c>
      <c r="E11435" t="inlineStr">
        <is>
          <t>MALÅ</t>
        </is>
      </c>
      <c r="G11435" t="n">
        <v>27.4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42208-2023</t>
        </is>
      </c>
      <c r="B11436" s="1" t="n">
        <v>45179</v>
      </c>
      <c r="C11436" s="1" t="n">
        <v>45357</v>
      </c>
      <c r="D11436" t="inlineStr">
        <is>
          <t>VÄSTERBOTTENS LÄN</t>
        </is>
      </c>
      <c r="E11436" t="inlineStr">
        <is>
          <t>MALÅ</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42212-2023</t>
        </is>
      </c>
      <c r="B11437" s="1" t="n">
        <v>45179</v>
      </c>
      <c r="C11437" s="1" t="n">
        <v>45357</v>
      </c>
      <c r="D11437" t="inlineStr">
        <is>
          <t>VÄSTERBOTTENS LÄN</t>
        </is>
      </c>
      <c r="E11437" t="inlineStr">
        <is>
          <t>MALÅ</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42216-2023</t>
        </is>
      </c>
      <c r="B11438" s="1" t="n">
        <v>45179</v>
      </c>
      <c r="C11438" s="1" t="n">
        <v>45357</v>
      </c>
      <c r="D11438" t="inlineStr">
        <is>
          <t>VÄSTERBOTTENS LÄN</t>
        </is>
      </c>
      <c r="E11438" t="inlineStr">
        <is>
          <t>MALÅ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42297-2023</t>
        </is>
      </c>
      <c r="B11439" s="1" t="n">
        <v>45180</v>
      </c>
      <c r="C11439" s="1" t="n">
        <v>45357</v>
      </c>
      <c r="D11439" t="inlineStr">
        <is>
          <t>VÄSTERBOTTENS LÄN</t>
        </is>
      </c>
      <c r="E11439" t="inlineStr">
        <is>
          <t>MALÅ</t>
        </is>
      </c>
      <c r="F11439" t="inlineStr">
        <is>
          <t>Sveaskog</t>
        </is>
      </c>
      <c r="G11439" t="n">
        <v>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42410-2023</t>
        </is>
      </c>
      <c r="B11440" s="1" t="n">
        <v>45180</v>
      </c>
      <c r="C11440" s="1" t="n">
        <v>45357</v>
      </c>
      <c r="D11440" t="inlineStr">
        <is>
          <t>VÄSTERBOTTENS LÄN</t>
        </is>
      </c>
      <c r="E11440" t="inlineStr">
        <is>
          <t>MALÅ</t>
        </is>
      </c>
      <c r="G11440" t="n">
        <v>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42445-2023</t>
        </is>
      </c>
      <c r="B11441" s="1" t="n">
        <v>45180</v>
      </c>
      <c r="C11441" s="1" t="n">
        <v>45357</v>
      </c>
      <c r="D11441" t="inlineStr">
        <is>
          <t>VÄSTERBOTTENS LÄN</t>
        </is>
      </c>
      <c r="E11441" t="inlineStr">
        <is>
          <t>MALÅ</t>
        </is>
      </c>
      <c r="G11441" t="n">
        <v>19.1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42457-2023</t>
        </is>
      </c>
      <c r="B11442" s="1" t="n">
        <v>45180</v>
      </c>
      <c r="C11442" s="1" t="n">
        <v>45357</v>
      </c>
      <c r="D11442" t="inlineStr">
        <is>
          <t>VÄSTERBOTTENS LÄN</t>
        </is>
      </c>
      <c r="E11442" t="inlineStr">
        <is>
          <t>LYCKSELE</t>
        </is>
      </c>
      <c r="F11442" t="inlineStr">
        <is>
          <t>Sveaskog</t>
        </is>
      </c>
      <c r="G11442" t="n">
        <v>9.300000000000001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42463-2023</t>
        </is>
      </c>
      <c r="B11443" s="1" t="n">
        <v>45180</v>
      </c>
      <c r="C11443" s="1" t="n">
        <v>45357</v>
      </c>
      <c r="D11443" t="inlineStr">
        <is>
          <t>VÄSTERBOTTENS LÄN</t>
        </is>
      </c>
      <c r="E11443" t="inlineStr">
        <is>
          <t>UMEÅ</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42498-2023</t>
        </is>
      </c>
      <c r="B11444" s="1" t="n">
        <v>45180</v>
      </c>
      <c r="C11444" s="1" t="n">
        <v>45357</v>
      </c>
      <c r="D11444" t="inlineStr">
        <is>
          <t>VÄSTERBOTTENS LÄN</t>
        </is>
      </c>
      <c r="E11444" t="inlineStr">
        <is>
          <t>NORSJÖ</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42263-2023</t>
        </is>
      </c>
      <c r="B11445" s="1" t="n">
        <v>45180</v>
      </c>
      <c r="C11445" s="1" t="n">
        <v>45357</v>
      </c>
      <c r="D11445" t="inlineStr">
        <is>
          <t>VÄSTERBOTTENS LÄN</t>
        </is>
      </c>
      <c r="E11445" t="inlineStr">
        <is>
          <t>UMEÅ</t>
        </is>
      </c>
      <c r="G11445" t="n">
        <v>8.699999999999999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42363-2023</t>
        </is>
      </c>
      <c r="B11446" s="1" t="n">
        <v>45180</v>
      </c>
      <c r="C11446" s="1" t="n">
        <v>45357</v>
      </c>
      <c r="D11446" t="inlineStr">
        <is>
          <t>VÄSTERBOTTENS LÄN</t>
        </is>
      </c>
      <c r="E11446" t="inlineStr">
        <is>
          <t>VINDELN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42373-2023</t>
        </is>
      </c>
      <c r="B11447" s="1" t="n">
        <v>45180</v>
      </c>
      <c r="C11447" s="1" t="n">
        <v>45357</v>
      </c>
      <c r="D11447" t="inlineStr">
        <is>
          <t>VÄSTERBOTTENS LÄN</t>
        </is>
      </c>
      <c r="E11447" t="inlineStr">
        <is>
          <t>MALÅ</t>
        </is>
      </c>
      <c r="G11447" t="n">
        <v>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42421-2023</t>
        </is>
      </c>
      <c r="B11448" s="1" t="n">
        <v>45180</v>
      </c>
      <c r="C11448" s="1" t="n">
        <v>45357</v>
      </c>
      <c r="D11448" t="inlineStr">
        <is>
          <t>VÄSTERBOTTENS LÄN</t>
        </is>
      </c>
      <c r="E11448" t="inlineStr">
        <is>
          <t>SKELLEFTEÅ</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42466-2023</t>
        </is>
      </c>
      <c r="B11449" s="1" t="n">
        <v>45180</v>
      </c>
      <c r="C11449" s="1" t="n">
        <v>45357</v>
      </c>
      <c r="D11449" t="inlineStr">
        <is>
          <t>VÄSTERBOTTENS LÄN</t>
        </is>
      </c>
      <c r="E11449" t="inlineStr">
        <is>
          <t>LYCKSELE</t>
        </is>
      </c>
      <c r="F11449" t="inlineStr">
        <is>
          <t>Holmen skog AB</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42501-2023</t>
        </is>
      </c>
      <c r="B11450" s="1" t="n">
        <v>45181</v>
      </c>
      <c r="C11450" s="1" t="n">
        <v>45357</v>
      </c>
      <c r="D11450" t="inlineStr">
        <is>
          <t>VÄSTERBOTTENS LÄN</t>
        </is>
      </c>
      <c r="E11450" t="inlineStr">
        <is>
          <t>NORDMALING</t>
        </is>
      </c>
      <c r="F11450" t="inlineStr">
        <is>
          <t>SCA</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42515-2023</t>
        </is>
      </c>
      <c r="B11451" s="1" t="n">
        <v>45180</v>
      </c>
      <c r="C11451" s="1" t="n">
        <v>45357</v>
      </c>
      <c r="D11451" t="inlineStr">
        <is>
          <t>VÄSTERBOTTENS LÄN</t>
        </is>
      </c>
      <c r="E11451" t="inlineStr">
        <is>
          <t>DOROTEA</t>
        </is>
      </c>
      <c r="F11451" t="inlineStr">
        <is>
          <t>SCA</t>
        </is>
      </c>
      <c r="G11451" t="n">
        <v>27.7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43058-2023</t>
        </is>
      </c>
      <c r="B11452" s="1" t="n">
        <v>45180</v>
      </c>
      <c r="C11452" s="1" t="n">
        <v>45357</v>
      </c>
      <c r="D11452" t="inlineStr">
        <is>
          <t>VÄSTERBOTTENS LÄN</t>
        </is>
      </c>
      <c r="E11452" t="inlineStr">
        <is>
          <t>BJURHOLM</t>
        </is>
      </c>
      <c r="G11452" t="n">
        <v>9.800000000000001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42982-2023</t>
        </is>
      </c>
      <c r="B11453" s="1" t="n">
        <v>45180</v>
      </c>
      <c r="C11453" s="1" t="n">
        <v>45357</v>
      </c>
      <c r="D11453" t="inlineStr">
        <is>
          <t>VÄSTERBOTTENS LÄN</t>
        </is>
      </c>
      <c r="E11453" t="inlineStr">
        <is>
          <t>SKELLEFTEÅ</t>
        </is>
      </c>
      <c r="G11453" t="n">
        <v>11.2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43240-2023</t>
        </is>
      </c>
      <c r="B11454" s="1" t="n">
        <v>45180</v>
      </c>
      <c r="C11454" s="1" t="n">
        <v>45357</v>
      </c>
      <c r="D11454" t="inlineStr">
        <is>
          <t>VÄSTERBOTTENS LÄN</t>
        </is>
      </c>
      <c r="E11454" t="inlineStr">
        <is>
          <t>ÅSELE</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42383-2023</t>
        </is>
      </c>
      <c r="B11455" s="1" t="n">
        <v>45180</v>
      </c>
      <c r="C11455" s="1" t="n">
        <v>45357</v>
      </c>
      <c r="D11455" t="inlineStr">
        <is>
          <t>VÄSTERBOTTENS LÄN</t>
        </is>
      </c>
      <c r="E11455" t="inlineStr">
        <is>
          <t>MALÅ</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42475-2023</t>
        </is>
      </c>
      <c r="B11456" s="1" t="n">
        <v>45180</v>
      </c>
      <c r="C11456" s="1" t="n">
        <v>45357</v>
      </c>
      <c r="D11456" t="inlineStr">
        <is>
          <t>VÄSTERBOTTENS LÄN</t>
        </is>
      </c>
      <c r="E11456" t="inlineStr">
        <is>
          <t>LYCKSELE</t>
        </is>
      </c>
      <c r="F11456" t="inlineStr">
        <is>
          <t>Holmen skog AB</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43020-2023</t>
        </is>
      </c>
      <c r="B11457" s="1" t="n">
        <v>45180</v>
      </c>
      <c r="C11457" s="1" t="n">
        <v>45357</v>
      </c>
      <c r="D11457" t="inlineStr">
        <is>
          <t>VÄSTERBOTTENS LÄN</t>
        </is>
      </c>
      <c r="E11457" t="inlineStr">
        <is>
          <t>ROBERTSFORS</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43060-2023</t>
        </is>
      </c>
      <c r="B11458" s="1" t="n">
        <v>45180</v>
      </c>
      <c r="C11458" s="1" t="n">
        <v>45357</v>
      </c>
      <c r="D11458" t="inlineStr">
        <is>
          <t>VÄSTERBOTTENS LÄN</t>
        </is>
      </c>
      <c r="E11458" t="inlineStr">
        <is>
          <t>SKELLEFTEÅ</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43246-2023</t>
        </is>
      </c>
      <c r="B11459" s="1" t="n">
        <v>45180</v>
      </c>
      <c r="C11459" s="1" t="n">
        <v>45357</v>
      </c>
      <c r="D11459" t="inlineStr">
        <is>
          <t>VÄSTERBOTTENS LÄN</t>
        </is>
      </c>
      <c r="E11459" t="inlineStr">
        <is>
          <t>ÅSELE</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43518-2023</t>
        </is>
      </c>
      <c r="B11460" s="1" t="n">
        <v>45181</v>
      </c>
      <c r="C11460" s="1" t="n">
        <v>45357</v>
      </c>
      <c r="D11460" t="inlineStr">
        <is>
          <t>VÄSTERBOTTENS LÄN</t>
        </is>
      </c>
      <c r="E11460" t="inlineStr">
        <is>
          <t>VINDELN</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43568-2023</t>
        </is>
      </c>
      <c r="B11461" s="1" t="n">
        <v>45181</v>
      </c>
      <c r="C11461" s="1" t="n">
        <v>45357</v>
      </c>
      <c r="D11461" t="inlineStr">
        <is>
          <t>VÄSTERBOTTENS LÄN</t>
        </is>
      </c>
      <c r="E11461" t="inlineStr">
        <is>
          <t>SKELLEFTEÅ</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43563-2023</t>
        </is>
      </c>
      <c r="B11462" s="1" t="n">
        <v>45181</v>
      </c>
      <c r="C11462" s="1" t="n">
        <v>45357</v>
      </c>
      <c r="D11462" t="inlineStr">
        <is>
          <t>VÄSTERBOTTENS LÄN</t>
        </is>
      </c>
      <c r="E11462" t="inlineStr">
        <is>
          <t>SKELLEFTEÅ</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43598-2023</t>
        </is>
      </c>
      <c r="B11463" s="1" t="n">
        <v>45181</v>
      </c>
      <c r="C11463" s="1" t="n">
        <v>45357</v>
      </c>
      <c r="D11463" t="inlineStr">
        <is>
          <t>VÄSTERBOTTENS LÄN</t>
        </is>
      </c>
      <c r="E11463" t="inlineStr">
        <is>
          <t>SKELLEFTEÅ</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42557-2023</t>
        </is>
      </c>
      <c r="B11464" s="1" t="n">
        <v>45181</v>
      </c>
      <c r="C11464" s="1" t="n">
        <v>45357</v>
      </c>
      <c r="D11464" t="inlineStr">
        <is>
          <t>VÄSTERBOTTENS LÄN</t>
        </is>
      </c>
      <c r="E11464" t="inlineStr">
        <is>
          <t>BJURHOLM</t>
        </is>
      </c>
      <c r="F11464" t="inlineStr">
        <is>
          <t>Holmen skog AB</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42583-2023</t>
        </is>
      </c>
      <c r="B11465" s="1" t="n">
        <v>45181</v>
      </c>
      <c r="C11465" s="1" t="n">
        <v>45357</v>
      </c>
      <c r="D11465" t="inlineStr">
        <is>
          <t>VÄSTERBOTTENS LÄN</t>
        </is>
      </c>
      <c r="E11465" t="inlineStr">
        <is>
          <t>MALÅ</t>
        </is>
      </c>
      <c r="F11465" t="inlineStr">
        <is>
          <t>Sveaskog</t>
        </is>
      </c>
      <c r="G11465" t="n">
        <v>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42620-2023</t>
        </is>
      </c>
      <c r="B11466" s="1" t="n">
        <v>45181</v>
      </c>
      <c r="C11466" s="1" t="n">
        <v>45357</v>
      </c>
      <c r="D11466" t="inlineStr">
        <is>
          <t>VÄSTERBOTTENS LÄN</t>
        </is>
      </c>
      <c r="E11466" t="inlineStr">
        <is>
          <t>MALÅ</t>
        </is>
      </c>
      <c r="F11466" t="inlineStr">
        <is>
          <t>Sveaskog</t>
        </is>
      </c>
      <c r="G11466" t="n">
        <v>12.7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42625-2023</t>
        </is>
      </c>
      <c r="B11467" s="1" t="n">
        <v>45181</v>
      </c>
      <c r="C11467" s="1" t="n">
        <v>45357</v>
      </c>
      <c r="D11467" t="inlineStr">
        <is>
          <t>VÄSTERBOTTENS LÄN</t>
        </is>
      </c>
      <c r="E11467" t="inlineStr">
        <is>
          <t>MALÅ</t>
        </is>
      </c>
      <c r="F11467" t="inlineStr">
        <is>
          <t>Sveaskog</t>
        </is>
      </c>
      <c r="G11467" t="n">
        <v>18.2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42643-2023</t>
        </is>
      </c>
      <c r="B11468" s="1" t="n">
        <v>45181</v>
      </c>
      <c r="C11468" s="1" t="n">
        <v>45357</v>
      </c>
      <c r="D11468" t="inlineStr">
        <is>
          <t>VÄSTERBOTTENS LÄN</t>
        </is>
      </c>
      <c r="E11468" t="inlineStr">
        <is>
          <t>MALÅ</t>
        </is>
      </c>
      <c r="F11468" t="inlineStr">
        <is>
          <t>Sveaskog</t>
        </is>
      </c>
      <c r="G11468" t="n">
        <v>7.6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42641-2023</t>
        </is>
      </c>
      <c r="B11469" s="1" t="n">
        <v>45181</v>
      </c>
      <c r="C11469" s="1" t="n">
        <v>45357</v>
      </c>
      <c r="D11469" t="inlineStr">
        <is>
          <t>VÄSTERBOTTENS LÄN</t>
        </is>
      </c>
      <c r="E11469" t="inlineStr">
        <is>
          <t>MALÅ</t>
        </is>
      </c>
      <c r="F11469" t="inlineStr">
        <is>
          <t>Sveaskog</t>
        </is>
      </c>
      <c r="G11469" t="n">
        <v>10.2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43603-2023</t>
        </is>
      </c>
      <c r="B11470" s="1" t="n">
        <v>45181</v>
      </c>
      <c r="C11470" s="1" t="n">
        <v>45357</v>
      </c>
      <c r="D11470" t="inlineStr">
        <is>
          <t>VÄSTERBOTTENS LÄN</t>
        </is>
      </c>
      <c r="E11470" t="inlineStr">
        <is>
          <t>SKELLEFTEÅ</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42537-2023</t>
        </is>
      </c>
      <c r="B11471" s="1" t="n">
        <v>45181</v>
      </c>
      <c r="C11471" s="1" t="n">
        <v>45357</v>
      </c>
      <c r="D11471" t="inlineStr">
        <is>
          <t>VÄSTERBOTTENS LÄN</t>
        </is>
      </c>
      <c r="E11471" t="inlineStr">
        <is>
          <t>VÄNNÄS</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42745-2023</t>
        </is>
      </c>
      <c r="B11472" s="1" t="n">
        <v>45181</v>
      </c>
      <c r="C11472" s="1" t="n">
        <v>45357</v>
      </c>
      <c r="D11472" t="inlineStr">
        <is>
          <t>VÄSTERBOTTENS LÄN</t>
        </is>
      </c>
      <c r="E11472" t="inlineStr">
        <is>
          <t>NORSJÖ</t>
        </is>
      </c>
      <c r="F11472" t="inlineStr">
        <is>
          <t>Sveaskog</t>
        </is>
      </c>
      <c r="G11472" t="n">
        <v>13.5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42586-2023</t>
        </is>
      </c>
      <c r="B11473" s="1" t="n">
        <v>45181</v>
      </c>
      <c r="C11473" s="1" t="n">
        <v>45357</v>
      </c>
      <c r="D11473" t="inlineStr">
        <is>
          <t>VÄSTERBOTTENS LÄN</t>
        </is>
      </c>
      <c r="E11473" t="inlineStr">
        <is>
          <t>MALÅ</t>
        </is>
      </c>
      <c r="F11473" t="inlineStr">
        <is>
          <t>Sveaskog</t>
        </is>
      </c>
      <c r="G11473" t="n">
        <v>18.6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42640-2023</t>
        </is>
      </c>
      <c r="B11474" s="1" t="n">
        <v>45181</v>
      </c>
      <c r="C11474" s="1" t="n">
        <v>45357</v>
      </c>
      <c r="D11474" t="inlineStr">
        <is>
          <t>VÄSTERBOTTENS LÄN</t>
        </is>
      </c>
      <c r="E11474" t="inlineStr">
        <is>
          <t>SKELLEFTEÅ</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42697-2023</t>
        </is>
      </c>
      <c r="B11475" s="1" t="n">
        <v>45181</v>
      </c>
      <c r="C11475" s="1" t="n">
        <v>45357</v>
      </c>
      <c r="D11475" t="inlineStr">
        <is>
          <t>VÄSTERBOTTENS LÄN</t>
        </is>
      </c>
      <c r="E11475" t="inlineStr">
        <is>
          <t>UMEÅ</t>
        </is>
      </c>
      <c r="F11475" t="inlineStr">
        <is>
          <t>Holmen skog AB</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42738-2023</t>
        </is>
      </c>
      <c r="B11476" s="1" t="n">
        <v>45181</v>
      </c>
      <c r="C11476" s="1" t="n">
        <v>45357</v>
      </c>
      <c r="D11476" t="inlineStr">
        <is>
          <t>VÄSTERBOTTENS LÄN</t>
        </is>
      </c>
      <c r="E11476" t="inlineStr">
        <is>
          <t>NORSJÖ</t>
        </is>
      </c>
      <c r="F11476" t="inlineStr">
        <is>
          <t>Sveaskog</t>
        </is>
      </c>
      <c r="G11476" t="n">
        <v>9.5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42747-2023</t>
        </is>
      </c>
      <c r="B11477" s="1" t="n">
        <v>45181</v>
      </c>
      <c r="C11477" s="1" t="n">
        <v>45357</v>
      </c>
      <c r="D11477" t="inlineStr">
        <is>
          <t>VÄSTERBOTTENS LÄN</t>
        </is>
      </c>
      <c r="E11477" t="inlineStr">
        <is>
          <t>LYCKSELE</t>
        </is>
      </c>
      <c r="F11477" t="inlineStr">
        <is>
          <t>Sveaskog</t>
        </is>
      </c>
      <c r="G11477" t="n">
        <v>9.199999999999999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42790-2023</t>
        </is>
      </c>
      <c r="B11478" s="1" t="n">
        <v>45181</v>
      </c>
      <c r="C11478" s="1" t="n">
        <v>45357</v>
      </c>
      <c r="D11478" t="inlineStr">
        <is>
          <t>VÄSTERBOTTENS LÄN</t>
        </is>
      </c>
      <c r="E11478" t="inlineStr">
        <is>
          <t>MALÅ</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42579-2023</t>
        </is>
      </c>
      <c r="B11479" s="1" t="n">
        <v>45181</v>
      </c>
      <c r="C11479" s="1" t="n">
        <v>45357</v>
      </c>
      <c r="D11479" t="inlineStr">
        <is>
          <t>VÄSTERBOTTENS LÄN</t>
        </is>
      </c>
      <c r="E11479" t="inlineStr">
        <is>
          <t>VINDELN</t>
        </is>
      </c>
      <c r="F11479" t="inlineStr">
        <is>
          <t>Sveaskog</t>
        </is>
      </c>
      <c r="G11479" t="n">
        <v>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42584-2023</t>
        </is>
      </c>
      <c r="B11480" s="1" t="n">
        <v>45181</v>
      </c>
      <c r="C11480" s="1" t="n">
        <v>45357</v>
      </c>
      <c r="D11480" t="inlineStr">
        <is>
          <t>VÄSTERBOTTENS LÄN</t>
        </is>
      </c>
      <c r="E11480" t="inlineStr">
        <is>
          <t>VINDELN</t>
        </is>
      </c>
      <c r="F11480" t="inlineStr">
        <is>
          <t>Sveaskog</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42650-2023</t>
        </is>
      </c>
      <c r="B11481" s="1" t="n">
        <v>45181</v>
      </c>
      <c r="C11481" s="1" t="n">
        <v>45357</v>
      </c>
      <c r="D11481" t="inlineStr">
        <is>
          <t>VÄSTERBOTTENS LÄN</t>
        </is>
      </c>
      <c r="E11481" t="inlineStr">
        <is>
          <t>SKELLEFTEÅ</t>
        </is>
      </c>
      <c r="F11481" t="inlineStr">
        <is>
          <t>Holmen skog AB</t>
        </is>
      </c>
      <c r="G11481" t="n">
        <v>12.4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42694-2023</t>
        </is>
      </c>
      <c r="B11482" s="1" t="n">
        <v>45181</v>
      </c>
      <c r="C11482" s="1" t="n">
        <v>45357</v>
      </c>
      <c r="D11482" t="inlineStr">
        <is>
          <t>VÄSTERBOTTENS LÄN</t>
        </is>
      </c>
      <c r="E11482" t="inlineStr">
        <is>
          <t>MALÅ</t>
        </is>
      </c>
      <c r="F11482" t="inlineStr">
        <is>
          <t>Sveaskog</t>
        </is>
      </c>
      <c r="G11482" t="n">
        <v>13.7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42740-2023</t>
        </is>
      </c>
      <c r="B11483" s="1" t="n">
        <v>45181</v>
      </c>
      <c r="C11483" s="1" t="n">
        <v>45357</v>
      </c>
      <c r="D11483" t="inlineStr">
        <is>
          <t>VÄSTERBOTTENS LÄN</t>
        </is>
      </c>
      <c r="E11483" t="inlineStr">
        <is>
          <t>NORSJÖ</t>
        </is>
      </c>
      <c r="F11483" t="inlineStr">
        <is>
          <t>Sveaskog</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42744-2023</t>
        </is>
      </c>
      <c r="B11484" s="1" t="n">
        <v>45181</v>
      </c>
      <c r="C11484" s="1" t="n">
        <v>45357</v>
      </c>
      <c r="D11484" t="inlineStr">
        <is>
          <t>VÄSTERBOTTENS LÄN</t>
        </is>
      </c>
      <c r="E11484" t="inlineStr">
        <is>
          <t>NORSJÖ</t>
        </is>
      </c>
      <c r="F11484" t="inlineStr">
        <is>
          <t>Sveaskog</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42787-2023</t>
        </is>
      </c>
      <c r="B11485" s="1" t="n">
        <v>45181</v>
      </c>
      <c r="C11485" s="1" t="n">
        <v>45357</v>
      </c>
      <c r="D11485" t="inlineStr">
        <is>
          <t>VÄSTERBOTTENS LÄN</t>
        </is>
      </c>
      <c r="E11485" t="inlineStr">
        <is>
          <t>SKELLEFTEÅ</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42789-2023</t>
        </is>
      </c>
      <c r="B11486" s="1" t="n">
        <v>45181</v>
      </c>
      <c r="C11486" s="1" t="n">
        <v>45357</v>
      </c>
      <c r="D11486" t="inlineStr">
        <is>
          <t>VÄSTERBOTTENS LÄN</t>
        </is>
      </c>
      <c r="E11486" t="inlineStr">
        <is>
          <t>SKELLEFTEÅ</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42888-2023</t>
        </is>
      </c>
      <c r="B11487" s="1" t="n">
        <v>45182</v>
      </c>
      <c r="C11487" s="1" t="n">
        <v>45357</v>
      </c>
      <c r="D11487" t="inlineStr">
        <is>
          <t>VÄSTERBOTTENS LÄN</t>
        </is>
      </c>
      <c r="E11487" t="inlineStr">
        <is>
          <t>ROBERTSFORS</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43011-2023</t>
        </is>
      </c>
      <c r="B11488" s="1" t="n">
        <v>45182</v>
      </c>
      <c r="C11488" s="1" t="n">
        <v>45357</v>
      </c>
      <c r="D11488" t="inlineStr">
        <is>
          <t>VÄSTERBOTTENS LÄN</t>
        </is>
      </c>
      <c r="E11488" t="inlineStr">
        <is>
          <t>UMEÅ</t>
        </is>
      </c>
      <c r="F11488" t="inlineStr">
        <is>
          <t>Holmen skog AB</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42972-2023</t>
        </is>
      </c>
      <c r="B11489" s="1" t="n">
        <v>45182</v>
      </c>
      <c r="C11489" s="1" t="n">
        <v>45357</v>
      </c>
      <c r="D11489" t="inlineStr">
        <is>
          <t>VÄSTERBOTTENS LÄN</t>
        </is>
      </c>
      <c r="E11489" t="inlineStr">
        <is>
          <t>VINDELN</t>
        </is>
      </c>
      <c r="F11489" t="inlineStr">
        <is>
          <t>Holmen skog AB</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42988-2023</t>
        </is>
      </c>
      <c r="B11490" s="1" t="n">
        <v>45182</v>
      </c>
      <c r="C11490" s="1" t="n">
        <v>45357</v>
      </c>
      <c r="D11490" t="inlineStr">
        <is>
          <t>VÄSTERBOTTENS LÄN</t>
        </is>
      </c>
      <c r="E11490" t="inlineStr">
        <is>
          <t>MALÅ</t>
        </is>
      </c>
      <c r="G11490" t="n">
        <v>10.5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43027-2023</t>
        </is>
      </c>
      <c r="B11491" s="1" t="n">
        <v>45182</v>
      </c>
      <c r="C11491" s="1" t="n">
        <v>45357</v>
      </c>
      <c r="D11491" t="inlineStr">
        <is>
          <t>VÄSTERBOTTENS LÄN</t>
        </is>
      </c>
      <c r="E11491" t="inlineStr">
        <is>
          <t>ROBERTSFORS</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43039-2023</t>
        </is>
      </c>
      <c r="B11492" s="1" t="n">
        <v>45182</v>
      </c>
      <c r="C11492" s="1" t="n">
        <v>45357</v>
      </c>
      <c r="D11492" t="inlineStr">
        <is>
          <t>VÄSTERBOTTENS LÄN</t>
        </is>
      </c>
      <c r="E11492" t="inlineStr">
        <is>
          <t>ROBERTSFORS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42814-2023</t>
        </is>
      </c>
      <c r="B11493" s="1" t="n">
        <v>45182</v>
      </c>
      <c r="C11493" s="1" t="n">
        <v>45357</v>
      </c>
      <c r="D11493" t="inlineStr">
        <is>
          <t>VÄSTERBOTTENS LÄN</t>
        </is>
      </c>
      <c r="E11493" t="inlineStr">
        <is>
          <t>LYCKSELE</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42856-2023</t>
        </is>
      </c>
      <c r="B11494" s="1" t="n">
        <v>45182</v>
      </c>
      <c r="C11494" s="1" t="n">
        <v>45357</v>
      </c>
      <c r="D11494" t="inlineStr">
        <is>
          <t>VÄSTERBOTTENS LÄN</t>
        </is>
      </c>
      <c r="E11494" t="inlineStr">
        <is>
          <t>MALÅ</t>
        </is>
      </c>
      <c r="G11494" t="n">
        <v>20.7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43057-2023</t>
        </is>
      </c>
      <c r="B11495" s="1" t="n">
        <v>45182</v>
      </c>
      <c r="C11495" s="1" t="n">
        <v>45357</v>
      </c>
      <c r="D11495" t="inlineStr">
        <is>
          <t>VÄSTERBOTTENS LÄN</t>
        </is>
      </c>
      <c r="E11495" t="inlineStr">
        <is>
          <t>SKELLEFTEÅ</t>
        </is>
      </c>
      <c r="F11495" t="inlineStr">
        <is>
          <t>Sveaskog</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43095-2023</t>
        </is>
      </c>
      <c r="B11496" s="1" t="n">
        <v>45182</v>
      </c>
      <c r="C11496" s="1" t="n">
        <v>45357</v>
      </c>
      <c r="D11496" t="inlineStr">
        <is>
          <t>VÄSTERBOTTENS LÄN</t>
        </is>
      </c>
      <c r="E11496" t="inlineStr">
        <is>
          <t>ROBERTSFORS</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43126-2023</t>
        </is>
      </c>
      <c r="B11497" s="1" t="n">
        <v>45182</v>
      </c>
      <c r="C11497" s="1" t="n">
        <v>45357</v>
      </c>
      <c r="D11497" t="inlineStr">
        <is>
          <t>VÄSTERBOTTENS LÄN</t>
        </is>
      </c>
      <c r="E11497" t="inlineStr">
        <is>
          <t>SORSELE</t>
        </is>
      </c>
      <c r="F11497" t="inlineStr">
        <is>
          <t>SCA</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42834-2023</t>
        </is>
      </c>
      <c r="B11498" s="1" t="n">
        <v>45182</v>
      </c>
      <c r="C11498" s="1" t="n">
        <v>45357</v>
      </c>
      <c r="D11498" t="inlineStr">
        <is>
          <t>VÄSTERBOTTENS LÄN</t>
        </is>
      </c>
      <c r="E11498" t="inlineStr">
        <is>
          <t>VINDELN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43059-2023</t>
        </is>
      </c>
      <c r="B11499" s="1" t="n">
        <v>45182</v>
      </c>
      <c r="C11499" s="1" t="n">
        <v>45357</v>
      </c>
      <c r="D11499" t="inlineStr">
        <is>
          <t>VÄSTERBOTTENS LÄN</t>
        </is>
      </c>
      <c r="E11499" t="inlineStr">
        <is>
          <t>SKELLEFTEÅ</t>
        </is>
      </c>
      <c r="F11499" t="inlineStr">
        <is>
          <t>Sveaskog</t>
        </is>
      </c>
      <c r="G11499" t="n">
        <v>10.8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43092-2023</t>
        </is>
      </c>
      <c r="B11500" s="1" t="n">
        <v>45183</v>
      </c>
      <c r="C11500" s="1" t="n">
        <v>45357</v>
      </c>
      <c r="D11500" t="inlineStr">
        <is>
          <t>VÄSTERBOTTENS LÄN</t>
        </is>
      </c>
      <c r="E11500" t="inlineStr">
        <is>
          <t>DOROTEA</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42846-2023</t>
        </is>
      </c>
      <c r="B11501" s="1" t="n">
        <v>45182</v>
      </c>
      <c r="C11501" s="1" t="n">
        <v>45357</v>
      </c>
      <c r="D11501" t="inlineStr">
        <is>
          <t>VÄSTERBOTTENS LÄN</t>
        </is>
      </c>
      <c r="E11501" t="inlineStr">
        <is>
          <t>MALÅ</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43134-2023</t>
        </is>
      </c>
      <c r="B11502" s="1" t="n">
        <v>45182</v>
      </c>
      <c r="C11502" s="1" t="n">
        <v>45357</v>
      </c>
      <c r="D11502" t="inlineStr">
        <is>
          <t>VÄSTERBOTTENS LÄN</t>
        </is>
      </c>
      <c r="E11502" t="inlineStr">
        <is>
          <t>LYCKSELE</t>
        </is>
      </c>
      <c r="F11502" t="inlineStr">
        <is>
          <t>SCA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43832-2023</t>
        </is>
      </c>
      <c r="B11503" s="1" t="n">
        <v>45182</v>
      </c>
      <c r="C11503" s="1" t="n">
        <v>45357</v>
      </c>
      <c r="D11503" t="inlineStr">
        <is>
          <t>VÄSTERBOTTENS LÄN</t>
        </is>
      </c>
      <c r="E11503" t="inlineStr">
        <is>
          <t>NORSJÖ</t>
        </is>
      </c>
      <c r="G11503" t="n">
        <v>14.4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43848-2023</t>
        </is>
      </c>
      <c r="B11504" s="1" t="n">
        <v>45182</v>
      </c>
      <c r="C11504" s="1" t="n">
        <v>45357</v>
      </c>
      <c r="D11504" t="inlineStr">
        <is>
          <t>VÄSTERBOTTENS LÄN</t>
        </is>
      </c>
      <c r="E11504" t="inlineStr">
        <is>
          <t>NORSJÖ</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43125-2023</t>
        </is>
      </c>
      <c r="B11505" s="1" t="n">
        <v>45182</v>
      </c>
      <c r="C11505" s="1" t="n">
        <v>45357</v>
      </c>
      <c r="D11505" t="inlineStr">
        <is>
          <t>VÄSTERBOTTENS LÄN</t>
        </is>
      </c>
      <c r="E11505" t="inlineStr">
        <is>
          <t>SORSELE</t>
        </is>
      </c>
      <c r="F11505" t="inlineStr">
        <is>
          <t>SCA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43133-2023</t>
        </is>
      </c>
      <c r="B11506" s="1" t="n">
        <v>45182</v>
      </c>
      <c r="C11506" s="1" t="n">
        <v>45357</v>
      </c>
      <c r="D11506" t="inlineStr">
        <is>
          <t>VÄSTERBOTTENS LÄN</t>
        </is>
      </c>
      <c r="E11506" t="inlineStr">
        <is>
          <t>ÅSELE</t>
        </is>
      </c>
      <c r="F11506" t="inlineStr">
        <is>
          <t>SCA</t>
        </is>
      </c>
      <c r="G11506" t="n">
        <v>14.1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44012-2023</t>
        </is>
      </c>
      <c r="B11507" s="1" t="n">
        <v>45182</v>
      </c>
      <c r="C11507" s="1" t="n">
        <v>45357</v>
      </c>
      <c r="D11507" t="inlineStr">
        <is>
          <t>VÄSTERBOTTENS LÄN</t>
        </is>
      </c>
      <c r="E11507" t="inlineStr">
        <is>
          <t>NORDMALING</t>
        </is>
      </c>
      <c r="G11507" t="n">
        <v>20.1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44025-2023</t>
        </is>
      </c>
      <c r="B11508" s="1" t="n">
        <v>45182</v>
      </c>
      <c r="C11508" s="1" t="n">
        <v>45357</v>
      </c>
      <c r="D11508" t="inlineStr">
        <is>
          <t>VÄSTERBOTTENS LÄN</t>
        </is>
      </c>
      <c r="E11508" t="inlineStr">
        <is>
          <t>SKELLEFTEÅ</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44132-2023</t>
        </is>
      </c>
      <c r="B11509" s="1" t="n">
        <v>45182</v>
      </c>
      <c r="C11509" s="1" t="n">
        <v>45357</v>
      </c>
      <c r="D11509" t="inlineStr">
        <is>
          <t>VÄSTERBOTTENS LÄN</t>
        </is>
      </c>
      <c r="E11509" t="inlineStr">
        <is>
          <t>SORSELE</t>
        </is>
      </c>
      <c r="G11509" t="n">
        <v>7.1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43172-2023</t>
        </is>
      </c>
      <c r="B11510" s="1" t="n">
        <v>45183</v>
      </c>
      <c r="C11510" s="1" t="n">
        <v>45357</v>
      </c>
      <c r="D11510" t="inlineStr">
        <is>
          <t>VÄSTERBOTTENS LÄN</t>
        </is>
      </c>
      <c r="E11510" t="inlineStr">
        <is>
          <t>BJURHOLM</t>
        </is>
      </c>
      <c r="F11510" t="inlineStr">
        <is>
          <t>Holmen skog AB</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43183-2023</t>
        </is>
      </c>
      <c r="B11511" s="1" t="n">
        <v>45183</v>
      </c>
      <c r="C11511" s="1" t="n">
        <v>45357</v>
      </c>
      <c r="D11511" t="inlineStr">
        <is>
          <t>VÄSTERBOTTENS LÄN</t>
        </is>
      </c>
      <c r="E11511" t="inlineStr">
        <is>
          <t>VINDELN</t>
        </is>
      </c>
      <c r="F11511" t="inlineStr">
        <is>
          <t>Holmen skog AB</t>
        </is>
      </c>
      <c r="G11511" t="n">
        <v>8.4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43238-2023</t>
        </is>
      </c>
      <c r="B11512" s="1" t="n">
        <v>45183</v>
      </c>
      <c r="C11512" s="1" t="n">
        <v>45357</v>
      </c>
      <c r="D11512" t="inlineStr">
        <is>
          <t>VÄSTERBOTTENS LÄN</t>
        </is>
      </c>
      <c r="E11512" t="inlineStr">
        <is>
          <t>MALÅ</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43154-2023</t>
        </is>
      </c>
      <c r="B11513" s="1" t="n">
        <v>45183</v>
      </c>
      <c r="C11513" s="1" t="n">
        <v>45357</v>
      </c>
      <c r="D11513" t="inlineStr">
        <is>
          <t>VÄSTERBOTTENS LÄN</t>
        </is>
      </c>
      <c r="E11513" t="inlineStr">
        <is>
          <t>UMEÅ</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43163-2023</t>
        </is>
      </c>
      <c r="B11514" s="1" t="n">
        <v>45183</v>
      </c>
      <c r="C11514" s="1" t="n">
        <v>45357</v>
      </c>
      <c r="D11514" t="inlineStr">
        <is>
          <t>VÄSTERBOTTENS LÄN</t>
        </is>
      </c>
      <c r="E11514" t="inlineStr">
        <is>
          <t>UMEÅ</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43182-2023</t>
        </is>
      </c>
      <c r="B11515" s="1" t="n">
        <v>45183</v>
      </c>
      <c r="C11515" s="1" t="n">
        <v>45357</v>
      </c>
      <c r="D11515" t="inlineStr">
        <is>
          <t>VÄSTERBOTTENS LÄN</t>
        </is>
      </c>
      <c r="E11515" t="inlineStr">
        <is>
          <t>NORSJÖ</t>
        </is>
      </c>
      <c r="F11515" t="inlineStr">
        <is>
          <t>Holmen skog AB</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43212-2023</t>
        </is>
      </c>
      <c r="B11516" s="1" t="n">
        <v>45183</v>
      </c>
      <c r="C11516" s="1" t="n">
        <v>45357</v>
      </c>
      <c r="D11516" t="inlineStr">
        <is>
          <t>VÄSTERBOTTENS LÄN</t>
        </is>
      </c>
      <c r="E11516" t="inlineStr">
        <is>
          <t>MALÅ</t>
        </is>
      </c>
      <c r="F11516" t="inlineStr">
        <is>
          <t>Sveaskog</t>
        </is>
      </c>
      <c r="G11516" t="n">
        <v>25.8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43272-2023</t>
        </is>
      </c>
      <c r="B11517" s="1" t="n">
        <v>45183</v>
      </c>
      <c r="C11517" s="1" t="n">
        <v>45357</v>
      </c>
      <c r="D11517" t="inlineStr">
        <is>
          <t>VÄSTERBOTTENS LÄN</t>
        </is>
      </c>
      <c r="E11517" t="inlineStr">
        <is>
          <t>MALÅ</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43399-2023</t>
        </is>
      </c>
      <c r="B11518" s="1" t="n">
        <v>45183</v>
      </c>
      <c r="C11518" s="1" t="n">
        <v>45357</v>
      </c>
      <c r="D11518" t="inlineStr">
        <is>
          <t>VÄSTERBOTTENS LÄN</t>
        </is>
      </c>
      <c r="E11518" t="inlineStr">
        <is>
          <t>NORSJÖ</t>
        </is>
      </c>
      <c r="G11518" t="n">
        <v>4.9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43397-2023</t>
        </is>
      </c>
      <c r="B11519" s="1" t="n">
        <v>45183</v>
      </c>
      <c r="C11519" s="1" t="n">
        <v>45357</v>
      </c>
      <c r="D11519" t="inlineStr">
        <is>
          <t>VÄSTERBOTTENS LÄN</t>
        </is>
      </c>
      <c r="E11519" t="inlineStr">
        <is>
          <t>MALÅ</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43401-2023</t>
        </is>
      </c>
      <c r="B11520" s="1" t="n">
        <v>45184</v>
      </c>
      <c r="C11520" s="1" t="n">
        <v>45357</v>
      </c>
      <c r="D11520" t="inlineStr">
        <is>
          <t>VÄSTERBOTTENS LÄN</t>
        </is>
      </c>
      <c r="E11520" t="inlineStr">
        <is>
          <t>ÅSELE</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44187-2023</t>
        </is>
      </c>
      <c r="B11521" s="1" t="n">
        <v>45183</v>
      </c>
      <c r="C11521" s="1" t="n">
        <v>45357</v>
      </c>
      <c r="D11521" t="inlineStr">
        <is>
          <t>VÄSTERBOTTENS LÄN</t>
        </is>
      </c>
      <c r="E11521" t="inlineStr">
        <is>
          <t>BJURHOLM</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44217-2023</t>
        </is>
      </c>
      <c r="B11522" s="1" t="n">
        <v>45183</v>
      </c>
      <c r="C11522" s="1" t="n">
        <v>45357</v>
      </c>
      <c r="D11522" t="inlineStr">
        <is>
          <t>VÄSTERBOTTENS LÄN</t>
        </is>
      </c>
      <c r="E11522" t="inlineStr">
        <is>
          <t>STORUMAN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44198-2023</t>
        </is>
      </c>
      <c r="B11523" s="1" t="n">
        <v>45183</v>
      </c>
      <c r="C11523" s="1" t="n">
        <v>45357</v>
      </c>
      <c r="D11523" t="inlineStr">
        <is>
          <t>VÄSTERBOTTENS LÄN</t>
        </is>
      </c>
      <c r="E11523" t="inlineStr">
        <is>
          <t>BJURHOLM</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44223-2023</t>
        </is>
      </c>
      <c r="B11524" s="1" t="n">
        <v>45183</v>
      </c>
      <c r="C11524" s="1" t="n">
        <v>45357</v>
      </c>
      <c r="D11524" t="inlineStr">
        <is>
          <t>VÄSTERBOTTENS LÄN</t>
        </is>
      </c>
      <c r="E11524" t="inlineStr">
        <is>
          <t>ROBERTSFORS</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43298-2023</t>
        </is>
      </c>
      <c r="B11525" s="1" t="n">
        <v>45183</v>
      </c>
      <c r="C11525" s="1" t="n">
        <v>45357</v>
      </c>
      <c r="D11525" t="inlineStr">
        <is>
          <t>VÄSTERBOTTENS LÄN</t>
        </is>
      </c>
      <c r="E11525" t="inlineStr">
        <is>
          <t>LYCKSELE</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43396-2023</t>
        </is>
      </c>
      <c r="B11526" s="1" t="n">
        <v>45184</v>
      </c>
      <c r="C11526" s="1" t="n">
        <v>45357</v>
      </c>
      <c r="D11526" t="inlineStr">
        <is>
          <t>VÄSTERBOTTENS LÄN</t>
        </is>
      </c>
      <c r="E11526" t="inlineStr">
        <is>
          <t>NORSJÖ</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43394-2023</t>
        </is>
      </c>
      <c r="B11527" s="1" t="n">
        <v>45183</v>
      </c>
      <c r="C11527" s="1" t="n">
        <v>45357</v>
      </c>
      <c r="D11527" t="inlineStr">
        <is>
          <t>VÄSTERBOTTENS LÄN</t>
        </is>
      </c>
      <c r="E11527" t="inlineStr">
        <is>
          <t>MALÅ</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43398-2023</t>
        </is>
      </c>
      <c r="B11528" s="1" t="n">
        <v>45183</v>
      </c>
      <c r="C11528" s="1" t="n">
        <v>45357</v>
      </c>
      <c r="D11528" t="inlineStr">
        <is>
          <t>VÄSTERBOTTENS LÄN</t>
        </is>
      </c>
      <c r="E11528" t="inlineStr">
        <is>
          <t>NORSJÖ</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43426-2023</t>
        </is>
      </c>
      <c r="B11529" s="1" t="n">
        <v>45183</v>
      </c>
      <c r="C11529" s="1" t="n">
        <v>45357</v>
      </c>
      <c r="D11529" t="inlineStr">
        <is>
          <t>VÄSTERBOTTENS LÄN</t>
        </is>
      </c>
      <c r="E11529" t="inlineStr">
        <is>
          <t>NORDMALING</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44195-2023</t>
        </is>
      </c>
      <c r="B11530" s="1" t="n">
        <v>45183</v>
      </c>
      <c r="C11530" s="1" t="n">
        <v>45357</v>
      </c>
      <c r="D11530" t="inlineStr">
        <is>
          <t>VÄSTERBOTTENS LÄN</t>
        </is>
      </c>
      <c r="E11530" t="inlineStr">
        <is>
          <t>BJURHOLM</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44319-2023</t>
        </is>
      </c>
      <c r="B11531" s="1" t="n">
        <v>45183</v>
      </c>
      <c r="C11531" s="1" t="n">
        <v>45357</v>
      </c>
      <c r="D11531" t="inlineStr">
        <is>
          <t>VÄSTERBOTTENS LÄN</t>
        </is>
      </c>
      <c r="E11531" t="inlineStr">
        <is>
          <t>VÄNNÄS</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44203-2023</t>
        </is>
      </c>
      <c r="B11532" s="1" t="n">
        <v>45183</v>
      </c>
      <c r="C11532" s="1" t="n">
        <v>45357</v>
      </c>
      <c r="D11532" t="inlineStr">
        <is>
          <t>VÄSTERBOTTENS LÄN</t>
        </is>
      </c>
      <c r="E11532" t="inlineStr">
        <is>
          <t>STORUMAN</t>
        </is>
      </c>
      <c r="G11532" t="n">
        <v>33.7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44548-2023</t>
        </is>
      </c>
      <c r="B11533" s="1" t="n">
        <v>45183</v>
      </c>
      <c r="C11533" s="1" t="n">
        <v>45357</v>
      </c>
      <c r="D11533" t="inlineStr">
        <is>
          <t>VÄSTERBOTTENS LÄN</t>
        </is>
      </c>
      <c r="E11533" t="inlineStr">
        <is>
          <t>NORDMALING</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43435-2023</t>
        </is>
      </c>
      <c r="B11534" s="1" t="n">
        <v>45184</v>
      </c>
      <c r="C11534" s="1" t="n">
        <v>45357</v>
      </c>
      <c r="D11534" t="inlineStr">
        <is>
          <t>VÄSTERBOTTENS LÄN</t>
        </is>
      </c>
      <c r="E11534" t="inlineStr">
        <is>
          <t>SKELLEFTEÅ</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43439-2023</t>
        </is>
      </c>
      <c r="B11535" s="1" t="n">
        <v>45184</v>
      </c>
      <c r="C11535" s="1" t="n">
        <v>45357</v>
      </c>
      <c r="D11535" t="inlineStr">
        <is>
          <t>VÄSTERBOTTENS LÄN</t>
        </is>
      </c>
      <c r="E11535" t="inlineStr">
        <is>
          <t>SKELLEFTEÅ</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43438-2023</t>
        </is>
      </c>
      <c r="B11536" s="1" t="n">
        <v>45184</v>
      </c>
      <c r="C11536" s="1" t="n">
        <v>45357</v>
      </c>
      <c r="D11536" t="inlineStr">
        <is>
          <t>VÄSTERBOTTENS LÄN</t>
        </is>
      </c>
      <c r="E11536" t="inlineStr">
        <is>
          <t>SKELLEFTEÅ</t>
        </is>
      </c>
      <c r="F11536" t="inlineStr">
        <is>
          <t>Holmen skog AB</t>
        </is>
      </c>
      <c r="G11536" t="n">
        <v>8.199999999999999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43433-2023</t>
        </is>
      </c>
      <c r="B11537" s="1" t="n">
        <v>45184</v>
      </c>
      <c r="C11537" s="1" t="n">
        <v>45357</v>
      </c>
      <c r="D11537" t="inlineStr">
        <is>
          <t>VÄSTERBOTTENS LÄN</t>
        </is>
      </c>
      <c r="E11537" t="inlineStr">
        <is>
          <t>NORSJÖ</t>
        </is>
      </c>
      <c r="F11537" t="inlineStr">
        <is>
          <t>Holmen skog AB</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43458-2023</t>
        </is>
      </c>
      <c r="B11538" s="1" t="n">
        <v>45184</v>
      </c>
      <c r="C11538" s="1" t="n">
        <v>45357</v>
      </c>
      <c r="D11538" t="inlineStr">
        <is>
          <t>VÄSTERBOTTENS LÄN</t>
        </is>
      </c>
      <c r="E11538" t="inlineStr">
        <is>
          <t>STORUMAN</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43459-2023</t>
        </is>
      </c>
      <c r="B11539" s="1" t="n">
        <v>45184</v>
      </c>
      <c r="C11539" s="1" t="n">
        <v>45357</v>
      </c>
      <c r="D11539" t="inlineStr">
        <is>
          <t>VÄSTERBOTTENS LÄN</t>
        </is>
      </c>
      <c r="E11539" t="inlineStr">
        <is>
          <t>VINDELN</t>
        </is>
      </c>
      <c r="F11539" t="inlineStr">
        <is>
          <t>Holmen skog AB</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43496-2023</t>
        </is>
      </c>
      <c r="B11540" s="1" t="n">
        <v>45184</v>
      </c>
      <c r="C11540" s="1" t="n">
        <v>45357</v>
      </c>
      <c r="D11540" t="inlineStr">
        <is>
          <t>VÄSTERBOTTENS LÄN</t>
        </is>
      </c>
      <c r="E11540" t="inlineStr">
        <is>
          <t>LYCKSELE</t>
        </is>
      </c>
      <c r="F11540" t="inlineStr">
        <is>
          <t>Sveaskog</t>
        </is>
      </c>
      <c r="G11540" t="n">
        <v>14.4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43502-2023</t>
        </is>
      </c>
      <c r="B11541" s="1" t="n">
        <v>45184</v>
      </c>
      <c r="C11541" s="1" t="n">
        <v>45357</v>
      </c>
      <c r="D11541" t="inlineStr">
        <is>
          <t>VÄSTERBOTTENS LÄN</t>
        </is>
      </c>
      <c r="E11541" t="inlineStr">
        <is>
          <t>MALÅ</t>
        </is>
      </c>
      <c r="F11541" t="inlineStr">
        <is>
          <t>Sveaskog</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43474-2023</t>
        </is>
      </c>
      <c r="B11542" s="1" t="n">
        <v>45184</v>
      </c>
      <c r="C11542" s="1" t="n">
        <v>45357</v>
      </c>
      <c r="D11542" t="inlineStr">
        <is>
          <t>VÄSTERBOTTENS LÄN</t>
        </is>
      </c>
      <c r="E11542" t="inlineStr">
        <is>
          <t>SKELLEFTEÅ</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43501-2023</t>
        </is>
      </c>
      <c r="B11543" s="1" t="n">
        <v>45184</v>
      </c>
      <c r="C11543" s="1" t="n">
        <v>45357</v>
      </c>
      <c r="D11543" t="inlineStr">
        <is>
          <t>VÄSTERBOTTENS LÄN</t>
        </is>
      </c>
      <c r="E11543" t="inlineStr">
        <is>
          <t>MALÅ</t>
        </is>
      </c>
      <c r="F11543" t="inlineStr">
        <is>
          <t>Sveaskog</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43444-2023</t>
        </is>
      </c>
      <c r="B11544" s="1" t="n">
        <v>45184</v>
      </c>
      <c r="C11544" s="1" t="n">
        <v>45357</v>
      </c>
      <c r="D11544" t="inlineStr">
        <is>
          <t>VÄSTERBOTTENS LÄN</t>
        </is>
      </c>
      <c r="E11544" t="inlineStr">
        <is>
          <t>NORSJÖ</t>
        </is>
      </c>
      <c r="F11544" t="inlineStr">
        <is>
          <t>Holmen skog AB</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43547-2023</t>
        </is>
      </c>
      <c r="B11545" s="1" t="n">
        <v>45184</v>
      </c>
      <c r="C11545" s="1" t="n">
        <v>45357</v>
      </c>
      <c r="D11545" t="inlineStr">
        <is>
          <t>VÄSTERBOTTENS LÄN</t>
        </is>
      </c>
      <c r="E11545" t="inlineStr">
        <is>
          <t>ROBERTSFORS</t>
        </is>
      </c>
      <c r="F11545" t="inlineStr">
        <is>
          <t>Holmen skog AB</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43614-2023</t>
        </is>
      </c>
      <c r="B11546" s="1" t="n">
        <v>45184</v>
      </c>
      <c r="C11546" s="1" t="n">
        <v>45357</v>
      </c>
      <c r="D11546" t="inlineStr">
        <is>
          <t>VÄSTERBOTTENS LÄN</t>
        </is>
      </c>
      <c r="E11546" t="inlineStr">
        <is>
          <t>LYCKSELE</t>
        </is>
      </c>
      <c r="F11546" t="inlineStr">
        <is>
          <t>Sveaskog</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44626-2023</t>
        </is>
      </c>
      <c r="B11547" s="1" t="n">
        <v>45184</v>
      </c>
      <c r="C11547" s="1" t="n">
        <v>45357</v>
      </c>
      <c r="D11547" t="inlineStr">
        <is>
          <t>VÄSTERBOTTENS LÄN</t>
        </is>
      </c>
      <c r="E11547" t="inlineStr">
        <is>
          <t>MALÅ</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44748-2023</t>
        </is>
      </c>
      <c r="B11548" s="1" t="n">
        <v>45184</v>
      </c>
      <c r="C11548" s="1" t="n">
        <v>45357</v>
      </c>
      <c r="D11548" t="inlineStr">
        <is>
          <t>VÄSTERBOTTENS LÄN</t>
        </is>
      </c>
      <c r="E11548" t="inlineStr">
        <is>
          <t>NORSJÖ</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43561-2023</t>
        </is>
      </c>
      <c r="B11549" s="1" t="n">
        <v>45184</v>
      </c>
      <c r="C11549" s="1" t="n">
        <v>45357</v>
      </c>
      <c r="D11549" t="inlineStr">
        <is>
          <t>VÄSTERBOTTENS LÄN</t>
        </is>
      </c>
      <c r="E11549" t="inlineStr">
        <is>
          <t>LYCKSELE</t>
        </is>
      </c>
      <c r="F11549" t="inlineStr">
        <is>
          <t>Holmen skog AB</t>
        </is>
      </c>
      <c r="G11549" t="n">
        <v>5.5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43567-2023</t>
        </is>
      </c>
      <c r="B11550" s="1" t="n">
        <v>45184</v>
      </c>
      <c r="C11550" s="1" t="n">
        <v>45357</v>
      </c>
      <c r="D11550" t="inlineStr">
        <is>
          <t>VÄSTERBOTTENS LÄN</t>
        </is>
      </c>
      <c r="E11550" t="inlineStr">
        <is>
          <t>ROBERTSFORS</t>
        </is>
      </c>
      <c r="F11550" t="inlineStr">
        <is>
          <t>Holmen skog AB</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43573-2023</t>
        </is>
      </c>
      <c r="B11551" s="1" t="n">
        <v>45184</v>
      </c>
      <c r="C11551" s="1" t="n">
        <v>45357</v>
      </c>
      <c r="D11551" t="inlineStr">
        <is>
          <t>VÄSTERBOTTENS LÄN</t>
        </is>
      </c>
      <c r="E11551" t="inlineStr">
        <is>
          <t>ROBERTSFORS</t>
        </is>
      </c>
      <c r="F11551" t="inlineStr">
        <is>
          <t>Holmen skog AB</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43578-2023</t>
        </is>
      </c>
      <c r="B11552" s="1" t="n">
        <v>45184</v>
      </c>
      <c r="C11552" s="1" t="n">
        <v>45357</v>
      </c>
      <c r="D11552" t="inlineStr">
        <is>
          <t>VÄSTERBOTTENS LÄN</t>
        </is>
      </c>
      <c r="E11552" t="inlineStr">
        <is>
          <t>SKELLEFTEÅ</t>
        </is>
      </c>
      <c r="F11552" t="inlineStr">
        <is>
          <t>Holmen skog AB</t>
        </is>
      </c>
      <c r="G11552" t="n">
        <v>14.7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43630-2023</t>
        </is>
      </c>
      <c r="B11553" s="1" t="n">
        <v>45184</v>
      </c>
      <c r="C11553" s="1" t="n">
        <v>45357</v>
      </c>
      <c r="D11553" t="inlineStr">
        <is>
          <t>VÄSTERBOTTENS LÄN</t>
        </is>
      </c>
      <c r="E11553" t="inlineStr">
        <is>
          <t>NORSJÖ</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44622-2023</t>
        </is>
      </c>
      <c r="B11554" s="1" t="n">
        <v>45184</v>
      </c>
      <c r="C11554" s="1" t="n">
        <v>45357</v>
      </c>
      <c r="D11554" t="inlineStr">
        <is>
          <t>VÄSTERBOTTENS LÄN</t>
        </is>
      </c>
      <c r="E11554" t="inlineStr">
        <is>
          <t>NORSJÖ</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44759-2023</t>
        </is>
      </c>
      <c r="B11555" s="1" t="n">
        <v>45184</v>
      </c>
      <c r="C11555" s="1" t="n">
        <v>45357</v>
      </c>
      <c r="D11555" t="inlineStr">
        <is>
          <t>VÄSTERBOTTENS LÄN</t>
        </is>
      </c>
      <c r="E11555" t="inlineStr">
        <is>
          <t>MALÅ</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44651-2023</t>
        </is>
      </c>
      <c r="B11556" s="1" t="n">
        <v>45184</v>
      </c>
      <c r="C11556" s="1" t="n">
        <v>45357</v>
      </c>
      <c r="D11556" t="inlineStr">
        <is>
          <t>VÄSTERBOTTENS LÄN</t>
        </is>
      </c>
      <c r="E11556" t="inlineStr">
        <is>
          <t>ROBERTSFORS</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43631-2023</t>
        </is>
      </c>
      <c r="B11557" s="1" t="n">
        <v>45185</v>
      </c>
      <c r="C11557" s="1" t="n">
        <v>45357</v>
      </c>
      <c r="D11557" t="inlineStr">
        <is>
          <t>VÄSTERBOTTENS LÄN</t>
        </is>
      </c>
      <c r="E11557" t="inlineStr">
        <is>
          <t>SKELLEFTEÅ</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43637-2023</t>
        </is>
      </c>
      <c r="B11558" s="1" t="n">
        <v>45186</v>
      </c>
      <c r="C11558" s="1" t="n">
        <v>45357</v>
      </c>
      <c r="D11558" t="inlineStr">
        <is>
          <t>VÄSTERBOTTENS LÄN</t>
        </is>
      </c>
      <c r="E11558" t="inlineStr">
        <is>
          <t>VILHELMINA</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43636-2023</t>
        </is>
      </c>
      <c r="B11559" s="1" t="n">
        <v>45186</v>
      </c>
      <c r="C11559" s="1" t="n">
        <v>45357</v>
      </c>
      <c r="D11559" t="inlineStr">
        <is>
          <t>VÄSTERBOTTENS LÄN</t>
        </is>
      </c>
      <c r="E11559" t="inlineStr">
        <is>
          <t>LYCKSELE</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43649-2023</t>
        </is>
      </c>
      <c r="B11560" s="1" t="n">
        <v>45187</v>
      </c>
      <c r="C11560" s="1" t="n">
        <v>45357</v>
      </c>
      <c r="D11560" t="inlineStr">
        <is>
          <t>VÄSTERBOTTENS LÄN</t>
        </is>
      </c>
      <c r="E11560" t="inlineStr">
        <is>
          <t>ROBERTSFORS</t>
        </is>
      </c>
      <c r="F11560" t="inlineStr">
        <is>
          <t>Holmen skog AB</t>
        </is>
      </c>
      <c r="G11560" t="n">
        <v>7.2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43751-2023</t>
        </is>
      </c>
      <c r="B11561" s="1" t="n">
        <v>45187</v>
      </c>
      <c r="C11561" s="1" t="n">
        <v>45357</v>
      </c>
      <c r="D11561" t="inlineStr">
        <is>
          <t>VÄSTERBOTTENS LÄN</t>
        </is>
      </c>
      <c r="E11561" t="inlineStr">
        <is>
          <t>SKELLEFTEÅ</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43647-2023</t>
        </is>
      </c>
      <c r="B11562" s="1" t="n">
        <v>45187</v>
      </c>
      <c r="C11562" s="1" t="n">
        <v>45357</v>
      </c>
      <c r="D11562" t="inlineStr">
        <is>
          <t>VÄSTERBOTTENS LÄN</t>
        </is>
      </c>
      <c r="E11562" t="inlineStr">
        <is>
          <t>ROBERTSFORS</t>
        </is>
      </c>
      <c r="F11562" t="inlineStr">
        <is>
          <t>Holmen skog AB</t>
        </is>
      </c>
      <c r="G11562" t="n">
        <v>6.1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43651-2023</t>
        </is>
      </c>
      <c r="B11563" s="1" t="n">
        <v>45187</v>
      </c>
      <c r="C11563" s="1" t="n">
        <v>45357</v>
      </c>
      <c r="D11563" t="inlineStr">
        <is>
          <t>VÄSTERBOTTENS LÄN</t>
        </is>
      </c>
      <c r="E11563" t="inlineStr">
        <is>
          <t>NORDMALING</t>
        </is>
      </c>
      <c r="G11563" t="n">
        <v>5.5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43671-2023</t>
        </is>
      </c>
      <c r="B11564" s="1" t="n">
        <v>45187</v>
      </c>
      <c r="C11564" s="1" t="n">
        <v>45357</v>
      </c>
      <c r="D11564" t="inlineStr">
        <is>
          <t>VÄSTERBOTTENS LÄN</t>
        </is>
      </c>
      <c r="E11564" t="inlineStr">
        <is>
          <t>LYCKSELE</t>
        </is>
      </c>
      <c r="F11564" t="inlineStr">
        <is>
          <t>Holmen skog AB</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43687-2023</t>
        </is>
      </c>
      <c r="B11565" s="1" t="n">
        <v>45187</v>
      </c>
      <c r="C11565" s="1" t="n">
        <v>45357</v>
      </c>
      <c r="D11565" t="inlineStr">
        <is>
          <t>VÄSTERBOTTENS LÄN</t>
        </is>
      </c>
      <c r="E11565" t="inlineStr">
        <is>
          <t>VINDELN</t>
        </is>
      </c>
      <c r="F11565" t="inlineStr">
        <is>
          <t>Holmen skog AB</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43865-2023</t>
        </is>
      </c>
      <c r="B11566" s="1" t="n">
        <v>45187</v>
      </c>
      <c r="C11566" s="1" t="n">
        <v>45357</v>
      </c>
      <c r="D11566" t="inlineStr">
        <is>
          <t>VÄSTERBOTTENS LÄN</t>
        </is>
      </c>
      <c r="E11566" t="inlineStr">
        <is>
          <t>VINDELN</t>
        </is>
      </c>
      <c r="F11566" t="inlineStr">
        <is>
          <t>Sveaskog</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43878-2023</t>
        </is>
      </c>
      <c r="B11567" s="1" t="n">
        <v>45187</v>
      </c>
      <c r="C11567" s="1" t="n">
        <v>45357</v>
      </c>
      <c r="D11567" t="inlineStr">
        <is>
          <t>VÄSTERBOTTENS LÄN</t>
        </is>
      </c>
      <c r="E11567" t="inlineStr">
        <is>
          <t>LYCKSELE</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43727-2023</t>
        </is>
      </c>
      <c r="B11568" s="1" t="n">
        <v>45187</v>
      </c>
      <c r="C11568" s="1" t="n">
        <v>45357</v>
      </c>
      <c r="D11568" t="inlineStr">
        <is>
          <t>VÄSTERBOTTENS LÄN</t>
        </is>
      </c>
      <c r="E11568" t="inlineStr">
        <is>
          <t>LYCKSELE</t>
        </is>
      </c>
      <c r="F11568" t="inlineStr">
        <is>
          <t>Sveaskog</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43763-2023</t>
        </is>
      </c>
      <c r="B11569" s="1" t="n">
        <v>45187</v>
      </c>
      <c r="C11569" s="1" t="n">
        <v>45357</v>
      </c>
      <c r="D11569" t="inlineStr">
        <is>
          <t>VÄSTERBOTTENS LÄN</t>
        </is>
      </c>
      <c r="E11569" t="inlineStr">
        <is>
          <t>ÅSELE</t>
        </is>
      </c>
      <c r="G11569" t="n">
        <v>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43948-2023</t>
        </is>
      </c>
      <c r="B11570" s="1" t="n">
        <v>45187</v>
      </c>
      <c r="C11570" s="1" t="n">
        <v>45357</v>
      </c>
      <c r="D11570" t="inlineStr">
        <is>
          <t>VÄSTERBOTTENS LÄN</t>
        </is>
      </c>
      <c r="E11570" t="inlineStr">
        <is>
          <t>VILHELMINA</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43952-2023</t>
        </is>
      </c>
      <c r="B11571" s="1" t="n">
        <v>45187</v>
      </c>
      <c r="C11571" s="1" t="n">
        <v>45357</v>
      </c>
      <c r="D11571" t="inlineStr">
        <is>
          <t>VÄSTERBOTTENS LÄN</t>
        </is>
      </c>
      <c r="E11571" t="inlineStr">
        <is>
          <t>MALÅ</t>
        </is>
      </c>
      <c r="F11571" t="inlineStr">
        <is>
          <t>SCA</t>
        </is>
      </c>
      <c r="G11571" t="n">
        <v>11.5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43768-2023</t>
        </is>
      </c>
      <c r="B11572" s="1" t="n">
        <v>45187</v>
      </c>
      <c r="C11572" s="1" t="n">
        <v>45357</v>
      </c>
      <c r="D11572" t="inlineStr">
        <is>
          <t>VÄSTERBOTTENS LÄN</t>
        </is>
      </c>
      <c r="E11572" t="inlineStr">
        <is>
          <t>ÅSELE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43686-2023</t>
        </is>
      </c>
      <c r="B11573" s="1" t="n">
        <v>45187</v>
      </c>
      <c r="C11573" s="1" t="n">
        <v>45357</v>
      </c>
      <c r="D11573" t="inlineStr">
        <is>
          <t>VÄSTERBOTTENS LÄN</t>
        </is>
      </c>
      <c r="E11573" t="inlineStr">
        <is>
          <t>SKELLEFTEÅ</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43702-2023</t>
        </is>
      </c>
      <c r="B11574" s="1" t="n">
        <v>45187</v>
      </c>
      <c r="C11574" s="1" t="n">
        <v>45357</v>
      </c>
      <c r="D11574" t="inlineStr">
        <is>
          <t>VÄSTERBOTTENS LÄN</t>
        </is>
      </c>
      <c r="E11574" t="inlineStr">
        <is>
          <t>LYCKSELE</t>
        </is>
      </c>
      <c r="F11574" t="inlineStr">
        <is>
          <t>Sveaskog</t>
        </is>
      </c>
      <c r="G11574" t="n">
        <v>9.6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43875-2023</t>
        </is>
      </c>
      <c r="B11575" s="1" t="n">
        <v>45187</v>
      </c>
      <c r="C11575" s="1" t="n">
        <v>45357</v>
      </c>
      <c r="D11575" t="inlineStr">
        <is>
          <t>VÄSTERBOTTENS LÄN</t>
        </is>
      </c>
      <c r="E11575" t="inlineStr">
        <is>
          <t>LYCKSELE</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43945-2023</t>
        </is>
      </c>
      <c r="B11576" s="1" t="n">
        <v>45187</v>
      </c>
      <c r="C11576" s="1" t="n">
        <v>45357</v>
      </c>
      <c r="D11576" t="inlineStr">
        <is>
          <t>VÄSTERBOTTENS LÄN</t>
        </is>
      </c>
      <c r="E11576" t="inlineStr">
        <is>
          <t>VINDELN</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43949-2023</t>
        </is>
      </c>
      <c r="B11577" s="1" t="n">
        <v>45188</v>
      </c>
      <c r="C11577" s="1" t="n">
        <v>45357</v>
      </c>
      <c r="D11577" t="inlineStr">
        <is>
          <t>VÄSTERBOTTENS LÄN</t>
        </is>
      </c>
      <c r="E11577" t="inlineStr">
        <is>
          <t>DOROTEA</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43973-2023</t>
        </is>
      </c>
      <c r="B11578" s="1" t="n">
        <v>45187</v>
      </c>
      <c r="C11578" s="1" t="n">
        <v>45357</v>
      </c>
      <c r="D11578" t="inlineStr">
        <is>
          <t>VÄSTERBOTTENS LÄN</t>
        </is>
      </c>
      <c r="E11578" t="inlineStr">
        <is>
          <t>LYCKSELE</t>
        </is>
      </c>
      <c r="F11578" t="inlineStr">
        <is>
          <t>SCA</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43992-2023</t>
        </is>
      </c>
      <c r="B11579" s="1" t="n">
        <v>45187</v>
      </c>
      <c r="C11579" s="1" t="n">
        <v>45357</v>
      </c>
      <c r="D11579" t="inlineStr">
        <is>
          <t>VÄSTERBOTTENS LÄN</t>
        </is>
      </c>
      <c r="E11579" t="inlineStr">
        <is>
          <t>BJURHOLM</t>
        </is>
      </c>
      <c r="F11579" t="inlineStr">
        <is>
          <t>SCA</t>
        </is>
      </c>
      <c r="G11579" t="n">
        <v>10.9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44946-2023</t>
        </is>
      </c>
      <c r="B11580" s="1" t="n">
        <v>45187</v>
      </c>
      <c r="C11580" s="1" t="n">
        <v>45357</v>
      </c>
      <c r="D11580" t="inlineStr">
        <is>
          <t>VÄSTERBOTTENS LÄN</t>
        </is>
      </c>
      <c r="E11580" t="inlineStr">
        <is>
          <t>NORDMALING</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44936-2023</t>
        </is>
      </c>
      <c r="B11581" s="1" t="n">
        <v>45187</v>
      </c>
      <c r="C11581" s="1" t="n">
        <v>45357</v>
      </c>
      <c r="D11581" t="inlineStr">
        <is>
          <t>VÄSTERBOTTENS LÄN</t>
        </is>
      </c>
      <c r="E11581" t="inlineStr">
        <is>
          <t>NORDMALING</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44950-2023</t>
        </is>
      </c>
      <c r="B11582" s="1" t="n">
        <v>45187</v>
      </c>
      <c r="C11582" s="1" t="n">
        <v>45357</v>
      </c>
      <c r="D11582" t="inlineStr">
        <is>
          <t>VÄSTERBOTTENS LÄN</t>
        </is>
      </c>
      <c r="E11582" t="inlineStr">
        <is>
          <t>NORDMALING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44915-2023</t>
        </is>
      </c>
      <c r="B11583" s="1" t="n">
        <v>45187</v>
      </c>
      <c r="C11583" s="1" t="n">
        <v>45357</v>
      </c>
      <c r="D11583" t="inlineStr">
        <is>
          <t>VÄSTERBOTTENS LÄN</t>
        </is>
      </c>
      <c r="E11583" t="inlineStr">
        <is>
          <t>NORDMALING</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44909-2023</t>
        </is>
      </c>
      <c r="B11584" s="1" t="n">
        <v>45187</v>
      </c>
      <c r="C11584" s="1" t="n">
        <v>45357</v>
      </c>
      <c r="D11584" t="inlineStr">
        <is>
          <t>VÄSTERBOTTENS LÄN</t>
        </is>
      </c>
      <c r="E11584" t="inlineStr">
        <is>
          <t>NORDMALING</t>
        </is>
      </c>
      <c r="G11584" t="n">
        <v>6.9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45079-2023</t>
        </is>
      </c>
      <c r="B11585" s="1" t="n">
        <v>45187</v>
      </c>
      <c r="C11585" s="1" t="n">
        <v>45357</v>
      </c>
      <c r="D11585" t="inlineStr">
        <is>
          <t>VÄSTERBOTTENS LÄN</t>
        </is>
      </c>
      <c r="E11585" t="inlineStr">
        <is>
          <t>SKELLEFTEÅ</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45227-2023</t>
        </is>
      </c>
      <c r="B11586" s="1" t="n">
        <v>45187</v>
      </c>
      <c r="C11586" s="1" t="n">
        <v>45357</v>
      </c>
      <c r="D11586" t="inlineStr">
        <is>
          <t>VÄSTERBOTTENS LÄN</t>
        </is>
      </c>
      <c r="E11586" t="inlineStr">
        <is>
          <t>NORDMALING</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43975-2023</t>
        </is>
      </c>
      <c r="B11587" s="1" t="n">
        <v>45187</v>
      </c>
      <c r="C11587" s="1" t="n">
        <v>45357</v>
      </c>
      <c r="D11587" t="inlineStr">
        <is>
          <t>VÄSTERBOTTENS LÄN</t>
        </is>
      </c>
      <c r="E11587" t="inlineStr">
        <is>
          <t>MALÅ</t>
        </is>
      </c>
      <c r="F11587" t="inlineStr">
        <is>
          <t>SCA</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45126-2023</t>
        </is>
      </c>
      <c r="B11588" s="1" t="n">
        <v>45187</v>
      </c>
      <c r="C11588" s="1" t="n">
        <v>45357</v>
      </c>
      <c r="D11588" t="inlineStr">
        <is>
          <t>VÄSTERBOTTENS LÄN</t>
        </is>
      </c>
      <c r="E11588" t="inlineStr">
        <is>
          <t>VÄNNÄS</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45198-2023</t>
        </is>
      </c>
      <c r="B11589" s="1" t="n">
        <v>45187</v>
      </c>
      <c r="C11589" s="1" t="n">
        <v>45357</v>
      </c>
      <c r="D11589" t="inlineStr">
        <is>
          <t>VÄSTERBOTTENS LÄN</t>
        </is>
      </c>
      <c r="E11589" t="inlineStr">
        <is>
          <t>ÅSELE</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44310-2023</t>
        </is>
      </c>
      <c r="B11590" s="1" t="n">
        <v>45187</v>
      </c>
      <c r="C11590" s="1" t="n">
        <v>45357</v>
      </c>
      <c r="D11590" t="inlineStr">
        <is>
          <t>VÄSTERBOTTENS LÄN</t>
        </is>
      </c>
      <c r="E11590" t="inlineStr">
        <is>
          <t>NORSJÖ</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44899-2023</t>
        </is>
      </c>
      <c r="B11591" s="1" t="n">
        <v>45187</v>
      </c>
      <c r="C11591" s="1" t="n">
        <v>45357</v>
      </c>
      <c r="D11591" t="inlineStr">
        <is>
          <t>VÄSTERBOTTENS LÄN</t>
        </is>
      </c>
      <c r="E11591" t="inlineStr">
        <is>
          <t>NORDMALING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44955-2023</t>
        </is>
      </c>
      <c r="B11592" s="1" t="n">
        <v>45187</v>
      </c>
      <c r="C11592" s="1" t="n">
        <v>45357</v>
      </c>
      <c r="D11592" t="inlineStr">
        <is>
          <t>VÄSTERBOTTENS LÄN</t>
        </is>
      </c>
      <c r="E11592" t="inlineStr">
        <is>
          <t>NORDMALING</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44932-2023</t>
        </is>
      </c>
      <c r="B11593" s="1" t="n">
        <v>45187</v>
      </c>
      <c r="C11593" s="1" t="n">
        <v>45357</v>
      </c>
      <c r="D11593" t="inlineStr">
        <is>
          <t>VÄSTERBOTTENS LÄN</t>
        </is>
      </c>
      <c r="E11593" t="inlineStr">
        <is>
          <t>NORDMALING</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44942-2023</t>
        </is>
      </c>
      <c r="B11594" s="1" t="n">
        <v>45187</v>
      </c>
      <c r="C11594" s="1" t="n">
        <v>45357</v>
      </c>
      <c r="D11594" t="inlineStr">
        <is>
          <t>VÄSTERBOTTENS LÄN</t>
        </is>
      </c>
      <c r="E11594" t="inlineStr">
        <is>
          <t>NORDMALING</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45219-2023</t>
        </is>
      </c>
      <c r="B11595" s="1" t="n">
        <v>45187</v>
      </c>
      <c r="C11595" s="1" t="n">
        <v>45357</v>
      </c>
      <c r="D11595" t="inlineStr">
        <is>
          <t>VÄSTERBOTTENS LÄN</t>
        </is>
      </c>
      <c r="E11595" t="inlineStr">
        <is>
          <t>VILHELMINA</t>
        </is>
      </c>
      <c r="G11595" t="n">
        <v>10.6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43990-2023</t>
        </is>
      </c>
      <c r="B11596" s="1" t="n">
        <v>45188</v>
      </c>
      <c r="C11596" s="1" t="n">
        <v>45357</v>
      </c>
      <c r="D11596" t="inlineStr">
        <is>
          <t>VÄSTERBOTTENS LÄN</t>
        </is>
      </c>
      <c r="E11596" t="inlineStr">
        <is>
          <t>VILHELMINA</t>
        </is>
      </c>
      <c r="F11596" t="inlineStr">
        <is>
          <t>SCA</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43974-2023</t>
        </is>
      </c>
      <c r="B11597" s="1" t="n">
        <v>45187</v>
      </c>
      <c r="C11597" s="1" t="n">
        <v>45357</v>
      </c>
      <c r="D11597" t="inlineStr">
        <is>
          <t>VÄSTERBOTTENS LÄN</t>
        </is>
      </c>
      <c r="E11597" t="inlineStr">
        <is>
          <t>MALÅ</t>
        </is>
      </c>
      <c r="F11597" t="inlineStr">
        <is>
          <t>SCA</t>
        </is>
      </c>
      <c r="G11597" t="n">
        <v>14.1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44952-2023</t>
        </is>
      </c>
      <c r="B11598" s="1" t="n">
        <v>45187</v>
      </c>
      <c r="C11598" s="1" t="n">
        <v>45357</v>
      </c>
      <c r="D11598" t="inlineStr">
        <is>
          <t>VÄSTERBOTTENS LÄN</t>
        </is>
      </c>
      <c r="E11598" t="inlineStr">
        <is>
          <t>NORDMALING</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44924-2023</t>
        </is>
      </c>
      <c r="B11599" s="1" t="n">
        <v>45187</v>
      </c>
      <c r="C11599" s="1" t="n">
        <v>45357</v>
      </c>
      <c r="D11599" t="inlineStr">
        <is>
          <t>VÄSTERBOTTENS LÄN</t>
        </is>
      </c>
      <c r="E11599" t="inlineStr">
        <is>
          <t>NORDMALING</t>
        </is>
      </c>
      <c r="G11599" t="n">
        <v>5.8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44939-2023</t>
        </is>
      </c>
      <c r="B11600" s="1" t="n">
        <v>45187</v>
      </c>
      <c r="C11600" s="1" t="n">
        <v>45357</v>
      </c>
      <c r="D11600" t="inlineStr">
        <is>
          <t>VÄSTERBOTTENS LÄN</t>
        </is>
      </c>
      <c r="E11600" t="inlineStr">
        <is>
          <t>NORDMALING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45215-2023</t>
        </is>
      </c>
      <c r="B11601" s="1" t="n">
        <v>45187</v>
      </c>
      <c r="C11601" s="1" t="n">
        <v>45357</v>
      </c>
      <c r="D11601" t="inlineStr">
        <is>
          <t>VÄSTERBOTTENS LÄN</t>
        </is>
      </c>
      <c r="E11601" t="inlineStr">
        <is>
          <t>VILHELMINA</t>
        </is>
      </c>
      <c r="F11601" t="inlineStr">
        <is>
          <t>Kommuner</t>
        </is>
      </c>
      <c r="G11601" t="n">
        <v>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44029-2023</t>
        </is>
      </c>
      <c r="B11602" s="1" t="n">
        <v>45188</v>
      </c>
      <c r="C11602" s="1" t="n">
        <v>45357</v>
      </c>
      <c r="D11602" t="inlineStr">
        <is>
          <t>VÄSTERBOTTENS LÄN</t>
        </is>
      </c>
      <c r="E11602" t="inlineStr">
        <is>
          <t>ÅSELE</t>
        </is>
      </c>
      <c r="F11602" t="inlineStr">
        <is>
          <t>Sveaskog</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44008-2023</t>
        </is>
      </c>
      <c r="B11603" s="1" t="n">
        <v>45188</v>
      </c>
      <c r="C11603" s="1" t="n">
        <v>45357</v>
      </c>
      <c r="D11603" t="inlineStr">
        <is>
          <t>VÄSTERBOTTENS LÄN</t>
        </is>
      </c>
      <c r="E11603" t="inlineStr">
        <is>
          <t>UMEÅ</t>
        </is>
      </c>
      <c r="F11603" t="inlineStr">
        <is>
          <t>Holmen skog AB</t>
        </is>
      </c>
      <c r="G11603" t="n">
        <v>4.8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44026-2023</t>
        </is>
      </c>
      <c r="B11604" s="1" t="n">
        <v>45188</v>
      </c>
      <c r="C11604" s="1" t="n">
        <v>45357</v>
      </c>
      <c r="D11604" t="inlineStr">
        <is>
          <t>VÄSTERBOTTENS LÄN</t>
        </is>
      </c>
      <c r="E11604" t="inlineStr">
        <is>
          <t>ÅSELE</t>
        </is>
      </c>
      <c r="F11604" t="inlineStr">
        <is>
          <t>Sveaskog</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44140-2023</t>
        </is>
      </c>
      <c r="B11605" s="1" t="n">
        <v>45188</v>
      </c>
      <c r="C11605" s="1" t="n">
        <v>45357</v>
      </c>
      <c r="D11605" t="inlineStr">
        <is>
          <t>VÄSTERBOTTENS LÄN</t>
        </is>
      </c>
      <c r="E11605" t="inlineStr">
        <is>
          <t>VÄNNÄS</t>
        </is>
      </c>
      <c r="G11605" t="n">
        <v>0.2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44145-2023</t>
        </is>
      </c>
      <c r="B11606" s="1" t="n">
        <v>45188</v>
      </c>
      <c r="C11606" s="1" t="n">
        <v>45357</v>
      </c>
      <c r="D11606" t="inlineStr">
        <is>
          <t>VÄSTERBOTTENS LÄN</t>
        </is>
      </c>
      <c r="E11606" t="inlineStr">
        <is>
          <t>SKELLEFTEÅ</t>
        </is>
      </c>
      <c r="G11606" t="n">
        <v>15.1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44171-2023</t>
        </is>
      </c>
      <c r="B11607" s="1" t="n">
        <v>45188</v>
      </c>
      <c r="C11607" s="1" t="n">
        <v>45357</v>
      </c>
      <c r="D11607" t="inlineStr">
        <is>
          <t>VÄSTERBOTTENS LÄN</t>
        </is>
      </c>
      <c r="E11607" t="inlineStr">
        <is>
          <t>BJURHOLM</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44225-2023</t>
        </is>
      </c>
      <c r="B11608" s="1" t="n">
        <v>45188</v>
      </c>
      <c r="C11608" s="1" t="n">
        <v>45357</v>
      </c>
      <c r="D11608" t="inlineStr">
        <is>
          <t>VÄSTERBOTTENS LÄN</t>
        </is>
      </c>
      <c r="E11608" t="inlineStr">
        <is>
          <t>SKELLEFTEÅ</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44175-2023</t>
        </is>
      </c>
      <c r="B11609" s="1" t="n">
        <v>45188</v>
      </c>
      <c r="C11609" s="1" t="n">
        <v>45357</v>
      </c>
      <c r="D11609" t="inlineStr">
        <is>
          <t>VÄSTERBOTTENS LÄN</t>
        </is>
      </c>
      <c r="E11609" t="inlineStr">
        <is>
          <t>BJURHOLM</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44256-2023</t>
        </is>
      </c>
      <c r="B11610" s="1" t="n">
        <v>45188</v>
      </c>
      <c r="C11610" s="1" t="n">
        <v>45357</v>
      </c>
      <c r="D11610" t="inlineStr">
        <is>
          <t>VÄSTERBOTTENS LÄN</t>
        </is>
      </c>
      <c r="E11610" t="inlineStr">
        <is>
          <t>VINDELN</t>
        </is>
      </c>
      <c r="F11610" t="inlineStr">
        <is>
          <t>Holmen skog AB</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44078-2023</t>
        </is>
      </c>
      <c r="B11611" s="1" t="n">
        <v>45188</v>
      </c>
      <c r="C11611" s="1" t="n">
        <v>45357</v>
      </c>
      <c r="D11611" t="inlineStr">
        <is>
          <t>VÄSTERBOTTENS LÄN</t>
        </is>
      </c>
      <c r="E11611" t="inlineStr">
        <is>
          <t>SKELLEFTEÅ</t>
        </is>
      </c>
      <c r="F11611" t="inlineStr">
        <is>
          <t>Holmen skog AB</t>
        </is>
      </c>
      <c r="G11611" t="n">
        <v>13.7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44250-2023</t>
        </is>
      </c>
      <c r="B11612" s="1" t="n">
        <v>45188</v>
      </c>
      <c r="C11612" s="1" t="n">
        <v>45357</v>
      </c>
      <c r="D11612" t="inlineStr">
        <is>
          <t>VÄSTERBOTTENS LÄN</t>
        </is>
      </c>
      <c r="E11612" t="inlineStr">
        <is>
          <t>SKELLEFTEÅ</t>
        </is>
      </c>
      <c r="G11612" t="n">
        <v>7.5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44259-2023</t>
        </is>
      </c>
      <c r="B11613" s="1" t="n">
        <v>45188</v>
      </c>
      <c r="C11613" s="1" t="n">
        <v>45357</v>
      </c>
      <c r="D11613" t="inlineStr">
        <is>
          <t>VÄSTERBOTTENS LÄN</t>
        </is>
      </c>
      <c r="E11613" t="inlineStr">
        <is>
          <t>VINDELN</t>
        </is>
      </c>
      <c r="F11613" t="inlineStr">
        <is>
          <t>Holmen skog AB</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44263-2023</t>
        </is>
      </c>
      <c r="B11614" s="1" t="n">
        <v>45188</v>
      </c>
      <c r="C11614" s="1" t="n">
        <v>45357</v>
      </c>
      <c r="D11614" t="inlineStr">
        <is>
          <t>VÄSTERBOTTENS LÄN</t>
        </is>
      </c>
      <c r="E11614" t="inlineStr">
        <is>
          <t>SKELLEFTEÅ</t>
        </is>
      </c>
      <c r="F11614" t="inlineStr">
        <is>
          <t>Holmen skog AB</t>
        </is>
      </c>
      <c r="G11614" t="n">
        <v>9.300000000000001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44296-2023</t>
        </is>
      </c>
      <c r="B11615" s="1" t="n">
        <v>45188</v>
      </c>
      <c r="C11615" s="1" t="n">
        <v>45357</v>
      </c>
      <c r="D11615" t="inlineStr">
        <is>
          <t>VÄSTERBOTTENS LÄN</t>
        </is>
      </c>
      <c r="E11615" t="inlineStr">
        <is>
          <t>SKELLEFTEÅ</t>
        </is>
      </c>
      <c r="F11615" t="inlineStr">
        <is>
          <t>Holmen skog AB</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44301-2023</t>
        </is>
      </c>
      <c r="B11616" s="1" t="n">
        <v>45188</v>
      </c>
      <c r="C11616" s="1" t="n">
        <v>45357</v>
      </c>
      <c r="D11616" t="inlineStr">
        <is>
          <t>VÄSTERBOTTENS LÄN</t>
        </is>
      </c>
      <c r="E11616" t="inlineStr">
        <is>
          <t>SKELLEFTEÅ</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44138-2023</t>
        </is>
      </c>
      <c r="B11617" s="1" t="n">
        <v>45188</v>
      </c>
      <c r="C11617" s="1" t="n">
        <v>45357</v>
      </c>
      <c r="D11617" t="inlineStr">
        <is>
          <t>VÄSTERBOTTENS LÄN</t>
        </is>
      </c>
      <c r="E11617" t="inlineStr">
        <is>
          <t>MALÅ</t>
        </is>
      </c>
      <c r="F11617" t="inlineStr">
        <is>
          <t>Sveaskog</t>
        </is>
      </c>
      <c r="G11617" t="n">
        <v>13.6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44184-2023</t>
        </is>
      </c>
      <c r="B11618" s="1" t="n">
        <v>45188</v>
      </c>
      <c r="C11618" s="1" t="n">
        <v>45357</v>
      </c>
      <c r="D11618" t="inlineStr">
        <is>
          <t>VÄSTERBOTTENS LÄN</t>
        </is>
      </c>
      <c r="E11618" t="inlineStr">
        <is>
          <t>BJURHOLM</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44279-2023</t>
        </is>
      </c>
      <c r="B11619" s="1" t="n">
        <v>45188</v>
      </c>
      <c r="C11619" s="1" t="n">
        <v>45357</v>
      </c>
      <c r="D11619" t="inlineStr">
        <is>
          <t>VÄSTERBOTTENS LÄN</t>
        </is>
      </c>
      <c r="E11619" t="inlineStr">
        <is>
          <t>UMEÅ</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44295-2023</t>
        </is>
      </c>
      <c r="B11620" s="1" t="n">
        <v>45188</v>
      </c>
      <c r="C11620" s="1" t="n">
        <v>45357</v>
      </c>
      <c r="D11620" t="inlineStr">
        <is>
          <t>VÄSTERBOTTENS LÄN</t>
        </is>
      </c>
      <c r="E11620" t="inlineStr">
        <is>
          <t>VÄNNÄS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44207-2023</t>
        </is>
      </c>
      <c r="B11621" s="1" t="n">
        <v>45188</v>
      </c>
      <c r="C11621" s="1" t="n">
        <v>45357</v>
      </c>
      <c r="D11621" t="inlineStr">
        <is>
          <t>VÄSTERBOTTENS LÄN</t>
        </is>
      </c>
      <c r="E11621" t="inlineStr">
        <is>
          <t>UMEÅ</t>
        </is>
      </c>
      <c r="F11621" t="inlineStr">
        <is>
          <t>Holmen skog AB</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44332-2023</t>
        </is>
      </c>
      <c r="B11622" s="1" t="n">
        <v>45188</v>
      </c>
      <c r="C11622" s="1" t="n">
        <v>45357</v>
      </c>
      <c r="D11622" t="inlineStr">
        <is>
          <t>VÄSTERBOTTENS LÄN</t>
        </is>
      </c>
      <c r="E11622" t="inlineStr">
        <is>
          <t>LYCKSELE</t>
        </is>
      </c>
      <c r="F11622" t="inlineStr">
        <is>
          <t>Sveaskog</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44340-2023</t>
        </is>
      </c>
      <c r="B11623" s="1" t="n">
        <v>45188</v>
      </c>
      <c r="C11623" s="1" t="n">
        <v>45357</v>
      </c>
      <c r="D11623" t="inlineStr">
        <is>
          <t>VÄSTERBOTTENS LÄN</t>
        </is>
      </c>
      <c r="E11623" t="inlineStr">
        <is>
          <t>VINDELN</t>
        </is>
      </c>
      <c r="F11623" t="inlineStr">
        <is>
          <t>Holmen skog AB</t>
        </is>
      </c>
      <c r="G11623" t="n">
        <v>7.9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44335-2023</t>
        </is>
      </c>
      <c r="B11624" s="1" t="n">
        <v>45188</v>
      </c>
      <c r="C11624" s="1" t="n">
        <v>45357</v>
      </c>
      <c r="D11624" t="inlineStr">
        <is>
          <t>VÄSTERBOTTENS LÄN</t>
        </is>
      </c>
      <c r="E11624" t="inlineStr">
        <is>
          <t>SKELLEFTEÅ</t>
        </is>
      </c>
      <c r="F11624" t="inlineStr">
        <is>
          <t>Holmen skog AB</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44373-2023</t>
        </is>
      </c>
      <c r="B11625" s="1" t="n">
        <v>45188</v>
      </c>
      <c r="C11625" s="1" t="n">
        <v>45357</v>
      </c>
      <c r="D11625" t="inlineStr">
        <is>
          <t>VÄSTERBOTTENS LÄN</t>
        </is>
      </c>
      <c r="E11625" t="inlineStr">
        <is>
          <t>MALÅ</t>
        </is>
      </c>
      <c r="G11625" t="n">
        <v>6.2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44372-2023</t>
        </is>
      </c>
      <c r="B11626" s="1" t="n">
        <v>45188</v>
      </c>
      <c r="C11626" s="1" t="n">
        <v>45357</v>
      </c>
      <c r="D11626" t="inlineStr">
        <is>
          <t>VÄSTERBOTTENS LÄN</t>
        </is>
      </c>
      <c r="E11626" t="inlineStr">
        <is>
          <t>ROBERTSFORS</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45465-2023</t>
        </is>
      </c>
      <c r="B11627" s="1" t="n">
        <v>45188</v>
      </c>
      <c r="C11627" s="1" t="n">
        <v>45357</v>
      </c>
      <c r="D11627" t="inlineStr">
        <is>
          <t>VÄSTERBOTTENS LÄN</t>
        </is>
      </c>
      <c r="E11627" t="inlineStr">
        <is>
          <t>SORSELE</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44274-2023</t>
        </is>
      </c>
      <c r="B11628" s="1" t="n">
        <v>45188</v>
      </c>
      <c r="C11628" s="1" t="n">
        <v>45357</v>
      </c>
      <c r="D11628" t="inlineStr">
        <is>
          <t>VÄSTERBOTTENS LÄN</t>
        </is>
      </c>
      <c r="E11628" t="inlineStr">
        <is>
          <t>BJURHOLM</t>
        </is>
      </c>
      <c r="F11628" t="inlineStr">
        <is>
          <t>Holmen skog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45652-2023</t>
        </is>
      </c>
      <c r="B11629" s="1" t="n">
        <v>45188</v>
      </c>
      <c r="C11629" s="1" t="n">
        <v>45357</v>
      </c>
      <c r="D11629" t="inlineStr">
        <is>
          <t>VÄSTERBOTTENS LÄN</t>
        </is>
      </c>
      <c r="E11629" t="inlineStr">
        <is>
          <t>ÅSELE</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44371-2023</t>
        </is>
      </c>
      <c r="B11630" s="1" t="n">
        <v>45188</v>
      </c>
      <c r="C11630" s="1" t="n">
        <v>45357</v>
      </c>
      <c r="D11630" t="inlineStr">
        <is>
          <t>VÄSTERBOTTENS LÄN</t>
        </is>
      </c>
      <c r="E11630" t="inlineStr">
        <is>
          <t>VILHELMINA</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44375-2023</t>
        </is>
      </c>
      <c r="B11631" s="1" t="n">
        <v>45189</v>
      </c>
      <c r="C11631" s="1" t="n">
        <v>45357</v>
      </c>
      <c r="D11631" t="inlineStr">
        <is>
          <t>VÄSTERBOTTENS LÄN</t>
        </is>
      </c>
      <c r="E11631" t="inlineStr">
        <is>
          <t>LYCKSELE</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44387-2023</t>
        </is>
      </c>
      <c r="B11632" s="1" t="n">
        <v>45189</v>
      </c>
      <c r="C11632" s="1" t="n">
        <v>45357</v>
      </c>
      <c r="D11632" t="inlineStr">
        <is>
          <t>VÄSTERBOTTENS LÄN</t>
        </is>
      </c>
      <c r="E11632" t="inlineStr">
        <is>
          <t>NORDMALING</t>
        </is>
      </c>
      <c r="F11632" t="inlineStr">
        <is>
          <t>SCA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45462-2023</t>
        </is>
      </c>
      <c r="B11633" s="1" t="n">
        <v>45188</v>
      </c>
      <c r="C11633" s="1" t="n">
        <v>45357</v>
      </c>
      <c r="D11633" t="inlineStr">
        <is>
          <t>VÄSTERBOTTENS LÄN</t>
        </is>
      </c>
      <c r="E11633" t="inlineStr">
        <is>
          <t>SORSELE</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45581-2023</t>
        </is>
      </c>
      <c r="B11634" s="1" t="n">
        <v>45188</v>
      </c>
      <c r="C11634" s="1" t="n">
        <v>45357</v>
      </c>
      <c r="D11634" t="inlineStr">
        <is>
          <t>VÄSTERBOTTENS LÄN</t>
        </is>
      </c>
      <c r="E11634" t="inlineStr">
        <is>
          <t>SKELLEFTEÅ</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45352-2023</t>
        </is>
      </c>
      <c r="B11635" s="1" t="n">
        <v>45188</v>
      </c>
      <c r="C11635" s="1" t="n">
        <v>45357</v>
      </c>
      <c r="D11635" t="inlineStr">
        <is>
          <t>VÄSTERBOTTENS LÄN</t>
        </is>
      </c>
      <c r="E11635" t="inlineStr">
        <is>
          <t>SORSELE</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44374-2023</t>
        </is>
      </c>
      <c r="B11636" s="1" t="n">
        <v>45188</v>
      </c>
      <c r="C11636" s="1" t="n">
        <v>45357</v>
      </c>
      <c r="D11636" t="inlineStr">
        <is>
          <t>VÄSTERBOTTENS LÄN</t>
        </is>
      </c>
      <c r="E11636" t="inlineStr">
        <is>
          <t>ROBERTSFORS</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44382-2023</t>
        </is>
      </c>
      <c r="B11637" s="1" t="n">
        <v>45189</v>
      </c>
      <c r="C11637" s="1" t="n">
        <v>45357</v>
      </c>
      <c r="D11637" t="inlineStr">
        <is>
          <t>VÄSTERBOTTENS LÄN</t>
        </is>
      </c>
      <c r="E11637" t="inlineStr">
        <is>
          <t>VILHELMINA</t>
        </is>
      </c>
      <c r="F11637" t="inlineStr">
        <is>
          <t>SCA</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44426-2023</t>
        </is>
      </c>
      <c r="B11638" s="1" t="n">
        <v>45188</v>
      </c>
      <c r="C11638" s="1" t="n">
        <v>45357</v>
      </c>
      <c r="D11638" t="inlineStr">
        <is>
          <t>VÄSTERBOTTENS LÄN</t>
        </is>
      </c>
      <c r="E11638" t="inlineStr">
        <is>
          <t>MALÅ</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45576-2023</t>
        </is>
      </c>
      <c r="B11639" s="1" t="n">
        <v>45188</v>
      </c>
      <c r="C11639" s="1" t="n">
        <v>45357</v>
      </c>
      <c r="D11639" t="inlineStr">
        <is>
          <t>VÄSTERBOTTENS LÄN</t>
        </is>
      </c>
      <c r="E11639" t="inlineStr">
        <is>
          <t>SKELLEFTEÅ</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45351-2023</t>
        </is>
      </c>
      <c r="B11640" s="1" t="n">
        <v>45188</v>
      </c>
      <c r="C11640" s="1" t="n">
        <v>45357</v>
      </c>
      <c r="D11640" t="inlineStr">
        <is>
          <t>VÄSTERBOTTENS LÄN</t>
        </is>
      </c>
      <c r="E11640" t="inlineStr">
        <is>
          <t>SORSELE</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45468-2023</t>
        </is>
      </c>
      <c r="B11641" s="1" t="n">
        <v>45188</v>
      </c>
      <c r="C11641" s="1" t="n">
        <v>45357</v>
      </c>
      <c r="D11641" t="inlineStr">
        <is>
          <t>VÄSTERBOTTENS LÄN</t>
        </is>
      </c>
      <c r="E11641" t="inlineStr">
        <is>
          <t>SORSELE</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44483-2023</t>
        </is>
      </c>
      <c r="B11642" s="1" t="n">
        <v>45189</v>
      </c>
      <c r="C11642" s="1" t="n">
        <v>45357</v>
      </c>
      <c r="D11642" t="inlineStr">
        <is>
          <t>VÄSTERBOTTENS LÄN</t>
        </is>
      </c>
      <c r="E11642" t="inlineStr">
        <is>
          <t>SKELLEFTEÅ</t>
        </is>
      </c>
      <c r="F11642" t="inlineStr">
        <is>
          <t>Holmen skog AB</t>
        </is>
      </c>
      <c r="G11642" t="n">
        <v>6.1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44513-2023</t>
        </is>
      </c>
      <c r="B11643" s="1" t="n">
        <v>45189</v>
      </c>
      <c r="C11643" s="1" t="n">
        <v>45357</v>
      </c>
      <c r="D11643" t="inlineStr">
        <is>
          <t>VÄSTERBOTTENS LÄN</t>
        </is>
      </c>
      <c r="E11643" t="inlineStr">
        <is>
          <t>MALÅ</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44563-2023</t>
        </is>
      </c>
      <c r="B11644" s="1" t="n">
        <v>45189</v>
      </c>
      <c r="C11644" s="1" t="n">
        <v>45357</v>
      </c>
      <c r="D11644" t="inlineStr">
        <is>
          <t>VÄSTERBOTTENS LÄN</t>
        </is>
      </c>
      <c r="E11644" t="inlineStr">
        <is>
          <t>UMEÅ</t>
        </is>
      </c>
      <c r="F11644" t="inlineStr">
        <is>
          <t>Holmen skog AB</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44677-2023</t>
        </is>
      </c>
      <c r="B11645" s="1" t="n">
        <v>45189</v>
      </c>
      <c r="C11645" s="1" t="n">
        <v>45357</v>
      </c>
      <c r="D11645" t="inlineStr">
        <is>
          <t>VÄSTERBOTTENS LÄN</t>
        </is>
      </c>
      <c r="E11645" t="inlineStr">
        <is>
          <t>ÅSELE</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44459-2023</t>
        </is>
      </c>
      <c r="B11646" s="1" t="n">
        <v>45189</v>
      </c>
      <c r="C11646" s="1" t="n">
        <v>45357</v>
      </c>
      <c r="D11646" t="inlineStr">
        <is>
          <t>VÄSTERBOTTENS LÄN</t>
        </is>
      </c>
      <c r="E11646" t="inlineStr">
        <is>
          <t>UMEÅ</t>
        </is>
      </c>
      <c r="F11646" t="inlineStr">
        <is>
          <t>Holmen skog AB</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44488-2023</t>
        </is>
      </c>
      <c r="B11647" s="1" t="n">
        <v>45189</v>
      </c>
      <c r="C11647" s="1" t="n">
        <v>45357</v>
      </c>
      <c r="D11647" t="inlineStr">
        <is>
          <t>VÄSTERBOTTENS LÄN</t>
        </is>
      </c>
      <c r="E11647" t="inlineStr">
        <is>
          <t>BJURHOLM</t>
        </is>
      </c>
      <c r="F11647" t="inlineStr">
        <is>
          <t>Holmen skog AB</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44495-2023</t>
        </is>
      </c>
      <c r="B11648" s="1" t="n">
        <v>45189</v>
      </c>
      <c r="C11648" s="1" t="n">
        <v>45357</v>
      </c>
      <c r="D11648" t="inlineStr">
        <is>
          <t>VÄSTERBOTTENS LÄN</t>
        </is>
      </c>
      <c r="E11648" t="inlineStr">
        <is>
          <t>MALÅ</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44545-2023</t>
        </is>
      </c>
      <c r="B11649" s="1" t="n">
        <v>45189</v>
      </c>
      <c r="C11649" s="1" t="n">
        <v>45357</v>
      </c>
      <c r="D11649" t="inlineStr">
        <is>
          <t>VÄSTERBOTTENS LÄN</t>
        </is>
      </c>
      <c r="E11649" t="inlineStr">
        <is>
          <t>SKELLEFTEÅ</t>
        </is>
      </c>
      <c r="F11649" t="inlineStr">
        <is>
          <t>Holmen skog AB</t>
        </is>
      </c>
      <c r="G11649" t="n">
        <v>16.9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45814-2023</t>
        </is>
      </c>
      <c r="B11650" s="1" t="n">
        <v>45189</v>
      </c>
      <c r="C11650" s="1" t="n">
        <v>45357</v>
      </c>
      <c r="D11650" t="inlineStr">
        <is>
          <t>VÄSTERBOTTENS LÄN</t>
        </is>
      </c>
      <c r="E11650" t="inlineStr">
        <is>
          <t>MALÅ</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45706-2023</t>
        </is>
      </c>
      <c r="B11651" s="1" t="n">
        <v>45189</v>
      </c>
      <c r="C11651" s="1" t="n">
        <v>45357</v>
      </c>
      <c r="D11651" t="inlineStr">
        <is>
          <t>VÄSTERBOTTENS LÄN</t>
        </is>
      </c>
      <c r="E11651" t="inlineStr">
        <is>
          <t>NORSJÖ</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45743-2023</t>
        </is>
      </c>
      <c r="B11652" s="1" t="n">
        <v>45189</v>
      </c>
      <c r="C11652" s="1" t="n">
        <v>45357</v>
      </c>
      <c r="D11652" t="inlineStr">
        <is>
          <t>VÄSTERBOTTENS LÄN</t>
        </is>
      </c>
      <c r="E11652" t="inlineStr">
        <is>
          <t>SORSELE</t>
        </is>
      </c>
      <c r="G11652" t="n">
        <v>7.7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45807-2023</t>
        </is>
      </c>
      <c r="B11653" s="1" t="n">
        <v>45189</v>
      </c>
      <c r="C11653" s="1" t="n">
        <v>45357</v>
      </c>
      <c r="D11653" t="inlineStr">
        <is>
          <t>VÄSTERBOTTENS LÄN</t>
        </is>
      </c>
      <c r="E11653" t="inlineStr">
        <is>
          <t>MALÅ</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45884-2023</t>
        </is>
      </c>
      <c r="B11654" s="1" t="n">
        <v>45189</v>
      </c>
      <c r="C11654" s="1" t="n">
        <v>45357</v>
      </c>
      <c r="D11654" t="inlineStr">
        <is>
          <t>VÄSTERBOTTENS LÄN</t>
        </is>
      </c>
      <c r="E11654" t="inlineStr">
        <is>
          <t>STORUMAN</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44524-2023</t>
        </is>
      </c>
      <c r="B11655" s="1" t="n">
        <v>45189</v>
      </c>
      <c r="C11655" s="1" t="n">
        <v>45357</v>
      </c>
      <c r="D11655" t="inlineStr">
        <is>
          <t>VÄSTERBOTTENS LÄN</t>
        </is>
      </c>
      <c r="E11655" t="inlineStr">
        <is>
          <t>MALÅ</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44561-2023</t>
        </is>
      </c>
      <c r="B11656" s="1" t="n">
        <v>45189</v>
      </c>
      <c r="C11656" s="1" t="n">
        <v>45357</v>
      </c>
      <c r="D11656" t="inlineStr">
        <is>
          <t>VÄSTERBOTTENS LÄN</t>
        </is>
      </c>
      <c r="E11656" t="inlineStr">
        <is>
          <t>SKELLEFTEÅ</t>
        </is>
      </c>
      <c r="F11656" t="inlineStr">
        <is>
          <t>Holmen skog AB</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45727-2023</t>
        </is>
      </c>
      <c r="B11657" s="1" t="n">
        <v>45189</v>
      </c>
      <c r="C11657" s="1" t="n">
        <v>45357</v>
      </c>
      <c r="D11657" t="inlineStr">
        <is>
          <t>VÄSTERBOTTENS LÄN</t>
        </is>
      </c>
      <c r="E11657" t="inlineStr">
        <is>
          <t>SKELLEFTEÅ</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44567-2023</t>
        </is>
      </c>
      <c r="B11658" s="1" t="n">
        <v>45189</v>
      </c>
      <c r="C11658" s="1" t="n">
        <v>45357</v>
      </c>
      <c r="D11658" t="inlineStr">
        <is>
          <t>VÄSTERBOTTENS LÄN</t>
        </is>
      </c>
      <c r="E11658" t="inlineStr">
        <is>
          <t>SKELLEFTEÅ</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44575-2023</t>
        </is>
      </c>
      <c r="B11659" s="1" t="n">
        <v>45189</v>
      </c>
      <c r="C11659" s="1" t="n">
        <v>45357</v>
      </c>
      <c r="D11659" t="inlineStr">
        <is>
          <t>VÄSTERBOTTENS LÄN</t>
        </is>
      </c>
      <c r="E11659" t="inlineStr">
        <is>
          <t>BJURHOLM</t>
        </is>
      </c>
      <c r="F11659" t="inlineStr">
        <is>
          <t>Holmen skog AB</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44596-2023</t>
        </is>
      </c>
      <c r="B11660" s="1" t="n">
        <v>45189</v>
      </c>
      <c r="C11660" s="1" t="n">
        <v>45357</v>
      </c>
      <c r="D11660" t="inlineStr">
        <is>
          <t>VÄSTERBOTTENS LÄN</t>
        </is>
      </c>
      <c r="E11660" t="inlineStr">
        <is>
          <t>MALÅ</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44601-2023</t>
        </is>
      </c>
      <c r="B11661" s="1" t="n">
        <v>45189</v>
      </c>
      <c r="C11661" s="1" t="n">
        <v>45357</v>
      </c>
      <c r="D11661" t="inlineStr">
        <is>
          <t>VÄSTERBOTTENS LÄN</t>
        </is>
      </c>
      <c r="E11661" t="inlineStr">
        <is>
          <t>VILHELMINA</t>
        </is>
      </c>
      <c r="F11661" t="inlineStr">
        <is>
          <t>Kommuner</t>
        </is>
      </c>
      <c r="G11661" t="n">
        <v>16.5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45800-2023</t>
        </is>
      </c>
      <c r="B11662" s="1" t="n">
        <v>45189</v>
      </c>
      <c r="C11662" s="1" t="n">
        <v>45357</v>
      </c>
      <c r="D11662" t="inlineStr">
        <is>
          <t>VÄSTERBOTTENS LÄN</t>
        </is>
      </c>
      <c r="E11662" t="inlineStr">
        <is>
          <t>ÅSELE</t>
        </is>
      </c>
      <c r="G11662" t="n">
        <v>42.1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45812-2023</t>
        </is>
      </c>
      <c r="B11663" s="1" t="n">
        <v>45189</v>
      </c>
      <c r="C11663" s="1" t="n">
        <v>45357</v>
      </c>
      <c r="D11663" t="inlineStr">
        <is>
          <t>VÄSTERBOTTENS LÄN</t>
        </is>
      </c>
      <c r="E11663" t="inlineStr">
        <is>
          <t>MALÅ</t>
        </is>
      </c>
      <c r="G11663" t="n">
        <v>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45891-2023</t>
        </is>
      </c>
      <c r="B11664" s="1" t="n">
        <v>45189</v>
      </c>
      <c r="C11664" s="1" t="n">
        <v>45357</v>
      </c>
      <c r="D11664" t="inlineStr">
        <is>
          <t>VÄSTERBOTTENS LÄN</t>
        </is>
      </c>
      <c r="E11664" t="inlineStr">
        <is>
          <t>STORUMAN</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46506-2023</t>
        </is>
      </c>
      <c r="B11665" s="1" t="n">
        <v>45189</v>
      </c>
      <c r="C11665" s="1" t="n">
        <v>45357</v>
      </c>
      <c r="D11665" t="inlineStr">
        <is>
          <t>VÄSTERBOTTENS LÄN</t>
        </is>
      </c>
      <c r="E11665" t="inlineStr">
        <is>
          <t>STORUMAN</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44629-2023</t>
        </is>
      </c>
      <c r="B11666" s="1" t="n">
        <v>45189</v>
      </c>
      <c r="C11666" s="1" t="n">
        <v>45357</v>
      </c>
      <c r="D11666" t="inlineStr">
        <is>
          <t>VÄSTERBOTTENS LÄN</t>
        </is>
      </c>
      <c r="E11666" t="inlineStr">
        <is>
          <t>BJURHOLM</t>
        </is>
      </c>
      <c r="G11666" t="n">
        <v>15.6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44695-2023</t>
        </is>
      </c>
      <c r="B11667" s="1" t="n">
        <v>45190</v>
      </c>
      <c r="C11667" s="1" t="n">
        <v>45357</v>
      </c>
      <c r="D11667" t="inlineStr">
        <is>
          <t>VÄSTERBOTTENS LÄN</t>
        </is>
      </c>
      <c r="E11667" t="inlineStr">
        <is>
          <t>VILHELMINA</t>
        </is>
      </c>
      <c r="G11667" t="n">
        <v>15.6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45789-2023</t>
        </is>
      </c>
      <c r="B11668" s="1" t="n">
        <v>45189</v>
      </c>
      <c r="C11668" s="1" t="n">
        <v>45357</v>
      </c>
      <c r="D11668" t="inlineStr">
        <is>
          <t>VÄSTERBOTTENS LÄN</t>
        </is>
      </c>
      <c r="E11668" t="inlineStr">
        <is>
          <t>MALÅ</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45810-2023</t>
        </is>
      </c>
      <c r="B11669" s="1" t="n">
        <v>45189</v>
      </c>
      <c r="C11669" s="1" t="n">
        <v>45357</v>
      </c>
      <c r="D11669" t="inlineStr">
        <is>
          <t>VÄSTERBOTTENS LÄN</t>
        </is>
      </c>
      <c r="E11669" t="inlineStr">
        <is>
          <t>MALÅ</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45816-2023</t>
        </is>
      </c>
      <c r="B11670" s="1" t="n">
        <v>45189</v>
      </c>
      <c r="C11670" s="1" t="n">
        <v>45357</v>
      </c>
      <c r="D11670" t="inlineStr">
        <is>
          <t>VÄSTERBOTTENS LÄN</t>
        </is>
      </c>
      <c r="E11670" t="inlineStr">
        <is>
          <t>ÅSELE</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45890-2023</t>
        </is>
      </c>
      <c r="B11671" s="1" t="n">
        <v>45189</v>
      </c>
      <c r="C11671" s="1" t="n">
        <v>45357</v>
      </c>
      <c r="D11671" t="inlineStr">
        <is>
          <t>VÄSTERBOTTENS LÄN</t>
        </is>
      </c>
      <c r="E11671" t="inlineStr">
        <is>
          <t>STORUMAN</t>
        </is>
      </c>
      <c r="G11671" t="n">
        <v>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45998-2023</t>
        </is>
      </c>
      <c r="B11672" s="1" t="n">
        <v>45189</v>
      </c>
      <c r="C11672" s="1" t="n">
        <v>45357</v>
      </c>
      <c r="D11672" t="inlineStr">
        <is>
          <t>VÄSTERBOTTENS LÄN</t>
        </is>
      </c>
      <c r="E11672" t="inlineStr">
        <is>
          <t>MALÅ</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44745-2023</t>
        </is>
      </c>
      <c r="B11673" s="1" t="n">
        <v>45190</v>
      </c>
      <c r="C11673" s="1" t="n">
        <v>45357</v>
      </c>
      <c r="D11673" t="inlineStr">
        <is>
          <t>VÄSTERBOTTENS LÄN</t>
        </is>
      </c>
      <c r="E11673" t="inlineStr">
        <is>
          <t>SKELLEFTEÅ</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44769-2023</t>
        </is>
      </c>
      <c r="B11674" s="1" t="n">
        <v>45190</v>
      </c>
      <c r="C11674" s="1" t="n">
        <v>45357</v>
      </c>
      <c r="D11674" t="inlineStr">
        <is>
          <t>VÄSTERBOTTENS LÄN</t>
        </is>
      </c>
      <c r="E11674" t="inlineStr">
        <is>
          <t>BJURHOLM</t>
        </is>
      </c>
      <c r="F11674" t="inlineStr">
        <is>
          <t>Sveaskog</t>
        </is>
      </c>
      <c r="G11674" t="n">
        <v>10.6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44777-2023</t>
        </is>
      </c>
      <c r="B11675" s="1" t="n">
        <v>45190</v>
      </c>
      <c r="C11675" s="1" t="n">
        <v>45357</v>
      </c>
      <c r="D11675" t="inlineStr">
        <is>
          <t>VÄSTERBOTTENS LÄN</t>
        </is>
      </c>
      <c r="E11675" t="inlineStr">
        <is>
          <t>BJURHOLM</t>
        </is>
      </c>
      <c r="F11675" t="inlineStr">
        <is>
          <t>Holmen skog AB</t>
        </is>
      </c>
      <c r="G11675" t="n">
        <v>10.7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44770-2023</t>
        </is>
      </c>
      <c r="B11676" s="1" t="n">
        <v>45190</v>
      </c>
      <c r="C11676" s="1" t="n">
        <v>45357</v>
      </c>
      <c r="D11676" t="inlineStr">
        <is>
          <t>VÄSTERBOTTENS LÄN</t>
        </is>
      </c>
      <c r="E11676" t="inlineStr">
        <is>
          <t>BJURHOLM</t>
        </is>
      </c>
      <c r="F11676" t="inlineStr">
        <is>
          <t>Sveaskog</t>
        </is>
      </c>
      <c r="G11676" t="n">
        <v>8.6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44776-2023</t>
        </is>
      </c>
      <c r="B11677" s="1" t="n">
        <v>45190</v>
      </c>
      <c r="C11677" s="1" t="n">
        <v>45357</v>
      </c>
      <c r="D11677" t="inlineStr">
        <is>
          <t>VÄSTERBOTTENS LÄN</t>
        </is>
      </c>
      <c r="E11677" t="inlineStr">
        <is>
          <t>VINDELN</t>
        </is>
      </c>
      <c r="F11677" t="inlineStr">
        <is>
          <t>Sveaskog</t>
        </is>
      </c>
      <c r="G11677" t="n">
        <v>25.7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44780-2023</t>
        </is>
      </c>
      <c r="B11678" s="1" t="n">
        <v>45190</v>
      </c>
      <c r="C11678" s="1" t="n">
        <v>45357</v>
      </c>
      <c r="D11678" t="inlineStr">
        <is>
          <t>VÄSTERBOTTENS LÄN</t>
        </is>
      </c>
      <c r="E11678" t="inlineStr">
        <is>
          <t>VINDELN</t>
        </is>
      </c>
      <c r="F11678" t="inlineStr">
        <is>
          <t>Sveaskog</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44755-2023</t>
        </is>
      </c>
      <c r="B11679" s="1" t="n">
        <v>45190</v>
      </c>
      <c r="C11679" s="1" t="n">
        <v>45357</v>
      </c>
      <c r="D11679" t="inlineStr">
        <is>
          <t>VÄSTERBOTTENS LÄN</t>
        </is>
      </c>
      <c r="E11679" t="inlineStr">
        <is>
          <t>LYCKSELE</t>
        </is>
      </c>
      <c r="F11679" t="inlineStr">
        <is>
          <t>Sveaskog</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44812-2023</t>
        </is>
      </c>
      <c r="B11680" s="1" t="n">
        <v>45190</v>
      </c>
      <c r="C11680" s="1" t="n">
        <v>45357</v>
      </c>
      <c r="D11680" t="inlineStr">
        <is>
          <t>VÄSTERBOTTENS LÄN</t>
        </is>
      </c>
      <c r="E11680" t="inlineStr">
        <is>
          <t>BJURHOLM</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44901-2023</t>
        </is>
      </c>
      <c r="B11681" s="1" t="n">
        <v>45190</v>
      </c>
      <c r="C11681" s="1" t="n">
        <v>45357</v>
      </c>
      <c r="D11681" t="inlineStr">
        <is>
          <t>VÄSTERBOTTENS LÄN</t>
        </is>
      </c>
      <c r="E11681" t="inlineStr">
        <is>
          <t>BJURHOLM</t>
        </is>
      </c>
      <c r="F11681" t="inlineStr">
        <is>
          <t>Sveaskog</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44929-2023</t>
        </is>
      </c>
      <c r="B11682" s="1" t="n">
        <v>45190</v>
      </c>
      <c r="C11682" s="1" t="n">
        <v>45357</v>
      </c>
      <c r="D11682" t="inlineStr">
        <is>
          <t>VÄSTERBOTTENS LÄN</t>
        </is>
      </c>
      <c r="E11682" t="inlineStr">
        <is>
          <t>MALÅ</t>
        </is>
      </c>
      <c r="G11682" t="n">
        <v>13.9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44790-2023</t>
        </is>
      </c>
      <c r="B11683" s="1" t="n">
        <v>45190</v>
      </c>
      <c r="C11683" s="1" t="n">
        <v>45357</v>
      </c>
      <c r="D11683" t="inlineStr">
        <is>
          <t>VÄSTERBOTTENS LÄN</t>
        </is>
      </c>
      <c r="E11683" t="inlineStr">
        <is>
          <t>BJURHOLM</t>
        </is>
      </c>
      <c r="F11683" t="inlineStr">
        <is>
          <t>Holmen skog AB</t>
        </is>
      </c>
      <c r="G11683" t="n">
        <v>21.7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44880-2023</t>
        </is>
      </c>
      <c r="B11684" s="1" t="n">
        <v>45190</v>
      </c>
      <c r="C11684" s="1" t="n">
        <v>45357</v>
      </c>
      <c r="D11684" t="inlineStr">
        <is>
          <t>VÄSTERBOTTENS LÄN</t>
        </is>
      </c>
      <c r="E11684" t="inlineStr">
        <is>
          <t>BJURHOLM</t>
        </is>
      </c>
      <c r="F11684" t="inlineStr">
        <is>
          <t>Holmen skog AB</t>
        </is>
      </c>
      <c r="G11684" t="n">
        <v>10.5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44912-2023</t>
        </is>
      </c>
      <c r="B11685" s="1" t="n">
        <v>45190</v>
      </c>
      <c r="C11685" s="1" t="n">
        <v>45357</v>
      </c>
      <c r="D11685" t="inlineStr">
        <is>
          <t>VÄSTERBOTTENS LÄN</t>
        </is>
      </c>
      <c r="E11685" t="inlineStr">
        <is>
          <t>SKELLEFTEÅ</t>
        </is>
      </c>
      <c r="F11685" t="inlineStr">
        <is>
          <t>Holmen skog AB</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44959-2023</t>
        </is>
      </c>
      <c r="B11686" s="1" t="n">
        <v>45190</v>
      </c>
      <c r="C11686" s="1" t="n">
        <v>45357</v>
      </c>
      <c r="D11686" t="inlineStr">
        <is>
          <t>VÄSTERBOTTENS LÄN</t>
        </is>
      </c>
      <c r="E11686" t="inlineStr">
        <is>
          <t>SKELLEFTEÅ</t>
        </is>
      </c>
      <c r="F11686" t="inlineStr">
        <is>
          <t>Sveaskog</t>
        </is>
      </c>
      <c r="G11686" t="n">
        <v>15.3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44972-2023</t>
        </is>
      </c>
      <c r="B11687" s="1" t="n">
        <v>45191</v>
      </c>
      <c r="C11687" s="1" t="n">
        <v>45357</v>
      </c>
      <c r="D11687" t="inlineStr">
        <is>
          <t>VÄSTERBOTTENS LÄN</t>
        </is>
      </c>
      <c r="E11687" t="inlineStr">
        <is>
          <t>DOROTEA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44976-2023</t>
        </is>
      </c>
      <c r="B11688" s="1" t="n">
        <v>45190</v>
      </c>
      <c r="C11688" s="1" t="n">
        <v>45357</v>
      </c>
      <c r="D11688" t="inlineStr">
        <is>
          <t>VÄSTERBOTTENS LÄN</t>
        </is>
      </c>
      <c r="E11688" t="inlineStr">
        <is>
          <t>NORSJÖ</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44832-2023</t>
        </is>
      </c>
      <c r="B11689" s="1" t="n">
        <v>45190</v>
      </c>
      <c r="C11689" s="1" t="n">
        <v>45357</v>
      </c>
      <c r="D11689" t="inlineStr">
        <is>
          <t>VÄSTERBOTTENS LÄN</t>
        </is>
      </c>
      <c r="E11689" t="inlineStr">
        <is>
          <t>VINDELN</t>
        </is>
      </c>
      <c r="F11689" t="inlineStr">
        <is>
          <t>Sveaskog</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44856-2023</t>
        </is>
      </c>
      <c r="B11690" s="1" t="n">
        <v>45190</v>
      </c>
      <c r="C11690" s="1" t="n">
        <v>45357</v>
      </c>
      <c r="D11690" t="inlineStr">
        <is>
          <t>VÄSTERBOTTENS LÄN</t>
        </is>
      </c>
      <c r="E11690" t="inlineStr">
        <is>
          <t>SKELLEFTEÅ</t>
        </is>
      </c>
      <c r="G11690" t="n">
        <v>13.4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44872-2023</t>
        </is>
      </c>
      <c r="B11691" s="1" t="n">
        <v>45190</v>
      </c>
      <c r="C11691" s="1" t="n">
        <v>45357</v>
      </c>
      <c r="D11691" t="inlineStr">
        <is>
          <t>VÄSTERBOTTENS LÄN</t>
        </is>
      </c>
      <c r="E11691" t="inlineStr">
        <is>
          <t>SKELLEFTEÅ</t>
        </is>
      </c>
      <c r="F11691" t="inlineStr">
        <is>
          <t>Holmen skog AB</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44877-2023</t>
        </is>
      </c>
      <c r="B11692" s="1" t="n">
        <v>45190</v>
      </c>
      <c r="C11692" s="1" t="n">
        <v>45357</v>
      </c>
      <c r="D11692" t="inlineStr">
        <is>
          <t>VÄSTERBOTTENS LÄN</t>
        </is>
      </c>
      <c r="E11692" t="inlineStr">
        <is>
          <t>SKELLEFTEÅ</t>
        </is>
      </c>
      <c r="F11692" t="inlineStr">
        <is>
          <t>Holmen skog AB</t>
        </is>
      </c>
      <c r="G11692" t="n">
        <v>11.8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44910-2023</t>
        </is>
      </c>
      <c r="B11693" s="1" t="n">
        <v>45190</v>
      </c>
      <c r="C11693" s="1" t="n">
        <v>45357</v>
      </c>
      <c r="D11693" t="inlineStr">
        <is>
          <t>VÄSTERBOTTENS LÄN</t>
        </is>
      </c>
      <c r="E11693" t="inlineStr">
        <is>
          <t>MALÅ</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44978-2023</t>
        </is>
      </c>
      <c r="B11694" s="1" t="n">
        <v>45191</v>
      </c>
      <c r="C11694" s="1" t="n">
        <v>45357</v>
      </c>
      <c r="D11694" t="inlineStr">
        <is>
          <t>VÄSTERBOTTENS LÄN</t>
        </is>
      </c>
      <c r="E11694" t="inlineStr">
        <is>
          <t>STORUMAN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45022-2023</t>
        </is>
      </c>
      <c r="B11695" s="1" t="n">
        <v>45190</v>
      </c>
      <c r="C11695" s="1" t="n">
        <v>45357</v>
      </c>
      <c r="D11695" t="inlineStr">
        <is>
          <t>VÄSTERBOTTENS LÄN</t>
        </is>
      </c>
      <c r="E11695" t="inlineStr">
        <is>
          <t>VILHELMINA</t>
        </is>
      </c>
      <c r="F11695" t="inlineStr">
        <is>
          <t>SCA</t>
        </is>
      </c>
      <c r="G11695" t="n">
        <v>6.9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44775-2023</t>
        </is>
      </c>
      <c r="B11696" s="1" t="n">
        <v>45190</v>
      </c>
      <c r="C11696" s="1" t="n">
        <v>45357</v>
      </c>
      <c r="D11696" t="inlineStr">
        <is>
          <t>VÄSTERBOTTENS LÄN</t>
        </is>
      </c>
      <c r="E11696" t="inlineStr">
        <is>
          <t>SKELLEFTEÅ</t>
        </is>
      </c>
      <c r="F11696" t="inlineStr">
        <is>
          <t>Sveaskog</t>
        </is>
      </c>
      <c r="G11696" t="n">
        <v>20.4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44788-2023</t>
        </is>
      </c>
      <c r="B11697" s="1" t="n">
        <v>45190</v>
      </c>
      <c r="C11697" s="1" t="n">
        <v>45357</v>
      </c>
      <c r="D11697" t="inlineStr">
        <is>
          <t>VÄSTERBOTTENS LÄN</t>
        </is>
      </c>
      <c r="E11697" t="inlineStr">
        <is>
          <t>NORDMALING</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44801-2023</t>
        </is>
      </c>
      <c r="B11698" s="1" t="n">
        <v>45190</v>
      </c>
      <c r="C11698" s="1" t="n">
        <v>45357</v>
      </c>
      <c r="D11698" t="inlineStr">
        <is>
          <t>VÄSTERBOTTENS LÄN</t>
        </is>
      </c>
      <c r="E11698" t="inlineStr">
        <is>
          <t>ÅSELE</t>
        </is>
      </c>
      <c r="F11698" t="inlineStr">
        <is>
          <t>Naturvårdsverket</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44825-2023</t>
        </is>
      </c>
      <c r="B11699" s="1" t="n">
        <v>45190</v>
      </c>
      <c r="C11699" s="1" t="n">
        <v>45357</v>
      </c>
      <c r="D11699" t="inlineStr">
        <is>
          <t>VÄSTERBOTTENS LÄN</t>
        </is>
      </c>
      <c r="E11699" t="inlineStr">
        <is>
          <t>SKELLEFTEÅ</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44839-2023</t>
        </is>
      </c>
      <c r="B11700" s="1" t="n">
        <v>45190</v>
      </c>
      <c r="C11700" s="1" t="n">
        <v>45357</v>
      </c>
      <c r="D11700" t="inlineStr">
        <is>
          <t>VÄSTERBOTTENS LÄN</t>
        </is>
      </c>
      <c r="E11700" t="inlineStr">
        <is>
          <t>VINDELN</t>
        </is>
      </c>
      <c r="F11700" t="inlineStr">
        <is>
          <t>Sveaskog</t>
        </is>
      </c>
      <c r="G11700" t="n">
        <v>7.8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44851-2023</t>
        </is>
      </c>
      <c r="B11701" s="1" t="n">
        <v>45190</v>
      </c>
      <c r="C11701" s="1" t="n">
        <v>45357</v>
      </c>
      <c r="D11701" t="inlineStr">
        <is>
          <t>VÄSTERBOTTENS LÄN</t>
        </is>
      </c>
      <c r="E11701" t="inlineStr">
        <is>
          <t>LYCKSELE</t>
        </is>
      </c>
      <c r="F11701" t="inlineStr">
        <is>
          <t>Sveaskog</t>
        </is>
      </c>
      <c r="G11701" t="n">
        <v>8.199999999999999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44855-2023</t>
        </is>
      </c>
      <c r="B11702" s="1" t="n">
        <v>45190</v>
      </c>
      <c r="C11702" s="1" t="n">
        <v>45357</v>
      </c>
      <c r="D11702" t="inlineStr">
        <is>
          <t>VÄSTERBOTTENS LÄN</t>
        </is>
      </c>
      <c r="E11702" t="inlineStr">
        <is>
          <t>BJURHOLM</t>
        </is>
      </c>
      <c r="F11702" t="inlineStr">
        <is>
          <t>Sveaskog</t>
        </is>
      </c>
      <c r="G11702" t="n">
        <v>22.9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44892-2023</t>
        </is>
      </c>
      <c r="B11703" s="1" t="n">
        <v>45190</v>
      </c>
      <c r="C11703" s="1" t="n">
        <v>45357</v>
      </c>
      <c r="D11703" t="inlineStr">
        <is>
          <t>VÄSTERBOTTENS LÄN</t>
        </is>
      </c>
      <c r="E11703" t="inlineStr">
        <is>
          <t>LYCKSELE</t>
        </is>
      </c>
      <c r="F11703" t="inlineStr">
        <is>
          <t>Sveaskog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44913-2023</t>
        </is>
      </c>
      <c r="B11704" s="1" t="n">
        <v>45190</v>
      </c>
      <c r="C11704" s="1" t="n">
        <v>45357</v>
      </c>
      <c r="D11704" t="inlineStr">
        <is>
          <t>VÄSTERBOTTENS LÄN</t>
        </is>
      </c>
      <c r="E11704" t="inlineStr">
        <is>
          <t>MALÅ</t>
        </is>
      </c>
      <c r="G11704" t="n">
        <v>11.7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44973-2023</t>
        </is>
      </c>
      <c r="B11705" s="1" t="n">
        <v>45191</v>
      </c>
      <c r="C11705" s="1" t="n">
        <v>45357</v>
      </c>
      <c r="D11705" t="inlineStr">
        <is>
          <t>VÄSTERBOTTENS LÄN</t>
        </is>
      </c>
      <c r="E11705" t="inlineStr">
        <is>
          <t>DOROTEA</t>
        </is>
      </c>
      <c r="G11705" t="n">
        <v>23.9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44977-2023</t>
        </is>
      </c>
      <c r="B11706" s="1" t="n">
        <v>45190</v>
      </c>
      <c r="C11706" s="1" t="n">
        <v>45357</v>
      </c>
      <c r="D11706" t="inlineStr">
        <is>
          <t>VÄSTERBOTTENS LÄN</t>
        </is>
      </c>
      <c r="E11706" t="inlineStr">
        <is>
          <t>STORUMAN</t>
        </is>
      </c>
      <c r="G11706" t="n">
        <v>7.1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45103-2023</t>
        </is>
      </c>
      <c r="B11707" s="1" t="n">
        <v>45190</v>
      </c>
      <c r="C11707" s="1" t="n">
        <v>45357</v>
      </c>
      <c r="D11707" t="inlineStr">
        <is>
          <t>VÄSTERBOTTENS LÄN</t>
        </is>
      </c>
      <c r="E11707" t="inlineStr">
        <is>
          <t>MALÅ</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45102-2023</t>
        </is>
      </c>
      <c r="B11708" s="1" t="n">
        <v>45190</v>
      </c>
      <c r="C11708" s="1" t="n">
        <v>45357</v>
      </c>
      <c r="D11708" t="inlineStr">
        <is>
          <t>VÄSTERBOTTENS LÄN</t>
        </is>
      </c>
      <c r="E11708" t="inlineStr">
        <is>
          <t>MALÅ</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46177-2023</t>
        </is>
      </c>
      <c r="B11709" s="1" t="n">
        <v>45190</v>
      </c>
      <c r="C11709" s="1" t="n">
        <v>45357</v>
      </c>
      <c r="D11709" t="inlineStr">
        <is>
          <t>VÄSTERBOTTENS LÄN</t>
        </is>
      </c>
      <c r="E11709" t="inlineStr">
        <is>
          <t>VILHELMINA</t>
        </is>
      </c>
      <c r="F11709" t="inlineStr">
        <is>
          <t>Övriga Aktiebolag</t>
        </is>
      </c>
      <c r="G11709" t="n">
        <v>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46164-2023</t>
        </is>
      </c>
      <c r="B11710" s="1" t="n">
        <v>45190</v>
      </c>
      <c r="C11710" s="1" t="n">
        <v>45357</v>
      </c>
      <c r="D11710" t="inlineStr">
        <is>
          <t>VÄSTERBOTTENS LÄN</t>
        </is>
      </c>
      <c r="E11710" t="inlineStr">
        <is>
          <t>VILHELMINA</t>
        </is>
      </c>
      <c r="G11710" t="n">
        <v>6.3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46119-2023</t>
        </is>
      </c>
      <c r="B11711" s="1" t="n">
        <v>45190</v>
      </c>
      <c r="C11711" s="1" t="n">
        <v>45357</v>
      </c>
      <c r="D11711" t="inlineStr">
        <is>
          <t>VÄSTERBOTTENS LÄN</t>
        </is>
      </c>
      <c r="E11711" t="inlineStr">
        <is>
          <t>VILHELMINA</t>
        </is>
      </c>
      <c r="G11711" t="n">
        <v>17.7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46191-2023</t>
        </is>
      </c>
      <c r="B11712" s="1" t="n">
        <v>45190</v>
      </c>
      <c r="C11712" s="1" t="n">
        <v>45357</v>
      </c>
      <c r="D11712" t="inlineStr">
        <is>
          <t>VÄSTERBOTTENS LÄN</t>
        </is>
      </c>
      <c r="E11712" t="inlineStr">
        <is>
          <t>SKELLEFTEÅ</t>
        </is>
      </c>
      <c r="G11712" t="n">
        <v>6.4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46146-2023</t>
        </is>
      </c>
      <c r="B11713" s="1" t="n">
        <v>45190</v>
      </c>
      <c r="C11713" s="1" t="n">
        <v>45357</v>
      </c>
      <c r="D11713" t="inlineStr">
        <is>
          <t>VÄSTERBOTTENS LÄN</t>
        </is>
      </c>
      <c r="E11713" t="inlineStr">
        <is>
          <t>ÅSELE</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46084-2023</t>
        </is>
      </c>
      <c r="B11714" s="1" t="n">
        <v>45190</v>
      </c>
      <c r="C11714" s="1" t="n">
        <v>45357</v>
      </c>
      <c r="D11714" t="inlineStr">
        <is>
          <t>VÄSTERBOTTENS LÄN</t>
        </is>
      </c>
      <c r="E11714" t="inlineStr">
        <is>
          <t>SKELLEFTEÅ</t>
        </is>
      </c>
      <c r="G11714" t="n">
        <v>10.7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45101-2023</t>
        </is>
      </c>
      <c r="B11715" s="1" t="n">
        <v>45190</v>
      </c>
      <c r="C11715" s="1" t="n">
        <v>45357</v>
      </c>
      <c r="D11715" t="inlineStr">
        <is>
          <t>VÄSTERBOTTENS LÄN</t>
        </is>
      </c>
      <c r="E11715" t="inlineStr">
        <is>
          <t>MALÅ</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46193-2023</t>
        </is>
      </c>
      <c r="B11716" s="1" t="n">
        <v>45190</v>
      </c>
      <c r="C11716" s="1" t="n">
        <v>45357</v>
      </c>
      <c r="D11716" t="inlineStr">
        <is>
          <t>VÄSTERBOTTENS LÄN</t>
        </is>
      </c>
      <c r="E11716" t="inlineStr">
        <is>
          <t>SORSELE</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46107-2023</t>
        </is>
      </c>
      <c r="B11717" s="1" t="n">
        <v>45190</v>
      </c>
      <c r="C11717" s="1" t="n">
        <v>45357</v>
      </c>
      <c r="D11717" t="inlineStr">
        <is>
          <t>VÄSTERBOTTENS LÄN</t>
        </is>
      </c>
      <c r="E11717" t="inlineStr">
        <is>
          <t>SKELLEFTEÅ</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46072-2023</t>
        </is>
      </c>
      <c r="B11718" s="1" t="n">
        <v>45190</v>
      </c>
      <c r="C11718" s="1" t="n">
        <v>45357</v>
      </c>
      <c r="D11718" t="inlineStr">
        <is>
          <t>VÄSTERBOTTENS LÄN</t>
        </is>
      </c>
      <c r="E11718" t="inlineStr">
        <is>
          <t>LYCKSELE</t>
        </is>
      </c>
      <c r="G11718" t="n">
        <v>7.1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45039-2023</t>
        </is>
      </c>
      <c r="B11719" s="1" t="n">
        <v>45191</v>
      </c>
      <c r="C11719" s="1" t="n">
        <v>45357</v>
      </c>
      <c r="D11719" t="inlineStr">
        <is>
          <t>VÄSTERBOTTENS LÄN</t>
        </is>
      </c>
      <c r="E11719" t="inlineStr">
        <is>
          <t>SKELLEFTEÅ</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45130-2023</t>
        </is>
      </c>
      <c r="B11720" s="1" t="n">
        <v>45191</v>
      </c>
      <c r="C11720" s="1" t="n">
        <v>45357</v>
      </c>
      <c r="D11720" t="inlineStr">
        <is>
          <t>VÄSTERBOTTENS LÄN</t>
        </is>
      </c>
      <c r="E11720" t="inlineStr">
        <is>
          <t>LYCKSELE</t>
        </is>
      </c>
      <c r="F11720" t="inlineStr">
        <is>
          <t>Sveaskog</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45157-2023</t>
        </is>
      </c>
      <c r="B11721" s="1" t="n">
        <v>45191</v>
      </c>
      <c r="C11721" s="1" t="n">
        <v>45357</v>
      </c>
      <c r="D11721" t="inlineStr">
        <is>
          <t>VÄSTERBOTTENS LÄN</t>
        </is>
      </c>
      <c r="E11721" t="inlineStr">
        <is>
          <t>ROBERTSFORS</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45131-2023</t>
        </is>
      </c>
      <c r="B11722" s="1" t="n">
        <v>45191</v>
      </c>
      <c r="C11722" s="1" t="n">
        <v>45357</v>
      </c>
      <c r="D11722" t="inlineStr">
        <is>
          <t>VÄSTERBOTTENS LÄN</t>
        </is>
      </c>
      <c r="E11722" t="inlineStr">
        <is>
          <t>UMEÅ</t>
        </is>
      </c>
      <c r="F11722" t="inlineStr">
        <is>
          <t>Holmen skog AB</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45249-2023</t>
        </is>
      </c>
      <c r="B11723" s="1" t="n">
        <v>45191</v>
      </c>
      <c r="C11723" s="1" t="n">
        <v>45357</v>
      </c>
      <c r="D11723" t="inlineStr">
        <is>
          <t>VÄSTERBOTTENS LÄN</t>
        </is>
      </c>
      <c r="E11723" t="inlineStr">
        <is>
          <t>ÅSELE</t>
        </is>
      </c>
      <c r="F11723" t="inlineStr">
        <is>
          <t>Sveaskog</t>
        </is>
      </c>
      <c r="G11723" t="n">
        <v>6.7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45324-2023</t>
        </is>
      </c>
      <c r="B11724" s="1" t="n">
        <v>45192</v>
      </c>
      <c r="C11724" s="1" t="n">
        <v>45357</v>
      </c>
      <c r="D11724" t="inlineStr">
        <is>
          <t>VÄSTERBOTTENS LÄN</t>
        </is>
      </c>
      <c r="E11724" t="inlineStr">
        <is>
          <t>DOROTEA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46303-2023</t>
        </is>
      </c>
      <c r="B11725" s="1" t="n">
        <v>45191</v>
      </c>
      <c r="C11725" s="1" t="n">
        <v>45357</v>
      </c>
      <c r="D11725" t="inlineStr">
        <is>
          <t>VÄSTERBOTTENS LÄN</t>
        </is>
      </c>
      <c r="E11725" t="inlineStr">
        <is>
          <t>ROBERTSFORS</t>
        </is>
      </c>
      <c r="G11725" t="n">
        <v>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46323-2023</t>
        </is>
      </c>
      <c r="B11726" s="1" t="n">
        <v>45191</v>
      </c>
      <c r="C11726" s="1" t="n">
        <v>45357</v>
      </c>
      <c r="D11726" t="inlineStr">
        <is>
          <t>VÄSTERBOTTENS LÄN</t>
        </is>
      </c>
      <c r="E11726" t="inlineStr">
        <is>
          <t>SORSELE</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46327-2023</t>
        </is>
      </c>
      <c r="B11727" s="1" t="n">
        <v>45191</v>
      </c>
      <c r="C11727" s="1" t="n">
        <v>45357</v>
      </c>
      <c r="D11727" t="inlineStr">
        <is>
          <t>VÄSTERBOTTENS LÄN</t>
        </is>
      </c>
      <c r="E11727" t="inlineStr">
        <is>
          <t>BJURHOLM</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46302-2023</t>
        </is>
      </c>
      <c r="B11728" s="1" t="n">
        <v>45191</v>
      </c>
      <c r="C11728" s="1" t="n">
        <v>45357</v>
      </c>
      <c r="D11728" t="inlineStr">
        <is>
          <t>VÄSTERBOTTENS LÄN</t>
        </is>
      </c>
      <c r="E11728" t="inlineStr">
        <is>
          <t>SKELLEFTEÅ</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46319-2023</t>
        </is>
      </c>
      <c r="B11729" s="1" t="n">
        <v>45191</v>
      </c>
      <c r="C11729" s="1" t="n">
        <v>45357</v>
      </c>
      <c r="D11729" t="inlineStr">
        <is>
          <t>VÄSTERBOTTENS LÄN</t>
        </is>
      </c>
      <c r="E11729" t="inlineStr">
        <is>
          <t>SORSELE</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45380-2023</t>
        </is>
      </c>
      <c r="B11730" s="1" t="n">
        <v>45193</v>
      </c>
      <c r="C11730" s="1" t="n">
        <v>45357</v>
      </c>
      <c r="D11730" t="inlineStr">
        <is>
          <t>VÄSTERBOTTENS LÄN</t>
        </is>
      </c>
      <c r="E11730" t="inlineStr">
        <is>
          <t>MALÅ</t>
        </is>
      </c>
      <c r="F11730" t="inlineStr">
        <is>
          <t>Sveaskog</t>
        </is>
      </c>
      <c r="G11730" t="n">
        <v>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45384-2023</t>
        </is>
      </c>
      <c r="B11731" s="1" t="n">
        <v>45193</v>
      </c>
      <c r="C11731" s="1" t="n">
        <v>45357</v>
      </c>
      <c r="D11731" t="inlineStr">
        <is>
          <t>VÄSTERBOTTENS LÄN</t>
        </is>
      </c>
      <c r="E11731" t="inlineStr">
        <is>
          <t>MALÅ</t>
        </is>
      </c>
      <c r="F11731" t="inlineStr">
        <is>
          <t>Sveaskog</t>
        </is>
      </c>
      <c r="G11731" t="n">
        <v>6.2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45382-2023</t>
        </is>
      </c>
      <c r="B11732" s="1" t="n">
        <v>45193</v>
      </c>
      <c r="C11732" s="1" t="n">
        <v>45357</v>
      </c>
      <c r="D11732" t="inlineStr">
        <is>
          <t>VÄSTERBOTTENS LÄN</t>
        </is>
      </c>
      <c r="E11732" t="inlineStr">
        <is>
          <t>MALÅ</t>
        </is>
      </c>
      <c r="F11732" t="inlineStr">
        <is>
          <t>Sveaskog</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45388-2023</t>
        </is>
      </c>
      <c r="B11733" s="1" t="n">
        <v>45193</v>
      </c>
      <c r="C11733" s="1" t="n">
        <v>45357</v>
      </c>
      <c r="D11733" t="inlineStr">
        <is>
          <t>VÄSTERBOTTENS LÄN</t>
        </is>
      </c>
      <c r="E11733" t="inlineStr">
        <is>
          <t>MALÅ</t>
        </is>
      </c>
      <c r="F11733" t="inlineStr">
        <is>
          <t>Sveaskog</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46368-2023</t>
        </is>
      </c>
      <c r="B11734" s="1" t="n">
        <v>45193</v>
      </c>
      <c r="C11734" s="1" t="n">
        <v>45357</v>
      </c>
      <c r="D11734" t="inlineStr">
        <is>
          <t>VÄSTERBOTTENS LÄN</t>
        </is>
      </c>
      <c r="E11734" t="inlineStr">
        <is>
          <t>MALÅ</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45379-2023</t>
        </is>
      </c>
      <c r="B11735" s="1" t="n">
        <v>45193</v>
      </c>
      <c r="C11735" s="1" t="n">
        <v>45357</v>
      </c>
      <c r="D11735" t="inlineStr">
        <is>
          <t>VÄSTERBOTTENS LÄN</t>
        </is>
      </c>
      <c r="E11735" t="inlineStr">
        <is>
          <t>MALÅ</t>
        </is>
      </c>
      <c r="F11735" t="inlineStr">
        <is>
          <t>Sveaskog</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45383-2023</t>
        </is>
      </c>
      <c r="B11736" s="1" t="n">
        <v>45193</v>
      </c>
      <c r="C11736" s="1" t="n">
        <v>45357</v>
      </c>
      <c r="D11736" t="inlineStr">
        <is>
          <t>VÄSTERBOTTENS LÄN</t>
        </is>
      </c>
      <c r="E11736" t="inlineStr">
        <is>
          <t>MALÅ</t>
        </is>
      </c>
      <c r="F11736" t="inlineStr">
        <is>
          <t>Sveaskog</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45381-2023</t>
        </is>
      </c>
      <c r="B11737" s="1" t="n">
        <v>45193</v>
      </c>
      <c r="C11737" s="1" t="n">
        <v>45357</v>
      </c>
      <c r="D11737" t="inlineStr">
        <is>
          <t>VÄSTERBOTTENS LÄN</t>
        </is>
      </c>
      <c r="E11737" t="inlineStr">
        <is>
          <t>MALÅ</t>
        </is>
      </c>
      <c r="F11737" t="inlineStr">
        <is>
          <t>Sveaskog</t>
        </is>
      </c>
      <c r="G11737" t="n">
        <v>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46359-2023</t>
        </is>
      </c>
      <c r="B11738" s="1" t="n">
        <v>45193</v>
      </c>
      <c r="C11738" s="1" t="n">
        <v>45357</v>
      </c>
      <c r="D11738" t="inlineStr">
        <is>
          <t>VÄSTERBOTTENS LÄN</t>
        </is>
      </c>
      <c r="E11738" t="inlineStr">
        <is>
          <t>MALÅ</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46367-2023</t>
        </is>
      </c>
      <c r="B11739" s="1" t="n">
        <v>45193</v>
      </c>
      <c r="C11739" s="1" t="n">
        <v>45357</v>
      </c>
      <c r="D11739" t="inlineStr">
        <is>
          <t>VÄSTERBOTTENS LÄN</t>
        </is>
      </c>
      <c r="E11739" t="inlineStr">
        <is>
          <t>MALÅ</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46371-2023</t>
        </is>
      </c>
      <c r="B11740" s="1" t="n">
        <v>45193</v>
      </c>
      <c r="C11740" s="1" t="n">
        <v>45357</v>
      </c>
      <c r="D11740" t="inlineStr">
        <is>
          <t>VÄSTERBOTTENS LÄN</t>
        </is>
      </c>
      <c r="E11740" t="inlineStr">
        <is>
          <t>MALÅ</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45744-2023</t>
        </is>
      </c>
      <c r="B11741" s="1" t="n">
        <v>45193</v>
      </c>
      <c r="C11741" s="1" t="n">
        <v>45357</v>
      </c>
      <c r="D11741" t="inlineStr">
        <is>
          <t>VÄSTERBOTTENS LÄN</t>
        </is>
      </c>
      <c r="E11741" t="inlineStr">
        <is>
          <t>MALÅ</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46364-2023</t>
        </is>
      </c>
      <c r="B11742" s="1" t="n">
        <v>45193</v>
      </c>
      <c r="C11742" s="1" t="n">
        <v>45357</v>
      </c>
      <c r="D11742" t="inlineStr">
        <is>
          <t>VÄSTERBOTTENS LÄN</t>
        </is>
      </c>
      <c r="E11742" t="inlineStr">
        <is>
          <t>MALÅ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46369-2023</t>
        </is>
      </c>
      <c r="B11743" s="1" t="n">
        <v>45193</v>
      </c>
      <c r="C11743" s="1" t="n">
        <v>45357</v>
      </c>
      <c r="D11743" t="inlineStr">
        <is>
          <t>VÄSTERBOTTENS LÄN</t>
        </is>
      </c>
      <c r="E11743" t="inlineStr">
        <is>
          <t>MALÅ</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46377-2023</t>
        </is>
      </c>
      <c r="B11744" s="1" t="n">
        <v>45193</v>
      </c>
      <c r="C11744" s="1" t="n">
        <v>45357</v>
      </c>
      <c r="D11744" t="inlineStr">
        <is>
          <t>VÄSTERBOTTENS LÄN</t>
        </is>
      </c>
      <c r="E11744" t="inlineStr">
        <is>
          <t>MALÅ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46390-2023</t>
        </is>
      </c>
      <c r="B11745" s="1" t="n">
        <v>45193</v>
      </c>
      <c r="C11745" s="1" t="n">
        <v>45357</v>
      </c>
      <c r="D11745" t="inlineStr">
        <is>
          <t>VÄSTERBOTTENS LÄN</t>
        </is>
      </c>
      <c r="E11745" t="inlineStr">
        <is>
          <t>MALÅ</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46374-2023</t>
        </is>
      </c>
      <c r="B11746" s="1" t="n">
        <v>45193</v>
      </c>
      <c r="C11746" s="1" t="n">
        <v>45357</v>
      </c>
      <c r="D11746" t="inlineStr">
        <is>
          <t>VÄSTERBOTTENS LÄN</t>
        </is>
      </c>
      <c r="E11746" t="inlineStr">
        <is>
          <t>MALÅ</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46385-2023</t>
        </is>
      </c>
      <c r="B11747" s="1" t="n">
        <v>45193</v>
      </c>
      <c r="C11747" s="1" t="n">
        <v>45357</v>
      </c>
      <c r="D11747" t="inlineStr">
        <is>
          <t>VÄSTERBOTTENS LÄN</t>
        </is>
      </c>
      <c r="E11747" t="inlineStr">
        <is>
          <t>MALÅ</t>
        </is>
      </c>
      <c r="G11747" t="n">
        <v>14.7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46384-2023</t>
        </is>
      </c>
      <c r="B11748" s="1" t="n">
        <v>45193</v>
      </c>
      <c r="C11748" s="1" t="n">
        <v>45357</v>
      </c>
      <c r="D11748" t="inlineStr">
        <is>
          <t>VÄSTERBOTTENS LÄN</t>
        </is>
      </c>
      <c r="E11748" t="inlineStr">
        <is>
          <t>MALÅ</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46393-2023</t>
        </is>
      </c>
      <c r="B11749" s="1" t="n">
        <v>45193</v>
      </c>
      <c r="C11749" s="1" t="n">
        <v>45357</v>
      </c>
      <c r="D11749" t="inlineStr">
        <is>
          <t>VÄSTERBOTTENS LÄN</t>
        </is>
      </c>
      <c r="E11749" t="inlineStr">
        <is>
          <t>MALÅ</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45521-2023</t>
        </is>
      </c>
      <c r="B11750" s="1" t="n">
        <v>45194</v>
      </c>
      <c r="C11750" s="1" t="n">
        <v>45357</v>
      </c>
      <c r="D11750" t="inlineStr">
        <is>
          <t>VÄSTERBOTTENS LÄN</t>
        </is>
      </c>
      <c r="E11750" t="inlineStr">
        <is>
          <t>MALÅ</t>
        </is>
      </c>
      <c r="F11750" t="inlineStr">
        <is>
          <t>Sveaskog</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45546-2023</t>
        </is>
      </c>
      <c r="B11751" s="1" t="n">
        <v>45194</v>
      </c>
      <c r="C11751" s="1" t="n">
        <v>45357</v>
      </c>
      <c r="D11751" t="inlineStr">
        <is>
          <t>VÄSTERBOTTENS LÄN</t>
        </is>
      </c>
      <c r="E11751" t="inlineStr">
        <is>
          <t>MALÅ</t>
        </is>
      </c>
      <c r="F11751" t="inlineStr">
        <is>
          <t>Sveaskog</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45552-2023</t>
        </is>
      </c>
      <c r="B11752" s="1" t="n">
        <v>45194</v>
      </c>
      <c r="C11752" s="1" t="n">
        <v>45357</v>
      </c>
      <c r="D11752" t="inlineStr">
        <is>
          <t>VÄSTERBOTTENS LÄN</t>
        </is>
      </c>
      <c r="E11752" t="inlineStr">
        <is>
          <t>SKELLEFTEÅ</t>
        </is>
      </c>
      <c r="G11752" t="n">
        <v>18.3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45564-2023</t>
        </is>
      </c>
      <c r="B11753" s="1" t="n">
        <v>45194</v>
      </c>
      <c r="C11753" s="1" t="n">
        <v>45357</v>
      </c>
      <c r="D11753" t="inlineStr">
        <is>
          <t>VÄSTERBOTTENS LÄN</t>
        </is>
      </c>
      <c r="E11753" t="inlineStr">
        <is>
          <t>MALÅ</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45603-2023</t>
        </is>
      </c>
      <c r="B11754" s="1" t="n">
        <v>45194</v>
      </c>
      <c r="C11754" s="1" t="n">
        <v>45357</v>
      </c>
      <c r="D11754" t="inlineStr">
        <is>
          <t>VÄSTERBOTTENS LÄN</t>
        </is>
      </c>
      <c r="E11754" t="inlineStr">
        <is>
          <t>UMEÅ</t>
        </is>
      </c>
      <c r="F11754" t="inlineStr">
        <is>
          <t>Holmen skog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45622-2023</t>
        </is>
      </c>
      <c r="B11755" s="1" t="n">
        <v>45194</v>
      </c>
      <c r="C11755" s="1" t="n">
        <v>45357</v>
      </c>
      <c r="D11755" t="inlineStr">
        <is>
          <t>VÄSTERBOTTENS LÄN</t>
        </is>
      </c>
      <c r="E11755" t="inlineStr">
        <is>
          <t>ÅSELE</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45672-2023</t>
        </is>
      </c>
      <c r="B11756" s="1" t="n">
        <v>45194</v>
      </c>
      <c r="C11756" s="1" t="n">
        <v>45357</v>
      </c>
      <c r="D11756" t="inlineStr">
        <is>
          <t>VÄSTERBOTTENS LÄN</t>
        </is>
      </c>
      <c r="E11756" t="inlineStr">
        <is>
          <t>VILHELMINA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45673-2023</t>
        </is>
      </c>
      <c r="B11757" s="1" t="n">
        <v>45194</v>
      </c>
      <c r="C11757" s="1" t="n">
        <v>45357</v>
      </c>
      <c r="D11757" t="inlineStr">
        <is>
          <t>VÄSTERBOTTENS LÄN</t>
        </is>
      </c>
      <c r="E11757" t="inlineStr">
        <is>
          <t>VILHELMINA</t>
        </is>
      </c>
      <c r="G11757" t="n">
        <v>13.4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46504-2023</t>
        </is>
      </c>
      <c r="B11758" s="1" t="n">
        <v>45194</v>
      </c>
      <c r="C11758" s="1" t="n">
        <v>45357</v>
      </c>
      <c r="D11758" t="inlineStr">
        <is>
          <t>VÄSTERBOTTENS LÄN</t>
        </is>
      </c>
      <c r="E11758" t="inlineStr">
        <is>
          <t>SKELLEFTEÅ</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45498-2023</t>
        </is>
      </c>
      <c r="B11759" s="1" t="n">
        <v>45194</v>
      </c>
      <c r="C11759" s="1" t="n">
        <v>45357</v>
      </c>
      <c r="D11759" t="inlineStr">
        <is>
          <t>VÄSTERBOTTENS LÄN</t>
        </is>
      </c>
      <c r="E11759" t="inlineStr">
        <is>
          <t>SKELLEFTEÅ</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45533-2023</t>
        </is>
      </c>
      <c r="B11760" s="1" t="n">
        <v>45194</v>
      </c>
      <c r="C11760" s="1" t="n">
        <v>45357</v>
      </c>
      <c r="D11760" t="inlineStr">
        <is>
          <t>VÄSTERBOTTENS LÄN</t>
        </is>
      </c>
      <c r="E11760" t="inlineStr">
        <is>
          <t>MALÅ</t>
        </is>
      </c>
      <c r="F11760" t="inlineStr">
        <is>
          <t>Sveaskog</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45571-2023</t>
        </is>
      </c>
      <c r="B11761" s="1" t="n">
        <v>45194</v>
      </c>
      <c r="C11761" s="1" t="n">
        <v>45357</v>
      </c>
      <c r="D11761" t="inlineStr">
        <is>
          <t>VÄSTERBOTTENS LÄN</t>
        </is>
      </c>
      <c r="E11761" t="inlineStr">
        <is>
          <t>ROBERTSFORS</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45671-2023</t>
        </is>
      </c>
      <c r="B11762" s="1" t="n">
        <v>45194</v>
      </c>
      <c r="C11762" s="1" t="n">
        <v>45357</v>
      </c>
      <c r="D11762" t="inlineStr">
        <is>
          <t>VÄSTERBOTTENS LÄN</t>
        </is>
      </c>
      <c r="E11762" t="inlineStr">
        <is>
          <t>MALÅ</t>
        </is>
      </c>
      <c r="G11762" t="n">
        <v>9.800000000000001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46492-2023</t>
        </is>
      </c>
      <c r="B11763" s="1" t="n">
        <v>45194</v>
      </c>
      <c r="C11763" s="1" t="n">
        <v>45357</v>
      </c>
      <c r="D11763" t="inlineStr">
        <is>
          <t>VÄSTERBOTTENS LÄN</t>
        </is>
      </c>
      <c r="E11763" t="inlineStr">
        <is>
          <t>SKELLEFTEÅ</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45714-2023</t>
        </is>
      </c>
      <c r="B11764" s="1" t="n">
        <v>45195</v>
      </c>
      <c r="C11764" s="1" t="n">
        <v>45357</v>
      </c>
      <c r="D11764" t="inlineStr">
        <is>
          <t>VÄSTERBOTTENS LÄN</t>
        </is>
      </c>
      <c r="E11764" t="inlineStr">
        <is>
          <t>MALÅ</t>
        </is>
      </c>
      <c r="F11764" t="inlineStr">
        <is>
          <t>Sveaskog</t>
        </is>
      </c>
      <c r="G11764" t="n">
        <v>21.3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45719-2023</t>
        </is>
      </c>
      <c r="B11765" s="1" t="n">
        <v>45195</v>
      </c>
      <c r="C11765" s="1" t="n">
        <v>45357</v>
      </c>
      <c r="D11765" t="inlineStr">
        <is>
          <t>VÄSTERBOTTENS LÄN</t>
        </is>
      </c>
      <c r="E11765" t="inlineStr">
        <is>
          <t>MALÅ</t>
        </is>
      </c>
      <c r="F11765" t="inlineStr">
        <is>
          <t>Sveaskog</t>
        </is>
      </c>
      <c r="G11765" t="n">
        <v>12.5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45732-2023</t>
        </is>
      </c>
      <c r="B11766" s="1" t="n">
        <v>45195</v>
      </c>
      <c r="C11766" s="1" t="n">
        <v>45357</v>
      </c>
      <c r="D11766" t="inlineStr">
        <is>
          <t>VÄSTERBOTTENS LÄN</t>
        </is>
      </c>
      <c r="E11766" t="inlineStr">
        <is>
          <t>MALÅ</t>
        </is>
      </c>
      <c r="F11766" t="inlineStr">
        <is>
          <t>Sveaskog</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45711-2023</t>
        </is>
      </c>
      <c r="B11767" s="1" t="n">
        <v>45195</v>
      </c>
      <c r="C11767" s="1" t="n">
        <v>45357</v>
      </c>
      <c r="D11767" t="inlineStr">
        <is>
          <t>VÄSTERBOTTENS LÄN</t>
        </is>
      </c>
      <c r="E11767" t="inlineStr">
        <is>
          <t>MALÅ</t>
        </is>
      </c>
      <c r="F11767" t="inlineStr">
        <is>
          <t>Sveaskog</t>
        </is>
      </c>
      <c r="G11767" t="n">
        <v>32.9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45724-2023</t>
        </is>
      </c>
      <c r="B11768" s="1" t="n">
        <v>45195</v>
      </c>
      <c r="C11768" s="1" t="n">
        <v>45357</v>
      </c>
      <c r="D11768" t="inlineStr">
        <is>
          <t>VÄSTERBOTTENS LÄN</t>
        </is>
      </c>
      <c r="E11768" t="inlineStr">
        <is>
          <t>MALÅ</t>
        </is>
      </c>
      <c r="F11768" t="inlineStr">
        <is>
          <t>Sveaskog</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45825-2023</t>
        </is>
      </c>
      <c r="B11769" s="1" t="n">
        <v>45195</v>
      </c>
      <c r="C11769" s="1" t="n">
        <v>45357</v>
      </c>
      <c r="D11769" t="inlineStr">
        <is>
          <t>VÄSTERBOTTENS LÄN</t>
        </is>
      </c>
      <c r="E11769" t="inlineStr">
        <is>
          <t>NORSJÖ</t>
        </is>
      </c>
      <c r="F11769" t="inlineStr">
        <is>
          <t>Sveaskog</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45837-2023</t>
        </is>
      </c>
      <c r="B11770" s="1" t="n">
        <v>45195</v>
      </c>
      <c r="C11770" s="1" t="n">
        <v>45357</v>
      </c>
      <c r="D11770" t="inlineStr">
        <is>
          <t>VÄSTERBOTTENS LÄN</t>
        </is>
      </c>
      <c r="E11770" t="inlineStr">
        <is>
          <t>VINDELN</t>
        </is>
      </c>
      <c r="F11770" t="inlineStr">
        <is>
          <t>Holmen skog AB</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45819-2023</t>
        </is>
      </c>
      <c r="B11771" s="1" t="n">
        <v>45195</v>
      </c>
      <c r="C11771" s="1" t="n">
        <v>45357</v>
      </c>
      <c r="D11771" t="inlineStr">
        <is>
          <t>VÄSTERBOTTENS LÄN</t>
        </is>
      </c>
      <c r="E11771" t="inlineStr">
        <is>
          <t>NORSJÖ</t>
        </is>
      </c>
      <c r="F11771" t="inlineStr">
        <is>
          <t>Sveaskog</t>
        </is>
      </c>
      <c r="G11771" t="n">
        <v>8.1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45713-2023</t>
        </is>
      </c>
      <c r="B11772" s="1" t="n">
        <v>45195</v>
      </c>
      <c r="C11772" s="1" t="n">
        <v>45357</v>
      </c>
      <c r="D11772" t="inlineStr">
        <is>
          <t>VÄSTERBOTTENS LÄN</t>
        </is>
      </c>
      <c r="E11772" t="inlineStr">
        <is>
          <t>MALÅ</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45718-2023</t>
        </is>
      </c>
      <c r="B11773" s="1" t="n">
        <v>45195</v>
      </c>
      <c r="C11773" s="1" t="n">
        <v>45357</v>
      </c>
      <c r="D11773" t="inlineStr">
        <is>
          <t>VÄSTERBOTTENS LÄN</t>
        </is>
      </c>
      <c r="E11773" t="inlineStr">
        <is>
          <t>MALÅ</t>
        </is>
      </c>
      <c r="F11773" t="inlineStr">
        <is>
          <t>Sveaskog</t>
        </is>
      </c>
      <c r="G11773" t="n">
        <v>21.7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45957-2023</t>
        </is>
      </c>
      <c r="B11774" s="1" t="n">
        <v>45196</v>
      </c>
      <c r="C11774" s="1" t="n">
        <v>45357</v>
      </c>
      <c r="D11774" t="inlineStr">
        <is>
          <t>VÄSTERBOTTENS LÄN</t>
        </is>
      </c>
      <c r="E11774" t="inlineStr">
        <is>
          <t>DOROTEA</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45970-2023</t>
        </is>
      </c>
      <c r="B11775" s="1" t="n">
        <v>45195</v>
      </c>
      <c r="C11775" s="1" t="n">
        <v>45357</v>
      </c>
      <c r="D11775" t="inlineStr">
        <is>
          <t>VÄSTERBOTTENS LÄN</t>
        </is>
      </c>
      <c r="E11775" t="inlineStr">
        <is>
          <t>VILHELMINA</t>
        </is>
      </c>
      <c r="F11775" t="inlineStr">
        <is>
          <t>SCA</t>
        </is>
      </c>
      <c r="G11775" t="n">
        <v>5.4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46280-2023</t>
        </is>
      </c>
      <c r="B11776" s="1" t="n">
        <v>45195</v>
      </c>
      <c r="C11776" s="1" t="n">
        <v>45357</v>
      </c>
      <c r="D11776" t="inlineStr">
        <is>
          <t>VÄSTERBOTTENS LÄN</t>
        </is>
      </c>
      <c r="E11776" t="inlineStr">
        <is>
          <t>MALÅ</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45971-2023</t>
        </is>
      </c>
      <c r="B11777" s="1" t="n">
        <v>45195</v>
      </c>
      <c r="C11777" s="1" t="n">
        <v>45357</v>
      </c>
      <c r="D11777" t="inlineStr">
        <is>
          <t>VÄSTERBOTTENS LÄN</t>
        </is>
      </c>
      <c r="E11777" t="inlineStr">
        <is>
          <t>VILHELMINA</t>
        </is>
      </c>
      <c r="F11777" t="inlineStr">
        <is>
          <t>SCA</t>
        </is>
      </c>
      <c r="G11777" t="n">
        <v>48.3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46630-2023</t>
        </is>
      </c>
      <c r="B11778" s="1" t="n">
        <v>45195</v>
      </c>
      <c r="C11778" s="1" t="n">
        <v>45357</v>
      </c>
      <c r="D11778" t="inlineStr">
        <is>
          <t>VÄSTERBOTTENS LÄN</t>
        </is>
      </c>
      <c r="E11778" t="inlineStr">
        <is>
          <t>SORSELE</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45788-2023</t>
        </is>
      </c>
      <c r="B11779" s="1" t="n">
        <v>45195</v>
      </c>
      <c r="C11779" s="1" t="n">
        <v>45357</v>
      </c>
      <c r="D11779" t="inlineStr">
        <is>
          <t>VÄSTERBOTTENS LÄN</t>
        </is>
      </c>
      <c r="E11779" t="inlineStr">
        <is>
          <t>NORDMALING</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45817-2023</t>
        </is>
      </c>
      <c r="B11780" s="1" t="n">
        <v>45195</v>
      </c>
      <c r="C11780" s="1" t="n">
        <v>45357</v>
      </c>
      <c r="D11780" t="inlineStr">
        <is>
          <t>VÄSTERBOTTENS LÄN</t>
        </is>
      </c>
      <c r="E11780" t="inlineStr">
        <is>
          <t>NORSJÖ</t>
        </is>
      </c>
      <c r="F11780" t="inlineStr">
        <is>
          <t>Sveaskog</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45927-2023</t>
        </is>
      </c>
      <c r="B11781" s="1" t="n">
        <v>45196</v>
      </c>
      <c r="C11781" s="1" t="n">
        <v>45357</v>
      </c>
      <c r="D11781" t="inlineStr">
        <is>
          <t>VÄSTERBOTTENS LÄN</t>
        </is>
      </c>
      <c r="E11781" t="inlineStr">
        <is>
          <t>VILHELMINA</t>
        </is>
      </c>
      <c r="G11781" t="n">
        <v>4.7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45948-2023</t>
        </is>
      </c>
      <c r="B11782" s="1" t="n">
        <v>45196</v>
      </c>
      <c r="C11782" s="1" t="n">
        <v>45357</v>
      </c>
      <c r="D11782" t="inlineStr">
        <is>
          <t>VÄSTERBOTTENS LÄN</t>
        </is>
      </c>
      <c r="E11782" t="inlineStr">
        <is>
          <t>DOROTEA</t>
        </is>
      </c>
      <c r="F11782" t="inlineStr">
        <is>
          <t>SCA</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45956-2023</t>
        </is>
      </c>
      <c r="B11783" s="1" t="n">
        <v>45196</v>
      </c>
      <c r="C11783" s="1" t="n">
        <v>45357</v>
      </c>
      <c r="D11783" t="inlineStr">
        <is>
          <t>VÄSTERBOTTENS LÄN</t>
        </is>
      </c>
      <c r="E11783" t="inlineStr">
        <is>
          <t>DOROTEA</t>
        </is>
      </c>
      <c r="F11783" t="inlineStr">
        <is>
          <t>SCA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45965-2023</t>
        </is>
      </c>
      <c r="B11784" s="1" t="n">
        <v>45196</v>
      </c>
      <c r="C11784" s="1" t="n">
        <v>45357</v>
      </c>
      <c r="D11784" t="inlineStr">
        <is>
          <t>VÄSTERBOTTENS LÄN</t>
        </is>
      </c>
      <c r="E11784" t="inlineStr">
        <is>
          <t>VILHELMINA</t>
        </is>
      </c>
      <c r="F11784" t="inlineStr">
        <is>
          <t>SCA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45907-2023</t>
        </is>
      </c>
      <c r="B11785" s="1" t="n">
        <v>45195</v>
      </c>
      <c r="C11785" s="1" t="n">
        <v>45357</v>
      </c>
      <c r="D11785" t="inlineStr">
        <is>
          <t>VÄSTERBOTTENS LÄN</t>
        </is>
      </c>
      <c r="E11785" t="inlineStr">
        <is>
          <t>NORSJÖ</t>
        </is>
      </c>
      <c r="F11785" t="inlineStr">
        <is>
          <t>Sveaskog</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45926-2023</t>
        </is>
      </c>
      <c r="B11786" s="1" t="n">
        <v>45196</v>
      </c>
      <c r="C11786" s="1" t="n">
        <v>45357</v>
      </c>
      <c r="D11786" t="inlineStr">
        <is>
          <t>VÄSTERBOTTENS LÄN</t>
        </is>
      </c>
      <c r="E11786" t="inlineStr">
        <is>
          <t>VILHELMINA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45964-2023</t>
        </is>
      </c>
      <c r="B11787" s="1" t="n">
        <v>45195</v>
      </c>
      <c r="C11787" s="1" t="n">
        <v>45357</v>
      </c>
      <c r="D11787" t="inlineStr">
        <is>
          <t>VÄSTERBOTTENS LÄN</t>
        </is>
      </c>
      <c r="E11787" t="inlineStr">
        <is>
          <t>VILHELMINA</t>
        </is>
      </c>
      <c r="F11787" t="inlineStr">
        <is>
          <t>SCA</t>
        </is>
      </c>
      <c r="G11787" t="n">
        <v>17.2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45972-2023</t>
        </is>
      </c>
      <c r="B11788" s="1" t="n">
        <v>45195</v>
      </c>
      <c r="C11788" s="1" t="n">
        <v>45357</v>
      </c>
      <c r="D11788" t="inlineStr">
        <is>
          <t>VÄSTERBOTTENS LÄN</t>
        </is>
      </c>
      <c r="E11788" t="inlineStr">
        <is>
          <t>VILHELMINA</t>
        </is>
      </c>
      <c r="F11788" t="inlineStr">
        <is>
          <t>SCA</t>
        </is>
      </c>
      <c r="G11788" t="n">
        <v>9.300000000000001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46063-2023</t>
        </is>
      </c>
      <c r="B11789" s="1" t="n">
        <v>45196</v>
      </c>
      <c r="C11789" s="1" t="n">
        <v>45357</v>
      </c>
      <c r="D11789" t="inlineStr">
        <is>
          <t>VÄSTERBOTTENS LÄN</t>
        </is>
      </c>
      <c r="E11789" t="inlineStr">
        <is>
          <t>MALÅ</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46278-2023</t>
        </is>
      </c>
      <c r="B11790" s="1" t="n">
        <v>45196</v>
      </c>
      <c r="C11790" s="1" t="n">
        <v>45357</v>
      </c>
      <c r="D11790" t="inlineStr">
        <is>
          <t>VÄSTERBOTTENS LÄN</t>
        </is>
      </c>
      <c r="E11790" t="inlineStr">
        <is>
          <t>MALÅ</t>
        </is>
      </c>
      <c r="F11790" t="inlineStr">
        <is>
          <t>SCA</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46132-2023</t>
        </is>
      </c>
      <c r="B11791" s="1" t="n">
        <v>45196</v>
      </c>
      <c r="C11791" s="1" t="n">
        <v>45357</v>
      </c>
      <c r="D11791" t="inlineStr">
        <is>
          <t>VÄSTERBOTTENS LÄN</t>
        </is>
      </c>
      <c r="E11791" t="inlineStr">
        <is>
          <t>LYCKSELE</t>
        </is>
      </c>
      <c r="F11791" t="inlineStr">
        <is>
          <t>Sveaskog</t>
        </is>
      </c>
      <c r="G11791" t="n">
        <v>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46176-2023</t>
        </is>
      </c>
      <c r="B11792" s="1" t="n">
        <v>45196</v>
      </c>
      <c r="C11792" s="1" t="n">
        <v>45357</v>
      </c>
      <c r="D11792" t="inlineStr">
        <is>
          <t>VÄSTERBOTTENS LÄN</t>
        </is>
      </c>
      <c r="E11792" t="inlineStr">
        <is>
          <t>LYCKSELE</t>
        </is>
      </c>
      <c r="F11792" t="inlineStr">
        <is>
          <t>Sveaskog</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46173-2023</t>
        </is>
      </c>
      <c r="B11793" s="1" t="n">
        <v>45196</v>
      </c>
      <c r="C11793" s="1" t="n">
        <v>45357</v>
      </c>
      <c r="D11793" t="inlineStr">
        <is>
          <t>VÄSTERBOTTENS LÄN</t>
        </is>
      </c>
      <c r="E11793" t="inlineStr">
        <is>
          <t>ÅSELE</t>
        </is>
      </c>
      <c r="F11793" t="inlineStr">
        <is>
          <t>Sveaskog</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46183-2023</t>
        </is>
      </c>
      <c r="B11794" s="1" t="n">
        <v>45196</v>
      </c>
      <c r="C11794" s="1" t="n">
        <v>45357</v>
      </c>
      <c r="D11794" t="inlineStr">
        <is>
          <t>VÄSTERBOTTENS LÄN</t>
        </is>
      </c>
      <c r="E11794" t="inlineStr">
        <is>
          <t>LYCKSELE</t>
        </is>
      </c>
      <c r="F11794" t="inlineStr">
        <is>
          <t>Sveaskog</t>
        </is>
      </c>
      <c r="G11794" t="n">
        <v>6.1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46224-2023</t>
        </is>
      </c>
      <c r="B11795" s="1" t="n">
        <v>45196</v>
      </c>
      <c r="C11795" s="1" t="n">
        <v>45357</v>
      </c>
      <c r="D11795" t="inlineStr">
        <is>
          <t>VÄSTERBOTTENS LÄN</t>
        </is>
      </c>
      <c r="E11795" t="inlineStr">
        <is>
          <t>ÅSELE</t>
        </is>
      </c>
      <c r="F11795" t="inlineStr">
        <is>
          <t>Naturvårdsverket</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46251-2023</t>
        </is>
      </c>
      <c r="B11796" s="1" t="n">
        <v>45196</v>
      </c>
      <c r="C11796" s="1" t="n">
        <v>45357</v>
      </c>
      <c r="D11796" t="inlineStr">
        <is>
          <t>VÄSTERBOTTENS LÄN</t>
        </is>
      </c>
      <c r="E11796" t="inlineStr">
        <is>
          <t>NORSJÖ</t>
        </is>
      </c>
      <c r="G11796" t="n">
        <v>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47270-2023</t>
        </is>
      </c>
      <c r="B11797" s="1" t="n">
        <v>45196</v>
      </c>
      <c r="C11797" s="1" t="n">
        <v>45357</v>
      </c>
      <c r="D11797" t="inlineStr">
        <is>
          <t>VÄSTERBOTTENS LÄN</t>
        </is>
      </c>
      <c r="E11797" t="inlineStr">
        <is>
          <t>VINDELN</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47306-2023</t>
        </is>
      </c>
      <c r="B11798" s="1" t="n">
        <v>45196</v>
      </c>
      <c r="C11798" s="1" t="n">
        <v>45357</v>
      </c>
      <c r="D11798" t="inlineStr">
        <is>
          <t>VÄSTERBOTTENS LÄN</t>
        </is>
      </c>
      <c r="E11798" t="inlineStr">
        <is>
          <t>BJURHOLM</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46292-2023</t>
        </is>
      </c>
      <c r="B11799" s="1" t="n">
        <v>45197</v>
      </c>
      <c r="C11799" s="1" t="n">
        <v>45357</v>
      </c>
      <c r="D11799" t="inlineStr">
        <is>
          <t>VÄSTERBOTTENS LÄN</t>
        </is>
      </c>
      <c r="E11799" t="inlineStr">
        <is>
          <t>ROBERTSFORS</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46308-2023</t>
        </is>
      </c>
      <c r="B11800" s="1" t="n">
        <v>45197</v>
      </c>
      <c r="C11800" s="1" t="n">
        <v>45357</v>
      </c>
      <c r="D11800" t="inlineStr">
        <is>
          <t>VÄSTERBOTTENS LÄN</t>
        </is>
      </c>
      <c r="E11800" t="inlineStr">
        <is>
          <t>VINDELN</t>
        </is>
      </c>
      <c r="F11800" t="inlineStr">
        <is>
          <t>Holmen skog AB</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46326-2023</t>
        </is>
      </c>
      <c r="B11801" s="1" t="n">
        <v>45197</v>
      </c>
      <c r="C11801" s="1" t="n">
        <v>45357</v>
      </c>
      <c r="D11801" t="inlineStr">
        <is>
          <t>VÄSTERBOTTENS LÄN</t>
        </is>
      </c>
      <c r="E11801" t="inlineStr">
        <is>
          <t>NORDMALING</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46331-2023</t>
        </is>
      </c>
      <c r="B11802" s="1" t="n">
        <v>45197</v>
      </c>
      <c r="C11802" s="1" t="n">
        <v>45357</v>
      </c>
      <c r="D11802" t="inlineStr">
        <is>
          <t>VÄSTERBOTTENS LÄN</t>
        </is>
      </c>
      <c r="E11802" t="inlineStr">
        <is>
          <t>ROBERTSFORS</t>
        </is>
      </c>
      <c r="F11802" t="inlineStr">
        <is>
          <t>Holmen skog AB</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46372-2023</t>
        </is>
      </c>
      <c r="B11803" s="1" t="n">
        <v>45197</v>
      </c>
      <c r="C11803" s="1" t="n">
        <v>45357</v>
      </c>
      <c r="D11803" t="inlineStr">
        <is>
          <t>VÄSTERBOTTENS LÄN</t>
        </is>
      </c>
      <c r="E11803" t="inlineStr">
        <is>
          <t>UMEÅ</t>
        </is>
      </c>
      <c r="F11803" t="inlineStr">
        <is>
          <t>Holmen skog AB</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46412-2023</t>
        </is>
      </c>
      <c r="B11804" s="1" t="n">
        <v>45197</v>
      </c>
      <c r="C11804" s="1" t="n">
        <v>45357</v>
      </c>
      <c r="D11804" t="inlineStr">
        <is>
          <t>VÄSTERBOTTENS LÄN</t>
        </is>
      </c>
      <c r="E11804" t="inlineStr">
        <is>
          <t>ROBERTSFORS</t>
        </is>
      </c>
      <c r="F11804" t="inlineStr">
        <is>
          <t>Holmen skog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46440-2023</t>
        </is>
      </c>
      <c r="B11805" s="1" t="n">
        <v>45197</v>
      </c>
      <c r="C11805" s="1" t="n">
        <v>45357</v>
      </c>
      <c r="D11805" t="inlineStr">
        <is>
          <t>VÄSTERBOTTENS LÄN</t>
        </is>
      </c>
      <c r="E11805" t="inlineStr">
        <is>
          <t>SKELLEFTEÅ</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46458-2023</t>
        </is>
      </c>
      <c r="B11806" s="1" t="n">
        <v>45197</v>
      </c>
      <c r="C11806" s="1" t="n">
        <v>45357</v>
      </c>
      <c r="D11806" t="inlineStr">
        <is>
          <t>VÄSTERBOTTENS LÄN</t>
        </is>
      </c>
      <c r="E11806" t="inlineStr">
        <is>
          <t>MALÅ</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46540-2023</t>
        </is>
      </c>
      <c r="B11807" s="1" t="n">
        <v>45198</v>
      </c>
      <c r="C11807" s="1" t="n">
        <v>45357</v>
      </c>
      <c r="D11807" t="inlineStr">
        <is>
          <t>VÄSTERBOTTENS LÄN</t>
        </is>
      </c>
      <c r="E11807" t="inlineStr">
        <is>
          <t>SKELLEFTEÅ</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46535-2023</t>
        </is>
      </c>
      <c r="B11808" s="1" t="n">
        <v>45197</v>
      </c>
      <c r="C11808" s="1" t="n">
        <v>45357</v>
      </c>
      <c r="D11808" t="inlineStr">
        <is>
          <t>VÄSTERBOTTENS LÄN</t>
        </is>
      </c>
      <c r="E11808" t="inlineStr">
        <is>
          <t>NORSJÖ</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46539-2023</t>
        </is>
      </c>
      <c r="B11809" s="1" t="n">
        <v>45198</v>
      </c>
      <c r="C11809" s="1" t="n">
        <v>45357</v>
      </c>
      <c r="D11809" t="inlineStr">
        <is>
          <t>VÄSTERBOTTENS LÄN</t>
        </is>
      </c>
      <c r="E11809" t="inlineStr">
        <is>
          <t>SKELLEFTEÅ</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46388-2023</t>
        </is>
      </c>
      <c r="B11810" s="1" t="n">
        <v>45197</v>
      </c>
      <c r="C11810" s="1" t="n">
        <v>45357</v>
      </c>
      <c r="D11810" t="inlineStr">
        <is>
          <t>VÄSTERBOTTENS LÄN</t>
        </is>
      </c>
      <c r="E11810" t="inlineStr">
        <is>
          <t>ROBERTSFORS</t>
        </is>
      </c>
      <c r="F11810" t="inlineStr">
        <is>
          <t>Holmen skog AB</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46456-2023</t>
        </is>
      </c>
      <c r="B11811" s="1" t="n">
        <v>45197</v>
      </c>
      <c r="C11811" s="1" t="n">
        <v>45357</v>
      </c>
      <c r="D11811" t="inlineStr">
        <is>
          <t>VÄSTERBOTTENS LÄN</t>
        </is>
      </c>
      <c r="E11811" t="inlineStr">
        <is>
          <t>ROBERTSFORS</t>
        </is>
      </c>
      <c r="F11811" t="inlineStr">
        <is>
          <t>Holmen skog AB</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46541-2023</t>
        </is>
      </c>
      <c r="B11812" s="1" t="n">
        <v>45198</v>
      </c>
      <c r="C11812" s="1" t="n">
        <v>45357</v>
      </c>
      <c r="D11812" t="inlineStr">
        <is>
          <t>VÄSTERBOTTENS LÄN</t>
        </is>
      </c>
      <c r="E11812" t="inlineStr">
        <is>
          <t>SKELLEFTEÅ</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46320-2023</t>
        </is>
      </c>
      <c r="B11813" s="1" t="n">
        <v>45197</v>
      </c>
      <c r="C11813" s="1" t="n">
        <v>45357</v>
      </c>
      <c r="D11813" t="inlineStr">
        <is>
          <t>VÄSTERBOTTENS LÄN</t>
        </is>
      </c>
      <c r="E11813" t="inlineStr">
        <is>
          <t>UMEÅ</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46336-2023</t>
        </is>
      </c>
      <c r="B11814" s="1" t="n">
        <v>45197</v>
      </c>
      <c r="C11814" s="1" t="n">
        <v>45357</v>
      </c>
      <c r="D11814" t="inlineStr">
        <is>
          <t>VÄSTERBOTTENS LÄN</t>
        </is>
      </c>
      <c r="E11814" t="inlineStr">
        <is>
          <t>VINDELN</t>
        </is>
      </c>
      <c r="F11814" t="inlineStr">
        <is>
          <t>Holmen skog AB</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46356-2023</t>
        </is>
      </c>
      <c r="B11815" s="1" t="n">
        <v>45197</v>
      </c>
      <c r="C11815" s="1" t="n">
        <v>45357</v>
      </c>
      <c r="D11815" t="inlineStr">
        <is>
          <t>VÄSTERBOTTENS LÄN</t>
        </is>
      </c>
      <c r="E11815" t="inlineStr">
        <is>
          <t>UMEÅ</t>
        </is>
      </c>
      <c r="F11815" t="inlineStr">
        <is>
          <t>Holmen skog AB</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46427-2023</t>
        </is>
      </c>
      <c r="B11816" s="1" t="n">
        <v>45197</v>
      </c>
      <c r="C11816" s="1" t="n">
        <v>45357</v>
      </c>
      <c r="D11816" t="inlineStr">
        <is>
          <t>VÄSTERBOTTENS LÄN</t>
        </is>
      </c>
      <c r="E11816" t="inlineStr">
        <is>
          <t>ROBERTSFORS</t>
        </is>
      </c>
      <c r="F11816" t="inlineStr">
        <is>
          <t>Holmen skog AB</t>
        </is>
      </c>
      <c r="G11816" t="n">
        <v>5.2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46448-2023</t>
        </is>
      </c>
      <c r="B11817" s="1" t="n">
        <v>45197</v>
      </c>
      <c r="C11817" s="1" t="n">
        <v>45357</v>
      </c>
      <c r="D11817" t="inlineStr">
        <is>
          <t>VÄSTERBOTTENS LÄN</t>
        </is>
      </c>
      <c r="E11817" t="inlineStr">
        <is>
          <t>SKELLEFTEÅ</t>
        </is>
      </c>
      <c r="G11817" t="n">
        <v>8.9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46538-2023</t>
        </is>
      </c>
      <c r="B11818" s="1" t="n">
        <v>45198</v>
      </c>
      <c r="C11818" s="1" t="n">
        <v>45357</v>
      </c>
      <c r="D11818" t="inlineStr">
        <is>
          <t>VÄSTERBOTTENS LÄN</t>
        </is>
      </c>
      <c r="E11818" t="inlineStr">
        <is>
          <t>SKELLEFTEÅ</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46547-2023</t>
        </is>
      </c>
      <c r="B11819" s="1" t="n">
        <v>45198</v>
      </c>
      <c r="C11819" s="1" t="n">
        <v>45357</v>
      </c>
      <c r="D11819" t="inlineStr">
        <is>
          <t>VÄSTERBOTTENS LÄN</t>
        </is>
      </c>
      <c r="E11819" t="inlineStr">
        <is>
          <t>VILHELMINA</t>
        </is>
      </c>
      <c r="F11819" t="inlineStr">
        <is>
          <t>SCA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47447-2023</t>
        </is>
      </c>
      <c r="B11820" s="1" t="n">
        <v>45197</v>
      </c>
      <c r="C11820" s="1" t="n">
        <v>45357</v>
      </c>
      <c r="D11820" t="inlineStr">
        <is>
          <t>VÄSTERBOTTENS LÄN</t>
        </is>
      </c>
      <c r="E11820" t="inlineStr">
        <is>
          <t>SKELLEFTEÅ</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47434-2023</t>
        </is>
      </c>
      <c r="B11821" s="1" t="n">
        <v>45197</v>
      </c>
      <c r="C11821" s="1" t="n">
        <v>45357</v>
      </c>
      <c r="D11821" t="inlineStr">
        <is>
          <t>VÄSTERBOTTENS LÄN</t>
        </is>
      </c>
      <c r="E11821" t="inlineStr">
        <is>
          <t>MALÅ</t>
        </is>
      </c>
      <c r="G11821" t="n">
        <v>10.9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47442-2023</t>
        </is>
      </c>
      <c r="B11822" s="1" t="n">
        <v>45197</v>
      </c>
      <c r="C11822" s="1" t="n">
        <v>45357</v>
      </c>
      <c r="D11822" t="inlineStr">
        <is>
          <t>VÄSTERBOTTENS LÄN</t>
        </is>
      </c>
      <c r="E11822" t="inlineStr">
        <is>
          <t>MALÅ</t>
        </is>
      </c>
      <c r="G11822" t="n">
        <v>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46648-2023</t>
        </is>
      </c>
      <c r="B11823" s="1" t="n">
        <v>45197</v>
      </c>
      <c r="C11823" s="1" t="n">
        <v>45357</v>
      </c>
      <c r="D11823" t="inlineStr">
        <is>
          <t>VÄSTERBOTTENS LÄN</t>
        </is>
      </c>
      <c r="E11823" t="inlineStr">
        <is>
          <t>MALÅ</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46584-2023</t>
        </is>
      </c>
      <c r="B11824" s="1" t="n">
        <v>45198</v>
      </c>
      <c r="C11824" s="1" t="n">
        <v>45357</v>
      </c>
      <c r="D11824" t="inlineStr">
        <is>
          <t>VÄSTERBOTTENS LÄN</t>
        </is>
      </c>
      <c r="E11824" t="inlineStr">
        <is>
          <t>SKELLEFTEÅ</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46649-2023</t>
        </is>
      </c>
      <c r="B11825" s="1" t="n">
        <v>45198</v>
      </c>
      <c r="C11825" s="1" t="n">
        <v>45357</v>
      </c>
      <c r="D11825" t="inlineStr">
        <is>
          <t>VÄSTERBOTTENS LÄN</t>
        </is>
      </c>
      <c r="E11825" t="inlineStr">
        <is>
          <t>UMEÅ</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46653-2023</t>
        </is>
      </c>
      <c r="B11826" s="1" t="n">
        <v>45198</v>
      </c>
      <c r="C11826" s="1" t="n">
        <v>45357</v>
      </c>
      <c r="D11826" t="inlineStr">
        <is>
          <t>VÄSTERBOTTENS LÄN</t>
        </is>
      </c>
      <c r="E11826" t="inlineStr">
        <is>
          <t>UMEÅ</t>
        </is>
      </c>
      <c r="G11826" t="n">
        <v>8.800000000000001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46658-2023</t>
        </is>
      </c>
      <c r="B11827" s="1" t="n">
        <v>45198</v>
      </c>
      <c r="C11827" s="1" t="n">
        <v>45357</v>
      </c>
      <c r="D11827" t="inlineStr">
        <is>
          <t>VÄSTERBOTTENS LÄN</t>
        </is>
      </c>
      <c r="E11827" t="inlineStr">
        <is>
          <t>VINDELN</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46662-2023</t>
        </is>
      </c>
      <c r="B11828" s="1" t="n">
        <v>45198</v>
      </c>
      <c r="C11828" s="1" t="n">
        <v>45357</v>
      </c>
      <c r="D11828" t="inlineStr">
        <is>
          <t>VÄSTERBOTTENS LÄN</t>
        </is>
      </c>
      <c r="E11828" t="inlineStr">
        <is>
          <t>BJURHOLM</t>
        </is>
      </c>
      <c r="F11828" t="inlineStr">
        <is>
          <t>Holmen skog AB</t>
        </is>
      </c>
      <c r="G11828" t="n">
        <v>10.1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46696-2023</t>
        </is>
      </c>
      <c r="B11829" s="1" t="n">
        <v>45198</v>
      </c>
      <c r="C11829" s="1" t="n">
        <v>45357</v>
      </c>
      <c r="D11829" t="inlineStr">
        <is>
          <t>VÄSTERBOTTENS LÄN</t>
        </is>
      </c>
      <c r="E11829" t="inlineStr">
        <is>
          <t>ÅSELE</t>
        </is>
      </c>
      <c r="F11829" t="inlineStr">
        <is>
          <t>Sveaskog</t>
        </is>
      </c>
      <c r="G11829" t="n">
        <v>14.5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46685-2023</t>
        </is>
      </c>
      <c r="B11830" s="1" t="n">
        <v>45198</v>
      </c>
      <c r="C11830" s="1" t="n">
        <v>45357</v>
      </c>
      <c r="D11830" t="inlineStr">
        <is>
          <t>VÄSTERBOTTENS LÄN</t>
        </is>
      </c>
      <c r="E11830" t="inlineStr">
        <is>
          <t>VINDELN</t>
        </is>
      </c>
      <c r="F11830" t="inlineStr">
        <is>
          <t>Sveaskog</t>
        </is>
      </c>
      <c r="G11830" t="n">
        <v>45.8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46693-2023</t>
        </is>
      </c>
      <c r="B11831" s="1" t="n">
        <v>45198</v>
      </c>
      <c r="C11831" s="1" t="n">
        <v>45357</v>
      </c>
      <c r="D11831" t="inlineStr">
        <is>
          <t>VÄSTERBOTTENS LÄN</t>
        </is>
      </c>
      <c r="E11831" t="inlineStr">
        <is>
          <t>ÅSELE</t>
        </is>
      </c>
      <c r="F11831" t="inlineStr">
        <is>
          <t>Sveaskog</t>
        </is>
      </c>
      <c r="G11831" t="n">
        <v>14.8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46727-2023</t>
        </is>
      </c>
      <c r="B11832" s="1" t="n">
        <v>45198</v>
      </c>
      <c r="C11832" s="1" t="n">
        <v>45357</v>
      </c>
      <c r="D11832" t="inlineStr">
        <is>
          <t>VÄSTERBOTTENS LÄN</t>
        </is>
      </c>
      <c r="E11832" t="inlineStr">
        <is>
          <t>UMEÅ</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46746-2023</t>
        </is>
      </c>
      <c r="B11833" s="1" t="n">
        <v>45198</v>
      </c>
      <c r="C11833" s="1" t="n">
        <v>45357</v>
      </c>
      <c r="D11833" t="inlineStr">
        <is>
          <t>VÄSTERBOTTENS LÄN</t>
        </is>
      </c>
      <c r="E11833" t="inlineStr">
        <is>
          <t>UMEÅ</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46803-2023</t>
        </is>
      </c>
      <c r="B11834" s="1" t="n">
        <v>45198</v>
      </c>
      <c r="C11834" s="1" t="n">
        <v>45357</v>
      </c>
      <c r="D11834" t="inlineStr">
        <is>
          <t>VÄSTERBOTTENS LÄN</t>
        </is>
      </c>
      <c r="E11834" t="inlineStr">
        <is>
          <t>NORSJÖ</t>
        </is>
      </c>
      <c r="G11834" t="n">
        <v>9.1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46819-2023</t>
        </is>
      </c>
      <c r="B11835" s="1" t="n">
        <v>45198</v>
      </c>
      <c r="C11835" s="1" t="n">
        <v>45357</v>
      </c>
      <c r="D11835" t="inlineStr">
        <is>
          <t>VÄSTERBOTTENS LÄN</t>
        </is>
      </c>
      <c r="E11835" t="inlineStr">
        <is>
          <t>DOROTEA</t>
        </is>
      </c>
      <c r="F11835" t="inlineStr">
        <is>
          <t>SCA</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46614-2023</t>
        </is>
      </c>
      <c r="B11836" s="1" t="n">
        <v>45198</v>
      </c>
      <c r="C11836" s="1" t="n">
        <v>45357</v>
      </c>
      <c r="D11836" t="inlineStr">
        <is>
          <t>VÄSTERBOTTENS LÄN</t>
        </is>
      </c>
      <c r="E11836" t="inlineStr">
        <is>
          <t>BJURHOLM</t>
        </is>
      </c>
      <c r="F11836" t="inlineStr">
        <is>
          <t>Holmen skog AB</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46638-2023</t>
        </is>
      </c>
      <c r="B11837" s="1" t="n">
        <v>45198</v>
      </c>
      <c r="C11837" s="1" t="n">
        <v>45357</v>
      </c>
      <c r="D11837" t="inlineStr">
        <is>
          <t>VÄSTERBOTTENS LÄN</t>
        </is>
      </c>
      <c r="E11837" t="inlineStr">
        <is>
          <t>LYCKSELE</t>
        </is>
      </c>
      <c r="F11837" t="inlineStr">
        <is>
          <t>Sveaskog</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46686-2023</t>
        </is>
      </c>
      <c r="B11838" s="1" t="n">
        <v>45198</v>
      </c>
      <c r="C11838" s="1" t="n">
        <v>45357</v>
      </c>
      <c r="D11838" t="inlineStr">
        <is>
          <t>VÄSTERBOTTENS LÄN</t>
        </is>
      </c>
      <c r="E11838" t="inlineStr">
        <is>
          <t>VINDELN</t>
        </is>
      </c>
      <c r="F11838" t="inlineStr">
        <is>
          <t>Sveaskog</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46773-2023</t>
        </is>
      </c>
      <c r="B11839" s="1" t="n">
        <v>45198</v>
      </c>
      <c r="C11839" s="1" t="n">
        <v>45357</v>
      </c>
      <c r="D11839" t="inlineStr">
        <is>
          <t>VÄSTERBOTTENS LÄN</t>
        </is>
      </c>
      <c r="E11839" t="inlineStr">
        <is>
          <t>UMEÅ</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46825-2023</t>
        </is>
      </c>
      <c r="B11840" s="1" t="n">
        <v>45199</v>
      </c>
      <c r="C11840" s="1" t="n">
        <v>45357</v>
      </c>
      <c r="D11840" t="inlineStr">
        <is>
          <t>VÄSTERBOTTENS LÄN</t>
        </is>
      </c>
      <c r="E11840" t="inlineStr">
        <is>
          <t>ÅSELE</t>
        </is>
      </c>
      <c r="F11840" t="inlineStr">
        <is>
          <t>SCA</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46590-2023</t>
        </is>
      </c>
      <c r="B11841" s="1" t="n">
        <v>45198</v>
      </c>
      <c r="C11841" s="1" t="n">
        <v>45357</v>
      </c>
      <c r="D11841" t="inlineStr">
        <is>
          <t>VÄSTERBOTTENS LÄN</t>
        </is>
      </c>
      <c r="E11841" t="inlineStr">
        <is>
          <t>SKELLEFTEÅ</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46691-2023</t>
        </is>
      </c>
      <c r="B11842" s="1" t="n">
        <v>45198</v>
      </c>
      <c r="C11842" s="1" t="n">
        <v>45357</v>
      </c>
      <c r="D11842" t="inlineStr">
        <is>
          <t>VÄSTERBOTTENS LÄN</t>
        </is>
      </c>
      <c r="E11842" t="inlineStr">
        <is>
          <t>ÅSELE</t>
        </is>
      </c>
      <c r="F11842" t="inlineStr">
        <is>
          <t>Sveaskog</t>
        </is>
      </c>
      <c r="G11842" t="n">
        <v>11.1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47834-2023</t>
        </is>
      </c>
      <c r="B11843" s="1" t="n">
        <v>45198</v>
      </c>
      <c r="C11843" s="1" t="n">
        <v>45357</v>
      </c>
      <c r="D11843" t="inlineStr">
        <is>
          <t>VÄSTERBOTTENS LÄN</t>
        </is>
      </c>
      <c r="E11843" t="inlineStr">
        <is>
          <t>UMEÅ</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47924-2023</t>
        </is>
      </c>
      <c r="B11844" s="1" t="n">
        <v>45198</v>
      </c>
      <c r="C11844" s="1" t="n">
        <v>45357</v>
      </c>
      <c r="D11844" t="inlineStr">
        <is>
          <t>VÄSTERBOTTENS LÄN</t>
        </is>
      </c>
      <c r="E11844" t="inlineStr">
        <is>
          <t>SKELLEFTEÅ</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46824-2023</t>
        </is>
      </c>
      <c r="B11845" s="1" t="n">
        <v>45199</v>
      </c>
      <c r="C11845" s="1" t="n">
        <v>45357</v>
      </c>
      <c r="D11845" t="inlineStr">
        <is>
          <t>VÄSTERBOTTENS LÄN</t>
        </is>
      </c>
      <c r="E11845" t="inlineStr">
        <is>
          <t>VILHELMINA</t>
        </is>
      </c>
      <c r="F11845" t="inlineStr">
        <is>
          <t>SCA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46823-2023</t>
        </is>
      </c>
      <c r="B11846" s="1" t="n">
        <v>45199</v>
      </c>
      <c r="C11846" s="1" t="n">
        <v>45357</v>
      </c>
      <c r="D11846" t="inlineStr">
        <is>
          <t>VÄSTERBOTTENS LÄN</t>
        </is>
      </c>
      <c r="E11846" t="inlineStr">
        <is>
          <t>VILHELMINA</t>
        </is>
      </c>
      <c r="F11846" t="inlineStr">
        <is>
          <t>SCA</t>
        </is>
      </c>
      <c r="G11846" t="n">
        <v>17.1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47923-2023</t>
        </is>
      </c>
      <c r="B11847" s="1" t="n">
        <v>45198</v>
      </c>
      <c r="C11847" s="1" t="n">
        <v>45357</v>
      </c>
      <c r="D11847" t="inlineStr">
        <is>
          <t>VÄSTERBOTTENS LÄN</t>
        </is>
      </c>
      <c r="E11847" t="inlineStr">
        <is>
          <t>SKELLEFTEÅ</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47933-2023</t>
        </is>
      </c>
      <c r="B11848" s="1" t="n">
        <v>45198</v>
      </c>
      <c r="C11848" s="1" t="n">
        <v>45357</v>
      </c>
      <c r="D11848" t="inlineStr">
        <is>
          <t>VÄSTERBOTTENS LÄN</t>
        </is>
      </c>
      <c r="E11848" t="inlineStr">
        <is>
          <t>SORSELE</t>
        </is>
      </c>
      <c r="G11848" t="n">
        <v>125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48006-2023</t>
        </is>
      </c>
      <c r="B11849" s="1" t="n">
        <v>45198</v>
      </c>
      <c r="C11849" s="1" t="n">
        <v>45357</v>
      </c>
      <c r="D11849" t="inlineStr">
        <is>
          <t>VÄSTERBOTTENS LÄN</t>
        </is>
      </c>
      <c r="E11849" t="inlineStr">
        <is>
          <t>DOROTEA</t>
        </is>
      </c>
      <c r="F11849" t="inlineStr">
        <is>
          <t>Övriga statliga verk och myndigheter</t>
        </is>
      </c>
      <c r="G11849" t="n">
        <v>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47870-2023</t>
        </is>
      </c>
      <c r="B11850" s="1" t="n">
        <v>45198</v>
      </c>
      <c r="C11850" s="1" t="n">
        <v>45357</v>
      </c>
      <c r="D11850" t="inlineStr">
        <is>
          <t>VÄSTERBOTTENS LÄN</t>
        </is>
      </c>
      <c r="E11850" t="inlineStr">
        <is>
          <t>UMEÅ</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47993-2023</t>
        </is>
      </c>
      <c r="B11851" s="1" t="n">
        <v>45198</v>
      </c>
      <c r="C11851" s="1" t="n">
        <v>45357</v>
      </c>
      <c r="D11851" t="inlineStr">
        <is>
          <t>VÄSTERBOTTENS LÄN</t>
        </is>
      </c>
      <c r="E11851" t="inlineStr">
        <is>
          <t>SORSELE</t>
        </is>
      </c>
      <c r="G11851" t="n">
        <v>10.8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46818-2023</t>
        </is>
      </c>
      <c r="B11852" s="1" t="n">
        <v>45198</v>
      </c>
      <c r="C11852" s="1" t="n">
        <v>45357</v>
      </c>
      <c r="D11852" t="inlineStr">
        <is>
          <t>VÄSTERBOTTENS LÄN</t>
        </is>
      </c>
      <c r="E11852" t="inlineStr">
        <is>
          <t>DOROTEA</t>
        </is>
      </c>
      <c r="F11852" t="inlineStr">
        <is>
          <t>SCA</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46826-2023</t>
        </is>
      </c>
      <c r="B11853" s="1" t="n">
        <v>45199</v>
      </c>
      <c r="C11853" s="1" t="n">
        <v>45357</v>
      </c>
      <c r="D11853" t="inlineStr">
        <is>
          <t>VÄSTERBOTTENS LÄN</t>
        </is>
      </c>
      <c r="E11853" t="inlineStr">
        <is>
          <t>LYCKSELE</t>
        </is>
      </c>
      <c r="F11853" t="inlineStr">
        <is>
          <t>SCA</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47616-2023</t>
        </is>
      </c>
      <c r="B11854" s="1" t="n">
        <v>45198</v>
      </c>
      <c r="C11854" s="1" t="n">
        <v>45357</v>
      </c>
      <c r="D11854" t="inlineStr">
        <is>
          <t>VÄSTERBOTTENS LÄN</t>
        </is>
      </c>
      <c r="E11854" t="inlineStr">
        <is>
          <t>ÅSELE</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47887-2023</t>
        </is>
      </c>
      <c r="B11855" s="1" t="n">
        <v>45198</v>
      </c>
      <c r="C11855" s="1" t="n">
        <v>45357</v>
      </c>
      <c r="D11855" t="inlineStr">
        <is>
          <t>VÄSTERBOTTENS LÄN</t>
        </is>
      </c>
      <c r="E11855" t="inlineStr">
        <is>
          <t>SORSELE</t>
        </is>
      </c>
      <c r="F11855" t="inlineStr">
        <is>
          <t>Övriga statliga verk och myndigheter</t>
        </is>
      </c>
      <c r="G11855" t="n">
        <v>20.4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47925-2023</t>
        </is>
      </c>
      <c r="B11856" s="1" t="n">
        <v>45198</v>
      </c>
      <c r="C11856" s="1" t="n">
        <v>45357</v>
      </c>
      <c r="D11856" t="inlineStr">
        <is>
          <t>VÄSTERBOTTENS LÄN</t>
        </is>
      </c>
      <c r="E11856" t="inlineStr">
        <is>
          <t>SKELLEFTEÅ</t>
        </is>
      </c>
      <c r="G11856" t="n">
        <v>6.5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46849-2023</t>
        </is>
      </c>
      <c r="B11857" s="1" t="n">
        <v>45199</v>
      </c>
      <c r="C11857" s="1" t="n">
        <v>45357</v>
      </c>
      <c r="D11857" t="inlineStr">
        <is>
          <t>VÄSTERBOTTENS LÄN</t>
        </is>
      </c>
      <c r="E11857" t="inlineStr">
        <is>
          <t>UMEÅ</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46842-2023</t>
        </is>
      </c>
      <c r="B11858" s="1" t="n">
        <v>45199</v>
      </c>
      <c r="C11858" s="1" t="n">
        <v>45357</v>
      </c>
      <c r="D11858" t="inlineStr">
        <is>
          <t>VÄSTERBOTTENS LÄN</t>
        </is>
      </c>
      <c r="E11858" t="inlineStr">
        <is>
          <t>ROBERTSFORS</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47103-2023</t>
        </is>
      </c>
      <c r="B11859" s="1" t="n">
        <v>45201</v>
      </c>
      <c r="C11859" s="1" t="n">
        <v>45357</v>
      </c>
      <c r="D11859" t="inlineStr">
        <is>
          <t>VÄSTERBOTTENS LÄN</t>
        </is>
      </c>
      <c r="E11859" t="inlineStr">
        <is>
          <t>MALÅ</t>
        </is>
      </c>
      <c r="G11859" t="n">
        <v>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47143-2023</t>
        </is>
      </c>
      <c r="B11860" s="1" t="n">
        <v>45201</v>
      </c>
      <c r="C11860" s="1" t="n">
        <v>45357</v>
      </c>
      <c r="D11860" t="inlineStr">
        <is>
          <t>VÄSTERBOTTENS LÄN</t>
        </is>
      </c>
      <c r="E11860" t="inlineStr">
        <is>
          <t>NORDMALING</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47155-2023</t>
        </is>
      </c>
      <c r="B11861" s="1" t="n">
        <v>45202</v>
      </c>
      <c r="C11861" s="1" t="n">
        <v>45357</v>
      </c>
      <c r="D11861" t="inlineStr">
        <is>
          <t>VÄSTERBOTTENS LÄN</t>
        </is>
      </c>
      <c r="E11861" t="inlineStr">
        <is>
          <t>SKELLEFTEÅ</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47146-2023</t>
        </is>
      </c>
      <c r="B11862" s="1" t="n">
        <v>45201</v>
      </c>
      <c r="C11862" s="1" t="n">
        <v>45357</v>
      </c>
      <c r="D11862" t="inlineStr">
        <is>
          <t>VÄSTERBOTTENS LÄN</t>
        </is>
      </c>
      <c r="E11862" t="inlineStr">
        <is>
          <t>ÅSELE</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47154-2023</t>
        </is>
      </c>
      <c r="B11863" s="1" t="n">
        <v>45202</v>
      </c>
      <c r="C11863" s="1" t="n">
        <v>45357</v>
      </c>
      <c r="D11863" t="inlineStr">
        <is>
          <t>VÄSTERBOTTENS LÄN</t>
        </is>
      </c>
      <c r="E11863" t="inlineStr">
        <is>
          <t>SKELLEFTEÅ</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47179-2023</t>
        </is>
      </c>
      <c r="B11864" s="1" t="n">
        <v>45201</v>
      </c>
      <c r="C11864" s="1" t="n">
        <v>45357</v>
      </c>
      <c r="D11864" t="inlineStr">
        <is>
          <t>VÄSTERBOTTENS LÄN</t>
        </is>
      </c>
      <c r="E11864" t="inlineStr">
        <is>
          <t>VINDELN</t>
        </is>
      </c>
      <c r="F11864" t="inlineStr">
        <is>
          <t>SCA</t>
        </is>
      </c>
      <c r="G11864" t="n">
        <v>16.1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47653-2023</t>
        </is>
      </c>
      <c r="B11865" s="1" t="n">
        <v>45201</v>
      </c>
      <c r="C11865" s="1" t="n">
        <v>45357</v>
      </c>
      <c r="D11865" t="inlineStr">
        <is>
          <t>VÄSTERBOTTENS LÄN</t>
        </is>
      </c>
      <c r="E11865" t="inlineStr">
        <is>
          <t>MALÅ</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46897-2023</t>
        </is>
      </c>
      <c r="B11866" s="1" t="n">
        <v>45201</v>
      </c>
      <c r="C11866" s="1" t="n">
        <v>45357</v>
      </c>
      <c r="D11866" t="inlineStr">
        <is>
          <t>VÄSTERBOTTENS LÄN</t>
        </is>
      </c>
      <c r="E11866" t="inlineStr">
        <is>
          <t>LYCKSELE</t>
        </is>
      </c>
      <c r="F11866" t="inlineStr">
        <is>
          <t>Sveaskog</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47100-2023</t>
        </is>
      </c>
      <c r="B11867" s="1" t="n">
        <v>45201</v>
      </c>
      <c r="C11867" s="1" t="n">
        <v>45357</v>
      </c>
      <c r="D11867" t="inlineStr">
        <is>
          <t>VÄSTERBOTTENS LÄN</t>
        </is>
      </c>
      <c r="E11867" t="inlineStr">
        <is>
          <t>MALÅ</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47139-2023</t>
        </is>
      </c>
      <c r="B11868" s="1" t="n">
        <v>45201</v>
      </c>
      <c r="C11868" s="1" t="n">
        <v>45357</v>
      </c>
      <c r="D11868" t="inlineStr">
        <is>
          <t>VÄSTERBOTTENS LÄN</t>
        </is>
      </c>
      <c r="E11868" t="inlineStr">
        <is>
          <t>SKELLEFTEÅ</t>
        </is>
      </c>
      <c r="F11868" t="inlineStr">
        <is>
          <t>Sveaskog</t>
        </is>
      </c>
      <c r="G11868" t="n">
        <v>11.3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46888-2023</t>
        </is>
      </c>
      <c r="B11869" s="1" t="n">
        <v>45201</v>
      </c>
      <c r="C11869" s="1" t="n">
        <v>45357</v>
      </c>
      <c r="D11869" t="inlineStr">
        <is>
          <t>VÄSTERBOTTENS LÄN</t>
        </is>
      </c>
      <c r="E11869" t="inlineStr">
        <is>
          <t>ROBERTSFORS</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46896-2023</t>
        </is>
      </c>
      <c r="B11870" s="1" t="n">
        <v>45201</v>
      </c>
      <c r="C11870" s="1" t="n">
        <v>45357</v>
      </c>
      <c r="D11870" t="inlineStr">
        <is>
          <t>VÄSTERBOTTENS LÄN</t>
        </is>
      </c>
      <c r="E11870" t="inlineStr">
        <is>
          <t>LYCKSELE</t>
        </is>
      </c>
      <c r="F11870" t="inlineStr">
        <is>
          <t>Sveaskog</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47144-2023</t>
        </is>
      </c>
      <c r="B11871" s="1" t="n">
        <v>45201</v>
      </c>
      <c r="C11871" s="1" t="n">
        <v>45357</v>
      </c>
      <c r="D11871" t="inlineStr">
        <is>
          <t>VÄSTERBOTTENS LÄN</t>
        </is>
      </c>
      <c r="E11871" t="inlineStr">
        <is>
          <t>NORDMALING</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46944-2023</t>
        </is>
      </c>
      <c r="B11872" s="1" t="n">
        <v>45201</v>
      </c>
      <c r="C11872" s="1" t="n">
        <v>45357</v>
      </c>
      <c r="D11872" t="inlineStr">
        <is>
          <t>VÄSTERBOTTENS LÄN</t>
        </is>
      </c>
      <c r="E11872" t="inlineStr">
        <is>
          <t>MALÅ</t>
        </is>
      </c>
      <c r="F11872" t="inlineStr">
        <is>
          <t>Sveaskog</t>
        </is>
      </c>
      <c r="G11872" t="n">
        <v>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46960-2023</t>
        </is>
      </c>
      <c r="B11873" s="1" t="n">
        <v>45201</v>
      </c>
      <c r="C11873" s="1" t="n">
        <v>45357</v>
      </c>
      <c r="D11873" t="inlineStr">
        <is>
          <t>VÄSTERBOTTENS LÄN</t>
        </is>
      </c>
      <c r="E11873" t="inlineStr">
        <is>
          <t>MALÅ</t>
        </is>
      </c>
      <c r="F11873" t="inlineStr">
        <is>
          <t>Sveaskog</t>
        </is>
      </c>
      <c r="G11873" t="n">
        <v>11.5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46989-2023</t>
        </is>
      </c>
      <c r="B11874" s="1" t="n">
        <v>45201</v>
      </c>
      <c r="C11874" s="1" t="n">
        <v>45357</v>
      </c>
      <c r="D11874" t="inlineStr">
        <is>
          <t>VÄSTERBOTTENS LÄN</t>
        </is>
      </c>
      <c r="E11874" t="inlineStr">
        <is>
          <t>MALÅ</t>
        </is>
      </c>
      <c r="G11874" t="n">
        <v>22.9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46907-2023</t>
        </is>
      </c>
      <c r="B11875" s="1" t="n">
        <v>45201</v>
      </c>
      <c r="C11875" s="1" t="n">
        <v>45357</v>
      </c>
      <c r="D11875" t="inlineStr">
        <is>
          <t>VÄSTERBOTTENS LÄN</t>
        </is>
      </c>
      <c r="E11875" t="inlineStr">
        <is>
          <t>VINDELN</t>
        </is>
      </c>
      <c r="F11875" t="inlineStr">
        <is>
          <t>Holmen skog AB</t>
        </is>
      </c>
      <c r="G11875" t="n">
        <v>6.9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46965-2023</t>
        </is>
      </c>
      <c r="B11876" s="1" t="n">
        <v>45201</v>
      </c>
      <c r="C11876" s="1" t="n">
        <v>45357</v>
      </c>
      <c r="D11876" t="inlineStr">
        <is>
          <t>VÄSTERBOTTENS LÄN</t>
        </is>
      </c>
      <c r="E11876" t="inlineStr">
        <is>
          <t>SKELLEFTEÅ</t>
        </is>
      </c>
      <c r="G11876" t="n">
        <v>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47117-2023</t>
        </is>
      </c>
      <c r="B11877" s="1" t="n">
        <v>45201</v>
      </c>
      <c r="C11877" s="1" t="n">
        <v>45357</v>
      </c>
      <c r="D11877" t="inlineStr">
        <is>
          <t>VÄSTERBOTTENS LÄN</t>
        </is>
      </c>
      <c r="E11877" t="inlineStr">
        <is>
          <t>LYCKSELE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47049-2023</t>
        </is>
      </c>
      <c r="B11878" s="1" t="n">
        <v>45201</v>
      </c>
      <c r="C11878" s="1" t="n">
        <v>45357</v>
      </c>
      <c r="D11878" t="inlineStr">
        <is>
          <t>VÄSTERBOTTENS LÄN</t>
        </is>
      </c>
      <c r="E11878" t="inlineStr">
        <is>
          <t>MALÅ</t>
        </is>
      </c>
      <c r="G11878" t="n">
        <v>24.6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46937-2023</t>
        </is>
      </c>
      <c r="B11879" s="1" t="n">
        <v>45201</v>
      </c>
      <c r="C11879" s="1" t="n">
        <v>45357</v>
      </c>
      <c r="D11879" t="inlineStr">
        <is>
          <t>VÄSTERBOTTENS LÄN</t>
        </is>
      </c>
      <c r="E11879" t="inlineStr">
        <is>
          <t>MALÅ</t>
        </is>
      </c>
      <c r="F11879" t="inlineStr">
        <is>
          <t>Sveaskog</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46954-2023</t>
        </is>
      </c>
      <c r="B11880" s="1" t="n">
        <v>45201</v>
      </c>
      <c r="C11880" s="1" t="n">
        <v>45357</v>
      </c>
      <c r="D11880" t="inlineStr">
        <is>
          <t>VÄSTERBOTTENS LÄN</t>
        </is>
      </c>
      <c r="E11880" t="inlineStr">
        <is>
          <t>MALÅ</t>
        </is>
      </c>
      <c r="F11880" t="inlineStr">
        <is>
          <t>Sveaskog</t>
        </is>
      </c>
      <c r="G11880" t="n">
        <v>8.5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47002-2023</t>
        </is>
      </c>
      <c r="B11881" s="1" t="n">
        <v>45201</v>
      </c>
      <c r="C11881" s="1" t="n">
        <v>45357</v>
      </c>
      <c r="D11881" t="inlineStr">
        <is>
          <t>VÄSTERBOTTENS LÄN</t>
        </is>
      </c>
      <c r="E11881" t="inlineStr">
        <is>
          <t>MALÅ</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48279-2023</t>
        </is>
      </c>
      <c r="B11882" s="1" t="n">
        <v>45201</v>
      </c>
      <c r="C11882" s="1" t="n">
        <v>45357</v>
      </c>
      <c r="D11882" t="inlineStr">
        <is>
          <t>VÄSTERBOTTENS LÄN</t>
        </is>
      </c>
      <c r="E11882" t="inlineStr">
        <is>
          <t>MALÅ</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48322-2023</t>
        </is>
      </c>
      <c r="B11883" s="1" t="n">
        <v>45201</v>
      </c>
      <c r="C11883" s="1" t="n">
        <v>45357</v>
      </c>
      <c r="D11883" t="inlineStr">
        <is>
          <t>VÄSTERBOTTENS LÄN</t>
        </is>
      </c>
      <c r="E11883" t="inlineStr">
        <is>
          <t>MALÅ</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48327-2023</t>
        </is>
      </c>
      <c r="B11884" s="1" t="n">
        <v>45201</v>
      </c>
      <c r="C11884" s="1" t="n">
        <v>45357</v>
      </c>
      <c r="D11884" t="inlineStr">
        <is>
          <t>VÄSTERBOTTENS LÄN</t>
        </is>
      </c>
      <c r="E11884" t="inlineStr">
        <is>
          <t>MALÅ</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48332-2023</t>
        </is>
      </c>
      <c r="B11885" s="1" t="n">
        <v>45201</v>
      </c>
      <c r="C11885" s="1" t="n">
        <v>45357</v>
      </c>
      <c r="D11885" t="inlineStr">
        <is>
          <t>VÄSTERBOTTENS LÄN</t>
        </is>
      </c>
      <c r="E11885" t="inlineStr">
        <is>
          <t>MALÅ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48348-2023</t>
        </is>
      </c>
      <c r="B11886" s="1" t="n">
        <v>45201</v>
      </c>
      <c r="C11886" s="1" t="n">
        <v>45357</v>
      </c>
      <c r="D11886" t="inlineStr">
        <is>
          <t>VÄSTERBOTTENS LÄN</t>
        </is>
      </c>
      <c r="E11886" t="inlineStr">
        <is>
          <t>MALÅ</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48338-2023</t>
        </is>
      </c>
      <c r="B11887" s="1" t="n">
        <v>45201</v>
      </c>
      <c r="C11887" s="1" t="n">
        <v>45357</v>
      </c>
      <c r="D11887" t="inlineStr">
        <is>
          <t>VÄSTERBOTTENS LÄN</t>
        </is>
      </c>
      <c r="E11887" t="inlineStr">
        <is>
          <t>MALÅ</t>
        </is>
      </c>
      <c r="G11887" t="n">
        <v>22.6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48392-2023</t>
        </is>
      </c>
      <c r="B11888" s="1" t="n">
        <v>45201</v>
      </c>
      <c r="C11888" s="1" t="n">
        <v>45357</v>
      </c>
      <c r="D11888" t="inlineStr">
        <is>
          <t>VÄSTERBOTTENS LÄN</t>
        </is>
      </c>
      <c r="E11888" t="inlineStr">
        <is>
          <t>SKELLEFTEÅ</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47096-2023</t>
        </is>
      </c>
      <c r="B11889" s="1" t="n">
        <v>45201</v>
      </c>
      <c r="C11889" s="1" t="n">
        <v>45357</v>
      </c>
      <c r="D11889" t="inlineStr">
        <is>
          <t>VÄSTERBOTTENS LÄN</t>
        </is>
      </c>
      <c r="E11889" t="inlineStr">
        <is>
          <t>LYCKSELE</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48165-2023</t>
        </is>
      </c>
      <c r="B11890" s="1" t="n">
        <v>45201</v>
      </c>
      <c r="C11890" s="1" t="n">
        <v>45357</v>
      </c>
      <c r="D11890" t="inlineStr">
        <is>
          <t>VÄSTERBOTTENS LÄN</t>
        </is>
      </c>
      <c r="E11890" t="inlineStr">
        <is>
          <t>ÅSELE</t>
        </is>
      </c>
      <c r="F11890" t="inlineStr">
        <is>
          <t>Allmännings- och besparingsskogar</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48266-2023</t>
        </is>
      </c>
      <c r="B11891" s="1" t="n">
        <v>45201</v>
      </c>
      <c r="C11891" s="1" t="n">
        <v>45357</v>
      </c>
      <c r="D11891" t="inlineStr">
        <is>
          <t>VÄSTERBOTTENS LÄN</t>
        </is>
      </c>
      <c r="E11891" t="inlineStr">
        <is>
          <t>MALÅ</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48345-2023</t>
        </is>
      </c>
      <c r="B11892" s="1" t="n">
        <v>45201</v>
      </c>
      <c r="C11892" s="1" t="n">
        <v>45357</v>
      </c>
      <c r="D11892" t="inlineStr">
        <is>
          <t>VÄSTERBOTTENS LÄN</t>
        </is>
      </c>
      <c r="E11892" t="inlineStr">
        <is>
          <t>MALÅ</t>
        </is>
      </c>
      <c r="G11892" t="n">
        <v>12.9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48353-2023</t>
        </is>
      </c>
      <c r="B11893" s="1" t="n">
        <v>45201</v>
      </c>
      <c r="C11893" s="1" t="n">
        <v>45357</v>
      </c>
      <c r="D11893" t="inlineStr">
        <is>
          <t>VÄSTERBOTTENS LÄN</t>
        </is>
      </c>
      <c r="E11893" t="inlineStr">
        <is>
          <t>MALÅ</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48394-2023</t>
        </is>
      </c>
      <c r="B11894" s="1" t="n">
        <v>45201</v>
      </c>
      <c r="C11894" s="1" t="n">
        <v>45357</v>
      </c>
      <c r="D11894" t="inlineStr">
        <is>
          <t>VÄSTERBOTTENS LÄN</t>
        </is>
      </c>
      <c r="E11894" t="inlineStr">
        <is>
          <t>SKELLEFTEÅ</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48341-2023</t>
        </is>
      </c>
      <c r="B11895" s="1" t="n">
        <v>45201</v>
      </c>
      <c r="C11895" s="1" t="n">
        <v>45357</v>
      </c>
      <c r="D11895" t="inlineStr">
        <is>
          <t>VÄSTERBOTTENS LÄN</t>
        </is>
      </c>
      <c r="E11895" t="inlineStr">
        <is>
          <t>MALÅ</t>
        </is>
      </c>
      <c r="G11895" t="n">
        <v>6.2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48351-2023</t>
        </is>
      </c>
      <c r="B11896" s="1" t="n">
        <v>45201</v>
      </c>
      <c r="C11896" s="1" t="n">
        <v>45357</v>
      </c>
      <c r="D11896" t="inlineStr">
        <is>
          <t>VÄSTERBOTTENS LÄN</t>
        </is>
      </c>
      <c r="E11896" t="inlineStr">
        <is>
          <t>MALÅ</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47297-2023</t>
        </is>
      </c>
      <c r="B11897" s="1" t="n">
        <v>45202</v>
      </c>
      <c r="C11897" s="1" t="n">
        <v>45357</v>
      </c>
      <c r="D11897" t="inlineStr">
        <is>
          <t>VÄSTERBOTTENS LÄN</t>
        </is>
      </c>
      <c r="E11897" t="inlineStr">
        <is>
          <t>NORSJÖ</t>
        </is>
      </c>
      <c r="F11897" t="inlineStr">
        <is>
          <t>Holmen skog AB</t>
        </is>
      </c>
      <c r="G11897" t="n">
        <v>4.5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47285-2023</t>
        </is>
      </c>
      <c r="B11898" s="1" t="n">
        <v>45202</v>
      </c>
      <c r="C11898" s="1" t="n">
        <v>45357</v>
      </c>
      <c r="D11898" t="inlineStr">
        <is>
          <t>VÄSTERBOTTENS LÄN</t>
        </is>
      </c>
      <c r="E11898" t="inlineStr">
        <is>
          <t>NORDMALING</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47312-2023</t>
        </is>
      </c>
      <c r="B11899" s="1" t="n">
        <v>45202</v>
      </c>
      <c r="C11899" s="1" t="n">
        <v>45357</v>
      </c>
      <c r="D11899" t="inlineStr">
        <is>
          <t>VÄSTERBOTTENS LÄN</t>
        </is>
      </c>
      <c r="E11899" t="inlineStr">
        <is>
          <t>SKELLEFTEÅ</t>
        </is>
      </c>
      <c r="F11899" t="inlineStr">
        <is>
          <t>Holmen skog AB</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47406-2023</t>
        </is>
      </c>
      <c r="B11900" s="1" t="n">
        <v>45202</v>
      </c>
      <c r="C11900" s="1" t="n">
        <v>45357</v>
      </c>
      <c r="D11900" t="inlineStr">
        <is>
          <t>VÄSTERBOTTENS LÄN</t>
        </is>
      </c>
      <c r="E11900" t="inlineStr">
        <is>
          <t>SKELLEFTEÅ</t>
        </is>
      </c>
      <c r="F11900" t="inlineStr">
        <is>
          <t>Sveaskog</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47470-2023</t>
        </is>
      </c>
      <c r="B11901" s="1" t="n">
        <v>45203</v>
      </c>
      <c r="C11901" s="1" t="n">
        <v>45357</v>
      </c>
      <c r="D11901" t="inlineStr">
        <is>
          <t>VÄSTERBOTTENS LÄN</t>
        </is>
      </c>
      <c r="E11901" t="inlineStr">
        <is>
          <t>NORDMALING</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47474-2023</t>
        </is>
      </c>
      <c r="B11902" s="1" t="n">
        <v>45202</v>
      </c>
      <c r="C11902" s="1" t="n">
        <v>45357</v>
      </c>
      <c r="D11902" t="inlineStr">
        <is>
          <t>VÄSTERBOTTENS LÄN</t>
        </is>
      </c>
      <c r="E11902" t="inlineStr">
        <is>
          <t>MALÅ</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47482-2023</t>
        </is>
      </c>
      <c r="B11903" s="1" t="n">
        <v>45203</v>
      </c>
      <c r="C11903" s="1" t="n">
        <v>45357</v>
      </c>
      <c r="D11903" t="inlineStr">
        <is>
          <t>VÄSTERBOTTENS LÄN</t>
        </is>
      </c>
      <c r="E11903" t="inlineStr">
        <is>
          <t>VILHELMINA</t>
        </is>
      </c>
      <c r="F11903" t="inlineStr">
        <is>
          <t>SCA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47494-2023</t>
        </is>
      </c>
      <c r="B11904" s="1" t="n">
        <v>45203</v>
      </c>
      <c r="C11904" s="1" t="n">
        <v>45357</v>
      </c>
      <c r="D11904" t="inlineStr">
        <is>
          <t>VÄSTERBOTTENS LÄN</t>
        </is>
      </c>
      <c r="E11904" t="inlineStr">
        <is>
          <t>DOROTEA</t>
        </is>
      </c>
      <c r="F11904" t="inlineStr">
        <is>
          <t>SCA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48575-2023</t>
        </is>
      </c>
      <c r="B11905" s="1" t="n">
        <v>45202</v>
      </c>
      <c r="C11905" s="1" t="n">
        <v>45357</v>
      </c>
      <c r="D11905" t="inlineStr">
        <is>
          <t>VÄSTERBOTTENS LÄN</t>
        </is>
      </c>
      <c r="E11905" t="inlineStr">
        <is>
          <t>MALÅ</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48656-2023</t>
        </is>
      </c>
      <c r="B11906" s="1" t="n">
        <v>45202</v>
      </c>
      <c r="C11906" s="1" t="n">
        <v>45357</v>
      </c>
      <c r="D11906" t="inlineStr">
        <is>
          <t>VÄSTERBOTTENS LÄN</t>
        </is>
      </c>
      <c r="E11906" t="inlineStr">
        <is>
          <t>UMEÅ</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47326-2023</t>
        </is>
      </c>
      <c r="B11907" s="1" t="n">
        <v>45202</v>
      </c>
      <c r="C11907" s="1" t="n">
        <v>45357</v>
      </c>
      <c r="D11907" t="inlineStr">
        <is>
          <t>VÄSTERBOTTENS LÄN</t>
        </is>
      </c>
      <c r="E11907" t="inlineStr">
        <is>
          <t>NORSJÖ</t>
        </is>
      </c>
      <c r="F11907" t="inlineStr">
        <is>
          <t>Holmen skog AB</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47481-2023</t>
        </is>
      </c>
      <c r="B11908" s="1" t="n">
        <v>45203</v>
      </c>
      <c r="C11908" s="1" t="n">
        <v>45357</v>
      </c>
      <c r="D11908" t="inlineStr">
        <is>
          <t>VÄSTERBOTTENS LÄN</t>
        </is>
      </c>
      <c r="E11908" t="inlineStr">
        <is>
          <t>VILHELMINA</t>
        </is>
      </c>
      <c r="F11908" t="inlineStr">
        <is>
          <t>SCA</t>
        </is>
      </c>
      <c r="G11908" t="n">
        <v>16.4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47493-2023</t>
        </is>
      </c>
      <c r="B11909" s="1" t="n">
        <v>45202</v>
      </c>
      <c r="C11909" s="1" t="n">
        <v>45357</v>
      </c>
      <c r="D11909" t="inlineStr">
        <is>
          <t>VÄSTERBOTTENS LÄN</t>
        </is>
      </c>
      <c r="E11909" t="inlineStr">
        <is>
          <t>DOROTEA</t>
        </is>
      </c>
      <c r="F11909" t="inlineStr">
        <is>
          <t>SCA</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47497-2023</t>
        </is>
      </c>
      <c r="B11910" s="1" t="n">
        <v>45202</v>
      </c>
      <c r="C11910" s="1" t="n">
        <v>45357</v>
      </c>
      <c r="D11910" t="inlineStr">
        <is>
          <t>VÄSTERBOTTENS LÄN</t>
        </is>
      </c>
      <c r="E11910" t="inlineStr">
        <is>
          <t>DOROTEA</t>
        </is>
      </c>
      <c r="F11910" t="inlineStr">
        <is>
          <t>SCA</t>
        </is>
      </c>
      <c r="G11910" t="n">
        <v>35.9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47468-2023</t>
        </is>
      </c>
      <c r="B11911" s="1" t="n">
        <v>45202</v>
      </c>
      <c r="C11911" s="1" t="n">
        <v>45357</v>
      </c>
      <c r="D11911" t="inlineStr">
        <is>
          <t>VÄSTERBOTTENS LÄN</t>
        </is>
      </c>
      <c r="E11911" t="inlineStr">
        <is>
          <t>SKELLEFTEÅ</t>
        </is>
      </c>
      <c r="F11911" t="inlineStr">
        <is>
          <t>Holmen skog AB</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47480-2023</t>
        </is>
      </c>
      <c r="B11912" s="1" t="n">
        <v>45203</v>
      </c>
      <c r="C11912" s="1" t="n">
        <v>45357</v>
      </c>
      <c r="D11912" t="inlineStr">
        <is>
          <t>VÄSTERBOTTENS LÄN</t>
        </is>
      </c>
      <c r="E11912" t="inlineStr">
        <is>
          <t>VILHELMINA</t>
        </is>
      </c>
      <c r="F11912" t="inlineStr">
        <is>
          <t>SCA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48667-2023</t>
        </is>
      </c>
      <c r="B11913" s="1" t="n">
        <v>45202</v>
      </c>
      <c r="C11913" s="1" t="n">
        <v>45357</v>
      </c>
      <c r="D11913" t="inlineStr">
        <is>
          <t>VÄSTERBOTTENS LÄN</t>
        </is>
      </c>
      <c r="E11913" t="inlineStr">
        <is>
          <t>UMEÅ</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47492-2023</t>
        </is>
      </c>
      <c r="B11914" s="1" t="n">
        <v>45203</v>
      </c>
      <c r="C11914" s="1" t="n">
        <v>45357</v>
      </c>
      <c r="D11914" t="inlineStr">
        <is>
          <t>VÄSTERBOTTENS LÄN</t>
        </is>
      </c>
      <c r="E11914" t="inlineStr">
        <is>
          <t>DOROTEA</t>
        </is>
      </c>
      <c r="F11914" t="inlineStr">
        <is>
          <t>SCA</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48560-2023</t>
        </is>
      </c>
      <c r="B11915" s="1" t="n">
        <v>45202</v>
      </c>
      <c r="C11915" s="1" t="n">
        <v>45357</v>
      </c>
      <c r="D11915" t="inlineStr">
        <is>
          <t>VÄSTERBOTTENS LÄN</t>
        </is>
      </c>
      <c r="E11915" t="inlineStr">
        <is>
          <t>MALÅ</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48572-2023</t>
        </is>
      </c>
      <c r="B11916" s="1" t="n">
        <v>45202</v>
      </c>
      <c r="C11916" s="1" t="n">
        <v>45357</v>
      </c>
      <c r="D11916" t="inlineStr">
        <is>
          <t>VÄSTERBOTTENS LÄN</t>
        </is>
      </c>
      <c r="E11916" t="inlineStr">
        <is>
          <t>MALÅ</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48604-2023</t>
        </is>
      </c>
      <c r="B11917" s="1" t="n">
        <v>45202</v>
      </c>
      <c r="C11917" s="1" t="n">
        <v>45357</v>
      </c>
      <c r="D11917" t="inlineStr">
        <is>
          <t>VÄSTERBOTTENS LÄN</t>
        </is>
      </c>
      <c r="E11917" t="inlineStr">
        <is>
          <t>NORSJÖ</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48618-2023</t>
        </is>
      </c>
      <c r="B11918" s="1" t="n">
        <v>45202</v>
      </c>
      <c r="C11918" s="1" t="n">
        <v>45357</v>
      </c>
      <c r="D11918" t="inlineStr">
        <is>
          <t>VÄSTERBOTTENS LÄN</t>
        </is>
      </c>
      <c r="E11918" t="inlineStr">
        <is>
          <t>UMEÅ</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47479-2023</t>
        </is>
      </c>
      <c r="B11919" s="1" t="n">
        <v>45203</v>
      </c>
      <c r="C11919" s="1" t="n">
        <v>45357</v>
      </c>
      <c r="D11919" t="inlineStr">
        <is>
          <t>VÄSTERBOTTENS LÄN</t>
        </is>
      </c>
      <c r="E11919" t="inlineStr">
        <is>
          <t>VILHELMINA</t>
        </is>
      </c>
      <c r="F11919" t="inlineStr">
        <is>
          <t>SCA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47483-2023</t>
        </is>
      </c>
      <c r="B11920" s="1" t="n">
        <v>45203</v>
      </c>
      <c r="C11920" s="1" t="n">
        <v>45357</v>
      </c>
      <c r="D11920" t="inlineStr">
        <is>
          <t>VÄSTERBOTTENS LÄN</t>
        </is>
      </c>
      <c r="E11920" t="inlineStr">
        <is>
          <t>VILHELMINA</t>
        </is>
      </c>
      <c r="F11920" t="inlineStr">
        <is>
          <t>SCA</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48569-2023</t>
        </is>
      </c>
      <c r="B11921" s="1" t="n">
        <v>45202</v>
      </c>
      <c r="C11921" s="1" t="n">
        <v>45357</v>
      </c>
      <c r="D11921" t="inlineStr">
        <is>
          <t>VÄSTERBOTTENS LÄN</t>
        </is>
      </c>
      <c r="E11921" t="inlineStr">
        <is>
          <t>MALÅ</t>
        </is>
      </c>
      <c r="G11921" t="n">
        <v>9.4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48631-2023</t>
        </is>
      </c>
      <c r="B11922" s="1" t="n">
        <v>45202</v>
      </c>
      <c r="C11922" s="1" t="n">
        <v>45357</v>
      </c>
      <c r="D11922" t="inlineStr">
        <is>
          <t>VÄSTERBOTTENS LÄN</t>
        </is>
      </c>
      <c r="E11922" t="inlineStr">
        <is>
          <t>UMEÅ</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48661-2023</t>
        </is>
      </c>
      <c r="B11923" s="1" t="n">
        <v>45202</v>
      </c>
      <c r="C11923" s="1" t="n">
        <v>45357</v>
      </c>
      <c r="D11923" t="inlineStr">
        <is>
          <t>VÄSTERBOTTENS LÄN</t>
        </is>
      </c>
      <c r="E11923" t="inlineStr">
        <is>
          <t>UMEÅ</t>
        </is>
      </c>
      <c r="G11923" t="n">
        <v>9.5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47495-2023</t>
        </is>
      </c>
      <c r="B11924" s="1" t="n">
        <v>45203</v>
      </c>
      <c r="C11924" s="1" t="n">
        <v>45357</v>
      </c>
      <c r="D11924" t="inlineStr">
        <is>
          <t>VÄSTERBOTTENS LÄN</t>
        </is>
      </c>
      <c r="E11924" t="inlineStr">
        <is>
          <t>DOROTEA</t>
        </is>
      </c>
      <c r="F11924" t="inlineStr">
        <is>
          <t>SCA</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48547-2023</t>
        </is>
      </c>
      <c r="B11925" s="1" t="n">
        <v>45202</v>
      </c>
      <c r="C11925" s="1" t="n">
        <v>45357</v>
      </c>
      <c r="D11925" t="inlineStr">
        <is>
          <t>VÄSTERBOTTENS LÄN</t>
        </is>
      </c>
      <c r="E11925" t="inlineStr">
        <is>
          <t>ROBERTSFORS</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48566-2023</t>
        </is>
      </c>
      <c r="B11926" s="1" t="n">
        <v>45202</v>
      </c>
      <c r="C11926" s="1" t="n">
        <v>45357</v>
      </c>
      <c r="D11926" t="inlineStr">
        <is>
          <t>VÄSTERBOTTENS LÄN</t>
        </is>
      </c>
      <c r="E11926" t="inlineStr">
        <is>
          <t>MALÅ</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48659-2023</t>
        </is>
      </c>
      <c r="B11927" s="1" t="n">
        <v>45202</v>
      </c>
      <c r="C11927" s="1" t="n">
        <v>45357</v>
      </c>
      <c r="D11927" t="inlineStr">
        <is>
          <t>VÄSTERBOTTENS LÄN</t>
        </is>
      </c>
      <c r="E11927" t="inlineStr">
        <is>
          <t>UMEÅ</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47593-2023</t>
        </is>
      </c>
      <c r="B11928" s="1" t="n">
        <v>45203</v>
      </c>
      <c r="C11928" s="1" t="n">
        <v>45357</v>
      </c>
      <c r="D11928" t="inlineStr">
        <is>
          <t>VÄSTERBOTTENS LÄN</t>
        </is>
      </c>
      <c r="E11928" t="inlineStr">
        <is>
          <t>MALÅ</t>
        </is>
      </c>
      <c r="F11928" t="inlineStr">
        <is>
          <t>Sveaskog</t>
        </is>
      </c>
      <c r="G11928" t="n">
        <v>23.1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47628-2023</t>
        </is>
      </c>
      <c r="B11929" s="1" t="n">
        <v>45203</v>
      </c>
      <c r="C11929" s="1" t="n">
        <v>45357</v>
      </c>
      <c r="D11929" t="inlineStr">
        <is>
          <t>VÄSTERBOTTENS LÄN</t>
        </is>
      </c>
      <c r="E11929" t="inlineStr">
        <is>
          <t>MALÅ</t>
        </is>
      </c>
      <c r="F11929" t="inlineStr">
        <is>
          <t>Sveaskog</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47664-2023</t>
        </is>
      </c>
      <c r="B11930" s="1" t="n">
        <v>45203</v>
      </c>
      <c r="C11930" s="1" t="n">
        <v>45357</v>
      </c>
      <c r="D11930" t="inlineStr">
        <is>
          <t>VÄSTERBOTTENS LÄN</t>
        </is>
      </c>
      <c r="E11930" t="inlineStr">
        <is>
          <t>MALÅ</t>
        </is>
      </c>
      <c r="G11930" t="n">
        <v>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47716-2023</t>
        </is>
      </c>
      <c r="B11931" s="1" t="n">
        <v>45203</v>
      </c>
      <c r="C11931" s="1" t="n">
        <v>45357</v>
      </c>
      <c r="D11931" t="inlineStr">
        <is>
          <t>VÄSTERBOTTENS LÄN</t>
        </is>
      </c>
      <c r="E11931" t="inlineStr">
        <is>
          <t>SKELLEFTEÅ</t>
        </is>
      </c>
      <c r="G11931" t="n">
        <v>9.699999999999999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47604-2023</t>
        </is>
      </c>
      <c r="B11932" s="1" t="n">
        <v>45203</v>
      </c>
      <c r="C11932" s="1" t="n">
        <v>45357</v>
      </c>
      <c r="D11932" t="inlineStr">
        <is>
          <t>VÄSTERBOTTENS LÄN</t>
        </is>
      </c>
      <c r="E11932" t="inlineStr">
        <is>
          <t>NORSJÖ</t>
        </is>
      </c>
      <c r="F11932" t="inlineStr">
        <is>
          <t>Holmen skog AB</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47531-2023</t>
        </is>
      </c>
      <c r="B11933" s="1" t="n">
        <v>45203</v>
      </c>
      <c r="C11933" s="1" t="n">
        <v>45357</v>
      </c>
      <c r="D11933" t="inlineStr">
        <is>
          <t>VÄSTERBOTTENS LÄN</t>
        </is>
      </c>
      <c r="E11933" t="inlineStr">
        <is>
          <t>SKELLEFTEÅ</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47629-2023</t>
        </is>
      </c>
      <c r="B11934" s="1" t="n">
        <v>45203</v>
      </c>
      <c r="C11934" s="1" t="n">
        <v>45357</v>
      </c>
      <c r="D11934" t="inlineStr">
        <is>
          <t>VÄSTERBOTTENS LÄN</t>
        </is>
      </c>
      <c r="E11934" t="inlineStr">
        <is>
          <t>MALÅ</t>
        </is>
      </c>
      <c r="F11934" t="inlineStr">
        <is>
          <t>Sveaskog</t>
        </is>
      </c>
      <c r="G11934" t="n">
        <v>12.5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47634-2023</t>
        </is>
      </c>
      <c r="B11935" s="1" t="n">
        <v>45203</v>
      </c>
      <c r="C11935" s="1" t="n">
        <v>45357</v>
      </c>
      <c r="D11935" t="inlineStr">
        <is>
          <t>VÄSTERBOTTENS LÄN</t>
        </is>
      </c>
      <c r="E11935" t="inlineStr">
        <is>
          <t>MALÅ</t>
        </is>
      </c>
      <c r="F11935" t="inlineStr">
        <is>
          <t>Sveaskog</t>
        </is>
      </c>
      <c r="G11935" t="n">
        <v>6.9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47627-2023</t>
        </is>
      </c>
      <c r="B11936" s="1" t="n">
        <v>45203</v>
      </c>
      <c r="C11936" s="1" t="n">
        <v>45357</v>
      </c>
      <c r="D11936" t="inlineStr">
        <is>
          <t>VÄSTERBOTTENS LÄN</t>
        </is>
      </c>
      <c r="E11936" t="inlineStr">
        <is>
          <t>MALÅ</t>
        </is>
      </c>
      <c r="F11936" t="inlineStr">
        <is>
          <t>Sveaskog</t>
        </is>
      </c>
      <c r="G11936" t="n">
        <v>38.7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47638-2023</t>
        </is>
      </c>
      <c r="B11937" s="1" t="n">
        <v>45203</v>
      </c>
      <c r="C11937" s="1" t="n">
        <v>45357</v>
      </c>
      <c r="D11937" t="inlineStr">
        <is>
          <t>VÄSTERBOTTENS LÄN</t>
        </is>
      </c>
      <c r="E11937" t="inlineStr">
        <is>
          <t>MALÅ</t>
        </is>
      </c>
      <c r="F11937" t="inlineStr">
        <is>
          <t>Sveaskog</t>
        </is>
      </c>
      <c r="G11937" t="n">
        <v>11.8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47642-2023</t>
        </is>
      </c>
      <c r="B11938" s="1" t="n">
        <v>45203</v>
      </c>
      <c r="C11938" s="1" t="n">
        <v>45357</v>
      </c>
      <c r="D11938" t="inlineStr">
        <is>
          <t>VÄSTERBOTTENS LÄN</t>
        </is>
      </c>
      <c r="E11938" t="inlineStr">
        <is>
          <t>MALÅ</t>
        </is>
      </c>
      <c r="F11938" t="inlineStr">
        <is>
          <t>Sveaskog</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47632-2023</t>
        </is>
      </c>
      <c r="B11939" s="1" t="n">
        <v>45203</v>
      </c>
      <c r="C11939" s="1" t="n">
        <v>45357</v>
      </c>
      <c r="D11939" t="inlineStr">
        <is>
          <t>VÄSTERBOTTENS LÄN</t>
        </is>
      </c>
      <c r="E11939" t="inlineStr">
        <is>
          <t>MALÅ</t>
        </is>
      </c>
      <c r="F11939" t="inlineStr">
        <is>
          <t>Sveaskog</t>
        </is>
      </c>
      <c r="G11939" t="n">
        <v>11.9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47636-2023</t>
        </is>
      </c>
      <c r="B11940" s="1" t="n">
        <v>45203</v>
      </c>
      <c r="C11940" s="1" t="n">
        <v>45357</v>
      </c>
      <c r="D11940" t="inlineStr">
        <is>
          <t>VÄSTERBOTTENS LÄN</t>
        </is>
      </c>
      <c r="E11940" t="inlineStr">
        <is>
          <t>NORSJÖ</t>
        </is>
      </c>
      <c r="F11940" t="inlineStr">
        <is>
          <t>Holmen skog AB</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47640-2023</t>
        </is>
      </c>
      <c r="B11941" s="1" t="n">
        <v>45203</v>
      </c>
      <c r="C11941" s="1" t="n">
        <v>45357</v>
      </c>
      <c r="D11941" t="inlineStr">
        <is>
          <t>VÄSTERBOTTENS LÄN</t>
        </is>
      </c>
      <c r="E11941" t="inlineStr">
        <is>
          <t>MALÅ</t>
        </is>
      </c>
      <c r="F11941" t="inlineStr">
        <is>
          <t>Sveaskog</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47644-2023</t>
        </is>
      </c>
      <c r="B11942" s="1" t="n">
        <v>45203</v>
      </c>
      <c r="C11942" s="1" t="n">
        <v>45357</v>
      </c>
      <c r="D11942" t="inlineStr">
        <is>
          <t>VÄSTERBOTTENS LÄN</t>
        </is>
      </c>
      <c r="E11942" t="inlineStr">
        <is>
          <t>MALÅ</t>
        </is>
      </c>
      <c r="F11942" t="inlineStr">
        <is>
          <t>Sveaskog</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47665-2023</t>
        </is>
      </c>
      <c r="B11943" s="1" t="n">
        <v>45203</v>
      </c>
      <c r="C11943" s="1" t="n">
        <v>45357</v>
      </c>
      <c r="D11943" t="inlineStr">
        <is>
          <t>VÄSTERBOTTENS LÄN</t>
        </is>
      </c>
      <c r="E11943" t="inlineStr">
        <is>
          <t>MALÅ</t>
        </is>
      </c>
      <c r="G11943" t="n">
        <v>11.8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47534-2023</t>
        </is>
      </c>
      <c r="B11944" s="1" t="n">
        <v>45203</v>
      </c>
      <c r="C11944" s="1" t="n">
        <v>45357</v>
      </c>
      <c r="D11944" t="inlineStr">
        <is>
          <t>VÄSTERBOTTENS LÄN</t>
        </is>
      </c>
      <c r="E11944" t="inlineStr">
        <is>
          <t>SKELLEFTEÅ</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47630-2023</t>
        </is>
      </c>
      <c r="B11945" s="1" t="n">
        <v>45203</v>
      </c>
      <c r="C11945" s="1" t="n">
        <v>45357</v>
      </c>
      <c r="D11945" t="inlineStr">
        <is>
          <t>VÄSTERBOTTENS LÄN</t>
        </is>
      </c>
      <c r="E11945" t="inlineStr">
        <is>
          <t>MALÅ</t>
        </is>
      </c>
      <c r="F11945" t="inlineStr">
        <is>
          <t>Sveaskog</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47639-2023</t>
        </is>
      </c>
      <c r="B11946" s="1" t="n">
        <v>45203</v>
      </c>
      <c r="C11946" s="1" t="n">
        <v>45357</v>
      </c>
      <c r="D11946" t="inlineStr">
        <is>
          <t>VÄSTERBOTTENS LÄN</t>
        </is>
      </c>
      <c r="E11946" t="inlineStr">
        <is>
          <t>MALÅ</t>
        </is>
      </c>
      <c r="F11946" t="inlineStr">
        <is>
          <t>Sveaskog</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47666-2023</t>
        </is>
      </c>
      <c r="B11947" s="1" t="n">
        <v>45203</v>
      </c>
      <c r="C11947" s="1" t="n">
        <v>45357</v>
      </c>
      <c r="D11947" t="inlineStr">
        <is>
          <t>VÄSTERBOTTENS LÄN</t>
        </is>
      </c>
      <c r="E11947" t="inlineStr">
        <is>
          <t>MALÅ</t>
        </is>
      </c>
      <c r="G11947" t="n">
        <v>6.7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47760-2023</t>
        </is>
      </c>
      <c r="B11948" s="1" t="n">
        <v>45203</v>
      </c>
      <c r="C11948" s="1" t="n">
        <v>45357</v>
      </c>
      <c r="D11948" t="inlineStr">
        <is>
          <t>VÄSTERBOTTENS LÄN</t>
        </is>
      </c>
      <c r="E11948" t="inlineStr">
        <is>
          <t>ÅSELE</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47778-2023</t>
        </is>
      </c>
      <c r="B11949" s="1" t="n">
        <v>45203</v>
      </c>
      <c r="C11949" s="1" t="n">
        <v>45357</v>
      </c>
      <c r="D11949" t="inlineStr">
        <is>
          <t>VÄSTERBOTTENS LÄN</t>
        </is>
      </c>
      <c r="E11949" t="inlineStr">
        <is>
          <t>STORUMAN</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47782-2023</t>
        </is>
      </c>
      <c r="B11950" s="1" t="n">
        <v>45204</v>
      </c>
      <c r="C11950" s="1" t="n">
        <v>45357</v>
      </c>
      <c r="D11950" t="inlineStr">
        <is>
          <t>VÄSTERBOTTENS LÄN</t>
        </is>
      </c>
      <c r="E11950" t="inlineStr">
        <is>
          <t>MALÅ</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48730-2023</t>
        </is>
      </c>
      <c r="B11951" s="1" t="n">
        <v>45203</v>
      </c>
      <c r="C11951" s="1" t="n">
        <v>45357</v>
      </c>
      <c r="D11951" t="inlineStr">
        <is>
          <t>VÄSTERBOTTENS LÄN</t>
        </is>
      </c>
      <c r="E11951" t="inlineStr">
        <is>
          <t>MALÅ</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47799-2023</t>
        </is>
      </c>
      <c r="B11952" s="1" t="n">
        <v>45203</v>
      </c>
      <c r="C11952" s="1" t="n">
        <v>45357</v>
      </c>
      <c r="D11952" t="inlineStr">
        <is>
          <t>VÄSTERBOTTENS LÄN</t>
        </is>
      </c>
      <c r="E11952" t="inlineStr">
        <is>
          <t>MALÅ</t>
        </is>
      </c>
      <c r="G11952" t="n">
        <v>7.5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48717-2023</t>
        </is>
      </c>
      <c r="B11953" s="1" t="n">
        <v>45203</v>
      </c>
      <c r="C11953" s="1" t="n">
        <v>45357</v>
      </c>
      <c r="D11953" t="inlineStr">
        <is>
          <t>VÄSTERBOTTENS LÄN</t>
        </is>
      </c>
      <c r="E11953" t="inlineStr">
        <is>
          <t>NORDMALING</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47780-2023</t>
        </is>
      </c>
      <c r="B11954" s="1" t="n">
        <v>45203</v>
      </c>
      <c r="C11954" s="1" t="n">
        <v>45357</v>
      </c>
      <c r="D11954" t="inlineStr">
        <is>
          <t>VÄSTERBOTTENS LÄN</t>
        </is>
      </c>
      <c r="E11954" t="inlineStr">
        <is>
          <t>MALÅ</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47800-2023</t>
        </is>
      </c>
      <c r="B11955" s="1" t="n">
        <v>45203</v>
      </c>
      <c r="C11955" s="1" t="n">
        <v>45357</v>
      </c>
      <c r="D11955" t="inlineStr">
        <is>
          <t>VÄSTERBOTTENS LÄN</t>
        </is>
      </c>
      <c r="E11955" t="inlineStr">
        <is>
          <t>MALÅ</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48690-2023</t>
        </is>
      </c>
      <c r="B11956" s="1" t="n">
        <v>45203</v>
      </c>
      <c r="C11956" s="1" t="n">
        <v>45357</v>
      </c>
      <c r="D11956" t="inlineStr">
        <is>
          <t>VÄSTERBOTTENS LÄN</t>
        </is>
      </c>
      <c r="E11956" t="inlineStr">
        <is>
          <t>NORDMALING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48876-2023</t>
        </is>
      </c>
      <c r="B11957" s="1" t="n">
        <v>45203</v>
      </c>
      <c r="C11957" s="1" t="n">
        <v>45357</v>
      </c>
      <c r="D11957" t="inlineStr">
        <is>
          <t>VÄSTERBOTTENS LÄN</t>
        </is>
      </c>
      <c r="E11957" t="inlineStr">
        <is>
          <t>LYCKSELE</t>
        </is>
      </c>
      <c r="G11957" t="n">
        <v>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48731-2023</t>
        </is>
      </c>
      <c r="B11958" s="1" t="n">
        <v>45203</v>
      </c>
      <c r="C11958" s="1" t="n">
        <v>45357</v>
      </c>
      <c r="D11958" t="inlineStr">
        <is>
          <t>VÄSTERBOTTENS LÄN</t>
        </is>
      </c>
      <c r="E11958" t="inlineStr">
        <is>
          <t>MALÅ</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47816-2023</t>
        </is>
      </c>
      <c r="B11959" s="1" t="n">
        <v>45204</v>
      </c>
      <c r="C11959" s="1" t="n">
        <v>45357</v>
      </c>
      <c r="D11959" t="inlineStr">
        <is>
          <t>VÄSTERBOTTENS LÄN</t>
        </is>
      </c>
      <c r="E11959" t="inlineStr">
        <is>
          <t>UMEÅ</t>
        </is>
      </c>
      <c r="F11959" t="inlineStr">
        <is>
          <t>Holmen skog AB</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47910-2023</t>
        </is>
      </c>
      <c r="B11960" s="1" t="n">
        <v>45204</v>
      </c>
      <c r="C11960" s="1" t="n">
        <v>45357</v>
      </c>
      <c r="D11960" t="inlineStr">
        <is>
          <t>VÄSTERBOTTENS LÄN</t>
        </is>
      </c>
      <c r="E11960" t="inlineStr">
        <is>
          <t>SKELLEFTEÅ</t>
        </is>
      </c>
      <c r="G11960" t="n">
        <v>6.7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47982-2023</t>
        </is>
      </c>
      <c r="B11961" s="1" t="n">
        <v>45204</v>
      </c>
      <c r="C11961" s="1" t="n">
        <v>45357</v>
      </c>
      <c r="D11961" t="inlineStr">
        <is>
          <t>VÄSTERBOTTENS LÄN</t>
        </is>
      </c>
      <c r="E11961" t="inlineStr">
        <is>
          <t>LYCKSELE</t>
        </is>
      </c>
      <c r="F11961" t="inlineStr">
        <is>
          <t>Sveaskog</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48008-2023</t>
        </is>
      </c>
      <c r="B11962" s="1" t="n">
        <v>45204</v>
      </c>
      <c r="C11962" s="1" t="n">
        <v>45357</v>
      </c>
      <c r="D11962" t="inlineStr">
        <is>
          <t>VÄSTERBOTTENS LÄN</t>
        </is>
      </c>
      <c r="E11962" t="inlineStr">
        <is>
          <t>LYCKSELE</t>
        </is>
      </c>
      <c r="F11962" t="inlineStr">
        <is>
          <t>Sveaskog</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48017-2023</t>
        </is>
      </c>
      <c r="B11963" s="1" t="n">
        <v>45204</v>
      </c>
      <c r="C11963" s="1" t="n">
        <v>45357</v>
      </c>
      <c r="D11963" t="inlineStr">
        <is>
          <t>VÄSTERBOTTENS LÄN</t>
        </is>
      </c>
      <c r="E11963" t="inlineStr">
        <is>
          <t>VINDELN</t>
        </is>
      </c>
      <c r="F11963" t="inlineStr">
        <is>
          <t>Holmen skog AB</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48047-2023</t>
        </is>
      </c>
      <c r="B11964" s="1" t="n">
        <v>45204</v>
      </c>
      <c r="C11964" s="1" t="n">
        <v>45357</v>
      </c>
      <c r="D11964" t="inlineStr">
        <is>
          <t>VÄSTERBOTTENS LÄN</t>
        </is>
      </c>
      <c r="E11964" t="inlineStr">
        <is>
          <t>VÄNNÄS</t>
        </is>
      </c>
      <c r="G11964" t="n">
        <v>16.4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48055-2023</t>
        </is>
      </c>
      <c r="B11965" s="1" t="n">
        <v>45205</v>
      </c>
      <c r="C11965" s="1" t="n">
        <v>45357</v>
      </c>
      <c r="D11965" t="inlineStr">
        <is>
          <t>VÄSTERBOTTENS LÄN</t>
        </is>
      </c>
      <c r="E11965" t="inlineStr">
        <is>
          <t>STORUMAN</t>
        </is>
      </c>
      <c r="G11965" t="n">
        <v>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48075-2023</t>
        </is>
      </c>
      <c r="B11966" s="1" t="n">
        <v>45204</v>
      </c>
      <c r="C11966" s="1" t="n">
        <v>45357</v>
      </c>
      <c r="D11966" t="inlineStr">
        <is>
          <t>VÄSTERBOTTENS LÄN</t>
        </is>
      </c>
      <c r="E11966" t="inlineStr">
        <is>
          <t>VINDELN</t>
        </is>
      </c>
      <c r="F11966" t="inlineStr">
        <is>
          <t>SCA</t>
        </is>
      </c>
      <c r="G11966" t="n">
        <v>7.6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48045-2023</t>
        </is>
      </c>
      <c r="B11967" s="1" t="n">
        <v>45204</v>
      </c>
      <c r="C11967" s="1" t="n">
        <v>45357</v>
      </c>
      <c r="D11967" t="inlineStr">
        <is>
          <t>VÄSTERBOTTENS LÄN</t>
        </is>
      </c>
      <c r="E11967" t="inlineStr">
        <is>
          <t>BJURHOLM</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48049-2023</t>
        </is>
      </c>
      <c r="B11968" s="1" t="n">
        <v>45204</v>
      </c>
      <c r="C11968" s="1" t="n">
        <v>45357</v>
      </c>
      <c r="D11968" t="inlineStr">
        <is>
          <t>VÄSTERBOTTENS LÄN</t>
        </is>
      </c>
      <c r="E11968" t="inlineStr">
        <is>
          <t>VÄNNÄS</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48073-2023</t>
        </is>
      </c>
      <c r="B11969" s="1" t="n">
        <v>45204</v>
      </c>
      <c r="C11969" s="1" t="n">
        <v>45357</v>
      </c>
      <c r="D11969" t="inlineStr">
        <is>
          <t>VÄSTERBOTTENS LÄN</t>
        </is>
      </c>
      <c r="E11969" t="inlineStr">
        <is>
          <t>ÅSELE</t>
        </is>
      </c>
      <c r="F11969" t="inlineStr">
        <is>
          <t>SCA</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48081-2023</t>
        </is>
      </c>
      <c r="B11970" s="1" t="n">
        <v>45204</v>
      </c>
      <c r="C11970" s="1" t="n">
        <v>45357</v>
      </c>
      <c r="D11970" t="inlineStr">
        <is>
          <t>VÄSTERBOTTENS LÄN</t>
        </is>
      </c>
      <c r="E11970" t="inlineStr">
        <is>
          <t>ÅSELE</t>
        </is>
      </c>
      <c r="F11970" t="inlineStr">
        <is>
          <t>SCA</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48863-2023</t>
        </is>
      </c>
      <c r="B11971" s="1" t="n">
        <v>45204</v>
      </c>
      <c r="C11971" s="1" t="n">
        <v>45357</v>
      </c>
      <c r="D11971" t="inlineStr">
        <is>
          <t>VÄSTERBOTTENS LÄN</t>
        </is>
      </c>
      <c r="E11971" t="inlineStr">
        <is>
          <t>MALÅ</t>
        </is>
      </c>
      <c r="G11971" t="n">
        <v>34.4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48920-2023</t>
        </is>
      </c>
      <c r="B11972" s="1" t="n">
        <v>45204</v>
      </c>
      <c r="C11972" s="1" t="n">
        <v>45357</v>
      </c>
      <c r="D11972" t="inlineStr">
        <is>
          <t>VÄSTERBOTTENS LÄN</t>
        </is>
      </c>
      <c r="E11972" t="inlineStr">
        <is>
          <t>ROBERTSFORS</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48062-2023</t>
        </is>
      </c>
      <c r="B11973" s="1" t="n">
        <v>45205</v>
      </c>
      <c r="C11973" s="1" t="n">
        <v>45357</v>
      </c>
      <c r="D11973" t="inlineStr">
        <is>
          <t>VÄSTERBOTTENS LÄN</t>
        </is>
      </c>
      <c r="E11973" t="inlineStr">
        <is>
          <t>SKELLEFTEÅ</t>
        </is>
      </c>
      <c r="G11973" t="n">
        <v>12.4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48074-2023</t>
        </is>
      </c>
      <c r="B11974" s="1" t="n">
        <v>45205</v>
      </c>
      <c r="C11974" s="1" t="n">
        <v>45357</v>
      </c>
      <c r="D11974" t="inlineStr">
        <is>
          <t>VÄSTERBOTTENS LÄN</t>
        </is>
      </c>
      <c r="E11974" t="inlineStr">
        <is>
          <t>VINDELN</t>
        </is>
      </c>
      <c r="F11974" t="inlineStr">
        <is>
          <t>SCA</t>
        </is>
      </c>
      <c r="G11974" t="n">
        <v>8.199999999999999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47813-2023</t>
        </is>
      </c>
      <c r="B11975" s="1" t="n">
        <v>45204</v>
      </c>
      <c r="C11975" s="1" t="n">
        <v>45357</v>
      </c>
      <c r="D11975" t="inlineStr">
        <is>
          <t>VÄSTERBOTTENS LÄN</t>
        </is>
      </c>
      <c r="E11975" t="inlineStr">
        <is>
          <t>UMEÅ</t>
        </is>
      </c>
      <c r="F11975" t="inlineStr">
        <is>
          <t>Holmen skog AB</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48076-2023</t>
        </is>
      </c>
      <c r="B11976" s="1" t="n">
        <v>45205</v>
      </c>
      <c r="C11976" s="1" t="n">
        <v>45357</v>
      </c>
      <c r="D11976" t="inlineStr">
        <is>
          <t>VÄSTERBOTTENS LÄN</t>
        </is>
      </c>
      <c r="E11976" t="inlineStr">
        <is>
          <t>VINDELN</t>
        </is>
      </c>
      <c r="F11976" t="inlineStr">
        <is>
          <t>SCA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49020-2023</t>
        </is>
      </c>
      <c r="B11977" s="1" t="n">
        <v>45204</v>
      </c>
      <c r="C11977" s="1" t="n">
        <v>45357</v>
      </c>
      <c r="D11977" t="inlineStr">
        <is>
          <t>VÄSTERBOTTENS LÄN</t>
        </is>
      </c>
      <c r="E11977" t="inlineStr">
        <is>
          <t>NORSJÖ</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48932-2023</t>
        </is>
      </c>
      <c r="B11978" s="1" t="n">
        <v>45204</v>
      </c>
      <c r="C11978" s="1" t="n">
        <v>45357</v>
      </c>
      <c r="D11978" t="inlineStr">
        <is>
          <t>VÄSTERBOTTENS LÄN</t>
        </is>
      </c>
      <c r="E11978" t="inlineStr">
        <is>
          <t>NORDMALING</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48946-2023</t>
        </is>
      </c>
      <c r="B11979" s="1" t="n">
        <v>45204</v>
      </c>
      <c r="C11979" s="1" t="n">
        <v>45357</v>
      </c>
      <c r="D11979" t="inlineStr">
        <is>
          <t>VÄSTERBOTTENS LÄN</t>
        </is>
      </c>
      <c r="E11979" t="inlineStr">
        <is>
          <t>NORDMALING</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48207-2023</t>
        </is>
      </c>
      <c r="B11980" s="1" t="n">
        <v>45205</v>
      </c>
      <c r="C11980" s="1" t="n">
        <v>45357</v>
      </c>
      <c r="D11980" t="inlineStr">
        <is>
          <t>VÄSTERBOTTENS LÄN</t>
        </is>
      </c>
      <c r="E11980" t="inlineStr">
        <is>
          <t>MALÅ</t>
        </is>
      </c>
      <c r="F11980" t="inlineStr">
        <is>
          <t>Sveaskog</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48230-2023</t>
        </is>
      </c>
      <c r="B11981" s="1" t="n">
        <v>45205</v>
      </c>
      <c r="C11981" s="1" t="n">
        <v>45357</v>
      </c>
      <c r="D11981" t="inlineStr">
        <is>
          <t>VÄSTERBOTTENS LÄN</t>
        </is>
      </c>
      <c r="E11981" t="inlineStr">
        <is>
          <t>LYCKSELE</t>
        </is>
      </c>
      <c r="F11981" t="inlineStr">
        <is>
          <t>Holmen skog AB</t>
        </is>
      </c>
      <c r="G11981" t="n">
        <v>7.2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48160-2023</t>
        </is>
      </c>
      <c r="B11982" s="1" t="n">
        <v>45205</v>
      </c>
      <c r="C11982" s="1" t="n">
        <v>45357</v>
      </c>
      <c r="D11982" t="inlineStr">
        <is>
          <t>VÄSTERBOTTENS LÄN</t>
        </is>
      </c>
      <c r="E11982" t="inlineStr">
        <is>
          <t>SKELLEFTEÅ</t>
        </is>
      </c>
      <c r="G11982" t="n">
        <v>18.8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48235-2023</t>
        </is>
      </c>
      <c r="B11983" s="1" t="n">
        <v>45205</v>
      </c>
      <c r="C11983" s="1" t="n">
        <v>45357</v>
      </c>
      <c r="D11983" t="inlineStr">
        <is>
          <t>VÄSTERBOTTENS LÄN</t>
        </is>
      </c>
      <c r="E11983" t="inlineStr">
        <is>
          <t>MALÅ</t>
        </is>
      </c>
      <c r="F11983" t="inlineStr">
        <is>
          <t>Sveaskog</t>
        </is>
      </c>
      <c r="G11983" t="n">
        <v>29.5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48316-2023</t>
        </is>
      </c>
      <c r="B11984" s="1" t="n">
        <v>45205</v>
      </c>
      <c r="C11984" s="1" t="n">
        <v>45357</v>
      </c>
      <c r="D11984" t="inlineStr">
        <is>
          <t>VÄSTERBOTTENS LÄN</t>
        </is>
      </c>
      <c r="E11984" t="inlineStr">
        <is>
          <t>SKELLEFTEÅ</t>
        </is>
      </c>
      <c r="F11984" t="inlineStr">
        <is>
          <t>Holmen skog AB</t>
        </is>
      </c>
      <c r="G11984" t="n">
        <v>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48368-2023</t>
        </is>
      </c>
      <c r="B11985" s="1" t="n">
        <v>45205</v>
      </c>
      <c r="C11985" s="1" t="n">
        <v>45357</v>
      </c>
      <c r="D11985" t="inlineStr">
        <is>
          <t>VÄSTERBOTTENS LÄN</t>
        </is>
      </c>
      <c r="E11985" t="inlineStr">
        <is>
          <t>VILHELMINA</t>
        </is>
      </c>
      <c r="F11985" t="inlineStr">
        <is>
          <t>Sveaskog</t>
        </is>
      </c>
      <c r="G11985" t="n">
        <v>16.8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48259-2023</t>
        </is>
      </c>
      <c r="B11986" s="1" t="n">
        <v>45205</v>
      </c>
      <c r="C11986" s="1" t="n">
        <v>45357</v>
      </c>
      <c r="D11986" t="inlineStr">
        <is>
          <t>VÄSTERBOTTENS LÄN</t>
        </is>
      </c>
      <c r="E11986" t="inlineStr">
        <is>
          <t>ROBERTSFORS</t>
        </is>
      </c>
      <c r="G11986" t="n">
        <v>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48264-2023</t>
        </is>
      </c>
      <c r="B11987" s="1" t="n">
        <v>45205</v>
      </c>
      <c r="C11987" s="1" t="n">
        <v>45357</v>
      </c>
      <c r="D11987" t="inlineStr">
        <is>
          <t>VÄSTERBOTTENS LÄN</t>
        </is>
      </c>
      <c r="E11987" t="inlineStr">
        <is>
          <t>SKELLEFTEÅ</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48424-2023</t>
        </is>
      </c>
      <c r="B11988" s="1" t="n">
        <v>45205</v>
      </c>
      <c r="C11988" s="1" t="n">
        <v>45357</v>
      </c>
      <c r="D11988" t="inlineStr">
        <is>
          <t>VÄSTERBOTTENS LÄN</t>
        </is>
      </c>
      <c r="E11988" t="inlineStr">
        <is>
          <t>VILHELMINA</t>
        </is>
      </c>
      <c r="F11988" t="inlineStr">
        <is>
          <t>SCA</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48372-2023</t>
        </is>
      </c>
      <c r="B11989" s="1" t="n">
        <v>45205</v>
      </c>
      <c r="C11989" s="1" t="n">
        <v>45357</v>
      </c>
      <c r="D11989" t="inlineStr">
        <is>
          <t>VÄSTERBOTTENS LÄN</t>
        </is>
      </c>
      <c r="E11989" t="inlineStr">
        <is>
          <t>VILHELMINA</t>
        </is>
      </c>
      <c r="F11989" t="inlineStr">
        <is>
          <t>Sveaskog</t>
        </is>
      </c>
      <c r="G11989" t="n">
        <v>8.300000000000001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48423-2023</t>
        </is>
      </c>
      <c r="B11990" s="1" t="n">
        <v>45205</v>
      </c>
      <c r="C11990" s="1" t="n">
        <v>45357</v>
      </c>
      <c r="D11990" t="inlineStr">
        <is>
          <t>VÄSTERBOTTENS LÄN</t>
        </is>
      </c>
      <c r="E11990" t="inlineStr">
        <is>
          <t>VILHELMINA</t>
        </is>
      </c>
      <c r="F11990" t="inlineStr">
        <is>
          <t>SCA</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48491-2023</t>
        </is>
      </c>
      <c r="B11991" s="1" t="n">
        <v>45205</v>
      </c>
      <c r="C11991" s="1" t="n">
        <v>45357</v>
      </c>
      <c r="D11991" t="inlineStr">
        <is>
          <t>VÄSTERBOTTENS LÄN</t>
        </is>
      </c>
      <c r="E11991" t="inlineStr">
        <is>
          <t>MALÅ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48422-2023</t>
        </is>
      </c>
      <c r="B11992" s="1" t="n">
        <v>45205</v>
      </c>
      <c r="C11992" s="1" t="n">
        <v>45357</v>
      </c>
      <c r="D11992" t="inlineStr">
        <is>
          <t>VÄSTERBOTTENS LÄN</t>
        </is>
      </c>
      <c r="E11992" t="inlineStr">
        <is>
          <t>VILHELMINA</t>
        </is>
      </c>
      <c r="F11992" t="inlineStr">
        <is>
          <t>SCA</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48440-2023</t>
        </is>
      </c>
      <c r="B11993" s="1" t="n">
        <v>45205</v>
      </c>
      <c r="C11993" s="1" t="n">
        <v>45357</v>
      </c>
      <c r="D11993" t="inlineStr">
        <is>
          <t>VÄSTERBOTTENS LÄN</t>
        </is>
      </c>
      <c r="E11993" t="inlineStr">
        <is>
          <t>ÅSELE</t>
        </is>
      </c>
      <c r="F11993" t="inlineStr">
        <is>
          <t>SCA</t>
        </is>
      </c>
      <c r="G11993" t="n">
        <v>8.199999999999999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48490-2023</t>
        </is>
      </c>
      <c r="B11994" s="1" t="n">
        <v>45205</v>
      </c>
      <c r="C11994" s="1" t="n">
        <v>45357</v>
      </c>
      <c r="D11994" t="inlineStr">
        <is>
          <t>VÄSTERBOTTENS LÄN</t>
        </is>
      </c>
      <c r="E11994" t="inlineStr">
        <is>
          <t>MALÅ</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48224-2023</t>
        </is>
      </c>
      <c r="B11995" s="1" t="n">
        <v>45205</v>
      </c>
      <c r="C11995" s="1" t="n">
        <v>45357</v>
      </c>
      <c r="D11995" t="inlineStr">
        <is>
          <t>VÄSTERBOTTENS LÄN</t>
        </is>
      </c>
      <c r="E11995" t="inlineStr">
        <is>
          <t>MALÅ</t>
        </is>
      </c>
      <c r="F11995" t="inlineStr">
        <is>
          <t>Sveaskog</t>
        </is>
      </c>
      <c r="G11995" t="n">
        <v>8.800000000000001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48252-2023</t>
        </is>
      </c>
      <c r="B11996" s="1" t="n">
        <v>45205</v>
      </c>
      <c r="C11996" s="1" t="n">
        <v>45357</v>
      </c>
      <c r="D11996" t="inlineStr">
        <is>
          <t>VÄSTERBOTTENS LÄN</t>
        </is>
      </c>
      <c r="E11996" t="inlineStr">
        <is>
          <t>ROBERTSFORS</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48356-2023</t>
        </is>
      </c>
      <c r="B11997" s="1" t="n">
        <v>45205</v>
      </c>
      <c r="C11997" s="1" t="n">
        <v>45357</v>
      </c>
      <c r="D11997" t="inlineStr">
        <is>
          <t>VÄSTERBOTTENS LÄN</t>
        </is>
      </c>
      <c r="E11997" t="inlineStr">
        <is>
          <t>BJURHOLM</t>
        </is>
      </c>
      <c r="F11997" t="inlineStr">
        <is>
          <t>Sveaskog</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48361-2023</t>
        </is>
      </c>
      <c r="B11998" s="1" t="n">
        <v>45205</v>
      </c>
      <c r="C11998" s="1" t="n">
        <v>45357</v>
      </c>
      <c r="D11998" t="inlineStr">
        <is>
          <t>VÄSTERBOTTENS LÄN</t>
        </is>
      </c>
      <c r="E11998" t="inlineStr">
        <is>
          <t>SKELLEFTEÅ</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48370-2023</t>
        </is>
      </c>
      <c r="B11999" s="1" t="n">
        <v>45205</v>
      </c>
      <c r="C11999" s="1" t="n">
        <v>45357</v>
      </c>
      <c r="D11999" t="inlineStr">
        <is>
          <t>VÄSTERBOTTENS LÄN</t>
        </is>
      </c>
      <c r="E11999" t="inlineStr">
        <is>
          <t>VILHELMINA</t>
        </is>
      </c>
      <c r="F11999" t="inlineStr">
        <is>
          <t>Sveaskog</t>
        </is>
      </c>
      <c r="G11999" t="n">
        <v>7.7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48467-2023</t>
        </is>
      </c>
      <c r="B12000" s="1" t="n">
        <v>45205</v>
      </c>
      <c r="C12000" s="1" t="n">
        <v>45357</v>
      </c>
      <c r="D12000" t="inlineStr">
        <is>
          <t>VÄSTERBOTTENS LÄN</t>
        </is>
      </c>
      <c r="E12000" t="inlineStr">
        <is>
          <t>MALÅ</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49525-2023</t>
        </is>
      </c>
      <c r="B12001" s="1" t="n">
        <v>45205</v>
      </c>
      <c r="C12001" s="1" t="n">
        <v>45357</v>
      </c>
      <c r="D12001" t="inlineStr">
        <is>
          <t>VÄSTERBOTTENS LÄN</t>
        </is>
      </c>
      <c r="E12001" t="inlineStr">
        <is>
          <t>UMEÅ</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49220-2023</t>
        </is>
      </c>
      <c r="B12002" s="1" t="n">
        <v>45205</v>
      </c>
      <c r="C12002" s="1" t="n">
        <v>45357</v>
      </c>
      <c r="D12002" t="inlineStr">
        <is>
          <t>VÄSTERBOTTENS LÄN</t>
        </is>
      </c>
      <c r="E12002" t="inlineStr">
        <is>
          <t>SORSELE</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49573-2023</t>
        </is>
      </c>
      <c r="B12003" s="1" t="n">
        <v>45205</v>
      </c>
      <c r="C12003" s="1" t="n">
        <v>45357</v>
      </c>
      <c r="D12003" t="inlineStr">
        <is>
          <t>VÄSTERBOTTENS LÄN</t>
        </is>
      </c>
      <c r="E12003" t="inlineStr">
        <is>
          <t>SKELLEFTEÅ</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48468-2023</t>
        </is>
      </c>
      <c r="B12004" s="1" t="n">
        <v>45205</v>
      </c>
      <c r="C12004" s="1" t="n">
        <v>45357</v>
      </c>
      <c r="D12004" t="inlineStr">
        <is>
          <t>VÄSTERBOTTENS LÄN</t>
        </is>
      </c>
      <c r="E12004" t="inlineStr">
        <is>
          <t>MALÅ</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48493-2023</t>
        </is>
      </c>
      <c r="B12005" s="1" t="n">
        <v>45205</v>
      </c>
      <c r="C12005" s="1" t="n">
        <v>45357</v>
      </c>
      <c r="D12005" t="inlineStr">
        <is>
          <t>VÄSTERBOTTENS LÄN</t>
        </is>
      </c>
      <c r="E12005" t="inlineStr">
        <is>
          <t>MALÅ</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48471-2023</t>
        </is>
      </c>
      <c r="B12006" s="1" t="n">
        <v>45207</v>
      </c>
      <c r="C12006" s="1" t="n">
        <v>45357</v>
      </c>
      <c r="D12006" t="inlineStr">
        <is>
          <t>VÄSTERBOTTENS LÄN</t>
        </is>
      </c>
      <c r="E12006" t="inlineStr">
        <is>
          <t>VILHELMINA</t>
        </is>
      </c>
      <c r="F12006" t="inlineStr">
        <is>
          <t>SCA</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48470-2023</t>
        </is>
      </c>
      <c r="B12007" s="1" t="n">
        <v>45207</v>
      </c>
      <c r="C12007" s="1" t="n">
        <v>45357</v>
      </c>
      <c r="D12007" t="inlineStr">
        <is>
          <t>VÄSTERBOTTENS LÄN</t>
        </is>
      </c>
      <c r="E12007" t="inlineStr">
        <is>
          <t>VILHELMINA</t>
        </is>
      </c>
      <c r="F12007" t="inlineStr">
        <is>
          <t>SCA</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48483-2023</t>
        </is>
      </c>
      <c r="B12008" s="1" t="n">
        <v>45207</v>
      </c>
      <c r="C12008" s="1" t="n">
        <v>45357</v>
      </c>
      <c r="D12008" t="inlineStr">
        <is>
          <t>VÄSTERBOTTENS LÄN</t>
        </is>
      </c>
      <c r="E12008" t="inlineStr">
        <is>
          <t>VILHELMINA</t>
        </is>
      </c>
      <c r="F12008" t="inlineStr">
        <is>
          <t>SCA</t>
        </is>
      </c>
      <c r="G12008" t="n">
        <v>7.6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49587-2023</t>
        </is>
      </c>
      <c r="B12009" s="1" t="n">
        <v>45206</v>
      </c>
      <c r="C12009" s="1" t="n">
        <v>45357</v>
      </c>
      <c r="D12009" t="inlineStr">
        <is>
          <t>VÄSTERBOTTENS LÄN</t>
        </is>
      </c>
      <c r="E12009" t="inlineStr">
        <is>
          <t>SKELLEFTEÅ</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48463-2023</t>
        </is>
      </c>
      <c r="B12010" s="1" t="n">
        <v>45206</v>
      </c>
      <c r="C12010" s="1" t="n">
        <v>45357</v>
      </c>
      <c r="D12010" t="inlineStr">
        <is>
          <t>VÄSTERBOTTENS LÄN</t>
        </is>
      </c>
      <c r="E12010" t="inlineStr">
        <is>
          <t>ÅSELE</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49594-2023</t>
        </is>
      </c>
      <c r="B12011" s="1" t="n">
        <v>45206</v>
      </c>
      <c r="C12011" s="1" t="n">
        <v>45357</v>
      </c>
      <c r="D12011" t="inlineStr">
        <is>
          <t>VÄSTERBOTTENS LÄN</t>
        </is>
      </c>
      <c r="E12011" t="inlineStr">
        <is>
          <t>SKELLEFTEÅ</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48454-2023</t>
        </is>
      </c>
      <c r="B12012" s="1" t="n">
        <v>45206</v>
      </c>
      <c r="C12012" s="1" t="n">
        <v>45357</v>
      </c>
      <c r="D12012" t="inlineStr">
        <is>
          <t>VÄSTERBOTTENS LÄN</t>
        </is>
      </c>
      <c r="E12012" t="inlineStr">
        <is>
          <t>SKELLEFTEÅ</t>
        </is>
      </c>
      <c r="G12012" t="n">
        <v>6.7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48472-2023</t>
        </is>
      </c>
      <c r="B12013" s="1" t="n">
        <v>45207</v>
      </c>
      <c r="C12013" s="1" t="n">
        <v>45357</v>
      </c>
      <c r="D12013" t="inlineStr">
        <is>
          <t>VÄSTERBOTTENS LÄN</t>
        </is>
      </c>
      <c r="E12013" t="inlineStr">
        <is>
          <t>VILHELMINA</t>
        </is>
      </c>
      <c r="F12013" t="inlineStr">
        <is>
          <t>SCA</t>
        </is>
      </c>
      <c r="G12013" t="n">
        <v>4.6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48488-2023</t>
        </is>
      </c>
      <c r="B12014" s="1" t="n">
        <v>45206</v>
      </c>
      <c r="C12014" s="1" t="n">
        <v>45357</v>
      </c>
      <c r="D12014" t="inlineStr">
        <is>
          <t>VÄSTERBOTTENS LÄN</t>
        </is>
      </c>
      <c r="E12014" t="inlineStr">
        <is>
          <t>ÅSELE</t>
        </is>
      </c>
      <c r="F12014" t="inlineStr">
        <is>
          <t>SCA</t>
        </is>
      </c>
      <c r="G12014" t="n">
        <v>8.199999999999999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48501-2023</t>
        </is>
      </c>
      <c r="B12015" s="1" t="n">
        <v>45207</v>
      </c>
      <c r="C12015" s="1" t="n">
        <v>45357</v>
      </c>
      <c r="D12015" t="inlineStr">
        <is>
          <t>VÄSTERBOTTENS LÄN</t>
        </is>
      </c>
      <c r="E12015" t="inlineStr">
        <is>
          <t>SKELLEFTEÅ</t>
        </is>
      </c>
      <c r="G12015" t="n">
        <v>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48505-2023</t>
        </is>
      </c>
      <c r="B12016" s="1" t="n">
        <v>45208</v>
      </c>
      <c r="C12016" s="1" t="n">
        <v>45357</v>
      </c>
      <c r="D12016" t="inlineStr">
        <is>
          <t>VÄSTERBOTTENS LÄN</t>
        </is>
      </c>
      <c r="E12016" t="inlineStr">
        <is>
          <t>VILHELMINA</t>
        </is>
      </c>
      <c r="F12016" t="inlineStr">
        <is>
          <t>SCA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48517-2023</t>
        </is>
      </c>
      <c r="B12017" s="1" t="n">
        <v>45208</v>
      </c>
      <c r="C12017" s="1" t="n">
        <v>45357</v>
      </c>
      <c r="D12017" t="inlineStr">
        <is>
          <t>VÄSTERBOTTENS LÄN</t>
        </is>
      </c>
      <c r="E12017" t="inlineStr">
        <is>
          <t>SKELLEFTEÅ</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48548-2023</t>
        </is>
      </c>
      <c r="B12018" s="1" t="n">
        <v>45208</v>
      </c>
      <c r="C12018" s="1" t="n">
        <v>45357</v>
      </c>
      <c r="D12018" t="inlineStr">
        <is>
          <t>VÄSTERBOTTENS LÄN</t>
        </is>
      </c>
      <c r="E12018" t="inlineStr">
        <is>
          <t>VINDELN</t>
        </is>
      </c>
      <c r="G12018" t="n">
        <v>10.5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48518-2023</t>
        </is>
      </c>
      <c r="B12019" s="1" t="n">
        <v>45208</v>
      </c>
      <c r="C12019" s="1" t="n">
        <v>45357</v>
      </c>
      <c r="D12019" t="inlineStr">
        <is>
          <t>VÄSTERBOTTENS LÄN</t>
        </is>
      </c>
      <c r="E12019" t="inlineStr">
        <is>
          <t>SKELLEFTEÅ</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48534-2023</t>
        </is>
      </c>
      <c r="B12020" s="1" t="n">
        <v>45208</v>
      </c>
      <c r="C12020" s="1" t="n">
        <v>45357</v>
      </c>
      <c r="D12020" t="inlineStr">
        <is>
          <t>VÄSTERBOTTENS LÄN</t>
        </is>
      </c>
      <c r="E12020" t="inlineStr">
        <is>
          <t>LYCKSELE</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48542-2023</t>
        </is>
      </c>
      <c r="B12021" s="1" t="n">
        <v>45208</v>
      </c>
      <c r="C12021" s="1" t="n">
        <v>45357</v>
      </c>
      <c r="D12021" t="inlineStr">
        <is>
          <t>VÄSTERBOTTENS LÄN</t>
        </is>
      </c>
      <c r="E12021" t="inlineStr">
        <is>
          <t>LYCKSELE</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48573-2023</t>
        </is>
      </c>
      <c r="B12022" s="1" t="n">
        <v>45208</v>
      </c>
      <c r="C12022" s="1" t="n">
        <v>45357</v>
      </c>
      <c r="D12022" t="inlineStr">
        <is>
          <t>VÄSTERBOTTENS LÄN</t>
        </is>
      </c>
      <c r="E12022" t="inlineStr">
        <is>
          <t>SKELLEFTEÅ</t>
        </is>
      </c>
      <c r="F12022" t="inlineStr">
        <is>
          <t>Holmen skog AB</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48623-2023</t>
        </is>
      </c>
      <c r="B12023" s="1" t="n">
        <v>45208</v>
      </c>
      <c r="C12023" s="1" t="n">
        <v>45357</v>
      </c>
      <c r="D12023" t="inlineStr">
        <is>
          <t>VÄSTERBOTTENS LÄN</t>
        </is>
      </c>
      <c r="E12023" t="inlineStr">
        <is>
          <t>NORSJÖ</t>
        </is>
      </c>
      <c r="F12023" t="inlineStr">
        <is>
          <t>Holmen skog AB</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48670-2023</t>
        </is>
      </c>
      <c r="B12024" s="1" t="n">
        <v>45208</v>
      </c>
      <c r="C12024" s="1" t="n">
        <v>45357</v>
      </c>
      <c r="D12024" t="inlineStr">
        <is>
          <t>VÄSTERBOTTENS LÄN</t>
        </is>
      </c>
      <c r="E12024" t="inlineStr">
        <is>
          <t>ÅSELE</t>
        </is>
      </c>
      <c r="F12024" t="inlineStr">
        <is>
          <t>Naturvårdsverket</t>
        </is>
      </c>
      <c r="G12024" t="n">
        <v>9.699999999999999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48697-2023</t>
        </is>
      </c>
      <c r="B12025" s="1" t="n">
        <v>45208</v>
      </c>
      <c r="C12025" s="1" t="n">
        <v>45357</v>
      </c>
      <c r="D12025" t="inlineStr">
        <is>
          <t>VÄSTERBOTTENS LÄN</t>
        </is>
      </c>
      <c r="E12025" t="inlineStr">
        <is>
          <t>VINDELN</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48757-2023</t>
        </is>
      </c>
      <c r="B12026" s="1" t="n">
        <v>45208</v>
      </c>
      <c r="C12026" s="1" t="n">
        <v>45357</v>
      </c>
      <c r="D12026" t="inlineStr">
        <is>
          <t>VÄSTERBOTTENS LÄN</t>
        </is>
      </c>
      <c r="E12026" t="inlineStr">
        <is>
          <t>MALÅ</t>
        </is>
      </c>
      <c r="G12026" t="n">
        <v>9.699999999999999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48761-2023</t>
        </is>
      </c>
      <c r="B12027" s="1" t="n">
        <v>45208</v>
      </c>
      <c r="C12027" s="1" t="n">
        <v>45357</v>
      </c>
      <c r="D12027" t="inlineStr">
        <is>
          <t>VÄSTERBOTTENS LÄN</t>
        </is>
      </c>
      <c r="E12027" t="inlineStr">
        <is>
          <t>VINDELN</t>
        </is>
      </c>
      <c r="G12027" t="n">
        <v>22.4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48765-2023</t>
        </is>
      </c>
      <c r="B12028" s="1" t="n">
        <v>45209</v>
      </c>
      <c r="C12028" s="1" t="n">
        <v>45357</v>
      </c>
      <c r="D12028" t="inlineStr">
        <is>
          <t>VÄSTERBOTTENS LÄN</t>
        </is>
      </c>
      <c r="E12028" t="inlineStr">
        <is>
          <t>NORSJÖ</t>
        </is>
      </c>
      <c r="F12028" t="inlineStr">
        <is>
          <t>SCA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48751-2023</t>
        </is>
      </c>
      <c r="B12029" s="1" t="n">
        <v>45208</v>
      </c>
      <c r="C12029" s="1" t="n">
        <v>45357</v>
      </c>
      <c r="D12029" t="inlineStr">
        <is>
          <t>VÄSTERBOTTENS LÄN</t>
        </is>
      </c>
      <c r="E12029" t="inlineStr">
        <is>
          <t>UMEÅ</t>
        </is>
      </c>
      <c r="G12029" t="n">
        <v>5.9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48766-2023</t>
        </is>
      </c>
      <c r="B12030" s="1" t="n">
        <v>45209</v>
      </c>
      <c r="C12030" s="1" t="n">
        <v>45357</v>
      </c>
      <c r="D12030" t="inlineStr">
        <is>
          <t>VÄSTERBOTTENS LÄN</t>
        </is>
      </c>
      <c r="E12030" t="inlineStr">
        <is>
          <t>MALÅ</t>
        </is>
      </c>
      <c r="F12030" t="inlineStr">
        <is>
          <t>SCA</t>
        </is>
      </c>
      <c r="G12030" t="n">
        <v>6.1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48516-2023</t>
        </is>
      </c>
      <c r="B12031" s="1" t="n">
        <v>45208</v>
      </c>
      <c r="C12031" s="1" t="n">
        <v>45357</v>
      </c>
      <c r="D12031" t="inlineStr">
        <is>
          <t>VÄSTERBOTTENS LÄN</t>
        </is>
      </c>
      <c r="E12031" t="inlineStr">
        <is>
          <t>SKELLEFTEÅ</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48549-2023</t>
        </is>
      </c>
      <c r="B12032" s="1" t="n">
        <v>45208</v>
      </c>
      <c r="C12032" s="1" t="n">
        <v>45357</v>
      </c>
      <c r="D12032" t="inlineStr">
        <is>
          <t>VÄSTERBOTTENS LÄN</t>
        </is>
      </c>
      <c r="E12032" t="inlineStr">
        <is>
          <t>NORSJÖ</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48702-2023</t>
        </is>
      </c>
      <c r="B12033" s="1" t="n">
        <v>45208</v>
      </c>
      <c r="C12033" s="1" t="n">
        <v>45357</v>
      </c>
      <c r="D12033" t="inlineStr">
        <is>
          <t>VÄSTERBOTTENS LÄN</t>
        </is>
      </c>
      <c r="E12033" t="inlineStr">
        <is>
          <t>VINDELN</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48748-2023</t>
        </is>
      </c>
      <c r="B12034" s="1" t="n">
        <v>45208</v>
      </c>
      <c r="C12034" s="1" t="n">
        <v>45357</v>
      </c>
      <c r="D12034" t="inlineStr">
        <is>
          <t>VÄSTERBOTTENS LÄN</t>
        </is>
      </c>
      <c r="E12034" t="inlineStr">
        <is>
          <t>UMEÅ</t>
        </is>
      </c>
      <c r="G12034" t="n">
        <v>14.7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50075-2023</t>
        </is>
      </c>
      <c r="B12035" s="1" t="n">
        <v>45208</v>
      </c>
      <c r="C12035" s="1" t="n">
        <v>45357</v>
      </c>
      <c r="D12035" t="inlineStr">
        <is>
          <t>VÄSTERBOTTENS LÄN</t>
        </is>
      </c>
      <c r="E12035" t="inlineStr">
        <is>
          <t>NORSJÖ</t>
        </is>
      </c>
      <c r="F12035" t="inlineStr">
        <is>
          <t>Övriga Aktiebolag</t>
        </is>
      </c>
      <c r="G12035" t="n">
        <v>9.1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50170-2023</t>
        </is>
      </c>
      <c r="B12036" s="1" t="n">
        <v>45208</v>
      </c>
      <c r="C12036" s="1" t="n">
        <v>45357</v>
      </c>
      <c r="D12036" t="inlineStr">
        <is>
          <t>VÄSTERBOTTENS LÄN</t>
        </is>
      </c>
      <c r="E12036" t="inlineStr">
        <is>
          <t>NORDMALING</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50131-2023</t>
        </is>
      </c>
      <c r="B12037" s="1" t="n">
        <v>45208</v>
      </c>
      <c r="C12037" s="1" t="n">
        <v>45357</v>
      </c>
      <c r="D12037" t="inlineStr">
        <is>
          <t>VÄSTERBOTTENS LÄN</t>
        </is>
      </c>
      <c r="E12037" t="inlineStr">
        <is>
          <t>VÄNNÄS</t>
        </is>
      </c>
      <c r="G12037" t="n">
        <v>11.8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50052-2023</t>
        </is>
      </c>
      <c r="B12038" s="1" t="n">
        <v>45208</v>
      </c>
      <c r="C12038" s="1" t="n">
        <v>45357</v>
      </c>
      <c r="D12038" t="inlineStr">
        <is>
          <t>VÄSTERBOTTENS LÄN</t>
        </is>
      </c>
      <c r="E12038" t="inlineStr">
        <is>
          <t>BJURHOLM</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50084-2023</t>
        </is>
      </c>
      <c r="B12039" s="1" t="n">
        <v>45208</v>
      </c>
      <c r="C12039" s="1" t="n">
        <v>45357</v>
      </c>
      <c r="D12039" t="inlineStr">
        <is>
          <t>VÄSTERBOTTENS LÄN</t>
        </is>
      </c>
      <c r="E12039" t="inlineStr">
        <is>
          <t>NORSJÖ</t>
        </is>
      </c>
      <c r="F12039" t="inlineStr">
        <is>
          <t>Övriga Aktiebolag</t>
        </is>
      </c>
      <c r="G12039" t="n">
        <v>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48836-2023</t>
        </is>
      </c>
      <c r="B12040" s="1" t="n">
        <v>45209</v>
      </c>
      <c r="C12040" s="1" t="n">
        <v>45357</v>
      </c>
      <c r="D12040" t="inlineStr">
        <is>
          <t>VÄSTERBOTTENS LÄN</t>
        </is>
      </c>
      <c r="E12040" t="inlineStr">
        <is>
          <t>MALÅ</t>
        </is>
      </c>
      <c r="G12040" t="n">
        <v>4.4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48841-2023</t>
        </is>
      </c>
      <c r="B12041" s="1" t="n">
        <v>45209</v>
      </c>
      <c r="C12041" s="1" t="n">
        <v>45357</v>
      </c>
      <c r="D12041" t="inlineStr">
        <is>
          <t>VÄSTERBOTTENS LÄN</t>
        </is>
      </c>
      <c r="E12041" t="inlineStr">
        <is>
          <t>MALÅ</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48802-2023</t>
        </is>
      </c>
      <c r="B12042" s="1" t="n">
        <v>45209</v>
      </c>
      <c r="C12042" s="1" t="n">
        <v>45357</v>
      </c>
      <c r="D12042" t="inlineStr">
        <is>
          <t>VÄSTERBOTTENS LÄN</t>
        </is>
      </c>
      <c r="E12042" t="inlineStr">
        <is>
          <t>SKELLEFTEÅ</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48816-2023</t>
        </is>
      </c>
      <c r="B12043" s="1" t="n">
        <v>45209</v>
      </c>
      <c r="C12043" s="1" t="n">
        <v>45357</v>
      </c>
      <c r="D12043" t="inlineStr">
        <is>
          <t>VÄSTERBOTTENS LÄN</t>
        </is>
      </c>
      <c r="E12043" t="inlineStr">
        <is>
          <t>UMEÅ</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48931-2023</t>
        </is>
      </c>
      <c r="B12044" s="1" t="n">
        <v>45209</v>
      </c>
      <c r="C12044" s="1" t="n">
        <v>45357</v>
      </c>
      <c r="D12044" t="inlineStr">
        <is>
          <t>VÄSTERBOTTENS LÄN</t>
        </is>
      </c>
      <c r="E12044" t="inlineStr">
        <is>
          <t>MALÅ</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48992-2023</t>
        </is>
      </c>
      <c r="B12045" s="1" t="n">
        <v>45209</v>
      </c>
      <c r="C12045" s="1" t="n">
        <v>45357</v>
      </c>
      <c r="D12045" t="inlineStr">
        <is>
          <t>VÄSTERBOTTENS LÄN</t>
        </is>
      </c>
      <c r="E12045" t="inlineStr">
        <is>
          <t>LYCKSELE</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49031-2023</t>
        </is>
      </c>
      <c r="B12046" s="1" t="n">
        <v>45209</v>
      </c>
      <c r="C12046" s="1" t="n">
        <v>45357</v>
      </c>
      <c r="D12046" t="inlineStr">
        <is>
          <t>VÄSTERBOTTENS LÄN</t>
        </is>
      </c>
      <c r="E12046" t="inlineStr">
        <is>
          <t>UMEÅ</t>
        </is>
      </c>
      <c r="G12046" t="n">
        <v>4.8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48938-2023</t>
        </is>
      </c>
      <c r="B12047" s="1" t="n">
        <v>45209</v>
      </c>
      <c r="C12047" s="1" t="n">
        <v>45357</v>
      </c>
      <c r="D12047" t="inlineStr">
        <is>
          <t>VÄSTERBOTTENS LÄN</t>
        </is>
      </c>
      <c r="E12047" t="inlineStr">
        <is>
          <t>MALÅ</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50368-2023</t>
        </is>
      </c>
      <c r="B12048" s="1" t="n">
        <v>45209</v>
      </c>
      <c r="C12048" s="1" t="n">
        <v>45357</v>
      </c>
      <c r="D12048" t="inlineStr">
        <is>
          <t>VÄSTERBOTTENS LÄN</t>
        </is>
      </c>
      <c r="E12048" t="inlineStr">
        <is>
          <t>NORSJÖ</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49030-2023</t>
        </is>
      </c>
      <c r="B12049" s="1" t="n">
        <v>45210</v>
      </c>
      <c r="C12049" s="1" t="n">
        <v>45357</v>
      </c>
      <c r="D12049" t="inlineStr">
        <is>
          <t>VÄSTERBOTTENS LÄN</t>
        </is>
      </c>
      <c r="E12049" t="inlineStr">
        <is>
          <t>STORUMAN</t>
        </is>
      </c>
      <c r="G12049" t="n">
        <v>8.6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49048-2023</t>
        </is>
      </c>
      <c r="B12050" s="1" t="n">
        <v>45209</v>
      </c>
      <c r="C12050" s="1" t="n">
        <v>45357</v>
      </c>
      <c r="D12050" t="inlineStr">
        <is>
          <t>VÄSTERBOTTENS LÄN</t>
        </is>
      </c>
      <c r="E12050" t="inlineStr">
        <is>
          <t>MALÅ</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50347-2023</t>
        </is>
      </c>
      <c r="B12051" s="1" t="n">
        <v>45209</v>
      </c>
      <c r="C12051" s="1" t="n">
        <v>45357</v>
      </c>
      <c r="D12051" t="inlineStr">
        <is>
          <t>VÄSTERBOTTENS LÄN</t>
        </is>
      </c>
      <c r="E12051" t="inlineStr">
        <is>
          <t>VILHELMINA</t>
        </is>
      </c>
      <c r="G12051" t="n">
        <v>8.800000000000001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50185-2023</t>
        </is>
      </c>
      <c r="B12052" s="1" t="n">
        <v>45209</v>
      </c>
      <c r="C12052" s="1" t="n">
        <v>45357</v>
      </c>
      <c r="D12052" t="inlineStr">
        <is>
          <t>VÄSTERBOTTENS LÄN</t>
        </is>
      </c>
      <c r="E12052" t="inlineStr">
        <is>
          <t>SKELLEFTEÅ</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50361-2023</t>
        </is>
      </c>
      <c r="B12053" s="1" t="n">
        <v>45209</v>
      </c>
      <c r="C12053" s="1" t="n">
        <v>45357</v>
      </c>
      <c r="D12053" t="inlineStr">
        <is>
          <t>VÄSTERBOTTENS LÄN</t>
        </is>
      </c>
      <c r="E12053" t="inlineStr">
        <is>
          <t>MALÅ</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49086-2023</t>
        </is>
      </c>
      <c r="B12054" s="1" t="n">
        <v>45210</v>
      </c>
      <c r="C12054" s="1" t="n">
        <v>45357</v>
      </c>
      <c r="D12054" t="inlineStr">
        <is>
          <t>VÄSTERBOTTENS LÄN</t>
        </is>
      </c>
      <c r="E12054" t="inlineStr">
        <is>
          <t>ROBERTSFORS</t>
        </is>
      </c>
      <c r="F12054" t="inlineStr">
        <is>
          <t>Holmen skog AB</t>
        </is>
      </c>
      <c r="G12054" t="n">
        <v>8.300000000000001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49161-2023</t>
        </is>
      </c>
      <c r="B12055" s="1" t="n">
        <v>45210</v>
      </c>
      <c r="C12055" s="1" t="n">
        <v>45357</v>
      </c>
      <c r="D12055" t="inlineStr">
        <is>
          <t>VÄSTERBOTTENS LÄN</t>
        </is>
      </c>
      <c r="E12055" t="inlineStr">
        <is>
          <t>SKELLEFTEÅ</t>
        </is>
      </c>
      <c r="F12055" t="inlineStr">
        <is>
          <t>Holmen skog AB</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49210-2023</t>
        </is>
      </c>
      <c r="B12056" s="1" t="n">
        <v>45210</v>
      </c>
      <c r="C12056" s="1" t="n">
        <v>45357</v>
      </c>
      <c r="D12056" t="inlineStr">
        <is>
          <t>VÄSTERBOTTENS LÄN</t>
        </is>
      </c>
      <c r="E12056" t="inlineStr">
        <is>
          <t>VINDELN</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49130-2023</t>
        </is>
      </c>
      <c r="B12057" s="1" t="n">
        <v>45210</v>
      </c>
      <c r="C12057" s="1" t="n">
        <v>45357</v>
      </c>
      <c r="D12057" t="inlineStr">
        <is>
          <t>VÄSTERBOTTENS LÄN</t>
        </is>
      </c>
      <c r="E12057" t="inlineStr">
        <is>
          <t>SKELLEFTEÅ</t>
        </is>
      </c>
      <c r="F12057" t="inlineStr">
        <is>
          <t>Holmen skog AB</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49055-2023</t>
        </is>
      </c>
      <c r="B12058" s="1" t="n">
        <v>45210</v>
      </c>
      <c r="C12058" s="1" t="n">
        <v>45357</v>
      </c>
      <c r="D12058" t="inlineStr">
        <is>
          <t>VÄSTERBOTTENS LÄN</t>
        </is>
      </c>
      <c r="E12058" t="inlineStr">
        <is>
          <t>SKELLEFTEÅ</t>
        </is>
      </c>
      <c r="F12058" t="inlineStr">
        <is>
          <t>Holmen skog AB</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49109-2023</t>
        </is>
      </c>
      <c r="B12059" s="1" t="n">
        <v>45210</v>
      </c>
      <c r="C12059" s="1" t="n">
        <v>45357</v>
      </c>
      <c r="D12059" t="inlineStr">
        <is>
          <t>VÄSTERBOTTENS LÄN</t>
        </is>
      </c>
      <c r="E12059" t="inlineStr">
        <is>
          <t>NORSJÖ</t>
        </is>
      </c>
      <c r="F12059" t="inlineStr">
        <is>
          <t>Holmen skog AB</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49155-2023</t>
        </is>
      </c>
      <c r="B12060" s="1" t="n">
        <v>45210</v>
      </c>
      <c r="C12060" s="1" t="n">
        <v>45357</v>
      </c>
      <c r="D12060" t="inlineStr">
        <is>
          <t>VÄSTERBOTTENS LÄN</t>
        </is>
      </c>
      <c r="E12060" t="inlineStr">
        <is>
          <t>MALÅ</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49192-2023</t>
        </is>
      </c>
      <c r="B12061" s="1" t="n">
        <v>45210</v>
      </c>
      <c r="C12061" s="1" t="n">
        <v>45357</v>
      </c>
      <c r="D12061" t="inlineStr">
        <is>
          <t>VÄSTERBOTTENS LÄN</t>
        </is>
      </c>
      <c r="E12061" t="inlineStr">
        <is>
          <t>UMEÅ</t>
        </is>
      </c>
      <c r="F12061" t="inlineStr">
        <is>
          <t>Holmen skog AB</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49241-2023</t>
        </is>
      </c>
      <c r="B12062" s="1" t="n">
        <v>45210</v>
      </c>
      <c r="C12062" s="1" t="n">
        <v>45357</v>
      </c>
      <c r="D12062" t="inlineStr">
        <is>
          <t>VÄSTERBOTTENS LÄN</t>
        </is>
      </c>
      <c r="E12062" t="inlineStr">
        <is>
          <t>SKELLEFTEÅ</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49175-2023</t>
        </is>
      </c>
      <c r="B12063" s="1" t="n">
        <v>45210</v>
      </c>
      <c r="C12063" s="1" t="n">
        <v>45357</v>
      </c>
      <c r="D12063" t="inlineStr">
        <is>
          <t>VÄSTERBOTTENS LÄN</t>
        </is>
      </c>
      <c r="E12063" t="inlineStr">
        <is>
          <t>LYCKSELE</t>
        </is>
      </c>
      <c r="G12063" t="n">
        <v>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49259-2023</t>
        </is>
      </c>
      <c r="B12064" s="1" t="n">
        <v>45210</v>
      </c>
      <c r="C12064" s="1" t="n">
        <v>45357</v>
      </c>
      <c r="D12064" t="inlineStr">
        <is>
          <t>VÄSTERBOTTENS LÄN</t>
        </is>
      </c>
      <c r="E12064" t="inlineStr">
        <is>
          <t>NORSJÖ</t>
        </is>
      </c>
      <c r="F12064" t="inlineStr">
        <is>
          <t>Holmen skog AB</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49275-2023</t>
        </is>
      </c>
      <c r="B12065" s="1" t="n">
        <v>45210</v>
      </c>
      <c r="C12065" s="1" t="n">
        <v>45357</v>
      </c>
      <c r="D12065" t="inlineStr">
        <is>
          <t>VÄSTERBOTTENS LÄN</t>
        </is>
      </c>
      <c r="E12065" t="inlineStr">
        <is>
          <t>VINDELN</t>
        </is>
      </c>
      <c r="F12065" t="inlineStr">
        <is>
          <t>Sveaskog</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49243-2023</t>
        </is>
      </c>
      <c r="B12066" s="1" t="n">
        <v>45210</v>
      </c>
      <c r="C12066" s="1" t="n">
        <v>45357</v>
      </c>
      <c r="D12066" t="inlineStr">
        <is>
          <t>VÄSTERBOTTENS LÄN</t>
        </is>
      </c>
      <c r="E12066" t="inlineStr">
        <is>
          <t>SKELLEFTEÅ</t>
        </is>
      </c>
      <c r="F12066" t="inlineStr">
        <is>
          <t>Holmen skog AB</t>
        </is>
      </c>
      <c r="G12066" t="n">
        <v>6.4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49310-2023</t>
        </is>
      </c>
      <c r="B12067" s="1" t="n">
        <v>45210</v>
      </c>
      <c r="C12067" s="1" t="n">
        <v>45357</v>
      </c>
      <c r="D12067" t="inlineStr">
        <is>
          <t>VÄSTERBOTTENS LÄN</t>
        </is>
      </c>
      <c r="E12067" t="inlineStr">
        <is>
          <t>VILHELMINA</t>
        </is>
      </c>
      <c r="G12067" t="n">
        <v>25.1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49334-2023</t>
        </is>
      </c>
      <c r="B12068" s="1" t="n">
        <v>45211</v>
      </c>
      <c r="C12068" s="1" t="n">
        <v>45357</v>
      </c>
      <c r="D12068" t="inlineStr">
        <is>
          <t>VÄSTERBOTTENS LÄN</t>
        </is>
      </c>
      <c r="E12068" t="inlineStr">
        <is>
          <t>MALÅ</t>
        </is>
      </c>
      <c r="F12068" t="inlineStr">
        <is>
          <t>SCA</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49837-2023</t>
        </is>
      </c>
      <c r="B12069" s="1" t="n">
        <v>45210</v>
      </c>
      <c r="C12069" s="1" t="n">
        <v>45357</v>
      </c>
      <c r="D12069" t="inlineStr">
        <is>
          <t>VÄSTERBOTTENS LÄN</t>
        </is>
      </c>
      <c r="E12069" t="inlineStr">
        <is>
          <t>MALÅ</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50378-2023</t>
        </is>
      </c>
      <c r="B12070" s="1" t="n">
        <v>45210</v>
      </c>
      <c r="C12070" s="1" t="n">
        <v>45357</v>
      </c>
      <c r="D12070" t="inlineStr">
        <is>
          <t>VÄSTERBOTTENS LÄN</t>
        </is>
      </c>
      <c r="E12070" t="inlineStr">
        <is>
          <t>SKELLEFTEÅ</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49283-2023</t>
        </is>
      </c>
      <c r="B12071" s="1" t="n">
        <v>45210</v>
      </c>
      <c r="C12071" s="1" t="n">
        <v>45357</v>
      </c>
      <c r="D12071" t="inlineStr">
        <is>
          <t>VÄSTERBOTTENS LÄN</t>
        </is>
      </c>
      <c r="E12071" t="inlineStr">
        <is>
          <t>SKELLEFTEÅ</t>
        </is>
      </c>
      <c r="F12071" t="inlineStr">
        <is>
          <t>Holmen skog AB</t>
        </is>
      </c>
      <c r="G12071" t="n">
        <v>8.5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49299-2023</t>
        </is>
      </c>
      <c r="B12072" s="1" t="n">
        <v>45210</v>
      </c>
      <c r="C12072" s="1" t="n">
        <v>45357</v>
      </c>
      <c r="D12072" t="inlineStr">
        <is>
          <t>VÄSTERBOTTENS LÄN</t>
        </is>
      </c>
      <c r="E12072" t="inlineStr">
        <is>
          <t>ÅSELE</t>
        </is>
      </c>
      <c r="F12072" t="inlineStr">
        <is>
          <t>Holmen skog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49333-2023</t>
        </is>
      </c>
      <c r="B12073" s="1" t="n">
        <v>45211</v>
      </c>
      <c r="C12073" s="1" t="n">
        <v>45357</v>
      </c>
      <c r="D12073" t="inlineStr">
        <is>
          <t>VÄSTERBOTTENS LÄN</t>
        </is>
      </c>
      <c r="E12073" t="inlineStr">
        <is>
          <t>MALÅ</t>
        </is>
      </c>
      <c r="F12073" t="inlineStr">
        <is>
          <t>SCA</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49835-2023</t>
        </is>
      </c>
      <c r="B12074" s="1" t="n">
        <v>45210</v>
      </c>
      <c r="C12074" s="1" t="n">
        <v>45357</v>
      </c>
      <c r="D12074" t="inlineStr">
        <is>
          <t>VÄSTERBOTTENS LÄN</t>
        </is>
      </c>
      <c r="E12074" t="inlineStr">
        <is>
          <t>MALÅ</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49331-2023</t>
        </is>
      </c>
      <c r="B12075" s="1" t="n">
        <v>45211</v>
      </c>
      <c r="C12075" s="1" t="n">
        <v>45357</v>
      </c>
      <c r="D12075" t="inlineStr">
        <is>
          <t>VÄSTERBOTTENS LÄN</t>
        </is>
      </c>
      <c r="E12075" t="inlineStr">
        <is>
          <t>MALÅ</t>
        </is>
      </c>
      <c r="F12075" t="inlineStr">
        <is>
          <t>SCA</t>
        </is>
      </c>
      <c r="G12075" t="n">
        <v>9.6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49335-2023</t>
        </is>
      </c>
      <c r="B12076" s="1" t="n">
        <v>45211</v>
      </c>
      <c r="C12076" s="1" t="n">
        <v>45357</v>
      </c>
      <c r="D12076" t="inlineStr">
        <is>
          <t>VÄSTERBOTTENS LÄN</t>
        </is>
      </c>
      <c r="E12076" t="inlineStr">
        <is>
          <t>LYCKSELE</t>
        </is>
      </c>
      <c r="F12076" t="inlineStr">
        <is>
          <t>SCA</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49838-2023</t>
        </is>
      </c>
      <c r="B12077" s="1" t="n">
        <v>45210</v>
      </c>
      <c r="C12077" s="1" t="n">
        <v>45357</v>
      </c>
      <c r="D12077" t="inlineStr">
        <is>
          <t>VÄSTERBOTTENS LÄN</t>
        </is>
      </c>
      <c r="E12077" t="inlineStr">
        <is>
          <t>MALÅ</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49332-2023</t>
        </is>
      </c>
      <c r="B12078" s="1" t="n">
        <v>45211</v>
      </c>
      <c r="C12078" s="1" t="n">
        <v>45357</v>
      </c>
      <c r="D12078" t="inlineStr">
        <is>
          <t>VÄSTERBOTTENS LÄN</t>
        </is>
      </c>
      <c r="E12078" t="inlineStr">
        <is>
          <t>MALÅ</t>
        </is>
      </c>
      <c r="F12078" t="inlineStr">
        <is>
          <t>SCA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49834-2023</t>
        </is>
      </c>
      <c r="B12079" s="1" t="n">
        <v>45210</v>
      </c>
      <c r="C12079" s="1" t="n">
        <v>45357</v>
      </c>
      <c r="D12079" t="inlineStr">
        <is>
          <t>VÄSTERBOTTENS LÄN</t>
        </is>
      </c>
      <c r="E12079" t="inlineStr">
        <is>
          <t>MALÅ</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49839-2023</t>
        </is>
      </c>
      <c r="B12080" s="1" t="n">
        <v>45210</v>
      </c>
      <c r="C12080" s="1" t="n">
        <v>45357</v>
      </c>
      <c r="D12080" t="inlineStr">
        <is>
          <t>VÄSTERBOTTENS LÄN</t>
        </is>
      </c>
      <c r="E12080" t="inlineStr">
        <is>
          <t>MALÅ</t>
        </is>
      </c>
      <c r="G12080" t="n">
        <v>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50661-2023</t>
        </is>
      </c>
      <c r="B12081" s="1" t="n">
        <v>45210</v>
      </c>
      <c r="C12081" s="1" t="n">
        <v>45357</v>
      </c>
      <c r="D12081" t="inlineStr">
        <is>
          <t>VÄSTERBOTTENS LÄN</t>
        </is>
      </c>
      <c r="E12081" t="inlineStr">
        <is>
          <t>MALÅ</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49840-2023</t>
        </is>
      </c>
      <c r="B12082" s="1" t="n">
        <v>45210</v>
      </c>
      <c r="C12082" s="1" t="n">
        <v>45357</v>
      </c>
      <c r="D12082" t="inlineStr">
        <is>
          <t>VÄSTERBOTTENS LÄN</t>
        </is>
      </c>
      <c r="E12082" t="inlineStr">
        <is>
          <t>MALÅ</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49359-2023</t>
        </is>
      </c>
      <c r="B12083" s="1" t="n">
        <v>45211</v>
      </c>
      <c r="C12083" s="1" t="n">
        <v>45357</v>
      </c>
      <c r="D12083" t="inlineStr">
        <is>
          <t>VÄSTERBOTTENS LÄN</t>
        </is>
      </c>
      <c r="E12083" t="inlineStr">
        <is>
          <t>UMEÅ</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49383-2023</t>
        </is>
      </c>
      <c r="B12084" s="1" t="n">
        <v>45211</v>
      </c>
      <c r="C12084" s="1" t="n">
        <v>45357</v>
      </c>
      <c r="D12084" t="inlineStr">
        <is>
          <t>VÄSTERBOTTENS LÄN</t>
        </is>
      </c>
      <c r="E12084" t="inlineStr">
        <is>
          <t>UMEÅ</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49396-2023</t>
        </is>
      </c>
      <c r="B12085" s="1" t="n">
        <v>45211</v>
      </c>
      <c r="C12085" s="1" t="n">
        <v>45357</v>
      </c>
      <c r="D12085" t="inlineStr">
        <is>
          <t>VÄSTERBOTTENS LÄN</t>
        </is>
      </c>
      <c r="E12085" t="inlineStr">
        <is>
          <t>MALÅ</t>
        </is>
      </c>
      <c r="F12085" t="inlineStr">
        <is>
          <t>Sveaskog</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49434-2023</t>
        </is>
      </c>
      <c r="B12086" s="1" t="n">
        <v>45211</v>
      </c>
      <c r="C12086" s="1" t="n">
        <v>45357</v>
      </c>
      <c r="D12086" t="inlineStr">
        <is>
          <t>VÄSTERBOTTENS LÄN</t>
        </is>
      </c>
      <c r="E12086" t="inlineStr">
        <is>
          <t>MALÅ</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49429-2023</t>
        </is>
      </c>
      <c r="B12087" s="1" t="n">
        <v>45211</v>
      </c>
      <c r="C12087" s="1" t="n">
        <v>45357</v>
      </c>
      <c r="D12087" t="inlineStr">
        <is>
          <t>VÄSTERBOTTENS LÄN</t>
        </is>
      </c>
      <c r="E12087" t="inlineStr">
        <is>
          <t>NORDMALING</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49439-2023</t>
        </is>
      </c>
      <c r="B12088" s="1" t="n">
        <v>45211</v>
      </c>
      <c r="C12088" s="1" t="n">
        <v>45357</v>
      </c>
      <c r="D12088" t="inlineStr">
        <is>
          <t>VÄSTERBOTTENS LÄN</t>
        </is>
      </c>
      <c r="E12088" t="inlineStr">
        <is>
          <t>MALÅ</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49372-2023</t>
        </is>
      </c>
      <c r="B12089" s="1" t="n">
        <v>45211</v>
      </c>
      <c r="C12089" s="1" t="n">
        <v>45357</v>
      </c>
      <c r="D12089" t="inlineStr">
        <is>
          <t>VÄSTERBOTTENS LÄN</t>
        </is>
      </c>
      <c r="E12089" t="inlineStr">
        <is>
          <t>MALÅ</t>
        </is>
      </c>
      <c r="F12089" t="inlineStr">
        <is>
          <t>Sveaskog</t>
        </is>
      </c>
      <c r="G12089" t="n">
        <v>10.7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49407-2023</t>
        </is>
      </c>
      <c r="B12090" s="1" t="n">
        <v>45211</v>
      </c>
      <c r="C12090" s="1" t="n">
        <v>45357</v>
      </c>
      <c r="D12090" t="inlineStr">
        <is>
          <t>VÄSTERBOTTENS LÄN</t>
        </is>
      </c>
      <c r="E12090" t="inlineStr">
        <is>
          <t>LYCKSELE</t>
        </is>
      </c>
      <c r="F12090" t="inlineStr">
        <is>
          <t>Sveaskog</t>
        </is>
      </c>
      <c r="G12090" t="n">
        <v>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49492-2023</t>
        </is>
      </c>
      <c r="B12091" s="1" t="n">
        <v>45211</v>
      </c>
      <c r="C12091" s="1" t="n">
        <v>45357</v>
      </c>
      <c r="D12091" t="inlineStr">
        <is>
          <t>VÄSTERBOTTENS LÄN</t>
        </is>
      </c>
      <c r="E12091" t="inlineStr">
        <is>
          <t>LYCKSELE</t>
        </is>
      </c>
      <c r="F12091" t="inlineStr">
        <is>
          <t>Sveaskog</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49496-2023</t>
        </is>
      </c>
      <c r="B12092" s="1" t="n">
        <v>45211</v>
      </c>
      <c r="C12092" s="1" t="n">
        <v>45357</v>
      </c>
      <c r="D12092" t="inlineStr">
        <is>
          <t>VÄSTERBOTTENS LÄN</t>
        </is>
      </c>
      <c r="E12092" t="inlineStr">
        <is>
          <t>NORDMALING</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49615-2023</t>
        </is>
      </c>
      <c r="B12093" s="1" t="n">
        <v>45211</v>
      </c>
      <c r="C12093" s="1" t="n">
        <v>45357</v>
      </c>
      <c r="D12093" t="inlineStr">
        <is>
          <t>VÄSTERBOTTENS LÄN</t>
        </is>
      </c>
      <c r="E12093" t="inlineStr">
        <is>
          <t>MALÅ</t>
        </is>
      </c>
      <c r="F12093" t="inlineStr">
        <is>
          <t>Sveaskog</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49637-2023</t>
        </is>
      </c>
      <c r="B12094" s="1" t="n">
        <v>45212</v>
      </c>
      <c r="C12094" s="1" t="n">
        <v>45357</v>
      </c>
      <c r="D12094" t="inlineStr">
        <is>
          <t>VÄSTERBOTTENS LÄN</t>
        </is>
      </c>
      <c r="E12094" t="inlineStr">
        <is>
          <t>NORDMALING</t>
        </is>
      </c>
      <c r="G12094" t="n">
        <v>5.4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49630-2023</t>
        </is>
      </c>
      <c r="B12095" s="1" t="n">
        <v>45212</v>
      </c>
      <c r="C12095" s="1" t="n">
        <v>45357</v>
      </c>
      <c r="D12095" t="inlineStr">
        <is>
          <t>VÄSTERBOTTENS LÄN</t>
        </is>
      </c>
      <c r="E12095" t="inlineStr">
        <is>
          <t>NORDMALING</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49642-2023</t>
        </is>
      </c>
      <c r="B12096" s="1" t="n">
        <v>45212</v>
      </c>
      <c r="C12096" s="1" t="n">
        <v>45357</v>
      </c>
      <c r="D12096" t="inlineStr">
        <is>
          <t>VÄSTERBOTTENS LÄN</t>
        </is>
      </c>
      <c r="E12096" t="inlineStr">
        <is>
          <t>VILHELMINA</t>
        </is>
      </c>
      <c r="F12096" t="inlineStr">
        <is>
          <t>SCA</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49631-2023</t>
        </is>
      </c>
      <c r="B12097" s="1" t="n">
        <v>45211</v>
      </c>
      <c r="C12097" s="1" t="n">
        <v>45357</v>
      </c>
      <c r="D12097" t="inlineStr">
        <is>
          <t>VÄSTERBOTTENS LÄN</t>
        </is>
      </c>
      <c r="E12097" t="inlineStr">
        <is>
          <t>LYCKSELE</t>
        </is>
      </c>
      <c r="F12097" t="inlineStr">
        <is>
          <t>Kommuner</t>
        </is>
      </c>
      <c r="G12097" t="n">
        <v>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49652-2023</t>
        </is>
      </c>
      <c r="B12098" s="1" t="n">
        <v>45212</v>
      </c>
      <c r="C12098" s="1" t="n">
        <v>45357</v>
      </c>
      <c r="D12098" t="inlineStr">
        <is>
          <t>VÄSTERBOTTENS LÄN</t>
        </is>
      </c>
      <c r="E12098" t="inlineStr">
        <is>
          <t>VILHELMINA</t>
        </is>
      </c>
      <c r="F12098" t="inlineStr">
        <is>
          <t>SCA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49616-2023</t>
        </is>
      </c>
      <c r="B12099" s="1" t="n">
        <v>45211</v>
      </c>
      <c r="C12099" s="1" t="n">
        <v>45357</v>
      </c>
      <c r="D12099" t="inlineStr">
        <is>
          <t>VÄSTERBOTTENS LÄN</t>
        </is>
      </c>
      <c r="E12099" t="inlineStr">
        <is>
          <t>NORSJÖ</t>
        </is>
      </c>
      <c r="F12099" t="inlineStr">
        <is>
          <t>Sveaskog</t>
        </is>
      </c>
      <c r="G12099" t="n">
        <v>65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49636-2023</t>
        </is>
      </c>
      <c r="B12100" s="1" t="n">
        <v>45212</v>
      </c>
      <c r="C12100" s="1" t="n">
        <v>45357</v>
      </c>
      <c r="D12100" t="inlineStr">
        <is>
          <t>VÄSTERBOTTENS LÄN</t>
        </is>
      </c>
      <c r="E12100" t="inlineStr">
        <is>
          <t>NORDMALING</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49641-2023</t>
        </is>
      </c>
      <c r="B12101" s="1" t="n">
        <v>45211</v>
      </c>
      <c r="C12101" s="1" t="n">
        <v>45357</v>
      </c>
      <c r="D12101" t="inlineStr">
        <is>
          <t>VÄSTERBOTTENS LÄN</t>
        </is>
      </c>
      <c r="E12101" t="inlineStr">
        <is>
          <t>NORDMALING</t>
        </is>
      </c>
      <c r="G12101" t="n">
        <v>9.199999999999999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50805-2023</t>
        </is>
      </c>
      <c r="B12102" s="1" t="n">
        <v>45211</v>
      </c>
      <c r="C12102" s="1" t="n">
        <v>45357</v>
      </c>
      <c r="D12102" t="inlineStr">
        <is>
          <t>VÄSTERBOTTENS LÄN</t>
        </is>
      </c>
      <c r="E12102" t="inlineStr">
        <is>
          <t>VINDELN</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50879-2023</t>
        </is>
      </c>
      <c r="B12103" s="1" t="n">
        <v>45211</v>
      </c>
      <c r="C12103" s="1" t="n">
        <v>45357</v>
      </c>
      <c r="D12103" t="inlineStr">
        <is>
          <t>VÄSTERBOTTENS LÄN</t>
        </is>
      </c>
      <c r="E12103" t="inlineStr">
        <is>
          <t>UMEÅ</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49688-2023</t>
        </is>
      </c>
      <c r="B12104" s="1" t="n">
        <v>45212</v>
      </c>
      <c r="C12104" s="1" t="n">
        <v>45357</v>
      </c>
      <c r="D12104" t="inlineStr">
        <is>
          <t>VÄSTERBOTTENS LÄN</t>
        </is>
      </c>
      <c r="E12104" t="inlineStr">
        <is>
          <t>SKELLEFTEÅ</t>
        </is>
      </c>
      <c r="F12104" t="inlineStr">
        <is>
          <t>Holmen skog AB</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49730-2023</t>
        </is>
      </c>
      <c r="B12105" s="1" t="n">
        <v>45212</v>
      </c>
      <c r="C12105" s="1" t="n">
        <v>45357</v>
      </c>
      <c r="D12105" t="inlineStr">
        <is>
          <t>VÄSTERBOTTENS LÄN</t>
        </is>
      </c>
      <c r="E12105" t="inlineStr">
        <is>
          <t>SKELLEFTEÅ</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49679-2023</t>
        </is>
      </c>
      <c r="B12106" s="1" t="n">
        <v>45212</v>
      </c>
      <c r="C12106" s="1" t="n">
        <v>45357</v>
      </c>
      <c r="D12106" t="inlineStr">
        <is>
          <t>VÄSTERBOTTENS LÄN</t>
        </is>
      </c>
      <c r="E12106" t="inlineStr">
        <is>
          <t>ROBERTSFORS</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49728-2023</t>
        </is>
      </c>
      <c r="B12107" s="1" t="n">
        <v>45212</v>
      </c>
      <c r="C12107" s="1" t="n">
        <v>45357</v>
      </c>
      <c r="D12107" t="inlineStr">
        <is>
          <t>VÄSTERBOTTENS LÄN</t>
        </is>
      </c>
      <c r="E12107" t="inlineStr">
        <is>
          <t>SKELLEFTEÅ</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49860-2023</t>
        </is>
      </c>
      <c r="B12108" s="1" t="n">
        <v>45212</v>
      </c>
      <c r="C12108" s="1" t="n">
        <v>45357</v>
      </c>
      <c r="D12108" t="inlineStr">
        <is>
          <t>VÄSTERBOTTENS LÄN</t>
        </is>
      </c>
      <c r="E12108" t="inlineStr">
        <is>
          <t>VILHELMINA</t>
        </is>
      </c>
      <c r="F12108" t="inlineStr">
        <is>
          <t>SCA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51332-2023</t>
        </is>
      </c>
      <c r="B12109" s="1" t="n">
        <v>45212</v>
      </c>
      <c r="C12109" s="1" t="n">
        <v>45357</v>
      </c>
      <c r="D12109" t="inlineStr">
        <is>
          <t>VÄSTERBOTTENS LÄN</t>
        </is>
      </c>
      <c r="E12109" t="inlineStr">
        <is>
          <t>NORSJÖ</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51372-2023</t>
        </is>
      </c>
      <c r="B12110" s="1" t="n">
        <v>45212</v>
      </c>
      <c r="C12110" s="1" t="n">
        <v>45357</v>
      </c>
      <c r="D12110" t="inlineStr">
        <is>
          <t>VÄSTERBOTTENS LÄN</t>
        </is>
      </c>
      <c r="E12110" t="inlineStr">
        <is>
          <t>ROBERTSFORS</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51165-2023</t>
        </is>
      </c>
      <c r="B12111" s="1" t="n">
        <v>45212</v>
      </c>
      <c r="C12111" s="1" t="n">
        <v>45357</v>
      </c>
      <c r="D12111" t="inlineStr">
        <is>
          <t>VÄSTERBOTTENS LÄN</t>
        </is>
      </c>
      <c r="E12111" t="inlineStr">
        <is>
          <t>NORDMALING</t>
        </is>
      </c>
      <c r="G12111" t="n">
        <v>8.5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51291-2023</t>
        </is>
      </c>
      <c r="B12112" s="1" t="n">
        <v>45212</v>
      </c>
      <c r="C12112" s="1" t="n">
        <v>45357</v>
      </c>
      <c r="D12112" t="inlineStr">
        <is>
          <t>VÄSTERBOTTENS LÄN</t>
        </is>
      </c>
      <c r="E12112" t="inlineStr">
        <is>
          <t>MALÅ</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51352-2023</t>
        </is>
      </c>
      <c r="B12113" s="1" t="n">
        <v>45212</v>
      </c>
      <c r="C12113" s="1" t="n">
        <v>45357</v>
      </c>
      <c r="D12113" t="inlineStr">
        <is>
          <t>VÄSTERBOTTENS LÄN</t>
        </is>
      </c>
      <c r="E12113" t="inlineStr">
        <is>
          <t>ROBERTSFORS</t>
        </is>
      </c>
      <c r="G12113" t="n">
        <v>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49823-2023</t>
        </is>
      </c>
      <c r="B12114" s="1" t="n">
        <v>45212</v>
      </c>
      <c r="C12114" s="1" t="n">
        <v>45357</v>
      </c>
      <c r="D12114" t="inlineStr">
        <is>
          <t>VÄSTERBOTTENS LÄN</t>
        </is>
      </c>
      <c r="E12114" t="inlineStr">
        <is>
          <t>MALÅ</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49874-2023</t>
        </is>
      </c>
      <c r="B12115" s="1" t="n">
        <v>45213</v>
      </c>
      <c r="C12115" s="1" t="n">
        <v>45357</v>
      </c>
      <c r="D12115" t="inlineStr">
        <is>
          <t>VÄSTERBOTTENS LÄN</t>
        </is>
      </c>
      <c r="E12115" t="inlineStr">
        <is>
          <t>VINDELN</t>
        </is>
      </c>
      <c r="F12115" t="inlineStr">
        <is>
          <t>SCA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51163-2023</t>
        </is>
      </c>
      <c r="B12116" s="1" t="n">
        <v>45212</v>
      </c>
      <c r="C12116" s="1" t="n">
        <v>45357</v>
      </c>
      <c r="D12116" t="inlineStr">
        <is>
          <t>VÄSTERBOTTENS LÄN</t>
        </is>
      </c>
      <c r="E12116" t="inlineStr">
        <is>
          <t>NORSJÖ</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51205-2023</t>
        </is>
      </c>
      <c r="B12117" s="1" t="n">
        <v>45212</v>
      </c>
      <c r="C12117" s="1" t="n">
        <v>45357</v>
      </c>
      <c r="D12117" t="inlineStr">
        <is>
          <t>VÄSTERBOTTENS LÄN</t>
        </is>
      </c>
      <c r="E12117" t="inlineStr">
        <is>
          <t>NORDMALING</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51256-2023</t>
        </is>
      </c>
      <c r="B12118" s="1" t="n">
        <v>45212</v>
      </c>
      <c r="C12118" s="1" t="n">
        <v>45357</v>
      </c>
      <c r="D12118" t="inlineStr">
        <is>
          <t>VÄSTERBOTTENS LÄN</t>
        </is>
      </c>
      <c r="E12118" t="inlineStr">
        <is>
          <t>MALÅ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51342-2023</t>
        </is>
      </c>
      <c r="B12119" s="1" t="n">
        <v>45212</v>
      </c>
      <c r="C12119" s="1" t="n">
        <v>45357</v>
      </c>
      <c r="D12119" t="inlineStr">
        <is>
          <t>VÄSTERBOTTENS LÄN</t>
        </is>
      </c>
      <c r="E12119" t="inlineStr">
        <is>
          <t>SKELLEFTEÅ</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51308-2023</t>
        </is>
      </c>
      <c r="B12120" s="1" t="n">
        <v>45212</v>
      </c>
      <c r="C12120" s="1" t="n">
        <v>45357</v>
      </c>
      <c r="D12120" t="inlineStr">
        <is>
          <t>VÄSTERBOTTENS LÄN</t>
        </is>
      </c>
      <c r="E12120" t="inlineStr">
        <is>
          <t>MALÅ</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51336-2023</t>
        </is>
      </c>
      <c r="B12121" s="1" t="n">
        <v>45212</v>
      </c>
      <c r="C12121" s="1" t="n">
        <v>45357</v>
      </c>
      <c r="D12121" t="inlineStr">
        <is>
          <t>VÄSTERBOTTENS LÄN</t>
        </is>
      </c>
      <c r="E12121" t="inlineStr">
        <is>
          <t>ROBERTSFORS</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49893-2023</t>
        </is>
      </c>
      <c r="B12122" s="1" t="n">
        <v>45213</v>
      </c>
      <c r="C12122" s="1" t="n">
        <v>45357</v>
      </c>
      <c r="D12122" t="inlineStr">
        <is>
          <t>VÄSTERBOTTENS LÄN</t>
        </is>
      </c>
      <c r="E12122" t="inlineStr">
        <is>
          <t>NORSJÖ</t>
        </is>
      </c>
      <c r="G12122" t="n">
        <v>5.4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49901-2023</t>
        </is>
      </c>
      <c r="B12123" s="1" t="n">
        <v>45213</v>
      </c>
      <c r="C12123" s="1" t="n">
        <v>45357</v>
      </c>
      <c r="D12123" t="inlineStr">
        <is>
          <t>VÄSTERBOTTENS LÄN</t>
        </is>
      </c>
      <c r="E12123" t="inlineStr">
        <is>
          <t>SKELLEFTEÅ</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49898-2023</t>
        </is>
      </c>
      <c r="B12124" s="1" t="n">
        <v>45213</v>
      </c>
      <c r="C12124" s="1" t="n">
        <v>45357</v>
      </c>
      <c r="D12124" t="inlineStr">
        <is>
          <t>VÄSTERBOTTENS LÄN</t>
        </is>
      </c>
      <c r="E12124" t="inlineStr">
        <is>
          <t>NORSJÖ</t>
        </is>
      </c>
      <c r="G12124" t="n">
        <v>19.8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49887-2023</t>
        </is>
      </c>
      <c r="B12125" s="1" t="n">
        <v>45213</v>
      </c>
      <c r="C12125" s="1" t="n">
        <v>45357</v>
      </c>
      <c r="D12125" t="inlineStr">
        <is>
          <t>VÄSTERBOTTENS LÄN</t>
        </is>
      </c>
      <c r="E12125" t="inlineStr">
        <is>
          <t>MALÅ</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49900-2023</t>
        </is>
      </c>
      <c r="B12126" s="1" t="n">
        <v>45213</v>
      </c>
      <c r="C12126" s="1" t="n">
        <v>45357</v>
      </c>
      <c r="D12126" t="inlineStr">
        <is>
          <t>VÄSTERBOTTENS LÄN</t>
        </is>
      </c>
      <c r="E12126" t="inlineStr">
        <is>
          <t>SKELLEFTEÅ</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49928-2023</t>
        </is>
      </c>
      <c r="B12127" s="1" t="n">
        <v>45215</v>
      </c>
      <c r="C12127" s="1" t="n">
        <v>45357</v>
      </c>
      <c r="D12127" t="inlineStr">
        <is>
          <t>VÄSTERBOTTENS LÄN</t>
        </is>
      </c>
      <c r="E12127" t="inlineStr">
        <is>
          <t>ÅSELE</t>
        </is>
      </c>
      <c r="F12127" t="inlineStr">
        <is>
          <t>SCA</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49926-2023</t>
        </is>
      </c>
      <c r="B12128" s="1" t="n">
        <v>45214</v>
      </c>
      <c r="C12128" s="1" t="n">
        <v>45357</v>
      </c>
      <c r="D12128" t="inlineStr">
        <is>
          <t>VÄSTERBOTTENS LÄN</t>
        </is>
      </c>
      <c r="E12128" t="inlineStr">
        <is>
          <t>ÅSELE</t>
        </is>
      </c>
      <c r="F12128" t="inlineStr">
        <is>
          <t>Holmen skog AB</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49955-2023</t>
        </is>
      </c>
      <c r="B12129" s="1" t="n">
        <v>45215</v>
      </c>
      <c r="C12129" s="1" t="n">
        <v>45357</v>
      </c>
      <c r="D12129" t="inlineStr">
        <is>
          <t>VÄSTERBOTTENS LÄN</t>
        </is>
      </c>
      <c r="E12129" t="inlineStr">
        <is>
          <t>MALÅ</t>
        </is>
      </c>
      <c r="F12129" t="inlineStr">
        <is>
          <t>Sveaskog</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49967-2023</t>
        </is>
      </c>
      <c r="B12130" s="1" t="n">
        <v>45215</v>
      </c>
      <c r="C12130" s="1" t="n">
        <v>45357</v>
      </c>
      <c r="D12130" t="inlineStr">
        <is>
          <t>VÄSTERBOTTENS LÄN</t>
        </is>
      </c>
      <c r="E12130" t="inlineStr">
        <is>
          <t>MALÅ</t>
        </is>
      </c>
      <c r="G12130" t="n">
        <v>6.1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49980-2023</t>
        </is>
      </c>
      <c r="B12131" s="1" t="n">
        <v>45215</v>
      </c>
      <c r="C12131" s="1" t="n">
        <v>45357</v>
      </c>
      <c r="D12131" t="inlineStr">
        <is>
          <t>VÄSTERBOTTENS LÄN</t>
        </is>
      </c>
      <c r="E12131" t="inlineStr">
        <is>
          <t>MALÅ</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49984-2023</t>
        </is>
      </c>
      <c r="B12132" s="1" t="n">
        <v>45215</v>
      </c>
      <c r="C12132" s="1" t="n">
        <v>45357</v>
      </c>
      <c r="D12132" t="inlineStr">
        <is>
          <t>VÄSTERBOTTENS LÄN</t>
        </is>
      </c>
      <c r="E12132" t="inlineStr">
        <is>
          <t>VINDELN</t>
        </is>
      </c>
      <c r="F12132" t="inlineStr">
        <is>
          <t>Holmen skog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50004-2023</t>
        </is>
      </c>
      <c r="B12133" s="1" t="n">
        <v>45215</v>
      </c>
      <c r="C12133" s="1" t="n">
        <v>45357</v>
      </c>
      <c r="D12133" t="inlineStr">
        <is>
          <t>VÄSTERBOTTENS LÄN</t>
        </is>
      </c>
      <c r="E12133" t="inlineStr">
        <is>
          <t>LYCKSELE</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49949-2023</t>
        </is>
      </c>
      <c r="B12134" s="1" t="n">
        <v>45215</v>
      </c>
      <c r="C12134" s="1" t="n">
        <v>45357</v>
      </c>
      <c r="D12134" t="inlineStr">
        <is>
          <t>VÄSTERBOTTENS LÄN</t>
        </is>
      </c>
      <c r="E12134" t="inlineStr">
        <is>
          <t>SKELLEFTEÅ</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49957-2023</t>
        </is>
      </c>
      <c r="B12135" s="1" t="n">
        <v>45215</v>
      </c>
      <c r="C12135" s="1" t="n">
        <v>45357</v>
      </c>
      <c r="D12135" t="inlineStr">
        <is>
          <t>VÄSTERBOTTENS LÄN</t>
        </is>
      </c>
      <c r="E12135" t="inlineStr">
        <is>
          <t>MALÅ</t>
        </is>
      </c>
      <c r="F12135" t="inlineStr">
        <is>
          <t>Sveaskog</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49965-2023</t>
        </is>
      </c>
      <c r="B12136" s="1" t="n">
        <v>45215</v>
      </c>
      <c r="C12136" s="1" t="n">
        <v>45357</v>
      </c>
      <c r="D12136" t="inlineStr">
        <is>
          <t>VÄSTERBOTTENS LÄN</t>
        </is>
      </c>
      <c r="E12136" t="inlineStr">
        <is>
          <t>VINDELN</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49958-2023</t>
        </is>
      </c>
      <c r="B12137" s="1" t="n">
        <v>45215</v>
      </c>
      <c r="C12137" s="1" t="n">
        <v>45357</v>
      </c>
      <c r="D12137" t="inlineStr">
        <is>
          <t>VÄSTERBOTTENS LÄN</t>
        </is>
      </c>
      <c r="E12137" t="inlineStr">
        <is>
          <t>ROBERTSFORS</t>
        </is>
      </c>
      <c r="F12137" t="inlineStr">
        <is>
          <t>Holmen skog AB</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50077-2023</t>
        </is>
      </c>
      <c r="B12138" s="1" t="n">
        <v>45215</v>
      </c>
      <c r="C12138" s="1" t="n">
        <v>45357</v>
      </c>
      <c r="D12138" t="inlineStr">
        <is>
          <t>VÄSTERBOTTENS LÄN</t>
        </is>
      </c>
      <c r="E12138" t="inlineStr">
        <is>
          <t>VINDELN</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50081-2023</t>
        </is>
      </c>
      <c r="B12139" s="1" t="n">
        <v>45215</v>
      </c>
      <c r="C12139" s="1" t="n">
        <v>45357</v>
      </c>
      <c r="D12139" t="inlineStr">
        <is>
          <t>VÄSTERBOTTENS LÄN</t>
        </is>
      </c>
      <c r="E12139" t="inlineStr">
        <is>
          <t>SKELLEFTEÅ</t>
        </is>
      </c>
      <c r="F12139" t="inlineStr">
        <is>
          <t>Holmen skog AB</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50064-2023</t>
        </is>
      </c>
      <c r="B12140" s="1" t="n">
        <v>45215</v>
      </c>
      <c r="C12140" s="1" t="n">
        <v>45357</v>
      </c>
      <c r="D12140" t="inlineStr">
        <is>
          <t>VÄSTERBOTTENS LÄN</t>
        </is>
      </c>
      <c r="E12140" t="inlineStr">
        <is>
          <t>MALÅ</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50187-2023</t>
        </is>
      </c>
      <c r="B12141" s="1" t="n">
        <v>45215</v>
      </c>
      <c r="C12141" s="1" t="n">
        <v>45357</v>
      </c>
      <c r="D12141" t="inlineStr">
        <is>
          <t>VÄSTERBOTTENS LÄN</t>
        </is>
      </c>
      <c r="E12141" t="inlineStr">
        <is>
          <t>ROBERTSFORS</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50232-2023</t>
        </is>
      </c>
      <c r="B12142" s="1" t="n">
        <v>45216</v>
      </c>
      <c r="C12142" s="1" t="n">
        <v>45357</v>
      </c>
      <c r="D12142" t="inlineStr">
        <is>
          <t>VÄSTERBOTTENS LÄN</t>
        </is>
      </c>
      <c r="E12142" t="inlineStr">
        <is>
          <t>NORSJÖ</t>
        </is>
      </c>
      <c r="F12142" t="inlineStr">
        <is>
          <t>SCA</t>
        </is>
      </c>
      <c r="G12142" t="n">
        <v>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51589-2023</t>
        </is>
      </c>
      <c r="B12143" s="1" t="n">
        <v>45215</v>
      </c>
      <c r="C12143" s="1" t="n">
        <v>45357</v>
      </c>
      <c r="D12143" t="inlineStr">
        <is>
          <t>VÄSTERBOTTENS LÄN</t>
        </is>
      </c>
      <c r="E12143" t="inlineStr">
        <is>
          <t>UMEÅ</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49952-2023</t>
        </is>
      </c>
      <c r="B12144" s="1" t="n">
        <v>45215</v>
      </c>
      <c r="C12144" s="1" t="n">
        <v>45357</v>
      </c>
      <c r="D12144" t="inlineStr">
        <is>
          <t>VÄSTERBOTTENS LÄN</t>
        </is>
      </c>
      <c r="E12144" t="inlineStr">
        <is>
          <t>MALÅ</t>
        </is>
      </c>
      <c r="F12144" t="inlineStr">
        <is>
          <t>Sveaskog</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49956-2023</t>
        </is>
      </c>
      <c r="B12145" s="1" t="n">
        <v>45215</v>
      </c>
      <c r="C12145" s="1" t="n">
        <v>45357</v>
      </c>
      <c r="D12145" t="inlineStr">
        <is>
          <t>VÄSTERBOTTENS LÄN</t>
        </is>
      </c>
      <c r="E12145" t="inlineStr">
        <is>
          <t>MALÅ</t>
        </is>
      </c>
      <c r="F12145" t="inlineStr">
        <is>
          <t>Sveaskog</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49976-2023</t>
        </is>
      </c>
      <c r="B12146" s="1" t="n">
        <v>45215</v>
      </c>
      <c r="C12146" s="1" t="n">
        <v>45357</v>
      </c>
      <c r="D12146" t="inlineStr">
        <is>
          <t>VÄSTERBOTTENS LÄN</t>
        </is>
      </c>
      <c r="E12146" t="inlineStr">
        <is>
          <t>MALÅ</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49989-2023</t>
        </is>
      </c>
      <c r="B12147" s="1" t="n">
        <v>45215</v>
      </c>
      <c r="C12147" s="1" t="n">
        <v>45357</v>
      </c>
      <c r="D12147" t="inlineStr">
        <is>
          <t>VÄSTERBOTTENS LÄN</t>
        </is>
      </c>
      <c r="E12147" t="inlineStr">
        <is>
          <t>UMEÅ</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50009-2023</t>
        </is>
      </c>
      <c r="B12148" s="1" t="n">
        <v>45215</v>
      </c>
      <c r="C12148" s="1" t="n">
        <v>45357</v>
      </c>
      <c r="D12148" t="inlineStr">
        <is>
          <t>VÄSTERBOTTENS LÄN</t>
        </is>
      </c>
      <c r="E12148" t="inlineStr">
        <is>
          <t>MALÅ</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50070-2023</t>
        </is>
      </c>
      <c r="B12149" s="1" t="n">
        <v>45215</v>
      </c>
      <c r="C12149" s="1" t="n">
        <v>45357</v>
      </c>
      <c r="D12149" t="inlineStr">
        <is>
          <t>VÄSTERBOTTENS LÄN</t>
        </is>
      </c>
      <c r="E12149" t="inlineStr">
        <is>
          <t>MALÅ</t>
        </is>
      </c>
      <c r="G12149" t="n">
        <v>10.2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50108-2023</t>
        </is>
      </c>
      <c r="B12150" s="1" t="n">
        <v>45215</v>
      </c>
      <c r="C12150" s="1" t="n">
        <v>45357</v>
      </c>
      <c r="D12150" t="inlineStr">
        <is>
          <t>VÄSTERBOTTENS LÄN</t>
        </is>
      </c>
      <c r="E12150" t="inlineStr">
        <is>
          <t>SKELLEFTEÅ</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50200-2023</t>
        </is>
      </c>
      <c r="B12151" s="1" t="n">
        <v>45215</v>
      </c>
      <c r="C12151" s="1" t="n">
        <v>45357</v>
      </c>
      <c r="D12151" t="inlineStr">
        <is>
          <t>VÄSTERBOTTENS LÄN</t>
        </is>
      </c>
      <c r="E12151" t="inlineStr">
        <is>
          <t>ÅSELE</t>
        </is>
      </c>
      <c r="F12151" t="inlineStr">
        <is>
          <t>Holmen skog AB</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50204-2023</t>
        </is>
      </c>
      <c r="B12152" s="1" t="n">
        <v>45216</v>
      </c>
      <c r="C12152" s="1" t="n">
        <v>45357</v>
      </c>
      <c r="D12152" t="inlineStr">
        <is>
          <t>VÄSTERBOTTENS LÄN</t>
        </is>
      </c>
      <c r="E12152" t="inlineStr">
        <is>
          <t>SORSELE</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50233-2023</t>
        </is>
      </c>
      <c r="B12153" s="1" t="n">
        <v>45216</v>
      </c>
      <c r="C12153" s="1" t="n">
        <v>45357</v>
      </c>
      <c r="D12153" t="inlineStr">
        <is>
          <t>VÄSTERBOTTENS LÄN</t>
        </is>
      </c>
      <c r="E12153" t="inlineStr">
        <is>
          <t>NORSJÖ</t>
        </is>
      </c>
      <c r="F12153" t="inlineStr">
        <is>
          <t>SCA</t>
        </is>
      </c>
      <c r="G12153" t="n">
        <v>6.5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51585-2023</t>
        </is>
      </c>
      <c r="B12154" s="1" t="n">
        <v>45215</v>
      </c>
      <c r="C12154" s="1" t="n">
        <v>45357</v>
      </c>
      <c r="D12154" t="inlineStr">
        <is>
          <t>VÄSTERBOTTENS LÄN</t>
        </is>
      </c>
      <c r="E12154" t="inlineStr">
        <is>
          <t>UMEÅ</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51590-2023</t>
        </is>
      </c>
      <c r="B12155" s="1" t="n">
        <v>45215</v>
      </c>
      <c r="C12155" s="1" t="n">
        <v>45357</v>
      </c>
      <c r="D12155" t="inlineStr">
        <is>
          <t>VÄSTERBOTTENS LÄN</t>
        </is>
      </c>
      <c r="E12155" t="inlineStr">
        <is>
          <t>SKELLEFTEÅ</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51611-2023</t>
        </is>
      </c>
      <c r="B12156" s="1" t="n">
        <v>45215</v>
      </c>
      <c r="C12156" s="1" t="n">
        <v>45357</v>
      </c>
      <c r="D12156" t="inlineStr">
        <is>
          <t>VÄSTERBOTTENS LÄN</t>
        </is>
      </c>
      <c r="E12156" t="inlineStr">
        <is>
          <t>SKELLEFTEÅ</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51649-2023</t>
        </is>
      </c>
      <c r="B12157" s="1" t="n">
        <v>45215</v>
      </c>
      <c r="C12157" s="1" t="n">
        <v>45357</v>
      </c>
      <c r="D12157" t="inlineStr">
        <is>
          <t>VÄSTERBOTTENS LÄN</t>
        </is>
      </c>
      <c r="E12157" t="inlineStr">
        <is>
          <t>UMEÅ</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51870-2023</t>
        </is>
      </c>
      <c r="B12158" s="1" t="n">
        <v>45215</v>
      </c>
      <c r="C12158" s="1" t="n">
        <v>45357</v>
      </c>
      <c r="D12158" t="inlineStr">
        <is>
          <t>VÄSTERBOTTENS LÄN</t>
        </is>
      </c>
      <c r="E12158" t="inlineStr">
        <is>
          <t>UMEÅ</t>
        </is>
      </c>
      <c r="G12158" t="n">
        <v>11.1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51554-2023</t>
        </is>
      </c>
      <c r="B12159" s="1" t="n">
        <v>45215</v>
      </c>
      <c r="C12159" s="1" t="n">
        <v>45357</v>
      </c>
      <c r="D12159" t="inlineStr">
        <is>
          <t>VÄSTERBOTTENS LÄN</t>
        </is>
      </c>
      <c r="E12159" t="inlineStr">
        <is>
          <t>UMEÅ</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51709-2023</t>
        </is>
      </c>
      <c r="B12160" s="1" t="n">
        <v>45215</v>
      </c>
      <c r="C12160" s="1" t="n">
        <v>45357</v>
      </c>
      <c r="D12160" t="inlineStr">
        <is>
          <t>VÄSTERBOTTENS LÄN</t>
        </is>
      </c>
      <c r="E12160" t="inlineStr">
        <is>
          <t>UMEÅ</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51683-2023</t>
        </is>
      </c>
      <c r="B12161" s="1" t="n">
        <v>45215</v>
      </c>
      <c r="C12161" s="1" t="n">
        <v>45357</v>
      </c>
      <c r="D12161" t="inlineStr">
        <is>
          <t>VÄSTERBOTTENS LÄN</t>
        </is>
      </c>
      <c r="E12161" t="inlineStr">
        <is>
          <t>SKELLEFTEÅ</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51664-2023</t>
        </is>
      </c>
      <c r="B12162" s="1" t="n">
        <v>45215</v>
      </c>
      <c r="C12162" s="1" t="n">
        <v>45357</v>
      </c>
      <c r="D12162" t="inlineStr">
        <is>
          <t>VÄSTERBOTTENS LÄN</t>
        </is>
      </c>
      <c r="E12162" t="inlineStr">
        <is>
          <t>SKELLEFTEÅ</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51855-2023</t>
        </is>
      </c>
      <c r="B12163" s="1" t="n">
        <v>45215</v>
      </c>
      <c r="C12163" s="1" t="n">
        <v>45357</v>
      </c>
      <c r="D12163" t="inlineStr">
        <is>
          <t>VÄSTERBOTTENS LÄN</t>
        </is>
      </c>
      <c r="E12163" t="inlineStr">
        <is>
          <t>UMEÅ</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50321-2023</t>
        </is>
      </c>
      <c r="B12164" s="1" t="n">
        <v>45216</v>
      </c>
      <c r="C12164" s="1" t="n">
        <v>45357</v>
      </c>
      <c r="D12164" t="inlineStr">
        <is>
          <t>VÄSTERBOTTENS LÄN</t>
        </is>
      </c>
      <c r="E12164" t="inlineStr">
        <is>
          <t>NORDMALING</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50303-2023</t>
        </is>
      </c>
      <c r="B12165" s="1" t="n">
        <v>45216</v>
      </c>
      <c r="C12165" s="1" t="n">
        <v>45357</v>
      </c>
      <c r="D12165" t="inlineStr">
        <is>
          <t>VÄSTERBOTTENS LÄN</t>
        </is>
      </c>
      <c r="E12165" t="inlineStr">
        <is>
          <t>MALÅ</t>
        </is>
      </c>
      <c r="F12165" t="inlineStr">
        <is>
          <t>Sveaskog</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50266-2023</t>
        </is>
      </c>
      <c r="B12166" s="1" t="n">
        <v>45216</v>
      </c>
      <c r="C12166" s="1" t="n">
        <v>45357</v>
      </c>
      <c r="D12166" t="inlineStr">
        <is>
          <t>VÄSTERBOTTENS LÄN</t>
        </is>
      </c>
      <c r="E12166" t="inlineStr">
        <is>
          <t>UMEÅ</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50505-2023</t>
        </is>
      </c>
      <c r="B12167" s="1" t="n">
        <v>45217</v>
      </c>
      <c r="C12167" s="1" t="n">
        <v>45357</v>
      </c>
      <c r="D12167" t="inlineStr">
        <is>
          <t>VÄSTERBOTTENS LÄN</t>
        </is>
      </c>
      <c r="E12167" t="inlineStr">
        <is>
          <t>VILHELMINA</t>
        </is>
      </c>
      <c r="F12167" t="inlineStr">
        <is>
          <t>SCA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50502-2023</t>
        </is>
      </c>
      <c r="B12168" s="1" t="n">
        <v>45217</v>
      </c>
      <c r="C12168" s="1" t="n">
        <v>45357</v>
      </c>
      <c r="D12168" t="inlineStr">
        <is>
          <t>VÄSTERBOTTENS LÄN</t>
        </is>
      </c>
      <c r="E12168" t="inlineStr">
        <is>
          <t>VILHELMINA</t>
        </is>
      </c>
      <c r="F12168" t="inlineStr">
        <is>
          <t>SCA</t>
        </is>
      </c>
      <c r="G12168" t="n">
        <v>30.6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50506-2023</t>
        </is>
      </c>
      <c r="B12169" s="1" t="n">
        <v>45217</v>
      </c>
      <c r="C12169" s="1" t="n">
        <v>45357</v>
      </c>
      <c r="D12169" t="inlineStr">
        <is>
          <t>VÄSTERBOTTENS LÄN</t>
        </is>
      </c>
      <c r="E12169" t="inlineStr">
        <is>
          <t>VILHELMINA</t>
        </is>
      </c>
      <c r="F12169" t="inlineStr">
        <is>
          <t>SCA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50520-2023</t>
        </is>
      </c>
      <c r="B12170" s="1" t="n">
        <v>45216</v>
      </c>
      <c r="C12170" s="1" t="n">
        <v>45357</v>
      </c>
      <c r="D12170" t="inlineStr">
        <is>
          <t>VÄSTERBOTTENS LÄN</t>
        </is>
      </c>
      <c r="E12170" t="inlineStr">
        <is>
          <t>NORDMALING</t>
        </is>
      </c>
      <c r="F12170" t="inlineStr">
        <is>
          <t>SCA</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50499-2023</t>
        </is>
      </c>
      <c r="B12171" s="1" t="n">
        <v>45217</v>
      </c>
      <c r="C12171" s="1" t="n">
        <v>45357</v>
      </c>
      <c r="D12171" t="inlineStr">
        <is>
          <t>VÄSTERBOTTENS LÄN</t>
        </is>
      </c>
      <c r="E12171" t="inlineStr">
        <is>
          <t>VILHELMINA</t>
        </is>
      </c>
      <c r="F12171" t="inlineStr">
        <is>
          <t>SCA</t>
        </is>
      </c>
      <c r="G12171" t="n">
        <v>5.4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50500-2023</t>
        </is>
      </c>
      <c r="B12172" s="1" t="n">
        <v>45217</v>
      </c>
      <c r="C12172" s="1" t="n">
        <v>45357</v>
      </c>
      <c r="D12172" t="inlineStr">
        <is>
          <t>VÄSTERBOTTENS LÄN</t>
        </is>
      </c>
      <c r="E12172" t="inlineStr">
        <is>
          <t>VILHELMINA</t>
        </is>
      </c>
      <c r="F12172" t="inlineStr">
        <is>
          <t>SCA</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50512-2023</t>
        </is>
      </c>
      <c r="B12173" s="1" t="n">
        <v>45217</v>
      </c>
      <c r="C12173" s="1" t="n">
        <v>45357</v>
      </c>
      <c r="D12173" t="inlineStr">
        <is>
          <t>VÄSTERBOTTENS LÄN</t>
        </is>
      </c>
      <c r="E12173" t="inlineStr">
        <is>
          <t>VINDELN</t>
        </is>
      </c>
      <c r="F12173" t="inlineStr">
        <is>
          <t>SCA</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50517-2023</t>
        </is>
      </c>
      <c r="B12174" s="1" t="n">
        <v>45217</v>
      </c>
      <c r="C12174" s="1" t="n">
        <v>45357</v>
      </c>
      <c r="D12174" t="inlineStr">
        <is>
          <t>VÄSTERBOTTENS LÄN</t>
        </is>
      </c>
      <c r="E12174" t="inlineStr">
        <is>
          <t>SORSELE</t>
        </is>
      </c>
      <c r="F12174" t="inlineStr">
        <is>
          <t>SCA</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50521-2023</t>
        </is>
      </c>
      <c r="B12175" s="1" t="n">
        <v>45217</v>
      </c>
      <c r="C12175" s="1" t="n">
        <v>45357</v>
      </c>
      <c r="D12175" t="inlineStr">
        <is>
          <t>VÄSTERBOTTENS LÄN</t>
        </is>
      </c>
      <c r="E12175" t="inlineStr">
        <is>
          <t>NORSJÖ</t>
        </is>
      </c>
      <c r="F12175" t="inlineStr">
        <is>
          <t>SCA</t>
        </is>
      </c>
      <c r="G12175" t="n">
        <v>11.9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50494-2023</t>
        </is>
      </c>
      <c r="B12176" s="1" t="n">
        <v>45217</v>
      </c>
      <c r="C12176" s="1" t="n">
        <v>45357</v>
      </c>
      <c r="D12176" t="inlineStr">
        <is>
          <t>VÄSTERBOTTENS LÄN</t>
        </is>
      </c>
      <c r="E12176" t="inlineStr">
        <is>
          <t>VILHELMINA</t>
        </is>
      </c>
      <c r="F12176" t="inlineStr">
        <is>
          <t>SCA</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50490-2023</t>
        </is>
      </c>
      <c r="B12177" s="1" t="n">
        <v>45217</v>
      </c>
      <c r="C12177" s="1" t="n">
        <v>45357</v>
      </c>
      <c r="D12177" t="inlineStr">
        <is>
          <t>VÄSTERBOTTENS LÄN</t>
        </is>
      </c>
      <c r="E12177" t="inlineStr">
        <is>
          <t>VILHELMINA</t>
        </is>
      </c>
      <c r="F12177" t="inlineStr">
        <is>
          <t>SCA</t>
        </is>
      </c>
      <c r="G12177" t="n">
        <v>12.3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50482-2023</t>
        </is>
      </c>
      <c r="B12178" s="1" t="n">
        <v>45216</v>
      </c>
      <c r="C12178" s="1" t="n">
        <v>45357</v>
      </c>
      <c r="D12178" t="inlineStr">
        <is>
          <t>VÄSTERBOTTENS LÄN</t>
        </is>
      </c>
      <c r="E12178" t="inlineStr">
        <is>
          <t>VILHELMINA</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50474-2023</t>
        </is>
      </c>
      <c r="B12179" s="1" t="n">
        <v>45217</v>
      </c>
      <c r="C12179" s="1" t="n">
        <v>45357</v>
      </c>
      <c r="D12179" t="inlineStr">
        <is>
          <t>VÄSTERBOTTENS LÄN</t>
        </is>
      </c>
      <c r="E12179" t="inlineStr">
        <is>
          <t>SKELLEFTEÅ</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50462-2023</t>
        </is>
      </c>
      <c r="B12180" s="1" t="n">
        <v>45216</v>
      </c>
      <c r="C12180" s="1" t="n">
        <v>45357</v>
      </c>
      <c r="D12180" t="inlineStr">
        <is>
          <t>VÄSTERBOTTENS LÄN</t>
        </is>
      </c>
      <c r="E12180" t="inlineStr">
        <is>
          <t>SKELLEFTEÅ</t>
        </is>
      </c>
      <c r="G12180" t="n">
        <v>12.4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50426-2023</t>
        </is>
      </c>
      <c r="B12181" s="1" t="n">
        <v>45216</v>
      </c>
      <c r="C12181" s="1" t="n">
        <v>45357</v>
      </c>
      <c r="D12181" t="inlineStr">
        <is>
          <t>VÄSTERBOTTENS LÄN</t>
        </is>
      </c>
      <c r="E12181" t="inlineStr">
        <is>
          <t>NORSJÖ</t>
        </is>
      </c>
      <c r="F12181" t="inlineStr">
        <is>
          <t>Övriga Aktiebolag</t>
        </is>
      </c>
      <c r="G12181" t="n">
        <v>5.7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50518-2023</t>
        </is>
      </c>
      <c r="B12182" s="1" t="n">
        <v>45217</v>
      </c>
      <c r="C12182" s="1" t="n">
        <v>45357</v>
      </c>
      <c r="D12182" t="inlineStr">
        <is>
          <t>VÄSTERBOTTENS LÄN</t>
        </is>
      </c>
      <c r="E12182" t="inlineStr">
        <is>
          <t>SORSELE</t>
        </is>
      </c>
      <c r="F12182" t="inlineStr">
        <is>
          <t>SCA</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50501-2023</t>
        </is>
      </c>
      <c r="B12183" s="1" t="n">
        <v>45216</v>
      </c>
      <c r="C12183" s="1" t="n">
        <v>45357</v>
      </c>
      <c r="D12183" t="inlineStr">
        <is>
          <t>VÄSTERBOTTENS LÄN</t>
        </is>
      </c>
      <c r="E12183" t="inlineStr">
        <is>
          <t>VILHELMINA</t>
        </is>
      </c>
      <c r="F12183" t="inlineStr">
        <is>
          <t>SCA</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50489-2023</t>
        </is>
      </c>
      <c r="B12184" s="1" t="n">
        <v>45217</v>
      </c>
      <c r="C12184" s="1" t="n">
        <v>45357</v>
      </c>
      <c r="D12184" t="inlineStr">
        <is>
          <t>VÄSTERBOTTENS LÄN</t>
        </is>
      </c>
      <c r="E12184" t="inlineStr">
        <is>
          <t>VILHELMINA</t>
        </is>
      </c>
      <c r="F12184" t="inlineStr">
        <is>
          <t>SCA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50477-2023</t>
        </is>
      </c>
      <c r="B12185" s="1" t="n">
        <v>45217</v>
      </c>
      <c r="C12185" s="1" t="n">
        <v>45357</v>
      </c>
      <c r="D12185" t="inlineStr">
        <is>
          <t>VÄSTERBOTTENS LÄN</t>
        </is>
      </c>
      <c r="E12185" t="inlineStr">
        <is>
          <t>SKELLEFTEÅ</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50465-2023</t>
        </is>
      </c>
      <c r="B12186" s="1" t="n">
        <v>45216</v>
      </c>
      <c r="C12186" s="1" t="n">
        <v>45357</v>
      </c>
      <c r="D12186" t="inlineStr">
        <is>
          <t>VÄSTERBOTTENS LÄN</t>
        </is>
      </c>
      <c r="E12186" t="inlineStr">
        <is>
          <t>UMEÅ</t>
        </is>
      </c>
      <c r="G12186" t="n">
        <v>12.9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50338-2023</t>
        </is>
      </c>
      <c r="B12187" s="1" t="n">
        <v>45216</v>
      </c>
      <c r="C12187" s="1" t="n">
        <v>45357</v>
      </c>
      <c r="D12187" t="inlineStr">
        <is>
          <t>VÄSTERBOTTENS LÄN</t>
        </is>
      </c>
      <c r="E12187" t="inlineStr">
        <is>
          <t>SKELLEFTEÅ</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52062-2023</t>
        </is>
      </c>
      <c r="B12188" s="1" t="n">
        <v>45216</v>
      </c>
      <c r="C12188" s="1" t="n">
        <v>45357</v>
      </c>
      <c r="D12188" t="inlineStr">
        <is>
          <t>VÄSTERBOTTENS LÄN</t>
        </is>
      </c>
      <c r="E12188" t="inlineStr">
        <is>
          <t>SKELLEFTEÅ</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52037-2023</t>
        </is>
      </c>
      <c r="B12189" s="1" t="n">
        <v>45216</v>
      </c>
      <c r="C12189" s="1" t="n">
        <v>45357</v>
      </c>
      <c r="D12189" t="inlineStr">
        <is>
          <t>VÄSTERBOTTENS LÄN</t>
        </is>
      </c>
      <c r="E12189" t="inlineStr">
        <is>
          <t>SKELLEFTEÅ</t>
        </is>
      </c>
      <c r="G12189" t="n">
        <v>8.5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52022-2023</t>
        </is>
      </c>
      <c r="B12190" s="1" t="n">
        <v>45216</v>
      </c>
      <c r="C12190" s="1" t="n">
        <v>45357</v>
      </c>
      <c r="D12190" t="inlineStr">
        <is>
          <t>VÄSTERBOTTENS LÄN</t>
        </is>
      </c>
      <c r="E12190" t="inlineStr">
        <is>
          <t>UMEÅ</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51937-2023</t>
        </is>
      </c>
      <c r="B12191" s="1" t="n">
        <v>45216</v>
      </c>
      <c r="C12191" s="1" t="n">
        <v>45357</v>
      </c>
      <c r="D12191" t="inlineStr">
        <is>
          <t>VÄSTERBOTTENS LÄN</t>
        </is>
      </c>
      <c r="E12191" t="inlineStr">
        <is>
          <t>ROBERTSFORS</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51926-2023</t>
        </is>
      </c>
      <c r="B12192" s="1" t="n">
        <v>45216</v>
      </c>
      <c r="C12192" s="1" t="n">
        <v>45357</v>
      </c>
      <c r="D12192" t="inlineStr">
        <is>
          <t>VÄSTERBOTTENS LÄN</t>
        </is>
      </c>
      <c r="E12192" t="inlineStr">
        <is>
          <t>SKELLEFTEÅ</t>
        </is>
      </c>
      <c r="G12192" t="n">
        <v>8.9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50475-2023</t>
        </is>
      </c>
      <c r="B12193" s="1" t="n">
        <v>45217</v>
      </c>
      <c r="C12193" s="1" t="n">
        <v>45357</v>
      </c>
      <c r="D12193" t="inlineStr">
        <is>
          <t>VÄSTERBOTTENS LÄN</t>
        </is>
      </c>
      <c r="E12193" t="inlineStr">
        <is>
          <t>SKELLEFTEÅ</t>
        </is>
      </c>
      <c r="G12193" t="n">
        <v>10.2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50463-2023</t>
        </is>
      </c>
      <c r="B12194" s="1" t="n">
        <v>45216</v>
      </c>
      <c r="C12194" s="1" t="n">
        <v>45357</v>
      </c>
      <c r="D12194" t="inlineStr">
        <is>
          <t>VÄSTERBOTTENS LÄN</t>
        </is>
      </c>
      <c r="E12194" t="inlineStr">
        <is>
          <t>UMEÅ</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51983-2023</t>
        </is>
      </c>
      <c r="B12195" s="1" t="n">
        <v>45216</v>
      </c>
      <c r="C12195" s="1" t="n">
        <v>45357</v>
      </c>
      <c r="D12195" t="inlineStr">
        <is>
          <t>VÄSTERBOTTENS LÄN</t>
        </is>
      </c>
      <c r="E12195" t="inlineStr">
        <is>
          <t>UMEÅ</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51970-2023</t>
        </is>
      </c>
      <c r="B12196" s="1" t="n">
        <v>45216</v>
      </c>
      <c r="C12196" s="1" t="n">
        <v>45357</v>
      </c>
      <c r="D12196" t="inlineStr">
        <is>
          <t>VÄSTERBOTTENS LÄN</t>
        </is>
      </c>
      <c r="E12196" t="inlineStr">
        <is>
          <t>SKELLEFTEÅ</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51946-2023</t>
        </is>
      </c>
      <c r="B12197" s="1" t="n">
        <v>45216</v>
      </c>
      <c r="C12197" s="1" t="n">
        <v>45357</v>
      </c>
      <c r="D12197" t="inlineStr">
        <is>
          <t>VÄSTERBOTTENS LÄN</t>
        </is>
      </c>
      <c r="E12197" t="inlineStr">
        <is>
          <t>NORDMALING</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51928-2023</t>
        </is>
      </c>
      <c r="B12198" s="1" t="n">
        <v>45216</v>
      </c>
      <c r="C12198" s="1" t="n">
        <v>45357</v>
      </c>
      <c r="D12198" t="inlineStr">
        <is>
          <t>VÄSTERBOTTENS LÄN</t>
        </is>
      </c>
      <c r="E12198" t="inlineStr">
        <is>
          <t>SKELLEFTEÅ</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50354-2023</t>
        </is>
      </c>
      <c r="B12199" s="1" t="n">
        <v>45216</v>
      </c>
      <c r="C12199" s="1" t="n">
        <v>45357</v>
      </c>
      <c r="D12199" t="inlineStr">
        <is>
          <t>VÄSTERBOTTENS LÄN</t>
        </is>
      </c>
      <c r="E12199" t="inlineStr">
        <is>
          <t>NORSJÖ</t>
        </is>
      </c>
      <c r="F12199" t="inlineStr">
        <is>
          <t>Holmen skog AB</t>
        </is>
      </c>
      <c r="G12199" t="n">
        <v>5.8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50287-2023</t>
        </is>
      </c>
      <c r="B12200" s="1" t="n">
        <v>45216</v>
      </c>
      <c r="C12200" s="1" t="n">
        <v>45357</v>
      </c>
      <c r="D12200" t="inlineStr">
        <is>
          <t>VÄSTERBOTTENS LÄN</t>
        </is>
      </c>
      <c r="E12200" t="inlineStr">
        <is>
          <t>UMEÅ</t>
        </is>
      </c>
      <c r="F12200" t="inlineStr">
        <is>
          <t>Holmen skog AB</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50263-2023</t>
        </is>
      </c>
      <c r="B12201" s="1" t="n">
        <v>45216</v>
      </c>
      <c r="C12201" s="1" t="n">
        <v>45357</v>
      </c>
      <c r="D12201" t="inlineStr">
        <is>
          <t>VÄSTERBOTTENS LÄN</t>
        </is>
      </c>
      <c r="E12201" t="inlineStr">
        <is>
          <t>UMEÅ</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51960-2023</t>
        </is>
      </c>
      <c r="B12202" s="1" t="n">
        <v>45216</v>
      </c>
      <c r="C12202" s="1" t="n">
        <v>45357</v>
      </c>
      <c r="D12202" t="inlineStr">
        <is>
          <t>VÄSTERBOTTENS LÄN</t>
        </is>
      </c>
      <c r="E12202" t="inlineStr">
        <is>
          <t>SKELLEFTEÅ</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51963-2023</t>
        </is>
      </c>
      <c r="B12203" s="1" t="n">
        <v>45216</v>
      </c>
      <c r="C12203" s="1" t="n">
        <v>45357</v>
      </c>
      <c r="D12203" t="inlineStr">
        <is>
          <t>VÄSTERBOTTENS LÄN</t>
        </is>
      </c>
      <c r="E12203" t="inlineStr">
        <is>
          <t>SKELLEFTEÅ</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51990-2023</t>
        </is>
      </c>
      <c r="B12204" s="1" t="n">
        <v>45216</v>
      </c>
      <c r="C12204" s="1" t="n">
        <v>45357</v>
      </c>
      <c r="D12204" t="inlineStr">
        <is>
          <t>VÄSTERBOTTENS LÄN</t>
        </is>
      </c>
      <c r="E12204" t="inlineStr">
        <is>
          <t>UMEÅ</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50488-2023</t>
        </is>
      </c>
      <c r="B12205" s="1" t="n">
        <v>45217</v>
      </c>
      <c r="C12205" s="1" t="n">
        <v>45357</v>
      </c>
      <c r="D12205" t="inlineStr">
        <is>
          <t>VÄSTERBOTTENS LÄN</t>
        </is>
      </c>
      <c r="E12205" t="inlineStr">
        <is>
          <t>SKELLEFTEÅ</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50476-2023</t>
        </is>
      </c>
      <c r="B12206" s="1" t="n">
        <v>45217</v>
      </c>
      <c r="C12206" s="1" t="n">
        <v>45357</v>
      </c>
      <c r="D12206" t="inlineStr">
        <is>
          <t>VÄSTERBOTTENS LÄN</t>
        </is>
      </c>
      <c r="E12206" t="inlineStr">
        <is>
          <t>SKELLEFTEÅ</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50468-2023</t>
        </is>
      </c>
      <c r="B12207" s="1" t="n">
        <v>45216</v>
      </c>
      <c r="C12207" s="1" t="n">
        <v>45357</v>
      </c>
      <c r="D12207" t="inlineStr">
        <is>
          <t>VÄSTERBOTTENS LÄN</t>
        </is>
      </c>
      <c r="E12207" t="inlineStr">
        <is>
          <t>UMEÅ</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50464-2023</t>
        </is>
      </c>
      <c r="B12208" s="1" t="n">
        <v>45216</v>
      </c>
      <c r="C12208" s="1" t="n">
        <v>45357</v>
      </c>
      <c r="D12208" t="inlineStr">
        <is>
          <t>VÄSTERBOTTENS LÄN</t>
        </is>
      </c>
      <c r="E12208" t="inlineStr">
        <is>
          <t>SKELLEFTEÅ</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50260-2023</t>
        </is>
      </c>
      <c r="B12209" s="1" t="n">
        <v>45216</v>
      </c>
      <c r="C12209" s="1" t="n">
        <v>45357</v>
      </c>
      <c r="D12209" t="inlineStr">
        <is>
          <t>VÄSTERBOTTENS LÄN</t>
        </is>
      </c>
      <c r="E12209" t="inlineStr">
        <is>
          <t>UMEÅ</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50284-2023</t>
        </is>
      </c>
      <c r="B12210" s="1" t="n">
        <v>45216</v>
      </c>
      <c r="C12210" s="1" t="n">
        <v>45357</v>
      </c>
      <c r="D12210" t="inlineStr">
        <is>
          <t>VÄSTERBOTTENS LÄN</t>
        </is>
      </c>
      <c r="E12210" t="inlineStr">
        <is>
          <t>MALÅ</t>
        </is>
      </c>
      <c r="F12210" t="inlineStr">
        <is>
          <t>Sveaskog</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50545-2023</t>
        </is>
      </c>
      <c r="B12211" s="1" t="n">
        <v>45217</v>
      </c>
      <c r="C12211" s="1" t="n">
        <v>45357</v>
      </c>
      <c r="D12211" t="inlineStr">
        <is>
          <t>VÄSTERBOTTENS LÄN</t>
        </is>
      </c>
      <c r="E12211" t="inlineStr">
        <is>
          <t>LYCKSELE</t>
        </is>
      </c>
      <c r="F12211" t="inlineStr">
        <is>
          <t>Sveaskog</t>
        </is>
      </c>
      <c r="G12211" t="n">
        <v>20.2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50549-2023</t>
        </is>
      </c>
      <c r="B12212" s="1" t="n">
        <v>45217</v>
      </c>
      <c r="C12212" s="1" t="n">
        <v>45357</v>
      </c>
      <c r="D12212" t="inlineStr">
        <is>
          <t>VÄSTERBOTTENS LÄN</t>
        </is>
      </c>
      <c r="E12212" t="inlineStr">
        <is>
          <t>SKELLEFTEÅ</t>
        </is>
      </c>
      <c r="F12212" t="inlineStr">
        <is>
          <t>Holmen skog AB</t>
        </is>
      </c>
      <c r="G12212" t="n">
        <v>28.5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50555-2023</t>
        </is>
      </c>
      <c r="B12213" s="1" t="n">
        <v>45217</v>
      </c>
      <c r="C12213" s="1" t="n">
        <v>45357</v>
      </c>
      <c r="D12213" t="inlineStr">
        <is>
          <t>VÄSTERBOTTENS LÄN</t>
        </is>
      </c>
      <c r="E12213" t="inlineStr">
        <is>
          <t>LYCKSELE</t>
        </is>
      </c>
      <c r="F12213" t="inlineStr">
        <is>
          <t>Sveaskog</t>
        </is>
      </c>
      <c r="G12213" t="n">
        <v>10.3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50560-2023</t>
        </is>
      </c>
      <c r="B12214" s="1" t="n">
        <v>45217</v>
      </c>
      <c r="C12214" s="1" t="n">
        <v>45357</v>
      </c>
      <c r="D12214" t="inlineStr">
        <is>
          <t>VÄSTERBOTTENS LÄN</t>
        </is>
      </c>
      <c r="E12214" t="inlineStr">
        <is>
          <t>LYCKSELE</t>
        </is>
      </c>
      <c r="F12214" t="inlineStr">
        <is>
          <t>Sveaskog</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50600-2023</t>
        </is>
      </c>
      <c r="B12215" s="1" t="n">
        <v>45217</v>
      </c>
      <c r="C12215" s="1" t="n">
        <v>45357</v>
      </c>
      <c r="D12215" t="inlineStr">
        <is>
          <t>VÄSTERBOTTENS LÄN</t>
        </is>
      </c>
      <c r="E12215" t="inlineStr">
        <is>
          <t>LYCKSELE</t>
        </is>
      </c>
      <c r="F12215" t="inlineStr">
        <is>
          <t>Sveaskog</t>
        </is>
      </c>
      <c r="G12215" t="n">
        <v>6.5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50610-2023</t>
        </is>
      </c>
      <c r="B12216" s="1" t="n">
        <v>45217</v>
      </c>
      <c r="C12216" s="1" t="n">
        <v>45357</v>
      </c>
      <c r="D12216" t="inlineStr">
        <is>
          <t>VÄSTERBOTTENS LÄN</t>
        </is>
      </c>
      <c r="E12216" t="inlineStr">
        <is>
          <t>NORSJÖ</t>
        </is>
      </c>
      <c r="F12216" t="inlineStr">
        <is>
          <t>Sveaskog</t>
        </is>
      </c>
      <c r="G12216" t="n">
        <v>6.6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50655-2023</t>
        </is>
      </c>
      <c r="B12217" s="1" t="n">
        <v>45217</v>
      </c>
      <c r="C12217" s="1" t="n">
        <v>45357</v>
      </c>
      <c r="D12217" t="inlineStr">
        <is>
          <t>VÄSTERBOTTENS LÄN</t>
        </is>
      </c>
      <c r="E12217" t="inlineStr">
        <is>
          <t>VILHELMINA</t>
        </is>
      </c>
      <c r="F12217" t="inlineStr">
        <is>
          <t>Sveaskog</t>
        </is>
      </c>
      <c r="G12217" t="n">
        <v>8.300000000000001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50814-2023</t>
        </is>
      </c>
      <c r="B12218" s="1" t="n">
        <v>45217</v>
      </c>
      <c r="C12218" s="1" t="n">
        <v>45357</v>
      </c>
      <c r="D12218" t="inlineStr">
        <is>
          <t>VÄSTERBOTTENS LÄN</t>
        </is>
      </c>
      <c r="E12218" t="inlineStr">
        <is>
          <t>LYCKSELE</t>
        </is>
      </c>
      <c r="F12218" t="inlineStr">
        <is>
          <t>Sveaskog</t>
        </is>
      </c>
      <c r="G12218" t="n">
        <v>10.2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50830-2023</t>
        </is>
      </c>
      <c r="B12219" s="1" t="n">
        <v>45218</v>
      </c>
      <c r="C12219" s="1" t="n">
        <v>45357</v>
      </c>
      <c r="D12219" t="inlineStr">
        <is>
          <t>VÄSTERBOTTENS LÄN</t>
        </is>
      </c>
      <c r="E12219" t="inlineStr">
        <is>
          <t>VILHELMINA</t>
        </is>
      </c>
      <c r="F12219" t="inlineStr">
        <is>
          <t>SCA</t>
        </is>
      </c>
      <c r="G12219" t="n">
        <v>31.1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50726-2023</t>
        </is>
      </c>
      <c r="B12220" s="1" t="n">
        <v>45217</v>
      </c>
      <c r="C12220" s="1" t="n">
        <v>45357</v>
      </c>
      <c r="D12220" t="inlineStr">
        <is>
          <t>VÄSTERBOTTENS LÄN</t>
        </is>
      </c>
      <c r="E12220" t="inlineStr">
        <is>
          <t>UMEÅ</t>
        </is>
      </c>
      <c r="F12220" t="inlineStr">
        <is>
          <t>Sveaskog</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50821-2023</t>
        </is>
      </c>
      <c r="B12221" s="1" t="n">
        <v>45218</v>
      </c>
      <c r="C12221" s="1" t="n">
        <v>45357</v>
      </c>
      <c r="D12221" t="inlineStr">
        <is>
          <t>VÄSTERBOTTENS LÄN</t>
        </is>
      </c>
      <c r="E12221" t="inlineStr">
        <is>
          <t>SKELLEFTEÅ</t>
        </is>
      </c>
      <c r="G12221" t="n">
        <v>19.3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50565-2023</t>
        </is>
      </c>
      <c r="B12222" s="1" t="n">
        <v>45217</v>
      </c>
      <c r="C12222" s="1" t="n">
        <v>45357</v>
      </c>
      <c r="D12222" t="inlineStr">
        <is>
          <t>VÄSTERBOTTENS LÄN</t>
        </is>
      </c>
      <c r="E12222" t="inlineStr">
        <is>
          <t>LYCKSELE</t>
        </is>
      </c>
      <c r="F12222" t="inlineStr">
        <is>
          <t>Sveaskog</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50585-2023</t>
        </is>
      </c>
      <c r="B12223" s="1" t="n">
        <v>45217</v>
      </c>
      <c r="C12223" s="1" t="n">
        <v>45357</v>
      </c>
      <c r="D12223" t="inlineStr">
        <is>
          <t>VÄSTERBOTTENS LÄN</t>
        </is>
      </c>
      <c r="E12223" t="inlineStr">
        <is>
          <t>ÅSELE</t>
        </is>
      </c>
      <c r="G12223" t="n">
        <v>19.8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50725-2023</t>
        </is>
      </c>
      <c r="B12224" s="1" t="n">
        <v>45217</v>
      </c>
      <c r="C12224" s="1" t="n">
        <v>45357</v>
      </c>
      <c r="D12224" t="inlineStr">
        <is>
          <t>VÄSTERBOTTENS LÄN</t>
        </is>
      </c>
      <c r="E12224" t="inlineStr">
        <is>
          <t>UMEÅ</t>
        </is>
      </c>
      <c r="F12224" t="inlineStr">
        <is>
          <t>Sveaskog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50729-2023</t>
        </is>
      </c>
      <c r="B12225" s="1" t="n">
        <v>45217</v>
      </c>
      <c r="C12225" s="1" t="n">
        <v>45357</v>
      </c>
      <c r="D12225" t="inlineStr">
        <is>
          <t>VÄSTERBOTTENS LÄN</t>
        </is>
      </c>
      <c r="E12225" t="inlineStr">
        <is>
          <t>ROBERTSFORS</t>
        </is>
      </c>
      <c r="F12225" t="inlineStr">
        <is>
          <t>Sveaskog</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50573-2023</t>
        </is>
      </c>
      <c r="B12226" s="1" t="n">
        <v>45217</v>
      </c>
      <c r="C12226" s="1" t="n">
        <v>45357</v>
      </c>
      <c r="D12226" t="inlineStr">
        <is>
          <t>VÄSTERBOTTENS LÄN</t>
        </is>
      </c>
      <c r="E12226" t="inlineStr">
        <is>
          <t>LYCKSELE</t>
        </is>
      </c>
      <c r="F12226" t="inlineStr">
        <is>
          <t>Sveaskog</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50578-2023</t>
        </is>
      </c>
      <c r="B12227" s="1" t="n">
        <v>45217</v>
      </c>
      <c r="C12227" s="1" t="n">
        <v>45357</v>
      </c>
      <c r="D12227" t="inlineStr">
        <is>
          <t>VÄSTERBOTTENS LÄN</t>
        </is>
      </c>
      <c r="E12227" t="inlineStr">
        <is>
          <t>LYCKSELE</t>
        </is>
      </c>
      <c r="F12227" t="inlineStr">
        <is>
          <t>Sveaskog</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50583-2023</t>
        </is>
      </c>
      <c r="B12228" s="1" t="n">
        <v>45217</v>
      </c>
      <c r="C12228" s="1" t="n">
        <v>45357</v>
      </c>
      <c r="D12228" t="inlineStr">
        <is>
          <t>VÄSTERBOTTENS LÄN</t>
        </is>
      </c>
      <c r="E12228" t="inlineStr">
        <is>
          <t>LYCKSELE</t>
        </is>
      </c>
      <c r="F12228" t="inlineStr">
        <is>
          <t>Sveaskog</t>
        </is>
      </c>
      <c r="G12228" t="n">
        <v>9.5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50626-2023</t>
        </is>
      </c>
      <c r="B12229" s="1" t="n">
        <v>45217</v>
      </c>
      <c r="C12229" s="1" t="n">
        <v>45357</v>
      </c>
      <c r="D12229" t="inlineStr">
        <is>
          <t>VÄSTERBOTTENS LÄN</t>
        </is>
      </c>
      <c r="E12229" t="inlineStr">
        <is>
          <t>NORSJÖ</t>
        </is>
      </c>
      <c r="F12229" t="inlineStr">
        <is>
          <t>Sveaskog</t>
        </is>
      </c>
      <c r="G12229" t="n">
        <v>6.7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50676-2023</t>
        </is>
      </c>
      <c r="B12230" s="1" t="n">
        <v>45217</v>
      </c>
      <c r="C12230" s="1" t="n">
        <v>45357</v>
      </c>
      <c r="D12230" t="inlineStr">
        <is>
          <t>VÄSTERBOTTENS LÄN</t>
        </is>
      </c>
      <c r="E12230" t="inlineStr">
        <is>
          <t>UMEÅ</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50795-2023</t>
        </is>
      </c>
      <c r="B12231" s="1" t="n">
        <v>45217</v>
      </c>
      <c r="C12231" s="1" t="n">
        <v>45357</v>
      </c>
      <c r="D12231" t="inlineStr">
        <is>
          <t>VÄSTERBOTTENS LÄN</t>
        </is>
      </c>
      <c r="E12231" t="inlineStr">
        <is>
          <t>ÅSELE</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52228-2023</t>
        </is>
      </c>
      <c r="B12232" s="1" t="n">
        <v>45217</v>
      </c>
      <c r="C12232" s="1" t="n">
        <v>45357</v>
      </c>
      <c r="D12232" t="inlineStr">
        <is>
          <t>VÄSTERBOTTENS LÄN</t>
        </is>
      </c>
      <c r="E12232" t="inlineStr">
        <is>
          <t>SKELLEFTEÅ</t>
        </is>
      </c>
      <c r="G12232" t="n">
        <v>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52180-2023</t>
        </is>
      </c>
      <c r="B12233" s="1" t="n">
        <v>45217</v>
      </c>
      <c r="C12233" s="1" t="n">
        <v>45357</v>
      </c>
      <c r="D12233" t="inlineStr">
        <is>
          <t>VÄSTERBOTTENS LÄN</t>
        </is>
      </c>
      <c r="E12233" t="inlineStr">
        <is>
          <t>NORDMALING</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52305-2023</t>
        </is>
      </c>
      <c r="B12234" s="1" t="n">
        <v>45217</v>
      </c>
      <c r="C12234" s="1" t="n">
        <v>45357</v>
      </c>
      <c r="D12234" t="inlineStr">
        <is>
          <t>VÄSTERBOTTENS LÄN</t>
        </is>
      </c>
      <c r="E12234" t="inlineStr">
        <is>
          <t>SKELLEFTEÅ</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52300-2023</t>
        </is>
      </c>
      <c r="B12235" s="1" t="n">
        <v>45217</v>
      </c>
      <c r="C12235" s="1" t="n">
        <v>45357</v>
      </c>
      <c r="D12235" t="inlineStr">
        <is>
          <t>VÄSTERBOTTENS LÄN</t>
        </is>
      </c>
      <c r="E12235" t="inlineStr">
        <is>
          <t>SKELLEFTEÅ</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52287-2023</t>
        </is>
      </c>
      <c r="B12236" s="1" t="n">
        <v>45217</v>
      </c>
      <c r="C12236" s="1" t="n">
        <v>45357</v>
      </c>
      <c r="D12236" t="inlineStr">
        <is>
          <t>VÄSTERBOTTENS LÄN</t>
        </is>
      </c>
      <c r="E12236" t="inlineStr">
        <is>
          <t>SKELLEFTEÅ</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52233-2023</t>
        </is>
      </c>
      <c r="B12237" s="1" t="n">
        <v>45217</v>
      </c>
      <c r="C12237" s="1" t="n">
        <v>45357</v>
      </c>
      <c r="D12237" t="inlineStr">
        <is>
          <t>VÄSTERBOTTENS LÄN</t>
        </is>
      </c>
      <c r="E12237" t="inlineStr">
        <is>
          <t>MALÅ</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52276-2023</t>
        </is>
      </c>
      <c r="B12238" s="1" t="n">
        <v>45217</v>
      </c>
      <c r="C12238" s="1" t="n">
        <v>45357</v>
      </c>
      <c r="D12238" t="inlineStr">
        <is>
          <t>VÄSTERBOTTENS LÄN</t>
        </is>
      </c>
      <c r="E12238" t="inlineStr">
        <is>
          <t>DOROTEA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52229-2023</t>
        </is>
      </c>
      <c r="B12239" s="1" t="n">
        <v>45217</v>
      </c>
      <c r="C12239" s="1" t="n">
        <v>45357</v>
      </c>
      <c r="D12239" t="inlineStr">
        <is>
          <t>VÄSTERBOTTENS LÄN</t>
        </is>
      </c>
      <c r="E12239" t="inlineStr">
        <is>
          <t>UMEÅ</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52239-2023</t>
        </is>
      </c>
      <c r="B12240" s="1" t="n">
        <v>45217</v>
      </c>
      <c r="C12240" s="1" t="n">
        <v>45357</v>
      </c>
      <c r="D12240" t="inlineStr">
        <is>
          <t>VÄSTERBOTTENS LÄN</t>
        </is>
      </c>
      <c r="E12240" t="inlineStr">
        <is>
          <t>SKELLEFTEÅ</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52270-2023</t>
        </is>
      </c>
      <c r="B12241" s="1" t="n">
        <v>45217</v>
      </c>
      <c r="C12241" s="1" t="n">
        <v>45357</v>
      </c>
      <c r="D12241" t="inlineStr">
        <is>
          <t>VÄSTERBOTTENS LÄN</t>
        </is>
      </c>
      <c r="E12241" t="inlineStr">
        <is>
          <t>MALÅ</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50858-2023</t>
        </is>
      </c>
      <c r="B12242" s="1" t="n">
        <v>45218</v>
      </c>
      <c r="C12242" s="1" t="n">
        <v>45357</v>
      </c>
      <c r="D12242" t="inlineStr">
        <is>
          <t>VÄSTERBOTTENS LÄN</t>
        </is>
      </c>
      <c r="E12242" t="inlineStr">
        <is>
          <t>ÅSELE</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50940-2023</t>
        </is>
      </c>
      <c r="B12243" s="1" t="n">
        <v>45218</v>
      </c>
      <c r="C12243" s="1" t="n">
        <v>45357</v>
      </c>
      <c r="D12243" t="inlineStr">
        <is>
          <t>VÄSTERBOTTENS LÄN</t>
        </is>
      </c>
      <c r="E12243" t="inlineStr">
        <is>
          <t>VINDELN</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51115-2023</t>
        </is>
      </c>
      <c r="B12244" s="1" t="n">
        <v>45219</v>
      </c>
      <c r="C12244" s="1" t="n">
        <v>45357</v>
      </c>
      <c r="D12244" t="inlineStr">
        <is>
          <t>VÄSTERBOTTENS LÄN</t>
        </is>
      </c>
      <c r="E12244" t="inlineStr">
        <is>
          <t>NORDMALING</t>
        </is>
      </c>
      <c r="F12244" t="inlineStr">
        <is>
          <t>SCA</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50861-2023</t>
        </is>
      </c>
      <c r="B12245" s="1" t="n">
        <v>45218</v>
      </c>
      <c r="C12245" s="1" t="n">
        <v>45357</v>
      </c>
      <c r="D12245" t="inlineStr">
        <is>
          <t>VÄSTERBOTTENS LÄN</t>
        </is>
      </c>
      <c r="E12245" t="inlineStr">
        <is>
          <t>ÅSELE</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50901-2023</t>
        </is>
      </c>
      <c r="B12246" s="1" t="n">
        <v>45218</v>
      </c>
      <c r="C12246" s="1" t="n">
        <v>45357</v>
      </c>
      <c r="D12246" t="inlineStr">
        <is>
          <t>VÄSTERBOTTENS LÄN</t>
        </is>
      </c>
      <c r="E12246" t="inlineStr">
        <is>
          <t>SORSELE</t>
        </is>
      </c>
      <c r="F12246" t="inlineStr">
        <is>
          <t>Allmännings- och besparingsskogar</t>
        </is>
      </c>
      <c r="G12246" t="n">
        <v>11.3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51048-2023</t>
        </is>
      </c>
      <c r="B12247" s="1" t="n">
        <v>45218</v>
      </c>
      <c r="C12247" s="1" t="n">
        <v>45357</v>
      </c>
      <c r="D12247" t="inlineStr">
        <is>
          <t>VÄSTERBOTTENS LÄN</t>
        </is>
      </c>
      <c r="E12247" t="inlineStr">
        <is>
          <t>LYCKSELE</t>
        </is>
      </c>
      <c r="F12247" t="inlineStr">
        <is>
          <t>Sveaskog</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51062-2023</t>
        </is>
      </c>
      <c r="B12248" s="1" t="n">
        <v>45218</v>
      </c>
      <c r="C12248" s="1" t="n">
        <v>45357</v>
      </c>
      <c r="D12248" t="inlineStr">
        <is>
          <t>VÄSTERBOTTENS LÄN</t>
        </is>
      </c>
      <c r="E12248" t="inlineStr">
        <is>
          <t>VÄNNÄS</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51038-2023</t>
        </is>
      </c>
      <c r="B12249" s="1" t="n">
        <v>45218</v>
      </c>
      <c r="C12249" s="1" t="n">
        <v>45357</v>
      </c>
      <c r="D12249" t="inlineStr">
        <is>
          <t>VÄSTERBOTTENS LÄN</t>
        </is>
      </c>
      <c r="E12249" t="inlineStr">
        <is>
          <t>LYCKSELE</t>
        </is>
      </c>
      <c r="F12249" t="inlineStr">
        <is>
          <t>Sveaskog</t>
        </is>
      </c>
      <c r="G12249" t="n">
        <v>20.8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52539-2023</t>
        </is>
      </c>
      <c r="B12250" s="1" t="n">
        <v>45218</v>
      </c>
      <c r="C12250" s="1" t="n">
        <v>45357</v>
      </c>
      <c r="D12250" t="inlineStr">
        <is>
          <t>VÄSTERBOTTENS LÄN</t>
        </is>
      </c>
      <c r="E12250" t="inlineStr">
        <is>
          <t>ROBERTSFORS</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51102-2023</t>
        </is>
      </c>
      <c r="B12251" s="1" t="n">
        <v>45218</v>
      </c>
      <c r="C12251" s="1" t="n">
        <v>45357</v>
      </c>
      <c r="D12251" t="inlineStr">
        <is>
          <t>VÄSTERBOTTENS LÄN</t>
        </is>
      </c>
      <c r="E12251" t="inlineStr">
        <is>
          <t>DOROTEA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51114-2023</t>
        </is>
      </c>
      <c r="B12252" s="1" t="n">
        <v>45219</v>
      </c>
      <c r="C12252" s="1" t="n">
        <v>45357</v>
      </c>
      <c r="D12252" t="inlineStr">
        <is>
          <t>VÄSTERBOTTENS LÄN</t>
        </is>
      </c>
      <c r="E12252" t="inlineStr">
        <is>
          <t>NORDMALING</t>
        </is>
      </c>
      <c r="F12252" t="inlineStr">
        <is>
          <t>SCA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52536-2023</t>
        </is>
      </c>
      <c r="B12253" s="1" t="n">
        <v>45218</v>
      </c>
      <c r="C12253" s="1" t="n">
        <v>45357</v>
      </c>
      <c r="D12253" t="inlineStr">
        <is>
          <t>VÄSTERBOTTENS LÄN</t>
        </is>
      </c>
      <c r="E12253" t="inlineStr">
        <is>
          <t>VÄNNÄS</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52369-2023</t>
        </is>
      </c>
      <c r="B12254" s="1" t="n">
        <v>45218</v>
      </c>
      <c r="C12254" s="1" t="n">
        <v>45357</v>
      </c>
      <c r="D12254" t="inlineStr">
        <is>
          <t>VÄSTERBOTTENS LÄN</t>
        </is>
      </c>
      <c r="E12254" t="inlineStr">
        <is>
          <t>MALÅ</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52513-2023</t>
        </is>
      </c>
      <c r="B12255" s="1" t="n">
        <v>45218</v>
      </c>
      <c r="C12255" s="1" t="n">
        <v>45357</v>
      </c>
      <c r="D12255" t="inlineStr">
        <is>
          <t>VÄSTERBOTTENS LÄN</t>
        </is>
      </c>
      <c r="E12255" t="inlineStr">
        <is>
          <t>MALÅ</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51262-2023</t>
        </is>
      </c>
      <c r="B12256" s="1" t="n">
        <v>45219</v>
      </c>
      <c r="C12256" s="1" t="n">
        <v>45357</v>
      </c>
      <c r="D12256" t="inlineStr">
        <is>
          <t>VÄSTERBOTTENS LÄN</t>
        </is>
      </c>
      <c r="E12256" t="inlineStr">
        <is>
          <t>MALÅ</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51368-2023</t>
        </is>
      </c>
      <c r="B12257" s="1" t="n">
        <v>45219</v>
      </c>
      <c r="C12257" s="1" t="n">
        <v>45357</v>
      </c>
      <c r="D12257" t="inlineStr">
        <is>
          <t>VÄSTERBOTTENS LÄN</t>
        </is>
      </c>
      <c r="E12257" t="inlineStr">
        <is>
          <t>LYCKSELE</t>
        </is>
      </c>
      <c r="F12257" t="inlineStr">
        <is>
          <t>Holmen skog AB</t>
        </is>
      </c>
      <c r="G12257" t="n">
        <v>9.199999999999999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51359-2023</t>
        </is>
      </c>
      <c r="B12258" s="1" t="n">
        <v>45219</v>
      </c>
      <c r="C12258" s="1" t="n">
        <v>45357</v>
      </c>
      <c r="D12258" t="inlineStr">
        <is>
          <t>VÄSTERBOTTENS LÄN</t>
        </is>
      </c>
      <c r="E12258" t="inlineStr">
        <is>
          <t>MALÅ</t>
        </is>
      </c>
      <c r="F12258" t="inlineStr">
        <is>
          <t>Sveaskog</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51237-2023</t>
        </is>
      </c>
      <c r="B12259" s="1" t="n">
        <v>45219</v>
      </c>
      <c r="C12259" s="1" t="n">
        <v>45357</v>
      </c>
      <c r="D12259" t="inlineStr">
        <is>
          <t>VÄSTERBOTTENS LÄN</t>
        </is>
      </c>
      <c r="E12259" t="inlineStr">
        <is>
          <t>NORSJÖ</t>
        </is>
      </c>
      <c r="F12259" t="inlineStr">
        <is>
          <t>Holmen skog AB</t>
        </is>
      </c>
      <c r="G12259" t="n">
        <v>5.4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52792-2023</t>
        </is>
      </c>
      <c r="B12260" s="1" t="n">
        <v>45219</v>
      </c>
      <c r="C12260" s="1" t="n">
        <v>45357</v>
      </c>
      <c r="D12260" t="inlineStr">
        <is>
          <t>VÄSTERBOTTENS LÄN</t>
        </is>
      </c>
      <c r="E12260" t="inlineStr">
        <is>
          <t>SKELLEFTEÅ</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52680-2023</t>
        </is>
      </c>
      <c r="B12261" s="1" t="n">
        <v>45219</v>
      </c>
      <c r="C12261" s="1" t="n">
        <v>45357</v>
      </c>
      <c r="D12261" t="inlineStr">
        <is>
          <t>VÄSTERBOTTENS LÄN</t>
        </is>
      </c>
      <c r="E12261" t="inlineStr">
        <is>
          <t>STORUMAN</t>
        </is>
      </c>
      <c r="G12261" t="n">
        <v>31.8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51347-2023</t>
        </is>
      </c>
      <c r="B12262" s="1" t="n">
        <v>45219</v>
      </c>
      <c r="C12262" s="1" t="n">
        <v>45357</v>
      </c>
      <c r="D12262" t="inlineStr">
        <is>
          <t>VÄSTERBOTTENS LÄN</t>
        </is>
      </c>
      <c r="E12262" t="inlineStr">
        <is>
          <t>STORUMAN</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51384-2023</t>
        </is>
      </c>
      <c r="B12263" s="1" t="n">
        <v>45219</v>
      </c>
      <c r="C12263" s="1" t="n">
        <v>45357</v>
      </c>
      <c r="D12263" t="inlineStr">
        <is>
          <t>VÄSTERBOTTENS LÄN</t>
        </is>
      </c>
      <c r="E12263" t="inlineStr">
        <is>
          <t>MALÅ</t>
        </is>
      </c>
      <c r="F12263" t="inlineStr">
        <is>
          <t>Sveaskog</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52809-2023</t>
        </is>
      </c>
      <c r="B12264" s="1" t="n">
        <v>45219</v>
      </c>
      <c r="C12264" s="1" t="n">
        <v>45357</v>
      </c>
      <c r="D12264" t="inlineStr">
        <is>
          <t>VÄSTERBOTTENS LÄN</t>
        </is>
      </c>
      <c r="E12264" t="inlineStr">
        <is>
          <t>SKELLEFTEÅ</t>
        </is>
      </c>
      <c r="G12264" t="n">
        <v>7.8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51437-2023</t>
        </is>
      </c>
      <c r="B12265" s="1" t="n">
        <v>45220</v>
      </c>
      <c r="C12265" s="1" t="n">
        <v>45357</v>
      </c>
      <c r="D12265" t="inlineStr">
        <is>
          <t>VÄSTERBOTTENS LÄN</t>
        </is>
      </c>
      <c r="E12265" t="inlineStr">
        <is>
          <t>SORSELE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51236-2023</t>
        </is>
      </c>
      <c r="B12266" s="1" t="n">
        <v>45219</v>
      </c>
      <c r="C12266" s="1" t="n">
        <v>45357</v>
      </c>
      <c r="D12266" t="inlineStr">
        <is>
          <t>VÄSTERBOTTENS LÄN</t>
        </is>
      </c>
      <c r="E12266" t="inlineStr">
        <is>
          <t>MALÅ</t>
        </is>
      </c>
      <c r="F12266" t="inlineStr">
        <is>
          <t>Sveaskog</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51279-2023</t>
        </is>
      </c>
      <c r="B12267" s="1" t="n">
        <v>45219</v>
      </c>
      <c r="C12267" s="1" t="n">
        <v>45357</v>
      </c>
      <c r="D12267" t="inlineStr">
        <is>
          <t>VÄSTERBOTTENS LÄN</t>
        </is>
      </c>
      <c r="E12267" t="inlineStr">
        <is>
          <t>MALÅ</t>
        </is>
      </c>
      <c r="F12267" t="inlineStr">
        <is>
          <t>Sveaskog</t>
        </is>
      </c>
      <c r="G12267" t="n">
        <v>9.300000000000001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51283-2023</t>
        </is>
      </c>
      <c r="B12268" s="1" t="n">
        <v>45219</v>
      </c>
      <c r="C12268" s="1" t="n">
        <v>45357</v>
      </c>
      <c r="D12268" t="inlineStr">
        <is>
          <t>VÄSTERBOTTENS LÄN</t>
        </is>
      </c>
      <c r="E12268" t="inlineStr">
        <is>
          <t>MALÅ</t>
        </is>
      </c>
      <c r="F12268" t="inlineStr">
        <is>
          <t>Sveaskog</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51334-2023</t>
        </is>
      </c>
      <c r="B12269" s="1" t="n">
        <v>45219</v>
      </c>
      <c r="C12269" s="1" t="n">
        <v>45357</v>
      </c>
      <c r="D12269" t="inlineStr">
        <is>
          <t>VÄSTERBOTTENS LÄN</t>
        </is>
      </c>
      <c r="E12269" t="inlineStr">
        <is>
          <t>STORUMAN</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51339-2023</t>
        </is>
      </c>
      <c r="B12270" s="1" t="n">
        <v>45219</v>
      </c>
      <c r="C12270" s="1" t="n">
        <v>45357</v>
      </c>
      <c r="D12270" t="inlineStr">
        <is>
          <t>VÄSTERBOTTENS LÄN</t>
        </is>
      </c>
      <c r="E12270" t="inlineStr">
        <is>
          <t>SKELLEFTEÅ</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51366-2023</t>
        </is>
      </c>
      <c r="B12271" s="1" t="n">
        <v>45219</v>
      </c>
      <c r="C12271" s="1" t="n">
        <v>45357</v>
      </c>
      <c r="D12271" t="inlineStr">
        <is>
          <t>VÄSTERBOTTENS LÄN</t>
        </is>
      </c>
      <c r="E12271" t="inlineStr">
        <is>
          <t>STORUMAN</t>
        </is>
      </c>
      <c r="G12271" t="n">
        <v>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51380-2023</t>
        </is>
      </c>
      <c r="B12272" s="1" t="n">
        <v>45219</v>
      </c>
      <c r="C12272" s="1" t="n">
        <v>45357</v>
      </c>
      <c r="D12272" t="inlineStr">
        <is>
          <t>VÄSTERBOTTENS LÄN</t>
        </is>
      </c>
      <c r="E12272" t="inlineStr">
        <is>
          <t>MALÅ</t>
        </is>
      </c>
      <c r="F12272" t="inlineStr">
        <is>
          <t>Sveaskog</t>
        </is>
      </c>
      <c r="G12272" t="n">
        <v>21.5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51385-2023</t>
        </is>
      </c>
      <c r="B12273" s="1" t="n">
        <v>45219</v>
      </c>
      <c r="C12273" s="1" t="n">
        <v>45357</v>
      </c>
      <c r="D12273" t="inlineStr">
        <is>
          <t>VÄSTERBOTTENS LÄN</t>
        </is>
      </c>
      <c r="E12273" t="inlineStr">
        <is>
          <t>MALÅ</t>
        </is>
      </c>
      <c r="F12273" t="inlineStr">
        <is>
          <t>Sveaskog</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51396-2023</t>
        </is>
      </c>
      <c r="B12274" s="1" t="n">
        <v>45219</v>
      </c>
      <c r="C12274" s="1" t="n">
        <v>45357</v>
      </c>
      <c r="D12274" t="inlineStr">
        <is>
          <t>VÄSTERBOTTENS LÄN</t>
        </is>
      </c>
      <c r="E12274" t="inlineStr">
        <is>
          <t>SKELLEFTEÅ</t>
        </is>
      </c>
      <c r="F12274" t="inlineStr">
        <is>
          <t>Holmen skog AB</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52563-2023</t>
        </is>
      </c>
      <c r="B12275" s="1" t="n">
        <v>45219</v>
      </c>
      <c r="C12275" s="1" t="n">
        <v>45357</v>
      </c>
      <c r="D12275" t="inlineStr">
        <is>
          <t>VÄSTERBOTTENS LÄN</t>
        </is>
      </c>
      <c r="E12275" t="inlineStr">
        <is>
          <t>MALÅ</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51357-2023</t>
        </is>
      </c>
      <c r="B12276" s="1" t="n">
        <v>45219</v>
      </c>
      <c r="C12276" s="1" t="n">
        <v>45357</v>
      </c>
      <c r="D12276" t="inlineStr">
        <is>
          <t>VÄSTERBOTTENS LÄN</t>
        </is>
      </c>
      <c r="E12276" t="inlineStr">
        <is>
          <t>MALÅ</t>
        </is>
      </c>
      <c r="F12276" t="inlineStr">
        <is>
          <t>Sveaskog</t>
        </is>
      </c>
      <c r="G12276" t="n">
        <v>10.8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51286-2023</t>
        </is>
      </c>
      <c r="B12277" s="1" t="n">
        <v>45219</v>
      </c>
      <c r="C12277" s="1" t="n">
        <v>45357</v>
      </c>
      <c r="D12277" t="inlineStr">
        <is>
          <t>VÄSTERBOTTENS LÄN</t>
        </is>
      </c>
      <c r="E12277" t="inlineStr">
        <is>
          <t>MALÅ</t>
        </is>
      </c>
      <c r="F12277" t="inlineStr">
        <is>
          <t>Sveaskog</t>
        </is>
      </c>
      <c r="G12277" t="n">
        <v>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51197-2023</t>
        </is>
      </c>
      <c r="B12278" s="1" t="n">
        <v>45219</v>
      </c>
      <c r="C12278" s="1" t="n">
        <v>45357</v>
      </c>
      <c r="D12278" t="inlineStr">
        <is>
          <t>VÄSTERBOTTENS LÄN</t>
        </is>
      </c>
      <c r="E12278" t="inlineStr">
        <is>
          <t>NORSJÖ</t>
        </is>
      </c>
      <c r="F12278" t="inlineStr">
        <is>
          <t>Holmen skog AB</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51184-2023</t>
        </is>
      </c>
      <c r="B12279" s="1" t="n">
        <v>45219</v>
      </c>
      <c r="C12279" s="1" t="n">
        <v>45357</v>
      </c>
      <c r="D12279" t="inlineStr">
        <is>
          <t>VÄSTERBOTTENS LÄN</t>
        </is>
      </c>
      <c r="E12279" t="inlineStr">
        <is>
          <t>VINDELN</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51221-2023</t>
        </is>
      </c>
      <c r="B12280" s="1" t="n">
        <v>45219</v>
      </c>
      <c r="C12280" s="1" t="n">
        <v>45357</v>
      </c>
      <c r="D12280" t="inlineStr">
        <is>
          <t>VÄSTERBOTTENS LÄN</t>
        </is>
      </c>
      <c r="E12280" t="inlineStr">
        <is>
          <t>MALÅ</t>
        </is>
      </c>
      <c r="F12280" t="inlineStr">
        <is>
          <t>Sveaskog</t>
        </is>
      </c>
      <c r="G12280" t="n">
        <v>10.6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51288-2023</t>
        </is>
      </c>
      <c r="B12281" s="1" t="n">
        <v>45219</v>
      </c>
      <c r="C12281" s="1" t="n">
        <v>45357</v>
      </c>
      <c r="D12281" t="inlineStr">
        <is>
          <t>VÄSTERBOTTENS LÄN</t>
        </is>
      </c>
      <c r="E12281" t="inlineStr">
        <is>
          <t>ROBERTSFORS</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51426-2023</t>
        </is>
      </c>
      <c r="B12282" s="1" t="n">
        <v>45219</v>
      </c>
      <c r="C12282" s="1" t="n">
        <v>45357</v>
      </c>
      <c r="D12282" t="inlineStr">
        <is>
          <t>VÄSTERBOTTENS LÄN</t>
        </is>
      </c>
      <c r="E12282" t="inlineStr">
        <is>
          <t>VINDELN</t>
        </is>
      </c>
      <c r="F12282" t="inlineStr">
        <is>
          <t>SCA</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51418-2023</t>
        </is>
      </c>
      <c r="B12283" s="1" t="n">
        <v>45219</v>
      </c>
      <c r="C12283" s="1" t="n">
        <v>45357</v>
      </c>
      <c r="D12283" t="inlineStr">
        <is>
          <t>VÄSTERBOTTENS LÄN</t>
        </is>
      </c>
      <c r="E12283" t="inlineStr">
        <is>
          <t>SKELLEFTEÅ</t>
        </is>
      </c>
      <c r="G12283" t="n">
        <v>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51248-2023</t>
        </is>
      </c>
      <c r="B12284" s="1" t="n">
        <v>45219</v>
      </c>
      <c r="C12284" s="1" t="n">
        <v>45357</v>
      </c>
      <c r="D12284" t="inlineStr">
        <is>
          <t>VÄSTERBOTTENS LÄN</t>
        </is>
      </c>
      <c r="E12284" t="inlineStr">
        <is>
          <t>MALÅ</t>
        </is>
      </c>
      <c r="F12284" t="inlineStr">
        <is>
          <t>Sveaskog</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51281-2023</t>
        </is>
      </c>
      <c r="B12285" s="1" t="n">
        <v>45219</v>
      </c>
      <c r="C12285" s="1" t="n">
        <v>45357</v>
      </c>
      <c r="D12285" t="inlineStr">
        <is>
          <t>VÄSTERBOTTENS LÄN</t>
        </is>
      </c>
      <c r="E12285" t="inlineStr">
        <is>
          <t>MALÅ</t>
        </is>
      </c>
      <c r="F12285" t="inlineStr">
        <is>
          <t>Sveaskog</t>
        </is>
      </c>
      <c r="G12285" t="n">
        <v>9.199999999999999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51356-2023</t>
        </is>
      </c>
      <c r="B12286" s="1" t="n">
        <v>45219</v>
      </c>
      <c r="C12286" s="1" t="n">
        <v>45357</v>
      </c>
      <c r="D12286" t="inlineStr">
        <is>
          <t>VÄSTERBOTTENS LÄN</t>
        </is>
      </c>
      <c r="E12286" t="inlineStr">
        <is>
          <t>MALÅ</t>
        </is>
      </c>
      <c r="F12286" t="inlineStr">
        <is>
          <t>Sveaskog</t>
        </is>
      </c>
      <c r="G12286" t="n">
        <v>10</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51374-2023</t>
        </is>
      </c>
      <c r="B12287" s="1" t="n">
        <v>45219</v>
      </c>
      <c r="C12287" s="1" t="n">
        <v>45357</v>
      </c>
      <c r="D12287" t="inlineStr">
        <is>
          <t>VÄSTERBOTTENS LÄN</t>
        </is>
      </c>
      <c r="E12287" t="inlineStr">
        <is>
          <t>MALÅ</t>
        </is>
      </c>
      <c r="F12287" t="inlineStr">
        <is>
          <t>Sveaskog</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51383-2023</t>
        </is>
      </c>
      <c r="B12288" s="1" t="n">
        <v>45219</v>
      </c>
      <c r="C12288" s="1" t="n">
        <v>45357</v>
      </c>
      <c r="D12288" t="inlineStr">
        <is>
          <t>VÄSTERBOTTENS LÄN</t>
        </is>
      </c>
      <c r="E12288" t="inlineStr">
        <is>
          <t>MALÅ</t>
        </is>
      </c>
      <c r="F12288" t="inlineStr">
        <is>
          <t>Sveaskog</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51387-2023</t>
        </is>
      </c>
      <c r="B12289" s="1" t="n">
        <v>45219</v>
      </c>
      <c r="C12289" s="1" t="n">
        <v>45357</v>
      </c>
      <c r="D12289" t="inlineStr">
        <is>
          <t>VÄSTERBOTTENS LÄN</t>
        </is>
      </c>
      <c r="E12289" t="inlineStr">
        <is>
          <t>MALÅ</t>
        </is>
      </c>
      <c r="F12289" t="inlineStr">
        <is>
          <t>Sveaskog</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51455-2023</t>
        </is>
      </c>
      <c r="B12290" s="1" t="n">
        <v>45221</v>
      </c>
      <c r="C12290" s="1" t="n">
        <v>45357</v>
      </c>
      <c r="D12290" t="inlineStr">
        <is>
          <t>VÄSTERBOTTENS LÄN</t>
        </is>
      </c>
      <c r="E12290" t="inlineStr">
        <is>
          <t>SKELLEFTEÅ</t>
        </is>
      </c>
      <c r="F12290" t="inlineStr">
        <is>
          <t>SCA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51470-2023</t>
        </is>
      </c>
      <c r="B12291" s="1" t="n">
        <v>45221</v>
      </c>
      <c r="C12291" s="1" t="n">
        <v>45357</v>
      </c>
      <c r="D12291" t="inlineStr">
        <is>
          <t>VÄSTERBOTTENS LÄN</t>
        </is>
      </c>
      <c r="E12291" t="inlineStr">
        <is>
          <t>SKELLEFTEÅ</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51478-2023</t>
        </is>
      </c>
      <c r="B12292" s="1" t="n">
        <v>45221</v>
      </c>
      <c r="C12292" s="1" t="n">
        <v>45357</v>
      </c>
      <c r="D12292" t="inlineStr">
        <is>
          <t>VÄSTERBOTTENS LÄN</t>
        </is>
      </c>
      <c r="E12292" t="inlineStr">
        <is>
          <t>SKELLEFTEÅ</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51473-2023</t>
        </is>
      </c>
      <c r="B12293" s="1" t="n">
        <v>45221</v>
      </c>
      <c r="C12293" s="1" t="n">
        <v>45357</v>
      </c>
      <c r="D12293" t="inlineStr">
        <is>
          <t>VÄSTERBOTTENS LÄN</t>
        </is>
      </c>
      <c r="E12293" t="inlineStr">
        <is>
          <t>ÅSELE</t>
        </is>
      </c>
      <c r="G12293" t="n">
        <v>12.4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51526-2023</t>
        </is>
      </c>
      <c r="B12294" s="1" t="n">
        <v>45222</v>
      </c>
      <c r="C12294" s="1" t="n">
        <v>45357</v>
      </c>
      <c r="D12294" t="inlineStr">
        <is>
          <t>VÄSTERBOTTENS LÄN</t>
        </is>
      </c>
      <c r="E12294" t="inlineStr">
        <is>
          <t>SKELLEFTEÅ</t>
        </is>
      </c>
      <c r="F12294" t="inlineStr">
        <is>
          <t>Holmen skog AB</t>
        </is>
      </c>
      <c r="G12294" t="n">
        <v>14.1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51536-2023</t>
        </is>
      </c>
      <c r="B12295" s="1" t="n">
        <v>45222</v>
      </c>
      <c r="C12295" s="1" t="n">
        <v>45357</v>
      </c>
      <c r="D12295" t="inlineStr">
        <is>
          <t>VÄSTERBOTTENS LÄN</t>
        </is>
      </c>
      <c r="E12295" t="inlineStr">
        <is>
          <t>NORDMALING</t>
        </is>
      </c>
      <c r="G12295" t="n">
        <v>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51544-2023</t>
        </is>
      </c>
      <c r="B12296" s="1" t="n">
        <v>45222</v>
      </c>
      <c r="C12296" s="1" t="n">
        <v>45357</v>
      </c>
      <c r="D12296" t="inlineStr">
        <is>
          <t>VÄSTERBOTTENS LÄN</t>
        </is>
      </c>
      <c r="E12296" t="inlineStr">
        <is>
          <t>UMEÅ</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51573-2023</t>
        </is>
      </c>
      <c r="B12297" s="1" t="n">
        <v>45222</v>
      </c>
      <c r="C12297" s="1" t="n">
        <v>45357</v>
      </c>
      <c r="D12297" t="inlineStr">
        <is>
          <t>VÄSTERBOTTENS LÄN</t>
        </is>
      </c>
      <c r="E12297" t="inlineStr">
        <is>
          <t>MALÅ</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51608-2023</t>
        </is>
      </c>
      <c r="B12298" s="1" t="n">
        <v>45222</v>
      </c>
      <c r="C12298" s="1" t="n">
        <v>45357</v>
      </c>
      <c r="D12298" t="inlineStr">
        <is>
          <t>VÄSTERBOTTENS LÄN</t>
        </is>
      </c>
      <c r="E12298" t="inlineStr">
        <is>
          <t>MALÅ</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51644-2023</t>
        </is>
      </c>
      <c r="B12299" s="1" t="n">
        <v>45222</v>
      </c>
      <c r="C12299" s="1" t="n">
        <v>45357</v>
      </c>
      <c r="D12299" t="inlineStr">
        <is>
          <t>VÄSTERBOTTENS LÄN</t>
        </is>
      </c>
      <c r="E12299" t="inlineStr">
        <is>
          <t>SKELLEFTEÅ</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51703-2023</t>
        </is>
      </c>
      <c r="B12300" s="1" t="n">
        <v>45222</v>
      </c>
      <c r="C12300" s="1" t="n">
        <v>45357</v>
      </c>
      <c r="D12300" t="inlineStr">
        <is>
          <t>VÄSTERBOTTENS LÄN</t>
        </is>
      </c>
      <c r="E12300" t="inlineStr">
        <is>
          <t>SKELLEFTEÅ</t>
        </is>
      </c>
      <c r="F12300" t="inlineStr">
        <is>
          <t>Kommuner</t>
        </is>
      </c>
      <c r="G12300" t="n">
        <v>8.300000000000001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51712-2023</t>
        </is>
      </c>
      <c r="B12301" s="1" t="n">
        <v>45222</v>
      </c>
      <c r="C12301" s="1" t="n">
        <v>45357</v>
      </c>
      <c r="D12301" t="inlineStr">
        <is>
          <t>VÄSTERBOTTENS LÄN</t>
        </is>
      </c>
      <c r="E12301" t="inlineStr">
        <is>
          <t>MALÅ</t>
        </is>
      </c>
      <c r="F12301" t="inlineStr">
        <is>
          <t>Sveaskog</t>
        </is>
      </c>
      <c r="G12301" t="n">
        <v>6.7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51803-2023</t>
        </is>
      </c>
      <c r="B12302" s="1" t="n">
        <v>45222</v>
      </c>
      <c r="C12302" s="1" t="n">
        <v>45357</v>
      </c>
      <c r="D12302" t="inlineStr">
        <is>
          <t>VÄSTERBOTTENS LÄN</t>
        </is>
      </c>
      <c r="E12302" t="inlineStr">
        <is>
          <t>NORDMALING</t>
        </is>
      </c>
      <c r="F12302" t="inlineStr">
        <is>
          <t>SCA</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51491-2023</t>
        </is>
      </c>
      <c r="B12303" s="1" t="n">
        <v>45222</v>
      </c>
      <c r="C12303" s="1" t="n">
        <v>45357</v>
      </c>
      <c r="D12303" t="inlineStr">
        <is>
          <t>VÄSTERBOTTENS LÄN</t>
        </is>
      </c>
      <c r="E12303" t="inlineStr">
        <is>
          <t>ÅSELE</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51514-2023</t>
        </is>
      </c>
      <c r="B12304" s="1" t="n">
        <v>45222</v>
      </c>
      <c r="C12304" s="1" t="n">
        <v>45357</v>
      </c>
      <c r="D12304" t="inlineStr">
        <is>
          <t>VÄSTERBOTTENS LÄN</t>
        </is>
      </c>
      <c r="E12304" t="inlineStr">
        <is>
          <t>MALÅ</t>
        </is>
      </c>
      <c r="G12304" t="n">
        <v>7.7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51713-2023</t>
        </is>
      </c>
      <c r="B12305" s="1" t="n">
        <v>45222</v>
      </c>
      <c r="C12305" s="1" t="n">
        <v>45357</v>
      </c>
      <c r="D12305" t="inlineStr">
        <is>
          <t>VÄSTERBOTTENS LÄN</t>
        </is>
      </c>
      <c r="E12305" t="inlineStr">
        <is>
          <t>MALÅ</t>
        </is>
      </c>
      <c r="F12305" t="inlineStr">
        <is>
          <t>Sveaskog</t>
        </is>
      </c>
      <c r="G12305" t="n">
        <v>17.4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51717-2023</t>
        </is>
      </c>
      <c r="B12306" s="1" t="n">
        <v>45222</v>
      </c>
      <c r="C12306" s="1" t="n">
        <v>45357</v>
      </c>
      <c r="D12306" t="inlineStr">
        <is>
          <t>VÄSTERBOTTENS LÄN</t>
        </is>
      </c>
      <c r="E12306" t="inlineStr">
        <is>
          <t>MALÅ</t>
        </is>
      </c>
      <c r="F12306" t="inlineStr">
        <is>
          <t>Sveaskog</t>
        </is>
      </c>
      <c r="G12306" t="n">
        <v>13.1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51804-2023</t>
        </is>
      </c>
      <c r="B12307" s="1" t="n">
        <v>45223</v>
      </c>
      <c r="C12307" s="1" t="n">
        <v>45357</v>
      </c>
      <c r="D12307" t="inlineStr">
        <is>
          <t>VÄSTERBOTTENS LÄN</t>
        </is>
      </c>
      <c r="E12307" t="inlineStr">
        <is>
          <t>NORDMALING</t>
        </is>
      </c>
      <c r="F12307" t="inlineStr">
        <is>
          <t>SCA</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51667-2023</t>
        </is>
      </c>
      <c r="B12308" s="1" t="n">
        <v>45222</v>
      </c>
      <c r="C12308" s="1" t="n">
        <v>45357</v>
      </c>
      <c r="D12308" t="inlineStr">
        <is>
          <t>VÄSTERBOTTENS LÄN</t>
        </is>
      </c>
      <c r="E12308" t="inlineStr">
        <is>
          <t>SKELLEFTEÅ</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51710-2023</t>
        </is>
      </c>
      <c r="B12309" s="1" t="n">
        <v>45222</v>
      </c>
      <c r="C12309" s="1" t="n">
        <v>45357</v>
      </c>
      <c r="D12309" t="inlineStr">
        <is>
          <t>VÄSTERBOTTENS LÄN</t>
        </is>
      </c>
      <c r="E12309" t="inlineStr">
        <is>
          <t>MALÅ</t>
        </is>
      </c>
      <c r="F12309" t="inlineStr">
        <is>
          <t>Sveaskog</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51714-2023</t>
        </is>
      </c>
      <c r="B12310" s="1" t="n">
        <v>45222</v>
      </c>
      <c r="C12310" s="1" t="n">
        <v>45357</v>
      </c>
      <c r="D12310" t="inlineStr">
        <is>
          <t>VÄSTERBOTTENS LÄN</t>
        </is>
      </c>
      <c r="E12310" t="inlineStr">
        <is>
          <t>MALÅ</t>
        </is>
      </c>
      <c r="F12310" t="inlineStr">
        <is>
          <t>Sveaskog</t>
        </is>
      </c>
      <c r="G12310" t="n">
        <v>8.4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51723-2023</t>
        </is>
      </c>
      <c r="B12311" s="1" t="n">
        <v>45222</v>
      </c>
      <c r="C12311" s="1" t="n">
        <v>45357</v>
      </c>
      <c r="D12311" t="inlineStr">
        <is>
          <t>VÄSTERBOTTENS LÄN</t>
        </is>
      </c>
      <c r="E12311" t="inlineStr">
        <is>
          <t>MALÅ</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51825-2023</t>
        </is>
      </c>
      <c r="B12312" s="1" t="n">
        <v>45222</v>
      </c>
      <c r="C12312" s="1" t="n">
        <v>45357</v>
      </c>
      <c r="D12312" t="inlineStr">
        <is>
          <t>VÄSTERBOTTENS LÄN</t>
        </is>
      </c>
      <c r="E12312" t="inlineStr">
        <is>
          <t>VILHELMINA</t>
        </is>
      </c>
      <c r="F12312" t="inlineStr">
        <is>
          <t>SCA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51833-2023</t>
        </is>
      </c>
      <c r="B12313" s="1" t="n">
        <v>45222</v>
      </c>
      <c r="C12313" s="1" t="n">
        <v>45357</v>
      </c>
      <c r="D12313" t="inlineStr">
        <is>
          <t>VÄSTERBOTTENS LÄN</t>
        </is>
      </c>
      <c r="E12313" t="inlineStr">
        <is>
          <t>BJURHOLM</t>
        </is>
      </c>
      <c r="F12313" t="inlineStr">
        <is>
          <t>SCA</t>
        </is>
      </c>
      <c r="G12313" t="n">
        <v>6.4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51878-2023</t>
        </is>
      </c>
      <c r="B12314" s="1" t="n">
        <v>45222</v>
      </c>
      <c r="C12314" s="1" t="n">
        <v>45357</v>
      </c>
      <c r="D12314" t="inlineStr">
        <is>
          <t>VÄSTERBOTTENS LÄN</t>
        </is>
      </c>
      <c r="E12314" t="inlineStr">
        <is>
          <t>MALÅ</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53242-2023</t>
        </is>
      </c>
      <c r="B12315" s="1" t="n">
        <v>45222</v>
      </c>
      <c r="C12315" s="1" t="n">
        <v>45357</v>
      </c>
      <c r="D12315" t="inlineStr">
        <is>
          <t>VÄSTERBOTTENS LÄN</t>
        </is>
      </c>
      <c r="E12315" t="inlineStr">
        <is>
          <t>ROBERTSFORS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53215-2023</t>
        </is>
      </c>
      <c r="B12316" s="1" t="n">
        <v>45222</v>
      </c>
      <c r="C12316" s="1" t="n">
        <v>45357</v>
      </c>
      <c r="D12316" t="inlineStr">
        <is>
          <t>VÄSTERBOTTENS LÄN</t>
        </is>
      </c>
      <c r="E12316" t="inlineStr">
        <is>
          <t>SKELLEFTEÅ</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51494-2023</t>
        </is>
      </c>
      <c r="B12317" s="1" t="n">
        <v>45222</v>
      </c>
      <c r="C12317" s="1" t="n">
        <v>45357</v>
      </c>
      <c r="D12317" t="inlineStr">
        <is>
          <t>VÄSTERBOTTENS LÄN</t>
        </is>
      </c>
      <c r="E12317" t="inlineStr">
        <is>
          <t>MALÅ</t>
        </is>
      </c>
      <c r="G12317" t="n">
        <v>31.8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51502-2023</t>
        </is>
      </c>
      <c r="B12318" s="1" t="n">
        <v>45222</v>
      </c>
      <c r="C12318" s="1" t="n">
        <v>45357</v>
      </c>
      <c r="D12318" t="inlineStr">
        <is>
          <t>VÄSTERBOTTENS LÄN</t>
        </is>
      </c>
      <c r="E12318" t="inlineStr">
        <is>
          <t>SKELLEFTEÅ</t>
        </is>
      </c>
      <c r="F12318" t="inlineStr">
        <is>
          <t>Kommuner</t>
        </is>
      </c>
      <c r="G12318" t="n">
        <v>16.3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51507-2023</t>
        </is>
      </c>
      <c r="B12319" s="1" t="n">
        <v>45222</v>
      </c>
      <c r="C12319" s="1" t="n">
        <v>45357</v>
      </c>
      <c r="D12319" t="inlineStr">
        <is>
          <t>VÄSTERBOTTENS LÄN</t>
        </is>
      </c>
      <c r="E12319" t="inlineStr">
        <is>
          <t>SKELLEFTEÅ</t>
        </is>
      </c>
      <c r="F12319" t="inlineStr">
        <is>
          <t>Kommuner</t>
        </is>
      </c>
      <c r="G12319" t="n">
        <v>11.2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51693-2023</t>
        </is>
      </c>
      <c r="B12320" s="1" t="n">
        <v>45222</v>
      </c>
      <c r="C12320" s="1" t="n">
        <v>45357</v>
      </c>
      <c r="D12320" t="inlineStr">
        <is>
          <t>VÄSTERBOTTENS LÄN</t>
        </is>
      </c>
      <c r="E12320" t="inlineStr">
        <is>
          <t>UMEÅ</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51715-2023</t>
        </is>
      </c>
      <c r="B12321" s="1" t="n">
        <v>45222</v>
      </c>
      <c r="C12321" s="1" t="n">
        <v>45357</v>
      </c>
      <c r="D12321" t="inlineStr">
        <is>
          <t>VÄSTERBOTTENS LÄN</t>
        </is>
      </c>
      <c r="E12321" t="inlineStr">
        <is>
          <t>MALÅ</t>
        </is>
      </c>
      <c r="F12321" t="inlineStr">
        <is>
          <t>Sveaskog</t>
        </is>
      </c>
      <c r="G12321" t="n">
        <v>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51826-2023</t>
        </is>
      </c>
      <c r="B12322" s="1" t="n">
        <v>45223</v>
      </c>
      <c r="C12322" s="1" t="n">
        <v>45357</v>
      </c>
      <c r="D12322" t="inlineStr">
        <is>
          <t>VÄSTERBOTTENS LÄN</t>
        </is>
      </c>
      <c r="E12322" t="inlineStr">
        <is>
          <t>VILHELMINA</t>
        </is>
      </c>
      <c r="F12322" t="inlineStr">
        <is>
          <t>SCA</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51953-2023</t>
        </is>
      </c>
      <c r="B12323" s="1" t="n">
        <v>45223</v>
      </c>
      <c r="C12323" s="1" t="n">
        <v>45357</v>
      </c>
      <c r="D12323" t="inlineStr">
        <is>
          <t>VÄSTERBOTTENS LÄN</t>
        </is>
      </c>
      <c r="E12323" t="inlineStr">
        <is>
          <t>LYCKSELE</t>
        </is>
      </c>
      <c r="F12323" t="inlineStr">
        <is>
          <t>Sveaskog</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51957-2023</t>
        </is>
      </c>
      <c r="B12324" s="1" t="n">
        <v>45223</v>
      </c>
      <c r="C12324" s="1" t="n">
        <v>45357</v>
      </c>
      <c r="D12324" t="inlineStr">
        <is>
          <t>VÄSTERBOTTENS LÄN</t>
        </is>
      </c>
      <c r="E12324" t="inlineStr">
        <is>
          <t>LYCKSELE</t>
        </is>
      </c>
      <c r="F12324" t="inlineStr">
        <is>
          <t>Sveaskog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52017-2023</t>
        </is>
      </c>
      <c r="B12325" s="1" t="n">
        <v>45223</v>
      </c>
      <c r="C12325" s="1" t="n">
        <v>45357</v>
      </c>
      <c r="D12325" t="inlineStr">
        <is>
          <t>VÄSTERBOTTENS LÄN</t>
        </is>
      </c>
      <c r="E12325" t="inlineStr">
        <is>
          <t>VINDELN</t>
        </is>
      </c>
      <c r="F12325" t="inlineStr">
        <is>
          <t>Holmen skog AB</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52103-2023</t>
        </is>
      </c>
      <c r="B12326" s="1" t="n">
        <v>45223</v>
      </c>
      <c r="C12326" s="1" t="n">
        <v>45357</v>
      </c>
      <c r="D12326" t="inlineStr">
        <is>
          <t>VÄSTERBOTTENS LÄN</t>
        </is>
      </c>
      <c r="E12326" t="inlineStr">
        <is>
          <t>ÅSELE</t>
        </is>
      </c>
      <c r="F12326" t="inlineStr">
        <is>
          <t>Holmen skog AB</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52107-2023</t>
        </is>
      </c>
      <c r="B12327" s="1" t="n">
        <v>45224</v>
      </c>
      <c r="C12327" s="1" t="n">
        <v>45357</v>
      </c>
      <c r="D12327" t="inlineStr">
        <is>
          <t>VÄSTERBOTTENS LÄN</t>
        </is>
      </c>
      <c r="E12327" t="inlineStr">
        <is>
          <t>SKELLEFTEÅ</t>
        </is>
      </c>
      <c r="G12327" t="n">
        <v>6.6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52111-2023</t>
        </is>
      </c>
      <c r="B12328" s="1" t="n">
        <v>45224</v>
      </c>
      <c r="C12328" s="1" t="n">
        <v>45357</v>
      </c>
      <c r="D12328" t="inlineStr">
        <is>
          <t>VÄSTERBOTTENS LÄN</t>
        </is>
      </c>
      <c r="E12328" t="inlineStr">
        <is>
          <t>ÅSELE</t>
        </is>
      </c>
      <c r="G12328" t="n">
        <v>12.5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52002-2023</t>
        </is>
      </c>
      <c r="B12329" s="1" t="n">
        <v>45223</v>
      </c>
      <c r="C12329" s="1" t="n">
        <v>45357</v>
      </c>
      <c r="D12329" t="inlineStr">
        <is>
          <t>VÄSTERBOTTENS LÄN</t>
        </is>
      </c>
      <c r="E12329" t="inlineStr">
        <is>
          <t>LYCKSELE</t>
        </is>
      </c>
      <c r="F12329" t="inlineStr">
        <is>
          <t>Sveaskog</t>
        </is>
      </c>
      <c r="G12329" t="n">
        <v>8.199999999999999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52007-2023</t>
        </is>
      </c>
      <c r="B12330" s="1" t="n">
        <v>45223</v>
      </c>
      <c r="C12330" s="1" t="n">
        <v>45357</v>
      </c>
      <c r="D12330" t="inlineStr">
        <is>
          <t>VÄSTERBOTTENS LÄN</t>
        </is>
      </c>
      <c r="E12330" t="inlineStr">
        <is>
          <t>SKELLEFTEÅ</t>
        </is>
      </c>
      <c r="F12330" t="inlineStr">
        <is>
          <t>Sveaskog</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52082-2023</t>
        </is>
      </c>
      <c r="B12331" s="1" t="n">
        <v>45223</v>
      </c>
      <c r="C12331" s="1" t="n">
        <v>45357</v>
      </c>
      <c r="D12331" t="inlineStr">
        <is>
          <t>VÄSTERBOTTENS LÄN</t>
        </is>
      </c>
      <c r="E12331" t="inlineStr">
        <is>
          <t>SKELLEFTEÅ</t>
        </is>
      </c>
      <c r="F12331" t="inlineStr">
        <is>
          <t>Sveaskog</t>
        </is>
      </c>
      <c r="G12331" t="n">
        <v>15.5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52106-2023</t>
        </is>
      </c>
      <c r="B12332" s="1" t="n">
        <v>45224</v>
      </c>
      <c r="C12332" s="1" t="n">
        <v>45357</v>
      </c>
      <c r="D12332" t="inlineStr">
        <is>
          <t>VÄSTERBOTTENS LÄN</t>
        </is>
      </c>
      <c r="E12332" t="inlineStr">
        <is>
          <t>SKELLEFTEÅ</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52114-2023</t>
        </is>
      </c>
      <c r="B12333" s="1" t="n">
        <v>45223</v>
      </c>
      <c r="C12333" s="1" t="n">
        <v>45357</v>
      </c>
      <c r="D12333" t="inlineStr">
        <is>
          <t>VÄSTERBOTTENS LÄN</t>
        </is>
      </c>
      <c r="E12333" t="inlineStr">
        <is>
          <t>NORSJÖ</t>
        </is>
      </c>
      <c r="G12333" t="n">
        <v>8.300000000000001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52123-2023</t>
        </is>
      </c>
      <c r="B12334" s="1" t="n">
        <v>45224</v>
      </c>
      <c r="C12334" s="1" t="n">
        <v>45357</v>
      </c>
      <c r="D12334" t="inlineStr">
        <is>
          <t>VÄSTERBOTTENS LÄN</t>
        </is>
      </c>
      <c r="E12334" t="inlineStr">
        <is>
          <t>VILHELMINA</t>
        </is>
      </c>
      <c r="F12334" t="inlineStr">
        <is>
          <t>SCA</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51889-2023</t>
        </is>
      </c>
      <c r="B12335" s="1" t="n">
        <v>45223</v>
      </c>
      <c r="C12335" s="1" t="n">
        <v>45357</v>
      </c>
      <c r="D12335" t="inlineStr">
        <is>
          <t>VÄSTERBOTTENS LÄN</t>
        </is>
      </c>
      <c r="E12335" t="inlineStr">
        <is>
          <t>SORSELE</t>
        </is>
      </c>
      <c r="G12335" t="n">
        <v>22.7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51958-2023</t>
        </is>
      </c>
      <c r="B12336" s="1" t="n">
        <v>45223</v>
      </c>
      <c r="C12336" s="1" t="n">
        <v>45357</v>
      </c>
      <c r="D12336" t="inlineStr">
        <is>
          <t>VÄSTERBOTTENS LÄN</t>
        </is>
      </c>
      <c r="E12336" t="inlineStr">
        <is>
          <t>SKELLEFTEÅ</t>
        </is>
      </c>
      <c r="G12336" t="n">
        <v>18.7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51969-2023</t>
        </is>
      </c>
      <c r="B12337" s="1" t="n">
        <v>45223</v>
      </c>
      <c r="C12337" s="1" t="n">
        <v>45357</v>
      </c>
      <c r="D12337" t="inlineStr">
        <is>
          <t>VÄSTERBOTTENS LÄN</t>
        </is>
      </c>
      <c r="E12337" t="inlineStr">
        <is>
          <t>SKELLEFTEÅ</t>
        </is>
      </c>
      <c r="F12337" t="inlineStr">
        <is>
          <t>Sveaskog</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52019-2023</t>
        </is>
      </c>
      <c r="B12338" s="1" t="n">
        <v>45223</v>
      </c>
      <c r="C12338" s="1" t="n">
        <v>45357</v>
      </c>
      <c r="D12338" t="inlineStr">
        <is>
          <t>VÄSTERBOTTENS LÄN</t>
        </is>
      </c>
      <c r="E12338" t="inlineStr">
        <is>
          <t>LYCKSELE</t>
        </is>
      </c>
      <c r="F12338" t="inlineStr">
        <is>
          <t>Sveaskog</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52135-2023</t>
        </is>
      </c>
      <c r="B12339" s="1" t="n">
        <v>45223</v>
      </c>
      <c r="C12339" s="1" t="n">
        <v>45357</v>
      </c>
      <c r="D12339" t="inlineStr">
        <is>
          <t>VÄSTERBOTTENS LÄN</t>
        </is>
      </c>
      <c r="E12339" t="inlineStr">
        <is>
          <t>DOROTEA</t>
        </is>
      </c>
      <c r="F12339" t="inlineStr">
        <is>
          <t>SCA</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52132-2023</t>
        </is>
      </c>
      <c r="B12340" s="1" t="n">
        <v>45224</v>
      </c>
      <c r="C12340" s="1" t="n">
        <v>45357</v>
      </c>
      <c r="D12340" t="inlineStr">
        <is>
          <t>VÄSTERBOTTENS LÄN</t>
        </is>
      </c>
      <c r="E12340" t="inlineStr">
        <is>
          <t>LYCKSELE</t>
        </is>
      </c>
      <c r="F12340" t="inlineStr">
        <is>
          <t>SCA</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52144-2023</t>
        </is>
      </c>
      <c r="B12341" s="1" t="n">
        <v>45224</v>
      </c>
      <c r="C12341" s="1" t="n">
        <v>45357</v>
      </c>
      <c r="D12341" t="inlineStr">
        <is>
          <t>VÄSTERBOTTENS LÄN</t>
        </is>
      </c>
      <c r="E12341" t="inlineStr">
        <is>
          <t>DOROTEA</t>
        </is>
      </c>
      <c r="F12341" t="inlineStr">
        <is>
          <t>SCA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52039-2023</t>
        </is>
      </c>
      <c r="B12342" s="1" t="n">
        <v>45223</v>
      </c>
      <c r="C12342" s="1" t="n">
        <v>45357</v>
      </c>
      <c r="D12342" t="inlineStr">
        <is>
          <t>VÄSTERBOTTENS LÄN</t>
        </is>
      </c>
      <c r="E12342" t="inlineStr">
        <is>
          <t>LYCKSELE</t>
        </is>
      </c>
      <c r="F12342" t="inlineStr">
        <is>
          <t>Sveaskog</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52104-2023</t>
        </is>
      </c>
      <c r="B12343" s="1" t="n">
        <v>45223</v>
      </c>
      <c r="C12343" s="1" t="n">
        <v>45357</v>
      </c>
      <c r="D12343" t="inlineStr">
        <is>
          <t>VÄSTERBOTTENS LÄN</t>
        </is>
      </c>
      <c r="E12343" t="inlineStr">
        <is>
          <t>MALÅ</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52125-2023</t>
        </is>
      </c>
      <c r="B12344" s="1" t="n">
        <v>45224</v>
      </c>
      <c r="C12344" s="1" t="n">
        <v>45357</v>
      </c>
      <c r="D12344" t="inlineStr">
        <is>
          <t>VÄSTERBOTTENS LÄN</t>
        </is>
      </c>
      <c r="E12344" t="inlineStr">
        <is>
          <t>DOROTEA</t>
        </is>
      </c>
      <c r="F12344" t="inlineStr">
        <is>
          <t>SCA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52141-2023</t>
        </is>
      </c>
      <c r="B12345" s="1" t="n">
        <v>45224</v>
      </c>
      <c r="C12345" s="1" t="n">
        <v>45357</v>
      </c>
      <c r="D12345" t="inlineStr">
        <is>
          <t>VÄSTERBOTTENS LÄN</t>
        </is>
      </c>
      <c r="E12345" t="inlineStr">
        <is>
          <t>DOROTEA</t>
        </is>
      </c>
      <c r="F12345" t="inlineStr">
        <is>
          <t>SCA</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52105-2023</t>
        </is>
      </c>
      <c r="B12346" s="1" t="n">
        <v>45224</v>
      </c>
      <c r="C12346" s="1" t="n">
        <v>45357</v>
      </c>
      <c r="D12346" t="inlineStr">
        <is>
          <t>VÄSTERBOTTENS LÄN</t>
        </is>
      </c>
      <c r="E12346" t="inlineStr">
        <is>
          <t>SKELLEFTEÅ</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52126-2023</t>
        </is>
      </c>
      <c r="B12347" s="1" t="n">
        <v>45224</v>
      </c>
      <c r="C12347" s="1" t="n">
        <v>45357</v>
      </c>
      <c r="D12347" t="inlineStr">
        <is>
          <t>VÄSTERBOTTENS LÄN</t>
        </is>
      </c>
      <c r="E12347" t="inlineStr">
        <is>
          <t>DOROTEA</t>
        </is>
      </c>
      <c r="F12347" t="inlineStr">
        <is>
          <t>SCA</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52130-2023</t>
        </is>
      </c>
      <c r="B12348" s="1" t="n">
        <v>45224</v>
      </c>
      <c r="C12348" s="1" t="n">
        <v>45357</v>
      </c>
      <c r="D12348" t="inlineStr">
        <is>
          <t>VÄSTERBOTTENS LÄN</t>
        </is>
      </c>
      <c r="E12348" t="inlineStr">
        <is>
          <t>DOROTEA</t>
        </is>
      </c>
      <c r="F12348" t="inlineStr">
        <is>
          <t>SCA</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52138-2023</t>
        </is>
      </c>
      <c r="B12349" s="1" t="n">
        <v>45224</v>
      </c>
      <c r="C12349" s="1" t="n">
        <v>45357</v>
      </c>
      <c r="D12349" t="inlineStr">
        <is>
          <t>VÄSTERBOTTENS LÄN</t>
        </is>
      </c>
      <c r="E12349" t="inlineStr">
        <is>
          <t>DOROTEA</t>
        </is>
      </c>
      <c r="F12349" t="inlineStr">
        <is>
          <t>SCA</t>
        </is>
      </c>
      <c r="G12349" t="n">
        <v>5.9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52142-2023</t>
        </is>
      </c>
      <c r="B12350" s="1" t="n">
        <v>45224</v>
      </c>
      <c r="C12350" s="1" t="n">
        <v>45357</v>
      </c>
      <c r="D12350" t="inlineStr">
        <is>
          <t>VÄSTERBOTTENS LÄN</t>
        </is>
      </c>
      <c r="E12350" t="inlineStr">
        <is>
          <t>DOROTEA</t>
        </is>
      </c>
      <c r="F12350" t="inlineStr">
        <is>
          <t>SCA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52150-2023</t>
        </is>
      </c>
      <c r="B12351" s="1" t="n">
        <v>45224</v>
      </c>
      <c r="C12351" s="1" t="n">
        <v>45357</v>
      </c>
      <c r="D12351" t="inlineStr">
        <is>
          <t>VÄSTERBOTTENS LÄN</t>
        </is>
      </c>
      <c r="E12351" t="inlineStr">
        <is>
          <t>DOROTEA</t>
        </is>
      </c>
      <c r="F12351" t="inlineStr">
        <is>
          <t>SCA</t>
        </is>
      </c>
      <c r="G12351" t="n">
        <v>7.3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52148-2023</t>
        </is>
      </c>
      <c r="B12352" s="1" t="n">
        <v>45224</v>
      </c>
      <c r="C12352" s="1" t="n">
        <v>45357</v>
      </c>
      <c r="D12352" t="inlineStr">
        <is>
          <t>VÄSTERBOTTENS LÄN</t>
        </is>
      </c>
      <c r="E12352" t="inlineStr">
        <is>
          <t>DOROTEA</t>
        </is>
      </c>
      <c r="F12352" t="inlineStr">
        <is>
          <t>SCA</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53500-2023</t>
        </is>
      </c>
      <c r="B12353" s="1" t="n">
        <v>45223</v>
      </c>
      <c r="C12353" s="1" t="n">
        <v>45357</v>
      </c>
      <c r="D12353" t="inlineStr">
        <is>
          <t>VÄSTERBOTTENS LÄN</t>
        </is>
      </c>
      <c r="E12353" t="inlineStr">
        <is>
          <t>SKELLEFTEÅ</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53496-2023</t>
        </is>
      </c>
      <c r="B12354" s="1" t="n">
        <v>45223</v>
      </c>
      <c r="C12354" s="1" t="n">
        <v>45357</v>
      </c>
      <c r="D12354" t="inlineStr">
        <is>
          <t>VÄSTERBOTTENS LÄN</t>
        </is>
      </c>
      <c r="E12354" t="inlineStr">
        <is>
          <t>LYCKSELE</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52143-2023</t>
        </is>
      </c>
      <c r="B12355" s="1" t="n">
        <v>45224</v>
      </c>
      <c r="C12355" s="1" t="n">
        <v>45357</v>
      </c>
      <c r="D12355" t="inlineStr">
        <is>
          <t>VÄSTERBOTTENS LÄN</t>
        </is>
      </c>
      <c r="E12355" t="inlineStr">
        <is>
          <t>DOROTEA</t>
        </is>
      </c>
      <c r="F12355" t="inlineStr">
        <is>
          <t>SCA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52149-2023</t>
        </is>
      </c>
      <c r="B12356" s="1" t="n">
        <v>45224</v>
      </c>
      <c r="C12356" s="1" t="n">
        <v>45357</v>
      </c>
      <c r="D12356" t="inlineStr">
        <is>
          <t>VÄSTERBOTTENS LÄN</t>
        </is>
      </c>
      <c r="E12356" t="inlineStr">
        <is>
          <t>DOROTEA</t>
        </is>
      </c>
      <c r="F12356" t="inlineStr">
        <is>
          <t>SCA</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53501-2023</t>
        </is>
      </c>
      <c r="B12357" s="1" t="n">
        <v>45223</v>
      </c>
      <c r="C12357" s="1" t="n">
        <v>45357</v>
      </c>
      <c r="D12357" t="inlineStr">
        <is>
          <t>VÄSTERBOTTENS LÄN</t>
        </is>
      </c>
      <c r="E12357" t="inlineStr">
        <is>
          <t>LYCKSELE</t>
        </is>
      </c>
      <c r="G12357" t="n">
        <v>6.3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52179-2023</t>
        </is>
      </c>
      <c r="B12358" s="1" t="n">
        <v>45224</v>
      </c>
      <c r="C12358" s="1" t="n">
        <v>45357</v>
      </c>
      <c r="D12358" t="inlineStr">
        <is>
          <t>VÄSTERBOTTENS LÄN</t>
        </is>
      </c>
      <c r="E12358" t="inlineStr">
        <is>
          <t>NORSJÖ</t>
        </is>
      </c>
      <c r="F12358" t="inlineStr">
        <is>
          <t>Sveaskog</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52243-2023</t>
        </is>
      </c>
      <c r="B12359" s="1" t="n">
        <v>45224</v>
      </c>
      <c r="C12359" s="1" t="n">
        <v>45357</v>
      </c>
      <c r="D12359" t="inlineStr">
        <is>
          <t>VÄSTERBOTTENS LÄN</t>
        </is>
      </c>
      <c r="E12359" t="inlineStr">
        <is>
          <t>MALÅ</t>
        </is>
      </c>
      <c r="F12359" t="inlineStr">
        <is>
          <t>Sveaskog</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52329-2023</t>
        </is>
      </c>
      <c r="B12360" s="1" t="n">
        <v>45224</v>
      </c>
      <c r="C12360" s="1" t="n">
        <v>45357</v>
      </c>
      <c r="D12360" t="inlineStr">
        <is>
          <t>VÄSTERBOTTENS LÄN</t>
        </is>
      </c>
      <c r="E12360" t="inlineStr">
        <is>
          <t>VINDELN</t>
        </is>
      </c>
      <c r="F12360" t="inlineStr">
        <is>
          <t>Sveaskog</t>
        </is>
      </c>
      <c r="G12360" t="n">
        <v>6.9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52347-2023</t>
        </is>
      </c>
      <c r="B12361" s="1" t="n">
        <v>45224</v>
      </c>
      <c r="C12361" s="1" t="n">
        <v>45357</v>
      </c>
      <c r="D12361" t="inlineStr">
        <is>
          <t>VÄSTERBOTTENS LÄN</t>
        </is>
      </c>
      <c r="E12361" t="inlineStr">
        <is>
          <t>MALÅ</t>
        </is>
      </c>
      <c r="F12361" t="inlineStr">
        <is>
          <t>Sveaskog</t>
        </is>
      </c>
      <c r="G12361" t="n">
        <v>36.5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52186-2023</t>
        </is>
      </c>
      <c r="B12362" s="1" t="n">
        <v>45224</v>
      </c>
      <c r="C12362" s="1" t="n">
        <v>45357</v>
      </c>
      <c r="D12362" t="inlineStr">
        <is>
          <t>VÄSTERBOTTENS LÄN</t>
        </is>
      </c>
      <c r="E12362" t="inlineStr">
        <is>
          <t>MALÅ</t>
        </is>
      </c>
      <c r="F12362" t="inlineStr">
        <is>
          <t>Sveaskog</t>
        </is>
      </c>
      <c r="G12362" t="n">
        <v>12.4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52193-2023</t>
        </is>
      </c>
      <c r="B12363" s="1" t="n">
        <v>45224</v>
      </c>
      <c r="C12363" s="1" t="n">
        <v>45357</v>
      </c>
      <c r="D12363" t="inlineStr">
        <is>
          <t>VÄSTERBOTTENS LÄN</t>
        </is>
      </c>
      <c r="E12363" t="inlineStr">
        <is>
          <t>MALÅ</t>
        </is>
      </c>
      <c r="F12363" t="inlineStr">
        <is>
          <t>Sveaskog</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52349-2023</t>
        </is>
      </c>
      <c r="B12364" s="1" t="n">
        <v>45224</v>
      </c>
      <c r="C12364" s="1" t="n">
        <v>45357</v>
      </c>
      <c r="D12364" t="inlineStr">
        <is>
          <t>VÄSTERBOTTENS LÄN</t>
        </is>
      </c>
      <c r="E12364" t="inlineStr">
        <is>
          <t>MALÅ</t>
        </is>
      </c>
      <c r="F12364" t="inlineStr">
        <is>
          <t>Sveaskog</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52364-2023</t>
        </is>
      </c>
      <c r="B12365" s="1" t="n">
        <v>45224</v>
      </c>
      <c r="C12365" s="1" t="n">
        <v>45357</v>
      </c>
      <c r="D12365" t="inlineStr">
        <is>
          <t>VÄSTERBOTTENS LÄN</t>
        </is>
      </c>
      <c r="E12365" t="inlineStr">
        <is>
          <t>SKELLEFTEÅ</t>
        </is>
      </c>
      <c r="F12365" t="inlineStr">
        <is>
          <t>Sveaskog</t>
        </is>
      </c>
      <c r="G12365" t="n">
        <v>14.8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52386-2023</t>
        </is>
      </c>
      <c r="B12366" s="1" t="n">
        <v>45224</v>
      </c>
      <c r="C12366" s="1" t="n">
        <v>45357</v>
      </c>
      <c r="D12366" t="inlineStr">
        <is>
          <t>VÄSTERBOTTENS LÄN</t>
        </is>
      </c>
      <c r="E12366" t="inlineStr">
        <is>
          <t>BJURHOLM</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52393-2023</t>
        </is>
      </c>
      <c r="B12367" s="1" t="n">
        <v>45225</v>
      </c>
      <c r="C12367" s="1" t="n">
        <v>45357</v>
      </c>
      <c r="D12367" t="inlineStr">
        <is>
          <t>VÄSTERBOTTENS LÄN</t>
        </is>
      </c>
      <c r="E12367" t="inlineStr">
        <is>
          <t>DOROTEA</t>
        </is>
      </c>
      <c r="F12367" t="inlineStr">
        <is>
          <t>SCA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52401-2023</t>
        </is>
      </c>
      <c r="B12368" s="1" t="n">
        <v>45224</v>
      </c>
      <c r="C12368" s="1" t="n">
        <v>45357</v>
      </c>
      <c r="D12368" t="inlineStr">
        <is>
          <t>VÄSTERBOTTENS LÄN</t>
        </is>
      </c>
      <c r="E12368" t="inlineStr">
        <is>
          <t>VINDELN</t>
        </is>
      </c>
      <c r="F12368" t="inlineStr">
        <is>
          <t>SCA</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52185-2023</t>
        </is>
      </c>
      <c r="B12369" s="1" t="n">
        <v>45224</v>
      </c>
      <c r="C12369" s="1" t="n">
        <v>45357</v>
      </c>
      <c r="D12369" t="inlineStr">
        <is>
          <t>VÄSTERBOTTENS LÄN</t>
        </is>
      </c>
      <c r="E12369" t="inlineStr">
        <is>
          <t>SKELLEFTEÅ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52203-2023</t>
        </is>
      </c>
      <c r="B12370" s="1" t="n">
        <v>45224</v>
      </c>
      <c r="C12370" s="1" t="n">
        <v>45357</v>
      </c>
      <c r="D12370" t="inlineStr">
        <is>
          <t>VÄSTERBOTTENS LÄN</t>
        </is>
      </c>
      <c r="E12370" t="inlineStr">
        <is>
          <t>SKELLEFTEÅ</t>
        </is>
      </c>
      <c r="F12370" t="inlineStr">
        <is>
          <t>Sveaskog</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53656-2023</t>
        </is>
      </c>
      <c r="B12371" s="1" t="n">
        <v>45224</v>
      </c>
      <c r="C12371" s="1" t="n">
        <v>45357</v>
      </c>
      <c r="D12371" t="inlineStr">
        <is>
          <t>VÄSTERBOTTENS LÄN</t>
        </is>
      </c>
      <c r="E12371" t="inlineStr">
        <is>
          <t>SKELLEFTEÅ</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53680-2023</t>
        </is>
      </c>
      <c r="B12372" s="1" t="n">
        <v>45224</v>
      </c>
      <c r="C12372" s="1" t="n">
        <v>45357</v>
      </c>
      <c r="D12372" t="inlineStr">
        <is>
          <t>VÄSTERBOTTENS LÄN</t>
        </is>
      </c>
      <c r="E12372" t="inlineStr">
        <is>
          <t>SKELLEFTEÅ</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52213-2023</t>
        </is>
      </c>
      <c r="B12373" s="1" t="n">
        <v>45224</v>
      </c>
      <c r="C12373" s="1" t="n">
        <v>45357</v>
      </c>
      <c r="D12373" t="inlineStr">
        <is>
          <t>VÄSTERBOTTENS LÄN</t>
        </is>
      </c>
      <c r="E12373" t="inlineStr">
        <is>
          <t>ÅSELE</t>
        </is>
      </c>
      <c r="F12373" t="inlineStr">
        <is>
          <t>Holmen skog AB</t>
        </is>
      </c>
      <c r="G12373" t="n">
        <v>13.9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52248-2023</t>
        </is>
      </c>
      <c r="B12374" s="1" t="n">
        <v>45224</v>
      </c>
      <c r="C12374" s="1" t="n">
        <v>45357</v>
      </c>
      <c r="D12374" t="inlineStr">
        <is>
          <t>VÄSTERBOTTENS LÄN</t>
        </is>
      </c>
      <c r="E12374" t="inlineStr">
        <is>
          <t>MALÅ</t>
        </is>
      </c>
      <c r="F12374" t="inlineStr">
        <is>
          <t>Sveaskog</t>
        </is>
      </c>
      <c r="G12374" t="n">
        <v>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52280-2023</t>
        </is>
      </c>
      <c r="B12375" s="1" t="n">
        <v>45224</v>
      </c>
      <c r="C12375" s="1" t="n">
        <v>45357</v>
      </c>
      <c r="D12375" t="inlineStr">
        <is>
          <t>VÄSTERBOTTENS LÄN</t>
        </is>
      </c>
      <c r="E12375" t="inlineStr">
        <is>
          <t>ÅSELE</t>
        </is>
      </c>
      <c r="F12375" t="inlineStr">
        <is>
          <t>Holmen skog AB</t>
        </is>
      </c>
      <c r="G12375" t="n">
        <v>15.4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52205-2023</t>
        </is>
      </c>
      <c r="B12376" s="1" t="n">
        <v>45224</v>
      </c>
      <c r="C12376" s="1" t="n">
        <v>45357</v>
      </c>
      <c r="D12376" t="inlineStr">
        <is>
          <t>VÄSTERBOTTENS LÄN</t>
        </is>
      </c>
      <c r="E12376" t="inlineStr">
        <is>
          <t>LYCKSELE</t>
        </is>
      </c>
      <c r="F12376" t="inlineStr">
        <is>
          <t>Sveaskog</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52335-2023</t>
        </is>
      </c>
      <c r="B12377" s="1" t="n">
        <v>45224</v>
      </c>
      <c r="C12377" s="1" t="n">
        <v>45357</v>
      </c>
      <c r="D12377" t="inlineStr">
        <is>
          <t>VÄSTERBOTTENS LÄN</t>
        </is>
      </c>
      <c r="E12377" t="inlineStr">
        <is>
          <t>MALÅ</t>
        </is>
      </c>
      <c r="G12377" t="n">
        <v>7.1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52215-2023</t>
        </is>
      </c>
      <c r="B12378" s="1" t="n">
        <v>45224</v>
      </c>
      <c r="C12378" s="1" t="n">
        <v>45357</v>
      </c>
      <c r="D12378" t="inlineStr">
        <is>
          <t>VÄSTERBOTTENS LÄN</t>
        </is>
      </c>
      <c r="E12378" t="inlineStr">
        <is>
          <t>MALÅ</t>
        </is>
      </c>
      <c r="F12378" t="inlineStr">
        <is>
          <t>Sveaskog</t>
        </is>
      </c>
      <c r="G12378" t="n">
        <v>7.5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52348-2023</t>
        </is>
      </c>
      <c r="B12379" s="1" t="n">
        <v>45224</v>
      </c>
      <c r="C12379" s="1" t="n">
        <v>45357</v>
      </c>
      <c r="D12379" t="inlineStr">
        <is>
          <t>VÄSTERBOTTENS LÄN</t>
        </is>
      </c>
      <c r="E12379" t="inlineStr">
        <is>
          <t>MALÅ</t>
        </is>
      </c>
      <c r="F12379" t="inlineStr">
        <is>
          <t>Sveaskog</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52246-2023</t>
        </is>
      </c>
      <c r="B12380" s="1" t="n">
        <v>45224</v>
      </c>
      <c r="C12380" s="1" t="n">
        <v>45357</v>
      </c>
      <c r="D12380" t="inlineStr">
        <is>
          <t>VÄSTERBOTTENS LÄN</t>
        </is>
      </c>
      <c r="E12380" t="inlineStr">
        <is>
          <t>MALÅ</t>
        </is>
      </c>
      <c r="F12380" t="inlineStr">
        <is>
          <t>Sveaskog</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52500-2023</t>
        </is>
      </c>
      <c r="B12381" s="1" t="n">
        <v>45224</v>
      </c>
      <c r="C12381" s="1" t="n">
        <v>45357</v>
      </c>
      <c r="D12381" t="inlineStr">
        <is>
          <t>VÄSTERBOTTENS LÄN</t>
        </is>
      </c>
      <c r="E12381" t="inlineStr">
        <is>
          <t>MALÅ</t>
        </is>
      </c>
      <c r="G12381" t="n">
        <v>5.2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52384-2023</t>
        </is>
      </c>
      <c r="B12382" s="1" t="n">
        <v>45224</v>
      </c>
      <c r="C12382" s="1" t="n">
        <v>45357</v>
      </c>
      <c r="D12382" t="inlineStr">
        <is>
          <t>VÄSTERBOTTENS LÄN</t>
        </is>
      </c>
      <c r="E12382" t="inlineStr">
        <is>
          <t>SKELLEFTEÅ</t>
        </is>
      </c>
      <c r="F12382" t="inlineStr">
        <is>
          <t>Sveaskog</t>
        </is>
      </c>
      <c r="G12382" t="n">
        <v>14.1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52494-2023</t>
        </is>
      </c>
      <c r="B12383" s="1" t="n">
        <v>45224</v>
      </c>
      <c r="C12383" s="1" t="n">
        <v>45357</v>
      </c>
      <c r="D12383" t="inlineStr">
        <is>
          <t>VÄSTERBOTTENS LÄN</t>
        </is>
      </c>
      <c r="E12383" t="inlineStr">
        <is>
          <t>MALÅ</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53955-2023</t>
        </is>
      </c>
      <c r="B12384" s="1" t="n">
        <v>45224</v>
      </c>
      <c r="C12384" s="1" t="n">
        <v>45357</v>
      </c>
      <c r="D12384" t="inlineStr">
        <is>
          <t>VÄSTERBOTTENS LÄN</t>
        </is>
      </c>
      <c r="E12384" t="inlineStr">
        <is>
          <t>SORSELE</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53961-2023</t>
        </is>
      </c>
      <c r="B12385" s="1" t="n">
        <v>45224</v>
      </c>
      <c r="C12385" s="1" t="n">
        <v>45357</v>
      </c>
      <c r="D12385" t="inlineStr">
        <is>
          <t>VÄSTERBOTTENS LÄN</t>
        </is>
      </c>
      <c r="E12385" t="inlineStr">
        <is>
          <t>SORSELE</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52375-2023</t>
        </is>
      </c>
      <c r="B12386" s="1" t="n">
        <v>45224</v>
      </c>
      <c r="C12386" s="1" t="n">
        <v>45357</v>
      </c>
      <c r="D12386" t="inlineStr">
        <is>
          <t>VÄSTERBOTTENS LÄN</t>
        </is>
      </c>
      <c r="E12386" t="inlineStr">
        <is>
          <t>BJURHOLM</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52419-2023</t>
        </is>
      </c>
      <c r="B12387" s="1" t="n">
        <v>45225</v>
      </c>
      <c r="C12387" s="1" t="n">
        <v>45357</v>
      </c>
      <c r="D12387" t="inlineStr">
        <is>
          <t>VÄSTERBOTTENS LÄN</t>
        </is>
      </c>
      <c r="E12387" t="inlineStr">
        <is>
          <t>SKELLEFTEÅ</t>
        </is>
      </c>
      <c r="G12387" t="n">
        <v>10.4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52425-2023</t>
        </is>
      </c>
      <c r="B12388" s="1" t="n">
        <v>45225</v>
      </c>
      <c r="C12388" s="1" t="n">
        <v>45357</v>
      </c>
      <c r="D12388" t="inlineStr">
        <is>
          <t>VÄSTERBOTTENS LÄN</t>
        </is>
      </c>
      <c r="E12388" t="inlineStr">
        <is>
          <t>SKELLEFTEÅ</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52444-2023</t>
        </is>
      </c>
      <c r="B12389" s="1" t="n">
        <v>45225</v>
      </c>
      <c r="C12389" s="1" t="n">
        <v>45357</v>
      </c>
      <c r="D12389" t="inlineStr">
        <is>
          <t>VÄSTERBOTTENS LÄN</t>
        </is>
      </c>
      <c r="E12389" t="inlineStr">
        <is>
          <t>SKELLEFTEÅ</t>
        </is>
      </c>
      <c r="F12389" t="inlineStr">
        <is>
          <t>Sveaskog</t>
        </is>
      </c>
      <c r="G12389" t="n">
        <v>28.5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52451-2023</t>
        </is>
      </c>
      <c r="B12390" s="1" t="n">
        <v>45225</v>
      </c>
      <c r="C12390" s="1" t="n">
        <v>45357</v>
      </c>
      <c r="D12390" t="inlineStr">
        <is>
          <t>VÄSTERBOTTENS LÄN</t>
        </is>
      </c>
      <c r="E12390" t="inlineStr">
        <is>
          <t>BJURHOLM</t>
        </is>
      </c>
      <c r="F12390" t="inlineStr">
        <is>
          <t>Sveaskog</t>
        </is>
      </c>
      <c r="G12390" t="n">
        <v>37.6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52441-2023</t>
        </is>
      </c>
      <c r="B12391" s="1" t="n">
        <v>45225</v>
      </c>
      <c r="C12391" s="1" t="n">
        <v>45357</v>
      </c>
      <c r="D12391" t="inlineStr">
        <is>
          <t>VÄSTERBOTTENS LÄN</t>
        </is>
      </c>
      <c r="E12391" t="inlineStr">
        <is>
          <t>SKELLEFTEÅ</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52480-2023</t>
        </is>
      </c>
      <c r="B12392" s="1" t="n">
        <v>45225</v>
      </c>
      <c r="C12392" s="1" t="n">
        <v>45357</v>
      </c>
      <c r="D12392" t="inlineStr">
        <is>
          <t>VÄSTERBOTTENS LÄN</t>
        </is>
      </c>
      <c r="E12392" t="inlineStr">
        <is>
          <t>MALÅ</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52484-2023</t>
        </is>
      </c>
      <c r="B12393" s="1" t="n">
        <v>45225</v>
      </c>
      <c r="C12393" s="1" t="n">
        <v>45357</v>
      </c>
      <c r="D12393" t="inlineStr">
        <is>
          <t>VÄSTERBOTTENS LÄN</t>
        </is>
      </c>
      <c r="E12393" t="inlineStr">
        <is>
          <t>SKELLEFTEÅ</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52489-2023</t>
        </is>
      </c>
      <c r="B12394" s="1" t="n">
        <v>45225</v>
      </c>
      <c r="C12394" s="1" t="n">
        <v>45357</v>
      </c>
      <c r="D12394" t="inlineStr">
        <is>
          <t>VÄSTERBOTTENS LÄN</t>
        </is>
      </c>
      <c r="E12394" t="inlineStr">
        <is>
          <t>SKELLEFTEÅ</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52493-2023</t>
        </is>
      </c>
      <c r="B12395" s="1" t="n">
        <v>45225</v>
      </c>
      <c r="C12395" s="1" t="n">
        <v>45357</v>
      </c>
      <c r="D12395" t="inlineStr">
        <is>
          <t>VÄSTERBOTTENS LÄN</t>
        </is>
      </c>
      <c r="E12395" t="inlineStr">
        <is>
          <t>SKELLEFTEÅ</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52530-2023</t>
        </is>
      </c>
      <c r="B12396" s="1" t="n">
        <v>45225</v>
      </c>
      <c r="C12396" s="1" t="n">
        <v>45357</v>
      </c>
      <c r="D12396" t="inlineStr">
        <is>
          <t>VÄSTERBOTTENS LÄN</t>
        </is>
      </c>
      <c r="E12396" t="inlineStr">
        <is>
          <t>UMEÅ</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52534-2023</t>
        </is>
      </c>
      <c r="B12397" s="1" t="n">
        <v>45225</v>
      </c>
      <c r="C12397" s="1" t="n">
        <v>45357</v>
      </c>
      <c r="D12397" t="inlineStr">
        <is>
          <t>VÄSTERBOTTENS LÄN</t>
        </is>
      </c>
      <c r="E12397" t="inlineStr">
        <is>
          <t>MALÅ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52434-2023</t>
        </is>
      </c>
      <c r="B12398" s="1" t="n">
        <v>45225</v>
      </c>
      <c r="C12398" s="1" t="n">
        <v>45357</v>
      </c>
      <c r="D12398" t="inlineStr">
        <is>
          <t>VÄSTERBOTTENS LÄN</t>
        </is>
      </c>
      <c r="E12398" t="inlineStr">
        <is>
          <t>ROBERTSFORS</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52442-2023</t>
        </is>
      </c>
      <c r="B12399" s="1" t="n">
        <v>45225</v>
      </c>
      <c r="C12399" s="1" t="n">
        <v>45357</v>
      </c>
      <c r="D12399" t="inlineStr">
        <is>
          <t>VÄSTERBOTTENS LÄN</t>
        </is>
      </c>
      <c r="E12399" t="inlineStr">
        <is>
          <t>SKELLEFTEÅ</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52447-2023</t>
        </is>
      </c>
      <c r="B12400" s="1" t="n">
        <v>45225</v>
      </c>
      <c r="C12400" s="1" t="n">
        <v>45357</v>
      </c>
      <c r="D12400" t="inlineStr">
        <is>
          <t>VÄSTERBOTTENS LÄN</t>
        </is>
      </c>
      <c r="E12400" t="inlineStr">
        <is>
          <t>SKELLEFTEÅ</t>
        </is>
      </c>
      <c r="F12400" t="inlineStr">
        <is>
          <t>Sveaskog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52460-2023</t>
        </is>
      </c>
      <c r="B12401" s="1" t="n">
        <v>45225</v>
      </c>
      <c r="C12401" s="1" t="n">
        <v>45357</v>
      </c>
      <c r="D12401" t="inlineStr">
        <is>
          <t>VÄSTERBOTTENS LÄN</t>
        </is>
      </c>
      <c r="E12401" t="inlineStr">
        <is>
          <t>VINDELN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52482-2023</t>
        </is>
      </c>
      <c r="B12402" s="1" t="n">
        <v>45225</v>
      </c>
      <c r="C12402" s="1" t="n">
        <v>45357</v>
      </c>
      <c r="D12402" t="inlineStr">
        <is>
          <t>VÄSTERBOTTENS LÄN</t>
        </is>
      </c>
      <c r="E12402" t="inlineStr">
        <is>
          <t>MALÅ</t>
        </is>
      </c>
      <c r="F12402" t="inlineStr">
        <is>
          <t>Sveaskog</t>
        </is>
      </c>
      <c r="G12402" t="n">
        <v>21.4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52529-2023</t>
        </is>
      </c>
      <c r="B12403" s="1" t="n">
        <v>45225</v>
      </c>
      <c r="C12403" s="1" t="n">
        <v>45357</v>
      </c>
      <c r="D12403" t="inlineStr">
        <is>
          <t>VÄSTERBOTTENS LÄN</t>
        </is>
      </c>
      <c r="E12403" t="inlineStr">
        <is>
          <t>UMEÅ</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52547-2023</t>
        </is>
      </c>
      <c r="B12404" s="1" t="n">
        <v>45225</v>
      </c>
      <c r="C12404" s="1" t="n">
        <v>45357</v>
      </c>
      <c r="D12404" t="inlineStr">
        <is>
          <t>VÄSTERBOTTENS LÄN</t>
        </is>
      </c>
      <c r="E12404" t="inlineStr">
        <is>
          <t>LYCKSELE</t>
        </is>
      </c>
      <c r="F12404" t="inlineStr">
        <is>
          <t>Sveaskog</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52651-2023</t>
        </is>
      </c>
      <c r="B12405" s="1" t="n">
        <v>45225</v>
      </c>
      <c r="C12405" s="1" t="n">
        <v>45357</v>
      </c>
      <c r="D12405" t="inlineStr">
        <is>
          <t>VÄSTERBOTTENS LÄN</t>
        </is>
      </c>
      <c r="E12405" t="inlineStr">
        <is>
          <t>VINDELN</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52727-2023</t>
        </is>
      </c>
      <c r="B12406" s="1" t="n">
        <v>45226</v>
      </c>
      <c r="C12406" s="1" t="n">
        <v>45357</v>
      </c>
      <c r="D12406" t="inlineStr">
        <is>
          <t>VÄSTERBOTTENS LÄN</t>
        </is>
      </c>
      <c r="E12406" t="inlineStr">
        <is>
          <t>LYCKSELE</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52592-2023</t>
        </is>
      </c>
      <c r="B12407" s="1" t="n">
        <v>45225</v>
      </c>
      <c r="C12407" s="1" t="n">
        <v>45357</v>
      </c>
      <c r="D12407" t="inlineStr">
        <is>
          <t>VÄSTERBOTTENS LÄN</t>
        </is>
      </c>
      <c r="E12407" t="inlineStr">
        <is>
          <t>MALÅ</t>
        </is>
      </c>
      <c r="G12407" t="n">
        <v>6.1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52657-2023</t>
        </is>
      </c>
      <c r="B12408" s="1" t="n">
        <v>45225</v>
      </c>
      <c r="C12408" s="1" t="n">
        <v>45357</v>
      </c>
      <c r="D12408" t="inlineStr">
        <is>
          <t>VÄSTERBOTTENS LÄN</t>
        </is>
      </c>
      <c r="E12408" t="inlineStr">
        <is>
          <t>MALÅ</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52686-2023</t>
        </is>
      </c>
      <c r="B12409" s="1" t="n">
        <v>45225</v>
      </c>
      <c r="C12409" s="1" t="n">
        <v>45357</v>
      </c>
      <c r="D12409" t="inlineStr">
        <is>
          <t>VÄSTERBOTTENS LÄN</t>
        </is>
      </c>
      <c r="E12409" t="inlineStr">
        <is>
          <t>SKELLEFTEÅ</t>
        </is>
      </c>
      <c r="F12409" t="inlineStr">
        <is>
          <t>Sveaskog</t>
        </is>
      </c>
      <c r="G12409" t="n">
        <v>18.1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52740-2023</t>
        </is>
      </c>
      <c r="B12410" s="1" t="n">
        <v>45225</v>
      </c>
      <c r="C12410" s="1" t="n">
        <v>45357</v>
      </c>
      <c r="D12410" t="inlineStr">
        <is>
          <t>VÄSTERBOTTENS LÄN</t>
        </is>
      </c>
      <c r="E12410" t="inlineStr">
        <is>
          <t>VILHELMINA</t>
        </is>
      </c>
      <c r="F12410" t="inlineStr">
        <is>
          <t>SCA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52744-2023</t>
        </is>
      </c>
      <c r="B12411" s="1" t="n">
        <v>45226</v>
      </c>
      <c r="C12411" s="1" t="n">
        <v>45357</v>
      </c>
      <c r="D12411" t="inlineStr">
        <is>
          <t>VÄSTERBOTTENS LÄN</t>
        </is>
      </c>
      <c r="E12411" t="inlineStr">
        <is>
          <t>VILHELMINA</t>
        </is>
      </c>
      <c r="F12411" t="inlineStr">
        <is>
          <t>SCA</t>
        </is>
      </c>
      <c r="G12411" t="n">
        <v>10.5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52748-2023</t>
        </is>
      </c>
      <c r="B12412" s="1" t="n">
        <v>45225</v>
      </c>
      <c r="C12412" s="1" t="n">
        <v>45357</v>
      </c>
      <c r="D12412" t="inlineStr">
        <is>
          <t>VÄSTERBOTTENS LÄN</t>
        </is>
      </c>
      <c r="E12412" t="inlineStr">
        <is>
          <t>VILHELMINA</t>
        </is>
      </c>
      <c r="F12412" t="inlineStr">
        <is>
          <t>SCA</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52745-2023</t>
        </is>
      </c>
      <c r="B12413" s="1" t="n">
        <v>45226</v>
      </c>
      <c r="C12413" s="1" t="n">
        <v>45357</v>
      </c>
      <c r="D12413" t="inlineStr">
        <is>
          <t>VÄSTERBOTTENS LÄN</t>
        </is>
      </c>
      <c r="E12413" t="inlineStr">
        <is>
          <t>VILHELMINA</t>
        </is>
      </c>
      <c r="F12413" t="inlineStr">
        <is>
          <t>SCA</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52749-2023</t>
        </is>
      </c>
      <c r="B12414" s="1" t="n">
        <v>45226</v>
      </c>
      <c r="C12414" s="1" t="n">
        <v>45357</v>
      </c>
      <c r="D12414" t="inlineStr">
        <is>
          <t>VÄSTERBOTTENS LÄN</t>
        </is>
      </c>
      <c r="E12414" t="inlineStr">
        <is>
          <t>VILHELMINA</t>
        </is>
      </c>
      <c r="F12414" t="inlineStr">
        <is>
          <t>SCA</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54370-2023</t>
        </is>
      </c>
      <c r="B12415" s="1" t="n">
        <v>45225</v>
      </c>
      <c r="C12415" s="1" t="n">
        <v>45357</v>
      </c>
      <c r="D12415" t="inlineStr">
        <is>
          <t>VÄSTERBOTTENS LÄN</t>
        </is>
      </c>
      <c r="E12415" t="inlineStr">
        <is>
          <t>LYCKSELE</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52746-2023</t>
        </is>
      </c>
      <c r="B12416" s="1" t="n">
        <v>45226</v>
      </c>
      <c r="C12416" s="1" t="n">
        <v>45357</v>
      </c>
      <c r="D12416" t="inlineStr">
        <is>
          <t>VÄSTERBOTTENS LÄN</t>
        </is>
      </c>
      <c r="E12416" t="inlineStr">
        <is>
          <t>VILHELMINA</t>
        </is>
      </c>
      <c r="F12416" t="inlineStr">
        <is>
          <t>SCA</t>
        </is>
      </c>
      <c r="G12416" t="n">
        <v>10.4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52747-2023</t>
        </is>
      </c>
      <c r="B12417" s="1" t="n">
        <v>45226</v>
      </c>
      <c r="C12417" s="1" t="n">
        <v>45357</v>
      </c>
      <c r="D12417" t="inlineStr">
        <is>
          <t>VÄSTERBOTTENS LÄN</t>
        </is>
      </c>
      <c r="E12417" t="inlineStr">
        <is>
          <t>VILHELMINA</t>
        </is>
      </c>
      <c r="F12417" t="inlineStr">
        <is>
          <t>SCA</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52755-2023</t>
        </is>
      </c>
      <c r="B12418" s="1" t="n">
        <v>45226</v>
      </c>
      <c r="C12418" s="1" t="n">
        <v>45357</v>
      </c>
      <c r="D12418" t="inlineStr">
        <is>
          <t>VÄSTERBOTTENS LÄN</t>
        </is>
      </c>
      <c r="E12418" t="inlineStr">
        <is>
          <t>LYCKSELE</t>
        </is>
      </c>
      <c r="F12418" t="inlineStr">
        <is>
          <t>SCA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54095-2023</t>
        </is>
      </c>
      <c r="B12419" s="1" t="n">
        <v>45225</v>
      </c>
      <c r="C12419" s="1" t="n">
        <v>45357</v>
      </c>
      <c r="D12419" t="inlineStr">
        <is>
          <t>VÄSTERBOTTENS LÄN</t>
        </is>
      </c>
      <c r="E12419" t="inlineStr">
        <is>
          <t>BJURHOLM</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54378-2023</t>
        </is>
      </c>
      <c r="B12420" s="1" t="n">
        <v>45225</v>
      </c>
      <c r="C12420" s="1" t="n">
        <v>45357</v>
      </c>
      <c r="D12420" t="inlineStr">
        <is>
          <t>VÄSTERBOTTENS LÄN</t>
        </is>
      </c>
      <c r="E12420" t="inlineStr">
        <is>
          <t>LYCKSELE</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54384-2023</t>
        </is>
      </c>
      <c r="B12421" s="1" t="n">
        <v>45225</v>
      </c>
      <c r="C12421" s="1" t="n">
        <v>45357</v>
      </c>
      <c r="D12421" t="inlineStr">
        <is>
          <t>VÄSTERBOTTENS LÄN</t>
        </is>
      </c>
      <c r="E12421" t="inlineStr">
        <is>
          <t>VINDELN</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54435-2023</t>
        </is>
      </c>
      <c r="B12422" s="1" t="n">
        <v>45226</v>
      </c>
      <c r="C12422" s="1" t="n">
        <v>45357</v>
      </c>
      <c r="D12422" t="inlineStr">
        <is>
          <t>VÄSTERBOTTENS LÄN</t>
        </is>
      </c>
      <c r="E12422" t="inlineStr">
        <is>
          <t>VINDELN</t>
        </is>
      </c>
      <c r="G12422" t="n">
        <v>12.3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54408-2023</t>
        </is>
      </c>
      <c r="B12423" s="1" t="n">
        <v>45226</v>
      </c>
      <c r="C12423" s="1" t="n">
        <v>45357</v>
      </c>
      <c r="D12423" t="inlineStr">
        <is>
          <t>VÄSTERBOTTENS LÄN</t>
        </is>
      </c>
      <c r="E12423" t="inlineStr">
        <is>
          <t>SORSELE</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53228-2023</t>
        </is>
      </c>
      <c r="B12424" s="1" t="n">
        <v>45226</v>
      </c>
      <c r="C12424" s="1" t="n">
        <v>45357</v>
      </c>
      <c r="D12424" t="inlineStr">
        <is>
          <t>VÄSTERBOTTENS LÄN</t>
        </is>
      </c>
      <c r="E12424" t="inlineStr">
        <is>
          <t>MALÅ</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52883-2023</t>
        </is>
      </c>
      <c r="B12425" s="1" t="n">
        <v>45226</v>
      </c>
      <c r="C12425" s="1" t="n">
        <v>45357</v>
      </c>
      <c r="D12425" t="inlineStr">
        <is>
          <t>VÄSTERBOTTENS LÄN</t>
        </is>
      </c>
      <c r="E12425" t="inlineStr">
        <is>
          <t>MALÅ</t>
        </is>
      </c>
      <c r="F12425" t="inlineStr">
        <is>
          <t>Sveaskog</t>
        </is>
      </c>
      <c r="G12425" t="n">
        <v>10.2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52896-2023</t>
        </is>
      </c>
      <c r="B12426" s="1" t="n">
        <v>45226</v>
      </c>
      <c r="C12426" s="1" t="n">
        <v>45357</v>
      </c>
      <c r="D12426" t="inlineStr">
        <is>
          <t>VÄSTERBOTTENS LÄN</t>
        </is>
      </c>
      <c r="E12426" t="inlineStr">
        <is>
          <t>LYCKSELE</t>
        </is>
      </c>
      <c r="G12426" t="n">
        <v>14.2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52900-2023</t>
        </is>
      </c>
      <c r="B12427" s="1" t="n">
        <v>45226</v>
      </c>
      <c r="C12427" s="1" t="n">
        <v>45357</v>
      </c>
      <c r="D12427" t="inlineStr">
        <is>
          <t>VÄSTERBOTTENS LÄN</t>
        </is>
      </c>
      <c r="E12427" t="inlineStr">
        <is>
          <t>UMEÅ</t>
        </is>
      </c>
      <c r="F12427" t="inlineStr">
        <is>
          <t>Holmen skog AB</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54399-2023</t>
        </is>
      </c>
      <c r="B12428" s="1" t="n">
        <v>45226</v>
      </c>
      <c r="C12428" s="1" t="n">
        <v>45357</v>
      </c>
      <c r="D12428" t="inlineStr">
        <is>
          <t>VÄSTERBOTTENS LÄN</t>
        </is>
      </c>
      <c r="E12428" t="inlineStr">
        <is>
          <t>SKELLEFTEÅ</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54470-2023</t>
        </is>
      </c>
      <c r="B12429" s="1" t="n">
        <v>45226</v>
      </c>
      <c r="C12429" s="1" t="n">
        <v>45357</v>
      </c>
      <c r="D12429" t="inlineStr">
        <is>
          <t>VÄSTERBOTTENS LÄN</t>
        </is>
      </c>
      <c r="E12429" t="inlineStr">
        <is>
          <t>MALÅ</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54539-2023</t>
        </is>
      </c>
      <c r="B12430" s="1" t="n">
        <v>45226</v>
      </c>
      <c r="C12430" s="1" t="n">
        <v>45357</v>
      </c>
      <c r="D12430" t="inlineStr">
        <is>
          <t>VÄSTERBOTTENS LÄN</t>
        </is>
      </c>
      <c r="E12430" t="inlineStr">
        <is>
          <t>LYCKSELE</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53034-2023</t>
        </is>
      </c>
      <c r="B12431" s="1" t="n">
        <v>45227</v>
      </c>
      <c r="C12431" s="1" t="n">
        <v>45357</v>
      </c>
      <c r="D12431" t="inlineStr">
        <is>
          <t>VÄSTERBOTTENS LÄN</t>
        </is>
      </c>
      <c r="E12431" t="inlineStr">
        <is>
          <t>VILHELMINA</t>
        </is>
      </c>
      <c r="F12431" t="inlineStr">
        <is>
          <t>SCA</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52990-2023</t>
        </is>
      </c>
      <c r="B12432" s="1" t="n">
        <v>45226</v>
      </c>
      <c r="C12432" s="1" t="n">
        <v>45357</v>
      </c>
      <c r="D12432" t="inlineStr">
        <is>
          <t>VÄSTERBOTTENS LÄN</t>
        </is>
      </c>
      <c r="E12432" t="inlineStr">
        <is>
          <t>LYCKSELE</t>
        </is>
      </c>
      <c r="F12432" t="inlineStr">
        <is>
          <t>Sveaskog</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52927-2023</t>
        </is>
      </c>
      <c r="B12433" s="1" t="n">
        <v>45226</v>
      </c>
      <c r="C12433" s="1" t="n">
        <v>45357</v>
      </c>
      <c r="D12433" t="inlineStr">
        <is>
          <t>VÄSTERBOTTENS LÄN</t>
        </is>
      </c>
      <c r="E12433" t="inlineStr">
        <is>
          <t>LYCKSELE</t>
        </is>
      </c>
      <c r="F12433" t="inlineStr">
        <is>
          <t>Sveaskog</t>
        </is>
      </c>
      <c r="G12433" t="n">
        <v>26.5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52907-2023</t>
        </is>
      </c>
      <c r="B12434" s="1" t="n">
        <v>45226</v>
      </c>
      <c r="C12434" s="1" t="n">
        <v>45357</v>
      </c>
      <c r="D12434" t="inlineStr">
        <is>
          <t>VÄSTERBOTTENS LÄN</t>
        </is>
      </c>
      <c r="E12434" t="inlineStr">
        <is>
          <t>MALÅ</t>
        </is>
      </c>
      <c r="F12434" t="inlineStr">
        <is>
          <t>Sveaskog</t>
        </is>
      </c>
      <c r="G12434" t="n">
        <v>16.8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52890-2023</t>
        </is>
      </c>
      <c r="B12435" s="1" t="n">
        <v>45226</v>
      </c>
      <c r="C12435" s="1" t="n">
        <v>45357</v>
      </c>
      <c r="D12435" t="inlineStr">
        <is>
          <t>VÄSTERBOTTENS LÄN</t>
        </is>
      </c>
      <c r="E12435" t="inlineStr">
        <is>
          <t>MALÅ</t>
        </is>
      </c>
      <c r="F12435" t="inlineStr">
        <is>
          <t>Sveaskog</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52885-2023</t>
        </is>
      </c>
      <c r="B12436" s="1" t="n">
        <v>45226</v>
      </c>
      <c r="C12436" s="1" t="n">
        <v>45357</v>
      </c>
      <c r="D12436" t="inlineStr">
        <is>
          <t>VÄSTERBOTTENS LÄN</t>
        </is>
      </c>
      <c r="E12436" t="inlineStr">
        <is>
          <t>MALÅ</t>
        </is>
      </c>
      <c r="F12436" t="inlineStr">
        <is>
          <t>Sveaskog</t>
        </is>
      </c>
      <c r="G12436" t="n">
        <v>10.8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52880-2023</t>
        </is>
      </c>
      <c r="B12437" s="1" t="n">
        <v>45226</v>
      </c>
      <c r="C12437" s="1" t="n">
        <v>45357</v>
      </c>
      <c r="D12437" t="inlineStr">
        <is>
          <t>VÄSTERBOTTENS LÄN</t>
        </is>
      </c>
      <c r="E12437" t="inlineStr">
        <is>
          <t>MALÅ</t>
        </is>
      </c>
      <c r="F12437" t="inlineStr">
        <is>
          <t>Sveaskog</t>
        </is>
      </c>
      <c r="G12437" t="n">
        <v>13.6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52881-2023</t>
        </is>
      </c>
      <c r="B12438" s="1" t="n">
        <v>45226</v>
      </c>
      <c r="C12438" s="1" t="n">
        <v>45357</v>
      </c>
      <c r="D12438" t="inlineStr">
        <is>
          <t>VÄSTERBOTTENS LÄN</t>
        </is>
      </c>
      <c r="E12438" t="inlineStr">
        <is>
          <t>MALÅ</t>
        </is>
      </c>
      <c r="F12438" t="inlineStr">
        <is>
          <t>Sveaskog</t>
        </is>
      </c>
      <c r="G12438" t="n">
        <v>21.3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52916-2023</t>
        </is>
      </c>
      <c r="B12439" s="1" t="n">
        <v>45226</v>
      </c>
      <c r="C12439" s="1" t="n">
        <v>45357</v>
      </c>
      <c r="D12439" t="inlineStr">
        <is>
          <t>VÄSTERBOTTENS LÄN</t>
        </is>
      </c>
      <c r="E12439" t="inlineStr">
        <is>
          <t>VINDELN</t>
        </is>
      </c>
      <c r="F12439" t="inlineStr">
        <is>
          <t>Holmen skog AB</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53010-2023</t>
        </is>
      </c>
      <c r="B12440" s="1" t="n">
        <v>45226</v>
      </c>
      <c r="C12440" s="1" t="n">
        <v>45357</v>
      </c>
      <c r="D12440" t="inlineStr">
        <is>
          <t>VÄSTERBOTTENS LÄN</t>
        </is>
      </c>
      <c r="E12440" t="inlineStr">
        <is>
          <t>MALÅ</t>
        </is>
      </c>
      <c r="F12440" t="inlineStr">
        <is>
          <t>Sveaskog</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53035-2023</t>
        </is>
      </c>
      <c r="B12441" s="1" t="n">
        <v>45227</v>
      </c>
      <c r="C12441" s="1" t="n">
        <v>45357</v>
      </c>
      <c r="D12441" t="inlineStr">
        <is>
          <t>VÄSTERBOTTENS LÄN</t>
        </is>
      </c>
      <c r="E12441" t="inlineStr">
        <is>
          <t>LYCKSELE</t>
        </is>
      </c>
      <c r="F12441" t="inlineStr">
        <is>
          <t>SCA</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54394-2023</t>
        </is>
      </c>
      <c r="B12442" s="1" t="n">
        <v>45226</v>
      </c>
      <c r="C12442" s="1" t="n">
        <v>45357</v>
      </c>
      <c r="D12442" t="inlineStr">
        <is>
          <t>VÄSTERBOTTENS LÄN</t>
        </is>
      </c>
      <c r="E12442" t="inlineStr">
        <is>
          <t>SKELLEFTEÅ</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54411-2023</t>
        </is>
      </c>
      <c r="B12443" s="1" t="n">
        <v>45226</v>
      </c>
      <c r="C12443" s="1" t="n">
        <v>45357</v>
      </c>
      <c r="D12443" t="inlineStr">
        <is>
          <t>VÄSTERBOTTENS LÄN</t>
        </is>
      </c>
      <c r="E12443" t="inlineStr">
        <is>
          <t>SKELLEFTEÅ</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54449-2023</t>
        </is>
      </c>
      <c r="B12444" s="1" t="n">
        <v>45226</v>
      </c>
      <c r="C12444" s="1" t="n">
        <v>45357</v>
      </c>
      <c r="D12444" t="inlineStr">
        <is>
          <t>VÄSTERBOTTENS LÄN</t>
        </is>
      </c>
      <c r="E12444" t="inlineStr">
        <is>
          <t>SKELLEFTEÅ</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54469-2023</t>
        </is>
      </c>
      <c r="B12445" s="1" t="n">
        <v>45226</v>
      </c>
      <c r="C12445" s="1" t="n">
        <v>45357</v>
      </c>
      <c r="D12445" t="inlineStr">
        <is>
          <t>VÄSTERBOTTENS LÄN</t>
        </is>
      </c>
      <c r="E12445" t="inlineStr">
        <is>
          <t>SKELLEFTEÅ</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54497-2023</t>
        </is>
      </c>
      <c r="B12446" s="1" t="n">
        <v>45226</v>
      </c>
      <c r="C12446" s="1" t="n">
        <v>45357</v>
      </c>
      <c r="D12446" t="inlineStr">
        <is>
          <t>VÄSTERBOTTENS LÄN</t>
        </is>
      </c>
      <c r="E12446" t="inlineStr">
        <is>
          <t>SKELLEFTEÅ</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54499-2023</t>
        </is>
      </c>
      <c r="B12447" s="1" t="n">
        <v>45226</v>
      </c>
      <c r="C12447" s="1" t="n">
        <v>45357</v>
      </c>
      <c r="D12447" t="inlineStr">
        <is>
          <t>VÄSTERBOTTENS LÄN</t>
        </is>
      </c>
      <c r="E12447" t="inlineStr">
        <is>
          <t>SKELLEFTEÅ</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54477-2023</t>
        </is>
      </c>
      <c r="B12448" s="1" t="n">
        <v>45226</v>
      </c>
      <c r="C12448" s="1" t="n">
        <v>45357</v>
      </c>
      <c r="D12448" t="inlineStr">
        <is>
          <t>VÄSTERBOTTENS LÄN</t>
        </is>
      </c>
      <c r="E12448" t="inlineStr">
        <is>
          <t>ROBERTSFORS</t>
        </is>
      </c>
      <c r="G12448" t="n">
        <v>4.7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54457-2023</t>
        </is>
      </c>
      <c r="B12449" s="1" t="n">
        <v>45226</v>
      </c>
      <c r="C12449" s="1" t="n">
        <v>45357</v>
      </c>
      <c r="D12449" t="inlineStr">
        <is>
          <t>VÄSTERBOTTENS LÄN</t>
        </is>
      </c>
      <c r="E12449" t="inlineStr">
        <is>
          <t>MALÅ</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54401-2023</t>
        </is>
      </c>
      <c r="B12450" s="1" t="n">
        <v>45226</v>
      </c>
      <c r="C12450" s="1" t="n">
        <v>45357</v>
      </c>
      <c r="D12450" t="inlineStr">
        <is>
          <t>VÄSTERBOTTENS LÄN</t>
        </is>
      </c>
      <c r="E12450" t="inlineStr">
        <is>
          <t>SKELLEFTEÅ</t>
        </is>
      </c>
      <c r="G12450" t="n">
        <v>6.4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53037-2023</t>
        </is>
      </c>
      <c r="B12451" s="1" t="n">
        <v>45226</v>
      </c>
      <c r="C12451" s="1" t="n">
        <v>45357</v>
      </c>
      <c r="D12451" t="inlineStr">
        <is>
          <t>VÄSTERBOTTENS LÄN</t>
        </is>
      </c>
      <c r="E12451" t="inlineStr">
        <is>
          <t>LYCKSELE</t>
        </is>
      </c>
      <c r="F12451" t="inlineStr">
        <is>
          <t>SCA</t>
        </is>
      </c>
      <c r="G12451" t="n">
        <v>7.4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53008-2023</t>
        </is>
      </c>
      <c r="B12452" s="1" t="n">
        <v>45226</v>
      </c>
      <c r="C12452" s="1" t="n">
        <v>45357</v>
      </c>
      <c r="D12452" t="inlineStr">
        <is>
          <t>VÄSTERBOTTENS LÄN</t>
        </is>
      </c>
      <c r="E12452" t="inlineStr">
        <is>
          <t>MALÅ</t>
        </is>
      </c>
      <c r="F12452" t="inlineStr">
        <is>
          <t>Sveaskog</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53002-2023</t>
        </is>
      </c>
      <c r="B12453" s="1" t="n">
        <v>45226</v>
      </c>
      <c r="C12453" s="1" t="n">
        <v>45357</v>
      </c>
      <c r="D12453" t="inlineStr">
        <is>
          <t>VÄSTERBOTTENS LÄN</t>
        </is>
      </c>
      <c r="E12453" t="inlineStr">
        <is>
          <t>VINDELN</t>
        </is>
      </c>
      <c r="F12453" t="inlineStr">
        <is>
          <t>Holmen skog AB</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52993-2023</t>
        </is>
      </c>
      <c r="B12454" s="1" t="n">
        <v>45226</v>
      </c>
      <c r="C12454" s="1" t="n">
        <v>45357</v>
      </c>
      <c r="D12454" t="inlineStr">
        <is>
          <t>VÄSTERBOTTENS LÄN</t>
        </is>
      </c>
      <c r="E12454" t="inlineStr">
        <is>
          <t>SKELLEFTEÅ</t>
        </is>
      </c>
      <c r="F12454" t="inlineStr">
        <is>
          <t>Holmen skog AB</t>
        </is>
      </c>
      <c r="G12454" t="n">
        <v>6.6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52957-2023</t>
        </is>
      </c>
      <c r="B12455" s="1" t="n">
        <v>45226</v>
      </c>
      <c r="C12455" s="1" t="n">
        <v>45357</v>
      </c>
      <c r="D12455" t="inlineStr">
        <is>
          <t>VÄSTERBOTTENS LÄN</t>
        </is>
      </c>
      <c r="E12455" t="inlineStr">
        <is>
          <t>VINDELN</t>
        </is>
      </c>
      <c r="F12455" t="inlineStr">
        <is>
          <t>Holmen skog AB</t>
        </is>
      </c>
      <c r="G12455" t="n">
        <v>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52926-2023</t>
        </is>
      </c>
      <c r="B12456" s="1" t="n">
        <v>45226</v>
      </c>
      <c r="C12456" s="1" t="n">
        <v>45357</v>
      </c>
      <c r="D12456" t="inlineStr">
        <is>
          <t>VÄSTERBOTTENS LÄN</t>
        </is>
      </c>
      <c r="E12456" t="inlineStr">
        <is>
          <t>MALÅ</t>
        </is>
      </c>
      <c r="F12456" t="inlineStr">
        <is>
          <t>Sveaskog</t>
        </is>
      </c>
      <c r="G12456" t="n">
        <v>15.5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52829-2023</t>
        </is>
      </c>
      <c r="B12457" s="1" t="n">
        <v>45226</v>
      </c>
      <c r="C12457" s="1" t="n">
        <v>45357</v>
      </c>
      <c r="D12457" t="inlineStr">
        <is>
          <t>VÄSTERBOTTENS LÄN</t>
        </is>
      </c>
      <c r="E12457" t="inlineStr">
        <is>
          <t>SKELLEFTEÅ</t>
        </is>
      </c>
      <c r="F12457" t="inlineStr">
        <is>
          <t>Sveaskog</t>
        </is>
      </c>
      <c r="G12457" t="n">
        <v>10.8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52817-2023</t>
        </is>
      </c>
      <c r="B12458" s="1" t="n">
        <v>45226</v>
      </c>
      <c r="C12458" s="1" t="n">
        <v>45357</v>
      </c>
      <c r="D12458" t="inlineStr">
        <is>
          <t>VÄSTERBOTTENS LÄN</t>
        </is>
      </c>
      <c r="E12458" t="inlineStr">
        <is>
          <t>NORSJÖ</t>
        </is>
      </c>
      <c r="F12458" t="inlineStr">
        <is>
          <t>Holmen skog AB</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53028-2023</t>
        </is>
      </c>
      <c r="B12459" s="1" t="n">
        <v>45226</v>
      </c>
      <c r="C12459" s="1" t="n">
        <v>45357</v>
      </c>
      <c r="D12459" t="inlineStr">
        <is>
          <t>VÄSTERBOTTENS LÄN</t>
        </is>
      </c>
      <c r="E12459" t="inlineStr">
        <is>
          <t>SKELLEFTEÅ</t>
        </is>
      </c>
      <c r="F12459" t="inlineStr">
        <is>
          <t>Holmen skog AB</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53020-2023</t>
        </is>
      </c>
      <c r="B12460" s="1" t="n">
        <v>45226</v>
      </c>
      <c r="C12460" s="1" t="n">
        <v>45357</v>
      </c>
      <c r="D12460" t="inlineStr">
        <is>
          <t>VÄSTERBOTTENS LÄN</t>
        </is>
      </c>
      <c r="E12460" t="inlineStr">
        <is>
          <t>SKELLEFTEÅ</t>
        </is>
      </c>
      <c r="F12460" t="inlineStr">
        <is>
          <t>Sveaskog</t>
        </is>
      </c>
      <c r="G12460" t="n">
        <v>18.9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53177-2023</t>
        </is>
      </c>
      <c r="B12461" s="1" t="n">
        <v>45226</v>
      </c>
      <c r="C12461" s="1" t="n">
        <v>45357</v>
      </c>
      <c r="D12461" t="inlineStr">
        <is>
          <t>VÄSTERBOTTENS LÄN</t>
        </is>
      </c>
      <c r="E12461" t="inlineStr">
        <is>
          <t>MALÅ</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53036-2023</t>
        </is>
      </c>
      <c r="B12462" s="1" t="n">
        <v>45227</v>
      </c>
      <c r="C12462" s="1" t="n">
        <v>45357</v>
      </c>
      <c r="D12462" t="inlineStr">
        <is>
          <t>VÄSTERBOTTENS LÄN</t>
        </is>
      </c>
      <c r="E12462" t="inlineStr">
        <is>
          <t>LYCKSELE</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53068-2023</t>
        </is>
      </c>
      <c r="B12463" s="1" t="n">
        <v>45227</v>
      </c>
      <c r="C12463" s="1" t="n">
        <v>45357</v>
      </c>
      <c r="D12463" t="inlineStr">
        <is>
          <t>VÄSTERBOTTENS LÄN</t>
        </is>
      </c>
      <c r="E12463" t="inlineStr">
        <is>
          <t>MALÅ</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53117-2023</t>
        </is>
      </c>
      <c r="B12464" s="1" t="n">
        <v>45228</v>
      </c>
      <c r="C12464" s="1" t="n">
        <v>45357</v>
      </c>
      <c r="D12464" t="inlineStr">
        <is>
          <t>VÄSTERBOTTENS LÄN</t>
        </is>
      </c>
      <c r="E12464" t="inlineStr">
        <is>
          <t>DOROTEA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53118-2023</t>
        </is>
      </c>
      <c r="B12465" s="1" t="n">
        <v>45228</v>
      </c>
      <c r="C12465" s="1" t="n">
        <v>45357</v>
      </c>
      <c r="D12465" t="inlineStr">
        <is>
          <t>VÄSTERBOTTENS LÄN</t>
        </is>
      </c>
      <c r="E12465" t="inlineStr">
        <is>
          <t>DOROTEA</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53183-2023</t>
        </is>
      </c>
      <c r="B12466" s="1" t="n">
        <v>45229</v>
      </c>
      <c r="C12466" s="1" t="n">
        <v>45357</v>
      </c>
      <c r="D12466" t="inlineStr">
        <is>
          <t>VÄSTERBOTTENS LÄN</t>
        </is>
      </c>
      <c r="E12466" t="inlineStr">
        <is>
          <t>SKELLEFTEÅ</t>
        </is>
      </c>
      <c r="F12466" t="inlineStr">
        <is>
          <t>Sveaskog</t>
        </is>
      </c>
      <c r="G12466" t="n">
        <v>10.5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53311-2023</t>
        </is>
      </c>
      <c r="B12467" s="1" t="n">
        <v>45229</v>
      </c>
      <c r="C12467" s="1" t="n">
        <v>45357</v>
      </c>
      <c r="D12467" t="inlineStr">
        <is>
          <t>VÄSTERBOTTENS LÄN</t>
        </is>
      </c>
      <c r="E12467" t="inlineStr">
        <is>
          <t>SKELLEFTEÅ</t>
        </is>
      </c>
      <c r="F12467" t="inlineStr">
        <is>
          <t>Holmen skog AB</t>
        </is>
      </c>
      <c r="G12467" t="n">
        <v>9.800000000000001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53376-2023</t>
        </is>
      </c>
      <c r="B12468" s="1" t="n">
        <v>45229</v>
      </c>
      <c r="C12468" s="1" t="n">
        <v>45357</v>
      </c>
      <c r="D12468" t="inlineStr">
        <is>
          <t>VÄSTERBOTTENS LÄN</t>
        </is>
      </c>
      <c r="E12468" t="inlineStr">
        <is>
          <t>MALÅ</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53255-2023</t>
        </is>
      </c>
      <c r="B12469" s="1" t="n">
        <v>45229</v>
      </c>
      <c r="C12469" s="1" t="n">
        <v>45357</v>
      </c>
      <c r="D12469" t="inlineStr">
        <is>
          <t>VÄSTERBOTTENS LÄN</t>
        </is>
      </c>
      <c r="E12469" t="inlineStr">
        <is>
          <t>SKELLEFTEÅ</t>
        </is>
      </c>
      <c r="F12469" t="inlineStr">
        <is>
          <t>Sveaskog</t>
        </is>
      </c>
      <c r="G12469" t="n">
        <v>7.4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53403-2023</t>
        </is>
      </c>
      <c r="B12470" s="1" t="n">
        <v>45229</v>
      </c>
      <c r="C12470" s="1" t="n">
        <v>45357</v>
      </c>
      <c r="D12470" t="inlineStr">
        <is>
          <t>VÄSTERBOTTENS LÄN</t>
        </is>
      </c>
      <c r="E12470" t="inlineStr">
        <is>
          <t>MALÅ</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54448-2023</t>
        </is>
      </c>
      <c r="B12471" s="1" t="n">
        <v>45229</v>
      </c>
      <c r="C12471" s="1" t="n">
        <v>45357</v>
      </c>
      <c r="D12471" t="inlineStr">
        <is>
          <t>VÄSTERBOTTENS LÄN</t>
        </is>
      </c>
      <c r="E12471" t="inlineStr">
        <is>
          <t>SORSELE</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53426-2023</t>
        </is>
      </c>
      <c r="B12472" s="1" t="n">
        <v>45229</v>
      </c>
      <c r="C12472" s="1" t="n">
        <v>45357</v>
      </c>
      <c r="D12472" t="inlineStr">
        <is>
          <t>VÄSTERBOTTENS LÄN</t>
        </is>
      </c>
      <c r="E12472" t="inlineStr">
        <is>
          <t>SKELLEFTEÅ</t>
        </is>
      </c>
      <c r="F12472" t="inlineStr">
        <is>
          <t>Holmen skog AB</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53256-2023</t>
        </is>
      </c>
      <c r="B12473" s="1" t="n">
        <v>45229</v>
      </c>
      <c r="C12473" s="1" t="n">
        <v>45357</v>
      </c>
      <c r="D12473" t="inlineStr">
        <is>
          <t>VÄSTERBOTTENS LÄN</t>
        </is>
      </c>
      <c r="E12473" t="inlineStr">
        <is>
          <t>MALÅ</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53343-2023</t>
        </is>
      </c>
      <c r="B12474" s="1" t="n">
        <v>45229</v>
      </c>
      <c r="C12474" s="1" t="n">
        <v>45357</v>
      </c>
      <c r="D12474" t="inlineStr">
        <is>
          <t>VÄSTERBOTTENS LÄN</t>
        </is>
      </c>
      <c r="E12474" t="inlineStr">
        <is>
          <t>NORDMALING</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53382-2023</t>
        </is>
      </c>
      <c r="B12475" s="1" t="n">
        <v>45229</v>
      </c>
      <c r="C12475" s="1" t="n">
        <v>45357</v>
      </c>
      <c r="D12475" t="inlineStr">
        <is>
          <t>VÄSTERBOTTENS LÄN</t>
        </is>
      </c>
      <c r="E12475" t="inlineStr">
        <is>
          <t>MALÅ</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53398-2023</t>
        </is>
      </c>
      <c r="B12476" s="1" t="n">
        <v>45229</v>
      </c>
      <c r="C12476" s="1" t="n">
        <v>45357</v>
      </c>
      <c r="D12476" t="inlineStr">
        <is>
          <t>VÄSTERBOTTENS LÄN</t>
        </is>
      </c>
      <c r="E12476" t="inlineStr">
        <is>
          <t>MALÅ</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53345-2023</t>
        </is>
      </c>
      <c r="B12477" s="1" t="n">
        <v>45229</v>
      </c>
      <c r="C12477" s="1" t="n">
        <v>45357</v>
      </c>
      <c r="D12477" t="inlineStr">
        <is>
          <t>VÄSTERBOTTENS LÄN</t>
        </is>
      </c>
      <c r="E12477" t="inlineStr">
        <is>
          <t>NORSJÖ</t>
        </is>
      </c>
      <c r="F12477" t="inlineStr">
        <is>
          <t>Holmen skog AB</t>
        </is>
      </c>
      <c r="G12477" t="n">
        <v>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53385-2023</t>
        </is>
      </c>
      <c r="B12478" s="1" t="n">
        <v>45229</v>
      </c>
      <c r="C12478" s="1" t="n">
        <v>45357</v>
      </c>
      <c r="D12478" t="inlineStr">
        <is>
          <t>VÄSTERBOTTENS LÄN</t>
        </is>
      </c>
      <c r="E12478" t="inlineStr">
        <is>
          <t>MALÅ</t>
        </is>
      </c>
      <c r="F12478" t="inlineStr">
        <is>
          <t>Sveaskog</t>
        </is>
      </c>
      <c r="G12478" t="n">
        <v>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53390-2023</t>
        </is>
      </c>
      <c r="B12479" s="1" t="n">
        <v>45229</v>
      </c>
      <c r="C12479" s="1" t="n">
        <v>45357</v>
      </c>
      <c r="D12479" t="inlineStr">
        <is>
          <t>VÄSTERBOTTENS LÄN</t>
        </is>
      </c>
      <c r="E12479" t="inlineStr">
        <is>
          <t>MALÅ</t>
        </is>
      </c>
      <c r="G12479" t="n">
        <v>7.9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54931-2023</t>
        </is>
      </c>
      <c r="B12480" s="1" t="n">
        <v>45229</v>
      </c>
      <c r="C12480" s="1" t="n">
        <v>45357</v>
      </c>
      <c r="D12480" t="inlineStr">
        <is>
          <t>VÄSTERBOTTENS LÄN</t>
        </is>
      </c>
      <c r="E12480" t="inlineStr">
        <is>
          <t>VILHELMINA</t>
        </is>
      </c>
      <c r="G12480" t="n">
        <v>14.5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54793-2023</t>
        </is>
      </c>
      <c r="B12481" s="1" t="n">
        <v>45229</v>
      </c>
      <c r="C12481" s="1" t="n">
        <v>45357</v>
      </c>
      <c r="D12481" t="inlineStr">
        <is>
          <t>VÄSTERBOTTENS LÄN</t>
        </is>
      </c>
      <c r="E12481" t="inlineStr">
        <is>
          <t>VÄNNÄS</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54868-2023</t>
        </is>
      </c>
      <c r="B12482" s="1" t="n">
        <v>45229</v>
      </c>
      <c r="C12482" s="1" t="n">
        <v>45357</v>
      </c>
      <c r="D12482" t="inlineStr">
        <is>
          <t>VÄSTERBOTTENS LÄN</t>
        </is>
      </c>
      <c r="E12482" t="inlineStr">
        <is>
          <t>BJURHOLM</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54840-2023</t>
        </is>
      </c>
      <c r="B12483" s="1" t="n">
        <v>45229</v>
      </c>
      <c r="C12483" s="1" t="n">
        <v>45357</v>
      </c>
      <c r="D12483" t="inlineStr">
        <is>
          <t>VÄSTERBOTTENS LÄN</t>
        </is>
      </c>
      <c r="E12483" t="inlineStr">
        <is>
          <t>LYCKSELE</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53449-2023</t>
        </is>
      </c>
      <c r="B12484" s="1" t="n">
        <v>45230</v>
      </c>
      <c r="C12484" s="1" t="n">
        <v>45357</v>
      </c>
      <c r="D12484" t="inlineStr">
        <is>
          <t>VÄSTERBOTTENS LÄN</t>
        </is>
      </c>
      <c r="E12484" t="inlineStr">
        <is>
          <t>NORDMALING</t>
        </is>
      </c>
      <c r="F12484" t="inlineStr">
        <is>
          <t>SCA</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54786-2023</t>
        </is>
      </c>
      <c r="B12485" s="1" t="n">
        <v>45229</v>
      </c>
      <c r="C12485" s="1" t="n">
        <v>45357</v>
      </c>
      <c r="D12485" t="inlineStr">
        <is>
          <t>VÄSTERBOTTENS LÄN</t>
        </is>
      </c>
      <c r="E12485" t="inlineStr">
        <is>
          <t>VINDELN</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54901-2023</t>
        </is>
      </c>
      <c r="B12486" s="1" t="n">
        <v>45229</v>
      </c>
      <c r="C12486" s="1" t="n">
        <v>45357</v>
      </c>
      <c r="D12486" t="inlineStr">
        <is>
          <t>VÄSTERBOTTENS LÄN</t>
        </is>
      </c>
      <c r="E12486" t="inlineStr">
        <is>
          <t>ÅSELE</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54864-2023</t>
        </is>
      </c>
      <c r="B12487" s="1" t="n">
        <v>45229</v>
      </c>
      <c r="C12487" s="1" t="n">
        <v>45357</v>
      </c>
      <c r="D12487" t="inlineStr">
        <is>
          <t>VÄSTERBOTTENS LÄN</t>
        </is>
      </c>
      <c r="E12487" t="inlineStr">
        <is>
          <t>BJURHOLM</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55051-2023</t>
        </is>
      </c>
      <c r="B12488" s="1" t="n">
        <v>45229</v>
      </c>
      <c r="C12488" s="1" t="n">
        <v>45357</v>
      </c>
      <c r="D12488" t="inlineStr">
        <is>
          <t>VÄSTERBOTTENS LÄN</t>
        </is>
      </c>
      <c r="E12488" t="inlineStr">
        <is>
          <t>VILHELMINA</t>
        </is>
      </c>
      <c r="G12488" t="n">
        <v>12.1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53481-2023</t>
        </is>
      </c>
      <c r="B12489" s="1" t="n">
        <v>45230</v>
      </c>
      <c r="C12489" s="1" t="n">
        <v>45357</v>
      </c>
      <c r="D12489" t="inlineStr">
        <is>
          <t>VÄSTERBOTTENS LÄN</t>
        </is>
      </c>
      <c r="E12489" t="inlineStr">
        <is>
          <t>UMEÅ</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53739-2023</t>
        </is>
      </c>
      <c r="B12490" s="1" t="n">
        <v>45230</v>
      </c>
      <c r="C12490" s="1" t="n">
        <v>45357</v>
      </c>
      <c r="D12490" t="inlineStr">
        <is>
          <t>VÄSTERBOTTENS LÄN</t>
        </is>
      </c>
      <c r="E12490" t="inlineStr">
        <is>
          <t>MALÅ</t>
        </is>
      </c>
      <c r="G12490" t="n">
        <v>8.5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53759-2023</t>
        </is>
      </c>
      <c r="B12491" s="1" t="n">
        <v>45230</v>
      </c>
      <c r="C12491" s="1" t="n">
        <v>45357</v>
      </c>
      <c r="D12491" t="inlineStr">
        <is>
          <t>VÄSTERBOTTENS LÄN</t>
        </is>
      </c>
      <c r="E12491" t="inlineStr">
        <is>
          <t>MALÅ</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55077-2023</t>
        </is>
      </c>
      <c r="B12492" s="1" t="n">
        <v>45230</v>
      </c>
      <c r="C12492" s="1" t="n">
        <v>45357</v>
      </c>
      <c r="D12492" t="inlineStr">
        <is>
          <t>VÄSTERBOTTENS LÄN</t>
        </is>
      </c>
      <c r="E12492" t="inlineStr">
        <is>
          <t>SKELLEFTEÅ</t>
        </is>
      </c>
      <c r="G12492" t="n">
        <v>9.800000000000001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53662-2023</t>
        </is>
      </c>
      <c r="B12493" s="1" t="n">
        <v>45230</v>
      </c>
      <c r="C12493" s="1" t="n">
        <v>45357</v>
      </c>
      <c r="D12493" t="inlineStr">
        <is>
          <t>VÄSTERBOTTENS LÄN</t>
        </is>
      </c>
      <c r="E12493" t="inlineStr">
        <is>
          <t>MALÅ</t>
        </is>
      </c>
      <c r="F12493" t="inlineStr">
        <is>
          <t>Sveaskog</t>
        </is>
      </c>
      <c r="G12493" t="n">
        <v>46.5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53577-2023</t>
        </is>
      </c>
      <c r="B12494" s="1" t="n">
        <v>45230</v>
      </c>
      <c r="C12494" s="1" t="n">
        <v>45357</v>
      </c>
      <c r="D12494" t="inlineStr">
        <is>
          <t>VÄSTERBOTTENS LÄN</t>
        </is>
      </c>
      <c r="E12494" t="inlineStr">
        <is>
          <t>VINDELN</t>
        </is>
      </c>
      <c r="F12494" t="inlineStr">
        <is>
          <t>Sveaskog</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53657-2023</t>
        </is>
      </c>
      <c r="B12495" s="1" t="n">
        <v>45230</v>
      </c>
      <c r="C12495" s="1" t="n">
        <v>45357</v>
      </c>
      <c r="D12495" t="inlineStr">
        <is>
          <t>VÄSTERBOTTENS LÄN</t>
        </is>
      </c>
      <c r="E12495" t="inlineStr">
        <is>
          <t>MALÅ</t>
        </is>
      </c>
      <c r="F12495" t="inlineStr">
        <is>
          <t>Sveaskog</t>
        </is>
      </c>
      <c r="G12495" t="n">
        <v>11.3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53634-2023</t>
        </is>
      </c>
      <c r="B12496" s="1" t="n">
        <v>45230</v>
      </c>
      <c r="C12496" s="1" t="n">
        <v>45357</v>
      </c>
      <c r="D12496" t="inlineStr">
        <is>
          <t>VÄSTERBOTTENS LÄN</t>
        </is>
      </c>
      <c r="E12496" t="inlineStr">
        <is>
          <t>MALÅ</t>
        </is>
      </c>
      <c r="F12496" t="inlineStr">
        <is>
          <t>Sveaskog</t>
        </is>
      </c>
      <c r="G12496" t="n">
        <v>15.8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53616-2023</t>
        </is>
      </c>
      <c r="B12497" s="1" t="n">
        <v>45230</v>
      </c>
      <c r="C12497" s="1" t="n">
        <v>45357</v>
      </c>
      <c r="D12497" t="inlineStr">
        <is>
          <t>VÄSTERBOTTENS LÄN</t>
        </is>
      </c>
      <c r="E12497" t="inlineStr">
        <is>
          <t>SKELLEFTEÅ</t>
        </is>
      </c>
      <c r="F12497" t="inlineStr">
        <is>
          <t>Sveaskog</t>
        </is>
      </c>
      <c r="G12497" t="n">
        <v>29.6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55081-2023</t>
        </is>
      </c>
      <c r="B12498" s="1" t="n">
        <v>45230</v>
      </c>
      <c r="C12498" s="1" t="n">
        <v>45357</v>
      </c>
      <c r="D12498" t="inlineStr">
        <is>
          <t>VÄSTERBOTTENS LÄN</t>
        </is>
      </c>
      <c r="E12498" t="inlineStr">
        <is>
          <t>SKELLEFTEÅ</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53640-2023</t>
        </is>
      </c>
      <c r="B12499" s="1" t="n">
        <v>45230</v>
      </c>
      <c r="C12499" s="1" t="n">
        <v>45357</v>
      </c>
      <c r="D12499" t="inlineStr">
        <is>
          <t>VÄSTERBOTTENS LÄN</t>
        </is>
      </c>
      <c r="E12499" t="inlineStr">
        <is>
          <t>VINDELN</t>
        </is>
      </c>
      <c r="F12499" t="inlineStr">
        <is>
          <t>Sveaskog</t>
        </is>
      </c>
      <c r="G12499" t="n">
        <v>15.5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53571-2023</t>
        </is>
      </c>
      <c r="B12500" s="1" t="n">
        <v>45230</v>
      </c>
      <c r="C12500" s="1" t="n">
        <v>45357</v>
      </c>
      <c r="D12500" t="inlineStr">
        <is>
          <t>VÄSTERBOTTENS LÄN</t>
        </is>
      </c>
      <c r="E12500" t="inlineStr">
        <is>
          <t>LYCKSELE</t>
        </is>
      </c>
      <c r="F12500" t="inlineStr">
        <is>
          <t>Sveaskog</t>
        </is>
      </c>
      <c r="G12500" t="n">
        <v>10.1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53645-2023</t>
        </is>
      </c>
      <c r="B12501" s="1" t="n">
        <v>45230</v>
      </c>
      <c r="C12501" s="1" t="n">
        <v>45357</v>
      </c>
      <c r="D12501" t="inlineStr">
        <is>
          <t>VÄSTERBOTTENS LÄN</t>
        </is>
      </c>
      <c r="E12501" t="inlineStr">
        <is>
          <t>MALÅ</t>
        </is>
      </c>
      <c r="F12501" t="inlineStr">
        <is>
          <t>Sveaskog</t>
        </is>
      </c>
      <c r="G12501" t="n">
        <v>12.6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53654-2023</t>
        </is>
      </c>
      <c r="B12502" s="1" t="n">
        <v>45230</v>
      </c>
      <c r="C12502" s="1" t="n">
        <v>45357</v>
      </c>
      <c r="D12502" t="inlineStr">
        <is>
          <t>VÄSTERBOTTENS LÄN</t>
        </is>
      </c>
      <c r="E12502" t="inlineStr">
        <is>
          <t>MALÅ</t>
        </is>
      </c>
      <c r="F12502" t="inlineStr">
        <is>
          <t>Sveaskog</t>
        </is>
      </c>
      <c r="G12502" t="n">
        <v>6.9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53659-2023</t>
        </is>
      </c>
      <c r="B12503" s="1" t="n">
        <v>45230</v>
      </c>
      <c r="C12503" s="1" t="n">
        <v>45357</v>
      </c>
      <c r="D12503" t="inlineStr">
        <is>
          <t>VÄSTERBOTTENS LÄN</t>
        </is>
      </c>
      <c r="E12503" t="inlineStr">
        <is>
          <t>MALÅ</t>
        </is>
      </c>
      <c r="F12503" t="inlineStr">
        <is>
          <t>Sveaskog</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53747-2023</t>
        </is>
      </c>
      <c r="B12504" s="1" t="n">
        <v>45230</v>
      </c>
      <c r="C12504" s="1" t="n">
        <v>45357</v>
      </c>
      <c r="D12504" t="inlineStr">
        <is>
          <t>VÄSTERBOTTENS LÄN</t>
        </is>
      </c>
      <c r="E12504" t="inlineStr">
        <is>
          <t>MALÅ</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53758-2023</t>
        </is>
      </c>
      <c r="B12505" s="1" t="n">
        <v>45230</v>
      </c>
      <c r="C12505" s="1" t="n">
        <v>45357</v>
      </c>
      <c r="D12505" t="inlineStr">
        <is>
          <t>VÄSTERBOTTENS LÄN</t>
        </is>
      </c>
      <c r="E12505" t="inlineStr">
        <is>
          <t>MALÅ</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53770-2023</t>
        </is>
      </c>
      <c r="B12506" s="1" t="n">
        <v>45231</v>
      </c>
      <c r="C12506" s="1" t="n">
        <v>45357</v>
      </c>
      <c r="D12506" t="inlineStr">
        <is>
          <t>VÄSTERBOTTENS LÄN</t>
        </is>
      </c>
      <c r="E12506" t="inlineStr">
        <is>
          <t>DOROTEA</t>
        </is>
      </c>
      <c r="F12506" t="inlineStr">
        <is>
          <t>SCA</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53771-2023</t>
        </is>
      </c>
      <c r="B12507" s="1" t="n">
        <v>45230</v>
      </c>
      <c r="C12507" s="1" t="n">
        <v>45357</v>
      </c>
      <c r="D12507" t="inlineStr">
        <is>
          <t>VÄSTERBOTTENS LÄN</t>
        </is>
      </c>
      <c r="E12507" t="inlineStr">
        <is>
          <t>MALÅ</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53615-2023</t>
        </is>
      </c>
      <c r="B12508" s="1" t="n">
        <v>45230</v>
      </c>
      <c r="C12508" s="1" t="n">
        <v>45357</v>
      </c>
      <c r="D12508" t="inlineStr">
        <is>
          <t>VÄSTERBOTTENS LÄN</t>
        </is>
      </c>
      <c r="E12508" t="inlineStr">
        <is>
          <t>MALÅ</t>
        </is>
      </c>
      <c r="F12508" t="inlineStr">
        <is>
          <t>Sveaskog</t>
        </is>
      </c>
      <c r="G12508" t="n">
        <v>7.6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53582-2023</t>
        </is>
      </c>
      <c r="B12509" s="1" t="n">
        <v>45230</v>
      </c>
      <c r="C12509" s="1" t="n">
        <v>45357</v>
      </c>
      <c r="D12509" t="inlineStr">
        <is>
          <t>VÄSTERBOTTENS LÄN</t>
        </is>
      </c>
      <c r="E12509" t="inlineStr">
        <is>
          <t>LYCKSELE</t>
        </is>
      </c>
      <c r="F12509" t="inlineStr">
        <is>
          <t>Sveaskog</t>
        </is>
      </c>
      <c r="G12509" t="n">
        <v>11.2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53665-2023</t>
        </is>
      </c>
      <c r="B12510" s="1" t="n">
        <v>45230</v>
      </c>
      <c r="C12510" s="1" t="n">
        <v>45357</v>
      </c>
      <c r="D12510" t="inlineStr">
        <is>
          <t>VÄSTERBOTTENS LÄN</t>
        </is>
      </c>
      <c r="E12510" t="inlineStr">
        <is>
          <t>MALÅ</t>
        </is>
      </c>
      <c r="F12510" t="inlineStr">
        <is>
          <t>Sveaskog</t>
        </is>
      </c>
      <c r="G12510" t="n">
        <v>10.2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53667-2023</t>
        </is>
      </c>
      <c r="B12511" s="1" t="n">
        <v>45230</v>
      </c>
      <c r="C12511" s="1" t="n">
        <v>45357</v>
      </c>
      <c r="D12511" t="inlineStr">
        <is>
          <t>VÄSTERBOTTENS LÄN</t>
        </is>
      </c>
      <c r="E12511" t="inlineStr">
        <is>
          <t>MALÅ</t>
        </is>
      </c>
      <c r="F12511" t="inlineStr">
        <is>
          <t>Sveaskog</t>
        </is>
      </c>
      <c r="G12511" t="n">
        <v>6.9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53658-2023</t>
        </is>
      </c>
      <c r="B12512" s="1" t="n">
        <v>45230</v>
      </c>
      <c r="C12512" s="1" t="n">
        <v>45357</v>
      </c>
      <c r="D12512" t="inlineStr">
        <is>
          <t>VÄSTERBOTTENS LÄN</t>
        </is>
      </c>
      <c r="E12512" t="inlineStr">
        <is>
          <t>MALÅ</t>
        </is>
      </c>
      <c r="F12512" t="inlineStr">
        <is>
          <t>Sveaskog</t>
        </is>
      </c>
      <c r="G12512" t="n">
        <v>11.3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55155-2023</t>
        </is>
      </c>
      <c r="B12513" s="1" t="n">
        <v>45230</v>
      </c>
      <c r="C12513" s="1" t="n">
        <v>45357</v>
      </c>
      <c r="D12513" t="inlineStr">
        <is>
          <t>VÄSTERBOTTENS LÄN</t>
        </is>
      </c>
      <c r="E12513" t="inlineStr">
        <is>
          <t>DOROTEA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53772-2023</t>
        </is>
      </c>
      <c r="B12514" s="1" t="n">
        <v>45230</v>
      </c>
      <c r="C12514" s="1" t="n">
        <v>45357</v>
      </c>
      <c r="D12514" t="inlineStr">
        <is>
          <t>VÄSTERBOTTENS LÄN</t>
        </is>
      </c>
      <c r="E12514" t="inlineStr">
        <is>
          <t>MALÅ</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55146-2023</t>
        </is>
      </c>
      <c r="B12515" s="1" t="n">
        <v>45230</v>
      </c>
      <c r="C12515" s="1" t="n">
        <v>45357</v>
      </c>
      <c r="D12515" t="inlineStr">
        <is>
          <t>VÄSTERBOTTENS LÄN</t>
        </is>
      </c>
      <c r="E12515" t="inlineStr">
        <is>
          <t>DOROTEA</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55082-2023</t>
        </is>
      </c>
      <c r="B12516" s="1" t="n">
        <v>45230</v>
      </c>
      <c r="C12516" s="1" t="n">
        <v>45357</v>
      </c>
      <c r="D12516" t="inlineStr">
        <is>
          <t>VÄSTERBOTTENS LÄN</t>
        </is>
      </c>
      <c r="E12516" t="inlineStr">
        <is>
          <t>UMEÅ</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55200-2023</t>
        </is>
      </c>
      <c r="B12517" s="1" t="n">
        <v>45230</v>
      </c>
      <c r="C12517" s="1" t="n">
        <v>45357</v>
      </c>
      <c r="D12517" t="inlineStr">
        <is>
          <t>VÄSTERBOTTENS LÄN</t>
        </is>
      </c>
      <c r="E12517" t="inlineStr">
        <is>
          <t>VILHELMINA</t>
        </is>
      </c>
      <c r="G12517" t="n">
        <v>20.8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55159-2023</t>
        </is>
      </c>
      <c r="B12518" s="1" t="n">
        <v>45230</v>
      </c>
      <c r="C12518" s="1" t="n">
        <v>45357</v>
      </c>
      <c r="D12518" t="inlineStr">
        <is>
          <t>VÄSTERBOTTENS LÄN</t>
        </is>
      </c>
      <c r="E12518" t="inlineStr">
        <is>
          <t>VILHELMINA</t>
        </is>
      </c>
      <c r="G12518" t="n">
        <v>24.4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53813-2023</t>
        </is>
      </c>
      <c r="B12519" s="1" t="n">
        <v>45231</v>
      </c>
      <c r="C12519" s="1" t="n">
        <v>45357</v>
      </c>
      <c r="D12519" t="inlineStr">
        <is>
          <t>VÄSTERBOTTENS LÄN</t>
        </is>
      </c>
      <c r="E12519" t="inlineStr">
        <is>
          <t>LYCKSELE</t>
        </is>
      </c>
      <c r="F12519" t="inlineStr">
        <is>
          <t>Sveaskog</t>
        </is>
      </c>
      <c r="G12519" t="n">
        <v>7.9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53775-2023</t>
        </is>
      </c>
      <c r="B12520" s="1" t="n">
        <v>45231</v>
      </c>
      <c r="C12520" s="1" t="n">
        <v>45357</v>
      </c>
      <c r="D12520" t="inlineStr">
        <is>
          <t>VÄSTERBOTTENS LÄN</t>
        </is>
      </c>
      <c r="E12520" t="inlineStr">
        <is>
          <t>NORDMALING</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53856-2023</t>
        </is>
      </c>
      <c r="B12521" s="1" t="n">
        <v>45231</v>
      </c>
      <c r="C12521" s="1" t="n">
        <v>45357</v>
      </c>
      <c r="D12521" t="inlineStr">
        <is>
          <t>VÄSTERBOTTENS LÄN</t>
        </is>
      </c>
      <c r="E12521" t="inlineStr">
        <is>
          <t>DOROTEA</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54047-2023</t>
        </is>
      </c>
      <c r="B12522" s="1" t="n">
        <v>45231</v>
      </c>
      <c r="C12522" s="1" t="n">
        <v>45357</v>
      </c>
      <c r="D12522" t="inlineStr">
        <is>
          <t>VÄSTERBOTTENS LÄN</t>
        </is>
      </c>
      <c r="E12522" t="inlineStr">
        <is>
          <t>DOROTEA</t>
        </is>
      </c>
      <c r="F12522" t="inlineStr">
        <is>
          <t>SCA</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53811-2023</t>
        </is>
      </c>
      <c r="B12523" s="1" t="n">
        <v>45231</v>
      </c>
      <c r="C12523" s="1" t="n">
        <v>45357</v>
      </c>
      <c r="D12523" t="inlineStr">
        <is>
          <t>VÄSTERBOTTENS LÄN</t>
        </is>
      </c>
      <c r="E12523" t="inlineStr">
        <is>
          <t>VINDELN</t>
        </is>
      </c>
      <c r="G12523" t="n">
        <v>5.7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55273-2023</t>
        </is>
      </c>
      <c r="B12524" s="1" t="n">
        <v>45231</v>
      </c>
      <c r="C12524" s="1" t="n">
        <v>45357</v>
      </c>
      <c r="D12524" t="inlineStr">
        <is>
          <t>VÄSTERBOTTENS LÄN</t>
        </is>
      </c>
      <c r="E12524" t="inlineStr">
        <is>
          <t>VÄNNÄS</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55409-2023</t>
        </is>
      </c>
      <c r="B12525" s="1" t="n">
        <v>45231</v>
      </c>
      <c r="C12525" s="1" t="n">
        <v>45357</v>
      </c>
      <c r="D12525" t="inlineStr">
        <is>
          <t>VÄSTERBOTTENS LÄN</t>
        </is>
      </c>
      <c r="E12525" t="inlineStr">
        <is>
          <t>SKELLEFTEÅ</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55262-2023</t>
        </is>
      </c>
      <c r="B12526" s="1" t="n">
        <v>45231</v>
      </c>
      <c r="C12526" s="1" t="n">
        <v>45357</v>
      </c>
      <c r="D12526" t="inlineStr">
        <is>
          <t>VÄSTERBOTTENS LÄN</t>
        </is>
      </c>
      <c r="E12526" t="inlineStr">
        <is>
          <t>VÄNNÄS</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55444-2023</t>
        </is>
      </c>
      <c r="B12527" s="1" t="n">
        <v>45231</v>
      </c>
      <c r="C12527" s="1" t="n">
        <v>45357</v>
      </c>
      <c r="D12527" t="inlineStr">
        <is>
          <t>VÄSTERBOTTENS LÄN</t>
        </is>
      </c>
      <c r="E12527" t="inlineStr">
        <is>
          <t>VÄNNÄS</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55414-2023</t>
        </is>
      </c>
      <c r="B12528" s="1" t="n">
        <v>45231</v>
      </c>
      <c r="C12528" s="1" t="n">
        <v>45357</v>
      </c>
      <c r="D12528" t="inlineStr">
        <is>
          <t>VÄSTERBOTTENS LÄN</t>
        </is>
      </c>
      <c r="E12528" t="inlineStr">
        <is>
          <t>SKELLEFTEÅ</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55468-2023</t>
        </is>
      </c>
      <c r="B12529" s="1" t="n">
        <v>45231</v>
      </c>
      <c r="C12529" s="1" t="n">
        <v>45357</v>
      </c>
      <c r="D12529" t="inlineStr">
        <is>
          <t>VÄSTERBOTTENS LÄN</t>
        </is>
      </c>
      <c r="E12529" t="inlineStr">
        <is>
          <t>MALÅ</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54027-2023</t>
        </is>
      </c>
      <c r="B12530" s="1" t="n">
        <v>45231</v>
      </c>
      <c r="C12530" s="1" t="n">
        <v>45357</v>
      </c>
      <c r="D12530" t="inlineStr">
        <is>
          <t>VÄSTERBOTTENS LÄN</t>
        </is>
      </c>
      <c r="E12530" t="inlineStr">
        <is>
          <t>MALÅ</t>
        </is>
      </c>
      <c r="G12530" t="n">
        <v>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55420-2023</t>
        </is>
      </c>
      <c r="B12531" s="1" t="n">
        <v>45231</v>
      </c>
      <c r="C12531" s="1" t="n">
        <v>45357</v>
      </c>
      <c r="D12531" t="inlineStr">
        <is>
          <t>VÄSTERBOTTENS LÄN</t>
        </is>
      </c>
      <c r="E12531" t="inlineStr">
        <is>
          <t>SKELLEFTEÅ</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53839-2023</t>
        </is>
      </c>
      <c r="B12532" s="1" t="n">
        <v>45231</v>
      </c>
      <c r="C12532" s="1" t="n">
        <v>45357</v>
      </c>
      <c r="D12532" t="inlineStr">
        <is>
          <t>VÄSTERBOTTENS LÄN</t>
        </is>
      </c>
      <c r="E12532" t="inlineStr">
        <is>
          <t>LYCKSELE</t>
        </is>
      </c>
      <c r="F12532" t="inlineStr">
        <is>
          <t>Sveaskog</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54024-2023</t>
        </is>
      </c>
      <c r="B12533" s="1" t="n">
        <v>45231</v>
      </c>
      <c r="C12533" s="1" t="n">
        <v>45357</v>
      </c>
      <c r="D12533" t="inlineStr">
        <is>
          <t>VÄSTERBOTTENS LÄN</t>
        </is>
      </c>
      <c r="E12533" t="inlineStr">
        <is>
          <t>SKELLEFTEÅ</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55483-2023</t>
        </is>
      </c>
      <c r="B12534" s="1" t="n">
        <v>45231</v>
      </c>
      <c r="C12534" s="1" t="n">
        <v>45357</v>
      </c>
      <c r="D12534" t="inlineStr">
        <is>
          <t>VÄSTERBOTTENS LÄN</t>
        </is>
      </c>
      <c r="E12534" t="inlineStr">
        <is>
          <t>VINDELN</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55413-2023</t>
        </is>
      </c>
      <c r="B12535" s="1" t="n">
        <v>45231</v>
      </c>
      <c r="C12535" s="1" t="n">
        <v>45357</v>
      </c>
      <c r="D12535" t="inlineStr">
        <is>
          <t>VÄSTERBOTTENS LÄN</t>
        </is>
      </c>
      <c r="E12535" t="inlineStr">
        <is>
          <t>SKELLEFTEÅ</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54087-2023</t>
        </is>
      </c>
      <c r="B12536" s="1" t="n">
        <v>45232</v>
      </c>
      <c r="C12536" s="1" t="n">
        <v>45357</v>
      </c>
      <c r="D12536" t="inlineStr">
        <is>
          <t>VÄSTERBOTTENS LÄN</t>
        </is>
      </c>
      <c r="E12536" t="inlineStr">
        <is>
          <t>SKELLEFTEÅ</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54111-2023</t>
        </is>
      </c>
      <c r="B12537" s="1" t="n">
        <v>45232</v>
      </c>
      <c r="C12537" s="1" t="n">
        <v>45357</v>
      </c>
      <c r="D12537" t="inlineStr">
        <is>
          <t>VÄSTERBOTTENS LÄN</t>
        </is>
      </c>
      <c r="E12537" t="inlineStr">
        <is>
          <t>SKELLEFTEÅ</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54113-2023</t>
        </is>
      </c>
      <c r="B12538" s="1" t="n">
        <v>45232</v>
      </c>
      <c r="C12538" s="1" t="n">
        <v>45357</v>
      </c>
      <c r="D12538" t="inlineStr">
        <is>
          <t>VÄSTERBOTTENS LÄN</t>
        </is>
      </c>
      <c r="E12538" t="inlineStr">
        <is>
          <t>SKELLEFTEÅ</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54138-2023</t>
        </is>
      </c>
      <c r="B12539" s="1" t="n">
        <v>45232</v>
      </c>
      <c r="C12539" s="1" t="n">
        <v>45357</v>
      </c>
      <c r="D12539" t="inlineStr">
        <is>
          <t>VÄSTERBOTTENS LÄN</t>
        </is>
      </c>
      <c r="E12539" t="inlineStr">
        <is>
          <t>NORDMALING</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54226-2023</t>
        </is>
      </c>
      <c r="B12540" s="1" t="n">
        <v>45232</v>
      </c>
      <c r="C12540" s="1" t="n">
        <v>45357</v>
      </c>
      <c r="D12540" t="inlineStr">
        <is>
          <t>VÄSTERBOTTENS LÄN</t>
        </is>
      </c>
      <c r="E12540" t="inlineStr">
        <is>
          <t>LYCKSELE</t>
        </is>
      </c>
      <c r="F12540" t="inlineStr">
        <is>
          <t>Sveaskog</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54234-2023</t>
        </is>
      </c>
      <c r="B12541" s="1" t="n">
        <v>45232</v>
      </c>
      <c r="C12541" s="1" t="n">
        <v>45357</v>
      </c>
      <c r="D12541" t="inlineStr">
        <is>
          <t>VÄSTERBOTTENS LÄN</t>
        </is>
      </c>
      <c r="E12541" t="inlineStr">
        <is>
          <t>LYCKSELE</t>
        </is>
      </c>
      <c r="F12541" t="inlineStr">
        <is>
          <t>Holmen skog AB</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54242-2023</t>
        </is>
      </c>
      <c r="B12542" s="1" t="n">
        <v>45232</v>
      </c>
      <c r="C12542" s="1" t="n">
        <v>45357</v>
      </c>
      <c r="D12542" t="inlineStr">
        <is>
          <t>VÄSTERBOTTENS LÄN</t>
        </is>
      </c>
      <c r="E12542" t="inlineStr">
        <is>
          <t>LYCKSELE</t>
        </is>
      </c>
      <c r="F12542" t="inlineStr">
        <is>
          <t>Holmen skog AB</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54227-2023</t>
        </is>
      </c>
      <c r="B12543" s="1" t="n">
        <v>45232</v>
      </c>
      <c r="C12543" s="1" t="n">
        <v>45357</v>
      </c>
      <c r="D12543" t="inlineStr">
        <is>
          <t>VÄSTERBOTTENS LÄN</t>
        </is>
      </c>
      <c r="E12543" t="inlineStr">
        <is>
          <t>LYCKSELE</t>
        </is>
      </c>
      <c r="F12543" t="inlineStr">
        <is>
          <t>Sveaskog</t>
        </is>
      </c>
      <c r="G12543" t="n">
        <v>12.9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54316-2023</t>
        </is>
      </c>
      <c r="B12544" s="1" t="n">
        <v>45232</v>
      </c>
      <c r="C12544" s="1" t="n">
        <v>45357</v>
      </c>
      <c r="D12544" t="inlineStr">
        <is>
          <t>VÄSTERBOTTENS LÄN</t>
        </is>
      </c>
      <c r="E12544" t="inlineStr">
        <is>
          <t>VILHELMINA</t>
        </is>
      </c>
      <c r="G12544" t="n">
        <v>4.1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54220-2023</t>
        </is>
      </c>
      <c r="B12545" s="1" t="n">
        <v>45232</v>
      </c>
      <c r="C12545" s="1" t="n">
        <v>45357</v>
      </c>
      <c r="D12545" t="inlineStr">
        <is>
          <t>VÄSTERBOTTENS LÄN</t>
        </is>
      </c>
      <c r="E12545" t="inlineStr">
        <is>
          <t>VINDELN</t>
        </is>
      </c>
      <c r="F12545" t="inlineStr">
        <is>
          <t>Holmen skog AB</t>
        </is>
      </c>
      <c r="G12545" t="n">
        <v>7.9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55714-2023</t>
        </is>
      </c>
      <c r="B12546" s="1" t="n">
        <v>45232</v>
      </c>
      <c r="C12546" s="1" t="n">
        <v>45357</v>
      </c>
      <c r="D12546" t="inlineStr">
        <is>
          <t>VÄSTERBOTTENS LÄN</t>
        </is>
      </c>
      <c r="E12546" t="inlineStr">
        <is>
          <t>VILHELMINA</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55783-2023</t>
        </is>
      </c>
      <c r="B12547" s="1" t="n">
        <v>45232</v>
      </c>
      <c r="C12547" s="1" t="n">
        <v>45357</v>
      </c>
      <c r="D12547" t="inlineStr">
        <is>
          <t>VÄSTERBOTTENS LÄN</t>
        </is>
      </c>
      <c r="E12547" t="inlineStr">
        <is>
          <t>SKELLEFTEÅ</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55581-2023</t>
        </is>
      </c>
      <c r="B12548" s="1" t="n">
        <v>45232</v>
      </c>
      <c r="C12548" s="1" t="n">
        <v>45357</v>
      </c>
      <c r="D12548" t="inlineStr">
        <is>
          <t>VÄSTERBOTTENS LÄN</t>
        </is>
      </c>
      <c r="E12548" t="inlineStr">
        <is>
          <t>MALÅ</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55688-2023</t>
        </is>
      </c>
      <c r="B12549" s="1" t="n">
        <v>45232</v>
      </c>
      <c r="C12549" s="1" t="n">
        <v>45357</v>
      </c>
      <c r="D12549" t="inlineStr">
        <is>
          <t>VÄSTERBOTTENS LÄN</t>
        </is>
      </c>
      <c r="E12549" t="inlineStr">
        <is>
          <t>VILHELMINA</t>
        </is>
      </c>
      <c r="G12549" t="n">
        <v>6.4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54281-2023</t>
        </is>
      </c>
      <c r="B12550" s="1" t="n">
        <v>45232</v>
      </c>
      <c r="C12550" s="1" t="n">
        <v>45357</v>
      </c>
      <c r="D12550" t="inlineStr">
        <is>
          <t>VÄSTERBOTTENS LÄN</t>
        </is>
      </c>
      <c r="E12550" t="inlineStr">
        <is>
          <t>MALÅ</t>
        </is>
      </c>
      <c r="F12550" t="inlineStr">
        <is>
          <t>Sveaskog</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55512-2023</t>
        </is>
      </c>
      <c r="B12551" s="1" t="n">
        <v>45232</v>
      </c>
      <c r="C12551" s="1" t="n">
        <v>45357</v>
      </c>
      <c r="D12551" t="inlineStr">
        <is>
          <t>VÄSTERBOTTENS LÄN</t>
        </is>
      </c>
      <c r="E12551" t="inlineStr">
        <is>
          <t>BJURHOLM</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55722-2023</t>
        </is>
      </c>
      <c r="B12552" s="1" t="n">
        <v>45232</v>
      </c>
      <c r="C12552" s="1" t="n">
        <v>45357</v>
      </c>
      <c r="D12552" t="inlineStr">
        <is>
          <t>VÄSTERBOTTENS LÄN</t>
        </is>
      </c>
      <c r="E12552" t="inlineStr">
        <is>
          <t>VILHELMINA</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55706-2023</t>
        </is>
      </c>
      <c r="B12553" s="1" t="n">
        <v>45232</v>
      </c>
      <c r="C12553" s="1" t="n">
        <v>45357</v>
      </c>
      <c r="D12553" t="inlineStr">
        <is>
          <t>VÄSTERBOTTENS LÄN</t>
        </is>
      </c>
      <c r="E12553" t="inlineStr">
        <is>
          <t>VILHELMINA</t>
        </is>
      </c>
      <c r="G12553" t="n">
        <v>17.3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55738-2023</t>
        </is>
      </c>
      <c r="B12554" s="1" t="n">
        <v>45232</v>
      </c>
      <c r="C12554" s="1" t="n">
        <v>45357</v>
      </c>
      <c r="D12554" t="inlineStr">
        <is>
          <t>VÄSTERBOTTENS LÄN</t>
        </is>
      </c>
      <c r="E12554" t="inlineStr">
        <is>
          <t>DOROTEA</t>
        </is>
      </c>
      <c r="G12554" t="n">
        <v>6.8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55853-2023</t>
        </is>
      </c>
      <c r="B12555" s="1" t="n">
        <v>45233</v>
      </c>
      <c r="C12555" s="1" t="n">
        <v>45357</v>
      </c>
      <c r="D12555" t="inlineStr">
        <is>
          <t>VÄSTERBOTTENS LÄN</t>
        </is>
      </c>
      <c r="E12555" t="inlineStr">
        <is>
          <t>MALÅ</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54596-2023</t>
        </is>
      </c>
      <c r="B12556" s="1" t="n">
        <v>45233</v>
      </c>
      <c r="C12556" s="1" t="n">
        <v>45357</v>
      </c>
      <c r="D12556" t="inlineStr">
        <is>
          <t>VÄSTERBOTTENS LÄN</t>
        </is>
      </c>
      <c r="E12556" t="inlineStr">
        <is>
          <t>SKELLEFTEÅ</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55846-2023</t>
        </is>
      </c>
      <c r="B12557" s="1" t="n">
        <v>45233</v>
      </c>
      <c r="C12557" s="1" t="n">
        <v>45357</v>
      </c>
      <c r="D12557" t="inlineStr">
        <is>
          <t>VÄSTERBOTTENS LÄN</t>
        </is>
      </c>
      <c r="E12557" t="inlineStr">
        <is>
          <t>MALÅ</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54542-2023</t>
        </is>
      </c>
      <c r="B12558" s="1" t="n">
        <v>45233</v>
      </c>
      <c r="C12558" s="1" t="n">
        <v>45357</v>
      </c>
      <c r="D12558" t="inlineStr">
        <is>
          <t>VÄSTERBOTTENS LÄN</t>
        </is>
      </c>
      <c r="E12558" t="inlineStr">
        <is>
          <t>MALÅ</t>
        </is>
      </c>
      <c r="F12558" t="inlineStr">
        <is>
          <t>Sveaskog</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54603-2023</t>
        </is>
      </c>
      <c r="B12559" s="1" t="n">
        <v>45233</v>
      </c>
      <c r="C12559" s="1" t="n">
        <v>45357</v>
      </c>
      <c r="D12559" t="inlineStr">
        <is>
          <t>VÄSTERBOTTENS LÄN</t>
        </is>
      </c>
      <c r="E12559" t="inlineStr">
        <is>
          <t>DOROTEA</t>
        </is>
      </c>
      <c r="F12559" t="inlineStr">
        <is>
          <t>SCA</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54452-2023</t>
        </is>
      </c>
      <c r="B12560" s="1" t="n">
        <v>45233</v>
      </c>
      <c r="C12560" s="1" t="n">
        <v>45357</v>
      </c>
      <c r="D12560" t="inlineStr">
        <is>
          <t>VÄSTERBOTTENS LÄN</t>
        </is>
      </c>
      <c r="E12560" t="inlineStr">
        <is>
          <t>ÅSELE</t>
        </is>
      </c>
      <c r="F12560" t="inlineStr">
        <is>
          <t>Holmen skog AB</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54446-2023</t>
        </is>
      </c>
      <c r="B12561" s="1" t="n">
        <v>45233</v>
      </c>
      <c r="C12561" s="1" t="n">
        <v>45357</v>
      </c>
      <c r="D12561" t="inlineStr">
        <is>
          <t>VÄSTERBOTTENS LÄN</t>
        </is>
      </c>
      <c r="E12561" t="inlineStr">
        <is>
          <t>LYCKSELE</t>
        </is>
      </c>
      <c r="G12561" t="n">
        <v>21.4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54604-2023</t>
        </is>
      </c>
      <c r="B12562" s="1" t="n">
        <v>45233</v>
      </c>
      <c r="C12562" s="1" t="n">
        <v>45357</v>
      </c>
      <c r="D12562" t="inlineStr">
        <is>
          <t>VÄSTERBOTTENS LÄN</t>
        </is>
      </c>
      <c r="E12562" t="inlineStr">
        <is>
          <t>DOROTEA</t>
        </is>
      </c>
      <c r="F12562" t="inlineStr">
        <is>
          <t>SCA</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54476-2023</t>
        </is>
      </c>
      <c r="B12563" s="1" t="n">
        <v>45233</v>
      </c>
      <c r="C12563" s="1" t="n">
        <v>45357</v>
      </c>
      <c r="D12563" t="inlineStr">
        <is>
          <t>VÄSTERBOTTENS LÄN</t>
        </is>
      </c>
      <c r="E12563" t="inlineStr">
        <is>
          <t>SKELLEFTEÅ</t>
        </is>
      </c>
      <c r="G12563" t="n">
        <v>11.3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54484-2023</t>
        </is>
      </c>
      <c r="B12564" s="1" t="n">
        <v>45233</v>
      </c>
      <c r="C12564" s="1" t="n">
        <v>45357</v>
      </c>
      <c r="D12564" t="inlineStr">
        <is>
          <t>VÄSTERBOTTENS LÄN</t>
        </is>
      </c>
      <c r="E12564" t="inlineStr">
        <is>
          <t>ROBERTSFORS</t>
        </is>
      </c>
      <c r="F12564" t="inlineStr">
        <is>
          <t>Sveaskog</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54500-2023</t>
        </is>
      </c>
      <c r="B12565" s="1" t="n">
        <v>45233</v>
      </c>
      <c r="C12565" s="1" t="n">
        <v>45357</v>
      </c>
      <c r="D12565" t="inlineStr">
        <is>
          <t>VÄSTERBOTTENS LÄN</t>
        </is>
      </c>
      <c r="E12565" t="inlineStr">
        <is>
          <t>ROBERTSFORS</t>
        </is>
      </c>
      <c r="F12565" t="inlineStr">
        <is>
          <t>Sveaskog</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54483-2023</t>
        </is>
      </c>
      <c r="B12566" s="1" t="n">
        <v>45233</v>
      </c>
      <c r="C12566" s="1" t="n">
        <v>45357</v>
      </c>
      <c r="D12566" t="inlineStr">
        <is>
          <t>VÄSTERBOTTENS LÄN</t>
        </is>
      </c>
      <c r="E12566" t="inlineStr">
        <is>
          <t>ROBERTSFORS</t>
        </is>
      </c>
      <c r="F12566" t="inlineStr">
        <is>
          <t>Sveaskog</t>
        </is>
      </c>
      <c r="G12566" t="n">
        <v>12.3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54601-2023</t>
        </is>
      </c>
      <c r="B12567" s="1" t="n">
        <v>45233</v>
      </c>
      <c r="C12567" s="1" t="n">
        <v>45357</v>
      </c>
      <c r="D12567" t="inlineStr">
        <is>
          <t>VÄSTERBOTTENS LÄN</t>
        </is>
      </c>
      <c r="E12567" t="inlineStr">
        <is>
          <t>VILHELMINA</t>
        </is>
      </c>
      <c r="F12567" t="inlineStr">
        <is>
          <t>SCA</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54437-2023</t>
        </is>
      </c>
      <c r="B12568" s="1" t="n">
        <v>45233</v>
      </c>
      <c r="C12568" s="1" t="n">
        <v>45357</v>
      </c>
      <c r="D12568" t="inlineStr">
        <is>
          <t>VÄSTERBOTTENS LÄN</t>
        </is>
      </c>
      <c r="E12568" t="inlineStr">
        <is>
          <t>MALÅ</t>
        </is>
      </c>
      <c r="G12568" t="n">
        <v>5.7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54361-2023</t>
        </is>
      </c>
      <c r="B12569" s="1" t="n">
        <v>45233</v>
      </c>
      <c r="C12569" s="1" t="n">
        <v>45357</v>
      </c>
      <c r="D12569" t="inlineStr">
        <is>
          <t>VÄSTERBOTTENS LÄN</t>
        </is>
      </c>
      <c r="E12569" t="inlineStr">
        <is>
          <t>SKELLEFTEÅ</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54680-2023</t>
        </is>
      </c>
      <c r="B12570" s="1" t="n">
        <v>45235</v>
      </c>
      <c r="C12570" s="1" t="n">
        <v>45357</v>
      </c>
      <c r="D12570" t="inlineStr">
        <is>
          <t>VÄSTERBOTTENS LÄN</t>
        </is>
      </c>
      <c r="E12570" t="inlineStr">
        <is>
          <t>ÅSELE</t>
        </is>
      </c>
      <c r="F12570" t="inlineStr">
        <is>
          <t>Holmen skog AB</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56114-2023</t>
        </is>
      </c>
      <c r="B12571" s="1" t="n">
        <v>45235</v>
      </c>
      <c r="C12571" s="1" t="n">
        <v>45357</v>
      </c>
      <c r="D12571" t="inlineStr">
        <is>
          <t>VÄSTERBOTTENS LÄN</t>
        </is>
      </c>
      <c r="E12571" t="inlineStr">
        <is>
          <t>SKELLEFTEÅ</t>
        </is>
      </c>
      <c r="G12571" t="n">
        <v>18.1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56111-2023</t>
        </is>
      </c>
      <c r="B12572" s="1" t="n">
        <v>45235</v>
      </c>
      <c r="C12572" s="1" t="n">
        <v>45357</v>
      </c>
      <c r="D12572" t="inlineStr">
        <is>
          <t>VÄSTERBOTTENS LÄN</t>
        </is>
      </c>
      <c r="E12572" t="inlineStr">
        <is>
          <t>SKELLEFTEÅ</t>
        </is>
      </c>
      <c r="G12572" t="n">
        <v>6.6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56108-2023</t>
        </is>
      </c>
      <c r="B12573" s="1" t="n">
        <v>45235</v>
      </c>
      <c r="C12573" s="1" t="n">
        <v>45357</v>
      </c>
      <c r="D12573" t="inlineStr">
        <is>
          <t>VÄSTERBOTTENS LÄN</t>
        </is>
      </c>
      <c r="E12573" t="inlineStr">
        <is>
          <t>SKELLEFTEÅ</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56104-2023</t>
        </is>
      </c>
      <c r="B12574" s="1" t="n">
        <v>45235</v>
      </c>
      <c r="C12574" s="1" t="n">
        <v>45357</v>
      </c>
      <c r="D12574" t="inlineStr">
        <is>
          <t>VÄSTERBOTTENS LÄN</t>
        </is>
      </c>
      <c r="E12574" t="inlineStr">
        <is>
          <t>SKELLEFTEÅ</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54718-2023</t>
        </is>
      </c>
      <c r="B12575" s="1" t="n">
        <v>45236</v>
      </c>
      <c r="C12575" s="1" t="n">
        <v>45357</v>
      </c>
      <c r="D12575" t="inlineStr">
        <is>
          <t>VÄSTERBOTTENS LÄN</t>
        </is>
      </c>
      <c r="E12575" t="inlineStr">
        <is>
          <t>UMEÅ</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54733-2023</t>
        </is>
      </c>
      <c r="B12576" s="1" t="n">
        <v>45236</v>
      </c>
      <c r="C12576" s="1" t="n">
        <v>45357</v>
      </c>
      <c r="D12576" t="inlineStr">
        <is>
          <t>VÄSTERBOTTENS LÄN</t>
        </is>
      </c>
      <c r="E12576" t="inlineStr">
        <is>
          <t>VILHELMINA</t>
        </is>
      </c>
      <c r="F12576" t="inlineStr">
        <is>
          <t>Sveaskog</t>
        </is>
      </c>
      <c r="G12576" t="n">
        <v>7.1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54746-2023</t>
        </is>
      </c>
      <c r="B12577" s="1" t="n">
        <v>45236</v>
      </c>
      <c r="C12577" s="1" t="n">
        <v>45357</v>
      </c>
      <c r="D12577" t="inlineStr">
        <is>
          <t>VÄSTERBOTTENS LÄN</t>
        </is>
      </c>
      <c r="E12577" t="inlineStr">
        <is>
          <t>ÅSELE</t>
        </is>
      </c>
      <c r="F12577" t="inlineStr">
        <is>
          <t>Sveaskog</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54813-2023</t>
        </is>
      </c>
      <c r="B12578" s="1" t="n">
        <v>45236</v>
      </c>
      <c r="C12578" s="1" t="n">
        <v>45357</v>
      </c>
      <c r="D12578" t="inlineStr">
        <is>
          <t>VÄSTERBOTTENS LÄN</t>
        </is>
      </c>
      <c r="E12578" t="inlineStr">
        <is>
          <t>SKELLEFTEÅ</t>
        </is>
      </c>
      <c r="F12578" t="inlineStr">
        <is>
          <t>Sveaskog</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54841-2023</t>
        </is>
      </c>
      <c r="B12579" s="1" t="n">
        <v>45236</v>
      </c>
      <c r="C12579" s="1" t="n">
        <v>45357</v>
      </c>
      <c r="D12579" t="inlineStr">
        <is>
          <t>VÄSTERBOTTENS LÄN</t>
        </is>
      </c>
      <c r="E12579" t="inlineStr">
        <is>
          <t>MALÅ</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54893-2023</t>
        </is>
      </c>
      <c r="B12580" s="1" t="n">
        <v>45236</v>
      </c>
      <c r="C12580" s="1" t="n">
        <v>45357</v>
      </c>
      <c r="D12580" t="inlineStr">
        <is>
          <t>VÄSTERBOTTENS LÄN</t>
        </is>
      </c>
      <c r="E12580" t="inlineStr">
        <is>
          <t>LYCKSELE</t>
        </is>
      </c>
      <c r="F12580" t="inlineStr">
        <is>
          <t>Sveaskog</t>
        </is>
      </c>
      <c r="G12580" t="n">
        <v>6.5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54983-2023</t>
        </is>
      </c>
      <c r="B12581" s="1" t="n">
        <v>45237</v>
      </c>
      <c r="C12581" s="1" t="n">
        <v>45357</v>
      </c>
      <c r="D12581" t="inlineStr">
        <is>
          <t>VÄSTERBOTTENS LÄN</t>
        </is>
      </c>
      <c r="E12581" t="inlineStr">
        <is>
          <t>VILHELMINA</t>
        </is>
      </c>
      <c r="F12581" t="inlineStr">
        <is>
          <t>SCA</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54821-2023</t>
        </is>
      </c>
      <c r="B12582" s="1" t="n">
        <v>45236</v>
      </c>
      <c r="C12582" s="1" t="n">
        <v>45357</v>
      </c>
      <c r="D12582" t="inlineStr">
        <is>
          <t>VÄSTERBOTTENS LÄN</t>
        </is>
      </c>
      <c r="E12582" t="inlineStr">
        <is>
          <t>SKELLEFTEÅ</t>
        </is>
      </c>
      <c r="F12582" t="inlineStr">
        <is>
          <t>Kommuner</t>
        </is>
      </c>
      <c r="G12582" t="n">
        <v>8.9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56185-2023</t>
        </is>
      </c>
      <c r="B12583" s="1" t="n">
        <v>45236</v>
      </c>
      <c r="C12583" s="1" t="n">
        <v>45357</v>
      </c>
      <c r="D12583" t="inlineStr">
        <is>
          <t>VÄSTERBOTTENS LÄN</t>
        </is>
      </c>
      <c r="E12583" t="inlineStr">
        <is>
          <t>SKELLEFTEÅ</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54700-2023</t>
        </is>
      </c>
      <c r="B12584" s="1" t="n">
        <v>45236</v>
      </c>
      <c r="C12584" s="1" t="n">
        <v>45357</v>
      </c>
      <c r="D12584" t="inlineStr">
        <is>
          <t>VÄSTERBOTTENS LÄN</t>
        </is>
      </c>
      <c r="E12584" t="inlineStr">
        <is>
          <t>SKELLEFTEÅ</t>
        </is>
      </c>
      <c r="F12584" t="inlineStr">
        <is>
          <t>Holmen skog AB</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54741-2023</t>
        </is>
      </c>
      <c r="B12585" s="1" t="n">
        <v>45236</v>
      </c>
      <c r="C12585" s="1" t="n">
        <v>45357</v>
      </c>
      <c r="D12585" t="inlineStr">
        <is>
          <t>VÄSTERBOTTENS LÄN</t>
        </is>
      </c>
      <c r="E12585" t="inlineStr">
        <is>
          <t>ÅSELE</t>
        </is>
      </c>
      <c r="F12585" t="inlineStr">
        <is>
          <t>Sveaskog</t>
        </is>
      </c>
      <c r="G12585" t="n">
        <v>23.4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54765-2023</t>
        </is>
      </c>
      <c r="B12586" s="1" t="n">
        <v>45236</v>
      </c>
      <c r="C12586" s="1" t="n">
        <v>45357</v>
      </c>
      <c r="D12586" t="inlineStr">
        <is>
          <t>VÄSTERBOTTENS LÄN</t>
        </is>
      </c>
      <c r="E12586" t="inlineStr">
        <is>
          <t>ÅSELE</t>
        </is>
      </c>
      <c r="F12586" t="inlineStr">
        <is>
          <t>Sveaskog</t>
        </is>
      </c>
      <c r="G12586" t="n">
        <v>18.9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54984-2023</t>
        </is>
      </c>
      <c r="B12587" s="1" t="n">
        <v>45236</v>
      </c>
      <c r="C12587" s="1" t="n">
        <v>45357</v>
      </c>
      <c r="D12587" t="inlineStr">
        <is>
          <t>VÄSTERBOTTENS LÄN</t>
        </is>
      </c>
      <c r="E12587" t="inlineStr">
        <is>
          <t>VILHELMINA</t>
        </is>
      </c>
      <c r="F12587" t="inlineStr">
        <is>
          <t>SCA</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56315-2023</t>
        </is>
      </c>
      <c r="B12588" s="1" t="n">
        <v>45236</v>
      </c>
      <c r="C12588" s="1" t="n">
        <v>45357</v>
      </c>
      <c r="D12588" t="inlineStr">
        <is>
          <t>VÄSTERBOTTENS LÄN</t>
        </is>
      </c>
      <c r="E12588" t="inlineStr">
        <is>
          <t>BJURHOLM</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54850-2023</t>
        </is>
      </c>
      <c r="B12589" s="1" t="n">
        <v>45236</v>
      </c>
      <c r="C12589" s="1" t="n">
        <v>45357</v>
      </c>
      <c r="D12589" t="inlineStr">
        <is>
          <t>VÄSTERBOTTENS LÄN</t>
        </is>
      </c>
      <c r="E12589" t="inlineStr">
        <is>
          <t>MALÅ</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54928-2023</t>
        </is>
      </c>
      <c r="B12590" s="1" t="n">
        <v>45236</v>
      </c>
      <c r="C12590" s="1" t="n">
        <v>45357</v>
      </c>
      <c r="D12590" t="inlineStr">
        <is>
          <t>VÄSTERBOTTENS LÄN</t>
        </is>
      </c>
      <c r="E12590" t="inlineStr">
        <is>
          <t>MALÅ</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56121-2023</t>
        </is>
      </c>
      <c r="B12591" s="1" t="n">
        <v>45236</v>
      </c>
      <c r="C12591" s="1" t="n">
        <v>45357</v>
      </c>
      <c r="D12591" t="inlineStr">
        <is>
          <t>VÄSTERBOTTENS LÄN</t>
        </is>
      </c>
      <c r="E12591" t="inlineStr">
        <is>
          <t>BJURHOLM</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56323-2023</t>
        </is>
      </c>
      <c r="B12592" s="1" t="n">
        <v>45236</v>
      </c>
      <c r="C12592" s="1" t="n">
        <v>45357</v>
      </c>
      <c r="D12592" t="inlineStr">
        <is>
          <t>VÄSTERBOTTENS LÄN</t>
        </is>
      </c>
      <c r="E12592" t="inlineStr">
        <is>
          <t>SKELLEFTEÅ</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54811-2023</t>
        </is>
      </c>
      <c r="B12593" s="1" t="n">
        <v>45236</v>
      </c>
      <c r="C12593" s="1" t="n">
        <v>45357</v>
      </c>
      <c r="D12593" t="inlineStr">
        <is>
          <t>VÄSTERBOTTENS LÄN</t>
        </is>
      </c>
      <c r="E12593" t="inlineStr">
        <is>
          <t>SKELLEFTEÅ</t>
        </is>
      </c>
      <c r="F12593" t="inlineStr">
        <is>
          <t>Sveaskog</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54891-2023</t>
        </is>
      </c>
      <c r="B12594" s="1" t="n">
        <v>45236</v>
      </c>
      <c r="C12594" s="1" t="n">
        <v>45357</v>
      </c>
      <c r="D12594" t="inlineStr">
        <is>
          <t>VÄSTERBOTTENS LÄN</t>
        </is>
      </c>
      <c r="E12594" t="inlineStr">
        <is>
          <t>LYCKSELE</t>
        </is>
      </c>
      <c r="F12594" t="inlineStr">
        <is>
          <t>Sveaskog</t>
        </is>
      </c>
      <c r="G12594" t="n">
        <v>3.5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54981-2023</t>
        </is>
      </c>
      <c r="B12595" s="1" t="n">
        <v>45237</v>
      </c>
      <c r="C12595" s="1" t="n">
        <v>45357</v>
      </c>
      <c r="D12595" t="inlineStr">
        <is>
          <t>VÄSTERBOTTENS LÄN</t>
        </is>
      </c>
      <c r="E12595" t="inlineStr">
        <is>
          <t>VILHELMINA</t>
        </is>
      </c>
      <c r="F12595" t="inlineStr">
        <is>
          <t>SCA</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54985-2023</t>
        </is>
      </c>
      <c r="B12596" s="1" t="n">
        <v>45236</v>
      </c>
      <c r="C12596" s="1" t="n">
        <v>45357</v>
      </c>
      <c r="D12596" t="inlineStr">
        <is>
          <t>VÄSTERBOTTENS LÄN</t>
        </is>
      </c>
      <c r="E12596" t="inlineStr">
        <is>
          <t>VILHELMINA</t>
        </is>
      </c>
      <c r="F12596" t="inlineStr">
        <is>
          <t>SCA</t>
        </is>
      </c>
      <c r="G12596" t="n">
        <v>7.5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56316-2023</t>
        </is>
      </c>
      <c r="B12597" s="1" t="n">
        <v>45236</v>
      </c>
      <c r="C12597" s="1" t="n">
        <v>45357</v>
      </c>
      <c r="D12597" t="inlineStr">
        <is>
          <t>VÄSTERBOTTENS LÄN</t>
        </is>
      </c>
      <c r="E12597" t="inlineStr">
        <is>
          <t>DOROTEA</t>
        </is>
      </c>
      <c r="G12597" t="n">
        <v>5.7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55094-2023</t>
        </is>
      </c>
      <c r="B12598" s="1" t="n">
        <v>45237</v>
      </c>
      <c r="C12598" s="1" t="n">
        <v>45357</v>
      </c>
      <c r="D12598" t="inlineStr">
        <is>
          <t>VÄSTERBOTTENS LÄN</t>
        </is>
      </c>
      <c r="E12598" t="inlineStr">
        <is>
          <t>LYCKSELE</t>
        </is>
      </c>
      <c r="F12598" t="inlineStr">
        <is>
          <t>Sveaskog</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55113-2023</t>
        </is>
      </c>
      <c r="B12599" s="1" t="n">
        <v>45237</v>
      </c>
      <c r="C12599" s="1" t="n">
        <v>45357</v>
      </c>
      <c r="D12599" t="inlineStr">
        <is>
          <t>VÄSTERBOTTENS LÄN</t>
        </is>
      </c>
      <c r="E12599" t="inlineStr">
        <is>
          <t>NORDMALING</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55142-2023</t>
        </is>
      </c>
      <c r="B12600" s="1" t="n">
        <v>45237</v>
      </c>
      <c r="C12600" s="1" t="n">
        <v>45357</v>
      </c>
      <c r="D12600" t="inlineStr">
        <is>
          <t>VÄSTERBOTTENS LÄN</t>
        </is>
      </c>
      <c r="E12600" t="inlineStr">
        <is>
          <t>LYCKSELE</t>
        </is>
      </c>
      <c r="F12600" t="inlineStr">
        <is>
          <t>Sveaskog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55053-2023</t>
        </is>
      </c>
      <c r="B12601" s="1" t="n">
        <v>45237</v>
      </c>
      <c r="C12601" s="1" t="n">
        <v>45357</v>
      </c>
      <c r="D12601" t="inlineStr">
        <is>
          <t>VÄSTERBOTTENS LÄN</t>
        </is>
      </c>
      <c r="E12601" t="inlineStr">
        <is>
          <t>UMEÅ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55141-2023</t>
        </is>
      </c>
      <c r="B12602" s="1" t="n">
        <v>45237</v>
      </c>
      <c r="C12602" s="1" t="n">
        <v>45357</v>
      </c>
      <c r="D12602" t="inlineStr">
        <is>
          <t>VÄSTERBOTTENS LÄN</t>
        </is>
      </c>
      <c r="E12602" t="inlineStr">
        <is>
          <t>MALÅ</t>
        </is>
      </c>
      <c r="F12602" t="inlineStr">
        <is>
          <t>Sveaskog</t>
        </is>
      </c>
      <c r="G12602" t="n">
        <v>7.3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55130-2023</t>
        </is>
      </c>
      <c r="B12603" s="1" t="n">
        <v>45237</v>
      </c>
      <c r="C12603" s="1" t="n">
        <v>45357</v>
      </c>
      <c r="D12603" t="inlineStr">
        <is>
          <t>VÄSTERBOTTENS LÄN</t>
        </is>
      </c>
      <c r="E12603" t="inlineStr">
        <is>
          <t>NORDMALING</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55173-2023</t>
        </is>
      </c>
      <c r="B12604" s="1" t="n">
        <v>45237</v>
      </c>
      <c r="C12604" s="1" t="n">
        <v>45357</v>
      </c>
      <c r="D12604" t="inlineStr">
        <is>
          <t>VÄSTERBOTTENS LÄN</t>
        </is>
      </c>
      <c r="E12604" t="inlineStr">
        <is>
          <t>VÄNNÄS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55226-2023</t>
        </is>
      </c>
      <c r="B12605" s="1" t="n">
        <v>45237</v>
      </c>
      <c r="C12605" s="1" t="n">
        <v>45357</v>
      </c>
      <c r="D12605" t="inlineStr">
        <is>
          <t>VÄSTERBOTTENS LÄN</t>
        </is>
      </c>
      <c r="E12605" t="inlineStr">
        <is>
          <t>BJURHOLM</t>
        </is>
      </c>
      <c r="F12605" t="inlineStr">
        <is>
          <t>Holmen skog AB</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55253-2023</t>
        </is>
      </c>
      <c r="B12606" s="1" t="n">
        <v>45237</v>
      </c>
      <c r="C12606" s="1" t="n">
        <v>45357</v>
      </c>
      <c r="D12606" t="inlineStr">
        <is>
          <t>VÄSTERBOTTENS LÄN</t>
        </is>
      </c>
      <c r="E12606" t="inlineStr">
        <is>
          <t>MALÅ</t>
        </is>
      </c>
      <c r="F12606" t="inlineStr">
        <is>
          <t>Sveaskog</t>
        </is>
      </c>
      <c r="G12606" t="n">
        <v>7.7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55080-2023</t>
        </is>
      </c>
      <c r="B12607" s="1" t="n">
        <v>45237</v>
      </c>
      <c r="C12607" s="1" t="n">
        <v>45357</v>
      </c>
      <c r="D12607" t="inlineStr">
        <is>
          <t>VÄSTERBOTTENS LÄN</t>
        </is>
      </c>
      <c r="E12607" t="inlineStr">
        <is>
          <t>LYCKSELE</t>
        </is>
      </c>
      <c r="F12607" t="inlineStr">
        <is>
          <t>Sveaskog</t>
        </is>
      </c>
      <c r="G12607" t="n">
        <v>12.4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55095-2023</t>
        </is>
      </c>
      <c r="B12608" s="1" t="n">
        <v>45237</v>
      </c>
      <c r="C12608" s="1" t="n">
        <v>45357</v>
      </c>
      <c r="D12608" t="inlineStr">
        <is>
          <t>VÄSTERBOTTENS LÄN</t>
        </is>
      </c>
      <c r="E12608" t="inlineStr">
        <is>
          <t>SKELLEFTEÅ</t>
        </is>
      </c>
      <c r="G12608" t="n">
        <v>8.699999999999999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55139-2023</t>
        </is>
      </c>
      <c r="B12609" s="1" t="n">
        <v>45237</v>
      </c>
      <c r="C12609" s="1" t="n">
        <v>45357</v>
      </c>
      <c r="D12609" t="inlineStr">
        <is>
          <t>VÄSTERBOTTENS LÄN</t>
        </is>
      </c>
      <c r="E12609" t="inlineStr">
        <is>
          <t>MALÅ</t>
        </is>
      </c>
      <c r="F12609" t="inlineStr">
        <is>
          <t>Sveaskog</t>
        </is>
      </c>
      <c r="G12609" t="n">
        <v>11.3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55239-2023</t>
        </is>
      </c>
      <c r="B12610" s="1" t="n">
        <v>45237</v>
      </c>
      <c r="C12610" s="1" t="n">
        <v>45357</v>
      </c>
      <c r="D12610" t="inlineStr">
        <is>
          <t>VÄSTERBOTTENS LÄN</t>
        </is>
      </c>
      <c r="E12610" t="inlineStr">
        <is>
          <t>LYCKSELE</t>
        </is>
      </c>
      <c r="F12610" t="inlineStr">
        <is>
          <t>Sveaskog</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55307-2023</t>
        </is>
      </c>
      <c r="B12611" s="1" t="n">
        <v>45237</v>
      </c>
      <c r="C12611" s="1" t="n">
        <v>45357</v>
      </c>
      <c r="D12611" t="inlineStr">
        <is>
          <t>VÄSTERBOTTENS LÄN</t>
        </is>
      </c>
      <c r="E12611" t="inlineStr">
        <is>
          <t>BJURHOLM</t>
        </is>
      </c>
      <c r="G12611" t="n">
        <v>7.5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55305-2023</t>
        </is>
      </c>
      <c r="B12612" s="1" t="n">
        <v>45237</v>
      </c>
      <c r="C12612" s="1" t="n">
        <v>45357</v>
      </c>
      <c r="D12612" t="inlineStr">
        <is>
          <t>VÄSTERBOTTENS LÄN</t>
        </is>
      </c>
      <c r="E12612" t="inlineStr">
        <is>
          <t>NORDMALING</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55313-2023</t>
        </is>
      </c>
      <c r="B12613" s="1" t="n">
        <v>45237</v>
      </c>
      <c r="C12613" s="1" t="n">
        <v>45357</v>
      </c>
      <c r="D12613" t="inlineStr">
        <is>
          <t>VÄSTERBOTTENS LÄN</t>
        </is>
      </c>
      <c r="E12613" t="inlineStr">
        <is>
          <t>NORSJÖ</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55308-2023</t>
        </is>
      </c>
      <c r="B12614" s="1" t="n">
        <v>45237</v>
      </c>
      <c r="C12614" s="1" t="n">
        <v>45357</v>
      </c>
      <c r="D12614" t="inlineStr">
        <is>
          <t>VÄSTERBOTTENS LÄN</t>
        </is>
      </c>
      <c r="E12614" t="inlineStr">
        <is>
          <t>BJURHOLM</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55314-2023</t>
        </is>
      </c>
      <c r="B12615" s="1" t="n">
        <v>45237</v>
      </c>
      <c r="C12615" s="1" t="n">
        <v>45357</v>
      </c>
      <c r="D12615" t="inlineStr">
        <is>
          <t>VÄSTERBOTTENS LÄN</t>
        </is>
      </c>
      <c r="E12615" t="inlineStr">
        <is>
          <t>MALÅ</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55325-2023</t>
        </is>
      </c>
      <c r="B12616" s="1" t="n">
        <v>45237</v>
      </c>
      <c r="C12616" s="1" t="n">
        <v>45357</v>
      </c>
      <c r="D12616" t="inlineStr">
        <is>
          <t>VÄSTERBOTTENS LÄN</t>
        </is>
      </c>
      <c r="E12616" t="inlineStr">
        <is>
          <t>VILHELMINA</t>
        </is>
      </c>
      <c r="F12616" t="inlineStr">
        <is>
          <t>SCA</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55326-2023</t>
        </is>
      </c>
      <c r="B12617" s="1" t="n">
        <v>45238</v>
      </c>
      <c r="C12617" s="1" t="n">
        <v>45357</v>
      </c>
      <c r="D12617" t="inlineStr">
        <is>
          <t>VÄSTERBOTTENS LÄN</t>
        </is>
      </c>
      <c r="E12617" t="inlineStr">
        <is>
          <t>VILHELMINA</t>
        </is>
      </c>
      <c r="F12617" t="inlineStr">
        <is>
          <t>SCA</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56449-2023</t>
        </is>
      </c>
      <c r="B12618" s="1" t="n">
        <v>45237</v>
      </c>
      <c r="C12618" s="1" t="n">
        <v>45357</v>
      </c>
      <c r="D12618" t="inlineStr">
        <is>
          <t>VÄSTERBOTTENS LÄN</t>
        </is>
      </c>
      <c r="E12618" t="inlineStr">
        <is>
          <t>ROBERTSFORS</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56469-2023</t>
        </is>
      </c>
      <c r="B12619" s="1" t="n">
        <v>45237</v>
      </c>
      <c r="C12619" s="1" t="n">
        <v>45357</v>
      </c>
      <c r="D12619" t="inlineStr">
        <is>
          <t>VÄSTERBOTTENS LÄN</t>
        </is>
      </c>
      <c r="E12619" t="inlineStr">
        <is>
          <t>ROBERTSFORS</t>
        </is>
      </c>
      <c r="G12619" t="n">
        <v>10.8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55327-2023</t>
        </is>
      </c>
      <c r="B12620" s="1" t="n">
        <v>45238</v>
      </c>
      <c r="C12620" s="1" t="n">
        <v>45357</v>
      </c>
      <c r="D12620" t="inlineStr">
        <is>
          <t>VÄSTERBOTTENS LÄN</t>
        </is>
      </c>
      <c r="E12620" t="inlineStr">
        <is>
          <t>VILHELMINA</t>
        </is>
      </c>
      <c r="F12620" t="inlineStr">
        <is>
          <t>SCA</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55335-2023</t>
        </is>
      </c>
      <c r="B12621" s="1" t="n">
        <v>45238</v>
      </c>
      <c r="C12621" s="1" t="n">
        <v>45357</v>
      </c>
      <c r="D12621" t="inlineStr">
        <is>
          <t>VÄSTERBOTTENS LÄN</t>
        </is>
      </c>
      <c r="E12621" t="inlineStr">
        <is>
          <t>VILHELMINA</t>
        </is>
      </c>
      <c r="F12621" t="inlineStr">
        <is>
          <t>SCA</t>
        </is>
      </c>
      <c r="G12621" t="n">
        <v>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56404-2023</t>
        </is>
      </c>
      <c r="B12622" s="1" t="n">
        <v>45237</v>
      </c>
      <c r="C12622" s="1" t="n">
        <v>45357</v>
      </c>
      <c r="D12622" t="inlineStr">
        <is>
          <t>VÄSTERBOTTENS LÄN</t>
        </is>
      </c>
      <c r="E12622" t="inlineStr">
        <is>
          <t>SKELLEFTEÅ</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55528-2023</t>
        </is>
      </c>
      <c r="B12623" s="1" t="n">
        <v>45238</v>
      </c>
      <c r="C12623" s="1" t="n">
        <v>45357</v>
      </c>
      <c r="D12623" t="inlineStr">
        <is>
          <t>VÄSTERBOTTENS LÄN</t>
        </is>
      </c>
      <c r="E12623" t="inlineStr">
        <is>
          <t>SKELLEFTEÅ</t>
        </is>
      </c>
      <c r="G12623" t="n">
        <v>9.6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55354-2023</t>
        </is>
      </c>
      <c r="B12624" s="1" t="n">
        <v>45238</v>
      </c>
      <c r="C12624" s="1" t="n">
        <v>45357</v>
      </c>
      <c r="D12624" t="inlineStr">
        <is>
          <t>VÄSTERBOTTENS LÄN</t>
        </is>
      </c>
      <c r="E12624" t="inlineStr">
        <is>
          <t>MALÅ</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55552-2023</t>
        </is>
      </c>
      <c r="B12625" s="1" t="n">
        <v>45238</v>
      </c>
      <c r="C12625" s="1" t="n">
        <v>45357</v>
      </c>
      <c r="D12625" t="inlineStr">
        <is>
          <t>VÄSTERBOTTENS LÄN</t>
        </is>
      </c>
      <c r="E12625" t="inlineStr">
        <is>
          <t>ROBERTSFORS</t>
        </is>
      </c>
      <c r="G12625" t="n">
        <v>7.3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55426-2023</t>
        </is>
      </c>
      <c r="B12626" s="1" t="n">
        <v>45238</v>
      </c>
      <c r="C12626" s="1" t="n">
        <v>45357</v>
      </c>
      <c r="D12626" t="inlineStr">
        <is>
          <t>VÄSTERBOTTENS LÄN</t>
        </is>
      </c>
      <c r="E12626" t="inlineStr">
        <is>
          <t>VINDELN</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55431-2023</t>
        </is>
      </c>
      <c r="B12627" s="1" t="n">
        <v>45238</v>
      </c>
      <c r="C12627" s="1" t="n">
        <v>45357</v>
      </c>
      <c r="D12627" t="inlineStr">
        <is>
          <t>VÄSTERBOTTENS LÄN</t>
        </is>
      </c>
      <c r="E12627" t="inlineStr">
        <is>
          <t>VINDELN</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55521-2023</t>
        </is>
      </c>
      <c r="B12628" s="1" t="n">
        <v>45238</v>
      </c>
      <c r="C12628" s="1" t="n">
        <v>45357</v>
      </c>
      <c r="D12628" t="inlineStr">
        <is>
          <t>VÄSTERBOTTENS LÄN</t>
        </is>
      </c>
      <c r="E12628" t="inlineStr">
        <is>
          <t>MALÅ</t>
        </is>
      </c>
      <c r="F12628" t="inlineStr">
        <is>
          <t>Sveaskog</t>
        </is>
      </c>
      <c r="G12628" t="n">
        <v>12.1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55371-2023</t>
        </is>
      </c>
      <c r="B12629" s="1" t="n">
        <v>45238</v>
      </c>
      <c r="C12629" s="1" t="n">
        <v>45357</v>
      </c>
      <c r="D12629" t="inlineStr">
        <is>
          <t>VÄSTERBOTTENS LÄN</t>
        </is>
      </c>
      <c r="E12629" t="inlineStr">
        <is>
          <t>LYCKSELE</t>
        </is>
      </c>
      <c r="F12629" t="inlineStr">
        <is>
          <t>Sveaskog</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55388-2023</t>
        </is>
      </c>
      <c r="B12630" s="1" t="n">
        <v>45238</v>
      </c>
      <c r="C12630" s="1" t="n">
        <v>45357</v>
      </c>
      <c r="D12630" t="inlineStr">
        <is>
          <t>VÄSTERBOTTENS LÄN</t>
        </is>
      </c>
      <c r="E12630" t="inlineStr">
        <is>
          <t>LYCKSELE</t>
        </is>
      </c>
      <c r="F12630" t="inlineStr">
        <is>
          <t>Sveaskog</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55417-2023</t>
        </is>
      </c>
      <c r="B12631" s="1" t="n">
        <v>45238</v>
      </c>
      <c r="C12631" s="1" t="n">
        <v>45357</v>
      </c>
      <c r="D12631" t="inlineStr">
        <is>
          <t>VÄSTERBOTTENS LÄN</t>
        </is>
      </c>
      <c r="E12631" t="inlineStr">
        <is>
          <t>ROBERTSFORS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55427-2023</t>
        </is>
      </c>
      <c r="B12632" s="1" t="n">
        <v>45238</v>
      </c>
      <c r="C12632" s="1" t="n">
        <v>45357</v>
      </c>
      <c r="D12632" t="inlineStr">
        <is>
          <t>VÄSTERBOTTENS LÄN</t>
        </is>
      </c>
      <c r="E12632" t="inlineStr">
        <is>
          <t>VINDELN</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55432-2023</t>
        </is>
      </c>
      <c r="B12633" s="1" t="n">
        <v>45238</v>
      </c>
      <c r="C12633" s="1" t="n">
        <v>45357</v>
      </c>
      <c r="D12633" t="inlineStr">
        <is>
          <t>VÄSTERBOTTENS LÄN</t>
        </is>
      </c>
      <c r="E12633" t="inlineStr">
        <is>
          <t>LYCKSELE</t>
        </is>
      </c>
      <c r="F12633" t="inlineStr">
        <is>
          <t>Sveaskog</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55544-2023</t>
        </is>
      </c>
      <c r="B12634" s="1" t="n">
        <v>45238</v>
      </c>
      <c r="C12634" s="1" t="n">
        <v>45357</v>
      </c>
      <c r="D12634" t="inlineStr">
        <is>
          <t>VÄSTERBOTTENS LÄN</t>
        </is>
      </c>
      <c r="E12634" t="inlineStr">
        <is>
          <t>ROBERTSFORS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55613-2023</t>
        </is>
      </c>
      <c r="B12635" s="1" t="n">
        <v>45238</v>
      </c>
      <c r="C12635" s="1" t="n">
        <v>45357</v>
      </c>
      <c r="D12635" t="inlineStr">
        <is>
          <t>VÄSTERBOTTENS LÄN</t>
        </is>
      </c>
      <c r="E12635" t="inlineStr">
        <is>
          <t>SKELLEFTEÅ</t>
        </is>
      </c>
      <c r="F12635" t="inlineStr">
        <is>
          <t>Sveaskog</t>
        </is>
      </c>
      <c r="G12635" t="n">
        <v>9.699999999999999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55625-2023</t>
        </is>
      </c>
      <c r="B12636" s="1" t="n">
        <v>45238</v>
      </c>
      <c r="C12636" s="1" t="n">
        <v>45357</v>
      </c>
      <c r="D12636" t="inlineStr">
        <is>
          <t>VÄSTERBOTTENS LÄN</t>
        </is>
      </c>
      <c r="E12636" t="inlineStr">
        <is>
          <t>NORDMALING</t>
        </is>
      </c>
      <c r="G12636" t="n">
        <v>14.2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55633-2023</t>
        </is>
      </c>
      <c r="B12637" s="1" t="n">
        <v>45238</v>
      </c>
      <c r="C12637" s="1" t="n">
        <v>45357</v>
      </c>
      <c r="D12637" t="inlineStr">
        <is>
          <t>VÄSTERBOTTENS LÄN</t>
        </is>
      </c>
      <c r="E12637" t="inlineStr">
        <is>
          <t>NORDMALING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55634-2023</t>
        </is>
      </c>
      <c r="B12638" s="1" t="n">
        <v>45238</v>
      </c>
      <c r="C12638" s="1" t="n">
        <v>45357</v>
      </c>
      <c r="D12638" t="inlineStr">
        <is>
          <t>VÄSTERBOTTENS LÄN</t>
        </is>
      </c>
      <c r="E12638" t="inlineStr">
        <is>
          <t>NORDMALING</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55532-2023</t>
        </is>
      </c>
      <c r="B12639" s="1" t="n">
        <v>45238</v>
      </c>
      <c r="C12639" s="1" t="n">
        <v>45357</v>
      </c>
      <c r="D12639" t="inlineStr">
        <is>
          <t>VÄSTERBOTTENS LÄN</t>
        </is>
      </c>
      <c r="E12639" t="inlineStr">
        <is>
          <t>SKELLEFTEÅ</t>
        </is>
      </c>
      <c r="F12639" t="inlineStr">
        <is>
          <t>Sveaskog</t>
        </is>
      </c>
      <c r="G12639" t="n">
        <v>9.5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55636-2023</t>
        </is>
      </c>
      <c r="B12640" s="1" t="n">
        <v>45238</v>
      </c>
      <c r="C12640" s="1" t="n">
        <v>45357</v>
      </c>
      <c r="D12640" t="inlineStr">
        <is>
          <t>VÄSTERBOTTENS LÄN</t>
        </is>
      </c>
      <c r="E12640" t="inlineStr">
        <is>
          <t>NORDMALING</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56518-2023</t>
        </is>
      </c>
      <c r="B12641" s="1" t="n">
        <v>45238</v>
      </c>
      <c r="C12641" s="1" t="n">
        <v>45357</v>
      </c>
      <c r="D12641" t="inlineStr">
        <is>
          <t>VÄSTERBOTTENS LÄN</t>
        </is>
      </c>
      <c r="E12641" t="inlineStr">
        <is>
          <t>LYCKSELE</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56543-2023</t>
        </is>
      </c>
      <c r="B12642" s="1" t="n">
        <v>45238</v>
      </c>
      <c r="C12642" s="1" t="n">
        <v>45357</v>
      </c>
      <c r="D12642" t="inlineStr">
        <is>
          <t>VÄSTERBOTTENS LÄN</t>
        </is>
      </c>
      <c r="E12642" t="inlineStr">
        <is>
          <t>LYCKSELE</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56754-2023</t>
        </is>
      </c>
      <c r="B12643" s="1" t="n">
        <v>45238</v>
      </c>
      <c r="C12643" s="1" t="n">
        <v>45357</v>
      </c>
      <c r="D12643" t="inlineStr">
        <is>
          <t>VÄSTERBOTTENS LÄN</t>
        </is>
      </c>
      <c r="E12643" t="inlineStr">
        <is>
          <t>VILHELMINA</t>
        </is>
      </c>
      <c r="F12643" t="inlineStr">
        <is>
          <t>Allmännings- och besparingsskogar</t>
        </is>
      </c>
      <c r="G12643" t="n">
        <v>17.7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56763-2023</t>
        </is>
      </c>
      <c r="B12644" s="1" t="n">
        <v>45238</v>
      </c>
      <c r="C12644" s="1" t="n">
        <v>45357</v>
      </c>
      <c r="D12644" t="inlineStr">
        <is>
          <t>VÄSTERBOTTENS LÄN</t>
        </is>
      </c>
      <c r="E12644" t="inlineStr">
        <is>
          <t>VILHELMINA</t>
        </is>
      </c>
      <c r="F12644" t="inlineStr">
        <is>
          <t>Allmännings- och besparingsskogar</t>
        </is>
      </c>
      <c r="G12644" t="n">
        <v>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55672-2023</t>
        </is>
      </c>
      <c r="B12645" s="1" t="n">
        <v>45239</v>
      </c>
      <c r="C12645" s="1" t="n">
        <v>45357</v>
      </c>
      <c r="D12645" t="inlineStr">
        <is>
          <t>VÄSTERBOTTENS LÄN</t>
        </is>
      </c>
      <c r="E12645" t="inlineStr">
        <is>
          <t>MALÅ</t>
        </is>
      </c>
      <c r="F12645" t="inlineStr">
        <is>
          <t>SCA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56513-2023</t>
        </is>
      </c>
      <c r="B12646" s="1" t="n">
        <v>45238</v>
      </c>
      <c r="C12646" s="1" t="n">
        <v>45357</v>
      </c>
      <c r="D12646" t="inlineStr">
        <is>
          <t>VÄSTERBOTTENS LÄN</t>
        </is>
      </c>
      <c r="E12646" t="inlineStr">
        <is>
          <t>NORDMALING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56823-2023</t>
        </is>
      </c>
      <c r="B12647" s="1" t="n">
        <v>45238</v>
      </c>
      <c r="C12647" s="1" t="n">
        <v>45357</v>
      </c>
      <c r="D12647" t="inlineStr">
        <is>
          <t>VÄSTERBOTTENS LÄN</t>
        </is>
      </c>
      <c r="E12647" t="inlineStr">
        <is>
          <t>VILHELMINA</t>
        </is>
      </c>
      <c r="F12647" t="inlineStr">
        <is>
          <t>Allmännings- och besparingsskogar</t>
        </is>
      </c>
      <c r="G12647" t="n">
        <v>81.40000000000001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56847-2023</t>
        </is>
      </c>
      <c r="B12648" s="1" t="n">
        <v>45238</v>
      </c>
      <c r="C12648" s="1" t="n">
        <v>45357</v>
      </c>
      <c r="D12648" t="inlineStr">
        <is>
          <t>VÄSTERBOTTENS LÄN</t>
        </is>
      </c>
      <c r="E12648" t="inlineStr">
        <is>
          <t>VILHELMINA</t>
        </is>
      </c>
      <c r="F12648" t="inlineStr">
        <is>
          <t>Allmännings- och besparingsskogar</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55838-2023</t>
        </is>
      </c>
      <c r="B12649" s="1" t="n">
        <v>45238</v>
      </c>
      <c r="C12649" s="1" t="n">
        <v>45357</v>
      </c>
      <c r="D12649" t="inlineStr">
        <is>
          <t>VÄSTERBOTTENS LÄN</t>
        </is>
      </c>
      <c r="E12649" t="inlineStr">
        <is>
          <t>BJURHOLM</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56758-2023</t>
        </is>
      </c>
      <c r="B12650" s="1" t="n">
        <v>45238</v>
      </c>
      <c r="C12650" s="1" t="n">
        <v>45357</v>
      </c>
      <c r="D12650" t="inlineStr">
        <is>
          <t>VÄSTERBOTTENS LÄN</t>
        </is>
      </c>
      <c r="E12650" t="inlineStr">
        <is>
          <t>VILHELMINA</t>
        </is>
      </c>
      <c r="F12650" t="inlineStr">
        <is>
          <t>Allmännings- och besparingsskogar</t>
        </is>
      </c>
      <c r="G12650" t="n">
        <v>371.4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56830-2023</t>
        </is>
      </c>
      <c r="B12651" s="1" t="n">
        <v>45238</v>
      </c>
      <c r="C12651" s="1" t="n">
        <v>45357</v>
      </c>
      <c r="D12651" t="inlineStr">
        <is>
          <t>VÄSTERBOTTENS LÄN</t>
        </is>
      </c>
      <c r="E12651" t="inlineStr">
        <is>
          <t>VILHELMINA</t>
        </is>
      </c>
      <c r="F12651" t="inlineStr">
        <is>
          <t>Allmännings- och besparingsskogar</t>
        </is>
      </c>
      <c r="G12651" t="n">
        <v>66.90000000000001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55377-2023</t>
        </is>
      </c>
      <c r="B12652" s="1" t="n">
        <v>45238</v>
      </c>
      <c r="C12652" s="1" t="n">
        <v>45357</v>
      </c>
      <c r="D12652" t="inlineStr">
        <is>
          <t>VÄSTERBOTTENS LÄN</t>
        </is>
      </c>
      <c r="E12652" t="inlineStr">
        <is>
          <t>LYCKSELE</t>
        </is>
      </c>
      <c r="F12652" t="inlineStr">
        <is>
          <t>Sveaskog</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55406-2023</t>
        </is>
      </c>
      <c r="B12653" s="1" t="n">
        <v>45238</v>
      </c>
      <c r="C12653" s="1" t="n">
        <v>45357</v>
      </c>
      <c r="D12653" t="inlineStr">
        <is>
          <t>VÄSTERBOTTENS LÄN</t>
        </is>
      </c>
      <c r="E12653" t="inlineStr">
        <is>
          <t>UMEÅ</t>
        </is>
      </c>
      <c r="F12653" t="inlineStr">
        <is>
          <t>Holmen skog AB</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55514-2023</t>
        </is>
      </c>
      <c r="B12654" s="1" t="n">
        <v>45238</v>
      </c>
      <c r="C12654" s="1" t="n">
        <v>45357</v>
      </c>
      <c r="D12654" t="inlineStr">
        <is>
          <t>VÄSTERBOTTENS LÄN</t>
        </is>
      </c>
      <c r="E12654" t="inlineStr">
        <is>
          <t>ROBERTSFORS</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55603-2023</t>
        </is>
      </c>
      <c r="B12655" s="1" t="n">
        <v>45238</v>
      </c>
      <c r="C12655" s="1" t="n">
        <v>45357</v>
      </c>
      <c r="D12655" t="inlineStr">
        <is>
          <t>VÄSTERBOTTENS LÄN</t>
        </is>
      </c>
      <c r="E12655" t="inlineStr">
        <is>
          <t>ROBERTSFORS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55627-2023</t>
        </is>
      </c>
      <c r="B12656" s="1" t="n">
        <v>45238</v>
      </c>
      <c r="C12656" s="1" t="n">
        <v>45357</v>
      </c>
      <c r="D12656" t="inlineStr">
        <is>
          <t>VÄSTERBOTTENS LÄN</t>
        </is>
      </c>
      <c r="E12656" t="inlineStr">
        <is>
          <t>NORDMALING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55635-2023</t>
        </is>
      </c>
      <c r="B12657" s="1" t="n">
        <v>45238</v>
      </c>
      <c r="C12657" s="1" t="n">
        <v>45357</v>
      </c>
      <c r="D12657" t="inlineStr">
        <is>
          <t>VÄSTERBOTTENS LÄN</t>
        </is>
      </c>
      <c r="E12657" t="inlineStr">
        <is>
          <t>NORDMALING</t>
        </is>
      </c>
      <c r="G12657" t="n">
        <v>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55643-2023</t>
        </is>
      </c>
      <c r="B12658" s="1" t="n">
        <v>45238</v>
      </c>
      <c r="C12658" s="1" t="n">
        <v>45357</v>
      </c>
      <c r="D12658" t="inlineStr">
        <is>
          <t>VÄSTERBOTTENS LÄN</t>
        </is>
      </c>
      <c r="E12658" t="inlineStr">
        <is>
          <t>VILHELMINA</t>
        </is>
      </c>
      <c r="G12658" t="n">
        <v>23.1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55671-2023</t>
        </is>
      </c>
      <c r="B12659" s="1" t="n">
        <v>45239</v>
      </c>
      <c r="C12659" s="1" t="n">
        <v>45357</v>
      </c>
      <c r="D12659" t="inlineStr">
        <is>
          <t>VÄSTERBOTTENS LÄN</t>
        </is>
      </c>
      <c r="E12659" t="inlineStr">
        <is>
          <t>MALÅ</t>
        </is>
      </c>
      <c r="F12659" t="inlineStr">
        <is>
          <t>SCA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56509-2023</t>
        </is>
      </c>
      <c r="B12660" s="1" t="n">
        <v>45238</v>
      </c>
      <c r="C12660" s="1" t="n">
        <v>45357</v>
      </c>
      <c r="D12660" t="inlineStr">
        <is>
          <t>VÄSTERBOTTENS LÄN</t>
        </is>
      </c>
      <c r="E12660" t="inlineStr">
        <is>
          <t>SKELLEFTEÅ</t>
        </is>
      </c>
      <c r="G12660" t="n">
        <v>10.4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56528-2023</t>
        </is>
      </c>
      <c r="B12661" s="1" t="n">
        <v>45238</v>
      </c>
      <c r="C12661" s="1" t="n">
        <v>45357</v>
      </c>
      <c r="D12661" t="inlineStr">
        <is>
          <t>VÄSTERBOTTENS LÄN</t>
        </is>
      </c>
      <c r="E12661" t="inlineStr">
        <is>
          <t>SKELLEFTEÅ</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56550-2023</t>
        </is>
      </c>
      <c r="B12662" s="1" t="n">
        <v>45238</v>
      </c>
      <c r="C12662" s="1" t="n">
        <v>45357</v>
      </c>
      <c r="D12662" t="inlineStr">
        <is>
          <t>VÄSTERBOTTENS LÄN</t>
        </is>
      </c>
      <c r="E12662" t="inlineStr">
        <is>
          <t>LYCKSELE</t>
        </is>
      </c>
      <c r="G12662" t="n">
        <v>7.5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56747-2023</t>
        </is>
      </c>
      <c r="B12663" s="1" t="n">
        <v>45238</v>
      </c>
      <c r="C12663" s="1" t="n">
        <v>45357</v>
      </c>
      <c r="D12663" t="inlineStr">
        <is>
          <t>VÄSTERBOTTENS LÄN</t>
        </is>
      </c>
      <c r="E12663" t="inlineStr">
        <is>
          <t>VILHELMINA</t>
        </is>
      </c>
      <c r="F12663" t="inlineStr">
        <is>
          <t>Allmännings- och besparingsskogar</t>
        </is>
      </c>
      <c r="G12663" t="n">
        <v>16.2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56727-2023</t>
        </is>
      </c>
      <c r="B12664" s="1" t="n">
        <v>45238</v>
      </c>
      <c r="C12664" s="1" t="n">
        <v>45357</v>
      </c>
      <c r="D12664" t="inlineStr">
        <is>
          <t>VÄSTERBOTTENS LÄN</t>
        </is>
      </c>
      <c r="E12664" t="inlineStr">
        <is>
          <t>STORUMAN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55739-2023</t>
        </is>
      </c>
      <c r="B12665" s="1" t="n">
        <v>45239</v>
      </c>
      <c r="C12665" s="1" t="n">
        <v>45357</v>
      </c>
      <c r="D12665" t="inlineStr">
        <is>
          <t>VÄSTERBOTTENS LÄN</t>
        </is>
      </c>
      <c r="E12665" t="inlineStr">
        <is>
          <t>SKELLEFTEÅ</t>
        </is>
      </c>
      <c r="G12665" t="n">
        <v>8.800000000000001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55746-2023</t>
        </is>
      </c>
      <c r="B12666" s="1" t="n">
        <v>45239</v>
      </c>
      <c r="C12666" s="1" t="n">
        <v>45357</v>
      </c>
      <c r="D12666" t="inlineStr">
        <is>
          <t>VÄSTERBOTTENS LÄN</t>
        </is>
      </c>
      <c r="E12666" t="inlineStr">
        <is>
          <t>MALÅ</t>
        </is>
      </c>
      <c r="F12666" t="inlineStr">
        <is>
          <t>Sveaskog</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55718-2023</t>
        </is>
      </c>
      <c r="B12667" s="1" t="n">
        <v>45239</v>
      </c>
      <c r="C12667" s="1" t="n">
        <v>45357</v>
      </c>
      <c r="D12667" t="inlineStr">
        <is>
          <t>VÄSTERBOTTENS LÄN</t>
        </is>
      </c>
      <c r="E12667" t="inlineStr">
        <is>
          <t>SKELLEFTEÅ</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55730-2023</t>
        </is>
      </c>
      <c r="B12668" s="1" t="n">
        <v>45239</v>
      </c>
      <c r="C12668" s="1" t="n">
        <v>45357</v>
      </c>
      <c r="D12668" t="inlineStr">
        <is>
          <t>VÄSTERBOTTENS LÄN</t>
        </is>
      </c>
      <c r="E12668" t="inlineStr">
        <is>
          <t>SKELLEFTEÅ</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55740-2023</t>
        </is>
      </c>
      <c r="B12669" s="1" t="n">
        <v>45239</v>
      </c>
      <c r="C12669" s="1" t="n">
        <v>45357</v>
      </c>
      <c r="D12669" t="inlineStr">
        <is>
          <t>VÄSTERBOTTENS LÄN</t>
        </is>
      </c>
      <c r="E12669" t="inlineStr">
        <is>
          <t>NORDMALING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55744-2023</t>
        </is>
      </c>
      <c r="B12670" s="1" t="n">
        <v>45239</v>
      </c>
      <c r="C12670" s="1" t="n">
        <v>45357</v>
      </c>
      <c r="D12670" t="inlineStr">
        <is>
          <t>VÄSTERBOTTENS LÄN</t>
        </is>
      </c>
      <c r="E12670" t="inlineStr">
        <is>
          <t>SKELLEFTEÅ</t>
        </is>
      </c>
      <c r="G12670" t="n">
        <v>12.4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55809-2023</t>
        </is>
      </c>
      <c r="B12671" s="1" t="n">
        <v>45239</v>
      </c>
      <c r="C12671" s="1" t="n">
        <v>45357</v>
      </c>
      <c r="D12671" t="inlineStr">
        <is>
          <t>VÄSTERBOTTENS LÄN</t>
        </is>
      </c>
      <c r="E12671" t="inlineStr">
        <is>
          <t>MALÅ</t>
        </is>
      </c>
      <c r="F12671" t="inlineStr">
        <is>
          <t>Sveaskog</t>
        </is>
      </c>
      <c r="G12671" t="n">
        <v>14.3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55873-2023</t>
        </is>
      </c>
      <c r="B12672" s="1" t="n">
        <v>45239</v>
      </c>
      <c r="C12672" s="1" t="n">
        <v>45357</v>
      </c>
      <c r="D12672" t="inlineStr">
        <is>
          <t>VÄSTERBOTTENS LÄN</t>
        </is>
      </c>
      <c r="E12672" t="inlineStr">
        <is>
          <t>SKELLEFTEÅ</t>
        </is>
      </c>
      <c r="F12672" t="inlineStr">
        <is>
          <t>Sveaskog</t>
        </is>
      </c>
      <c r="G12672" t="n">
        <v>7.8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55877-2023</t>
        </is>
      </c>
      <c r="B12673" s="1" t="n">
        <v>45239</v>
      </c>
      <c r="C12673" s="1" t="n">
        <v>45357</v>
      </c>
      <c r="D12673" t="inlineStr">
        <is>
          <t>VÄSTERBOTTENS LÄN</t>
        </is>
      </c>
      <c r="E12673" t="inlineStr">
        <is>
          <t>BJURHOLM</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55875-2023</t>
        </is>
      </c>
      <c r="B12674" s="1" t="n">
        <v>45239</v>
      </c>
      <c r="C12674" s="1" t="n">
        <v>45357</v>
      </c>
      <c r="D12674" t="inlineStr">
        <is>
          <t>VÄSTERBOTTENS LÄN</t>
        </is>
      </c>
      <c r="E12674" t="inlineStr">
        <is>
          <t>MALÅ</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55879-2023</t>
        </is>
      </c>
      <c r="B12675" s="1" t="n">
        <v>45239</v>
      </c>
      <c r="C12675" s="1" t="n">
        <v>45357</v>
      </c>
      <c r="D12675" t="inlineStr">
        <is>
          <t>VÄSTERBOTTENS LÄN</t>
        </is>
      </c>
      <c r="E12675" t="inlineStr">
        <is>
          <t>BJURHOLM</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55920-2023</t>
        </is>
      </c>
      <c r="B12676" s="1" t="n">
        <v>45240</v>
      </c>
      <c r="C12676" s="1" t="n">
        <v>45357</v>
      </c>
      <c r="D12676" t="inlineStr">
        <is>
          <t>VÄSTERBOTTENS LÄN</t>
        </is>
      </c>
      <c r="E12676" t="inlineStr">
        <is>
          <t>ÅSELE</t>
        </is>
      </c>
      <c r="F12676" t="inlineStr">
        <is>
          <t>SCA</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55909-2023</t>
        </is>
      </c>
      <c r="B12677" s="1" t="n">
        <v>45239</v>
      </c>
      <c r="C12677" s="1" t="n">
        <v>45357</v>
      </c>
      <c r="D12677" t="inlineStr">
        <is>
          <t>VÄSTERBOTTENS LÄN</t>
        </is>
      </c>
      <c r="E12677" t="inlineStr">
        <is>
          <t>UMEÅ</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57137-2023</t>
        </is>
      </c>
      <c r="B12678" s="1" t="n">
        <v>45239</v>
      </c>
      <c r="C12678" s="1" t="n">
        <v>45357</v>
      </c>
      <c r="D12678" t="inlineStr">
        <is>
          <t>VÄSTERBOTTENS LÄN</t>
        </is>
      </c>
      <c r="E12678" t="inlineStr">
        <is>
          <t>VILHELMINA</t>
        </is>
      </c>
      <c r="G12678" t="n">
        <v>38.8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57167-2023</t>
        </is>
      </c>
      <c r="B12679" s="1" t="n">
        <v>45239</v>
      </c>
      <c r="C12679" s="1" t="n">
        <v>45357</v>
      </c>
      <c r="D12679" t="inlineStr">
        <is>
          <t>VÄSTERBOTTENS LÄN</t>
        </is>
      </c>
      <c r="E12679" t="inlineStr">
        <is>
          <t>ROBERTSFORS</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57108-2023</t>
        </is>
      </c>
      <c r="B12680" s="1" t="n">
        <v>45239</v>
      </c>
      <c r="C12680" s="1" t="n">
        <v>45357</v>
      </c>
      <c r="D12680" t="inlineStr">
        <is>
          <t>VÄSTERBOTTENS LÄN</t>
        </is>
      </c>
      <c r="E12680" t="inlineStr">
        <is>
          <t>VILHELMINA</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56981-2023</t>
        </is>
      </c>
      <c r="B12681" s="1" t="n">
        <v>45239</v>
      </c>
      <c r="C12681" s="1" t="n">
        <v>45357</v>
      </c>
      <c r="D12681" t="inlineStr">
        <is>
          <t>VÄSTERBOTTENS LÄN</t>
        </is>
      </c>
      <c r="E12681" t="inlineStr">
        <is>
          <t>ÅSELE</t>
        </is>
      </c>
      <c r="F12681" t="inlineStr">
        <is>
          <t>Allmännings- och besparingsskogar</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55750-2023</t>
        </is>
      </c>
      <c r="B12682" s="1" t="n">
        <v>45239</v>
      </c>
      <c r="C12682" s="1" t="n">
        <v>45357</v>
      </c>
      <c r="D12682" t="inlineStr">
        <is>
          <t>VÄSTERBOTTENS LÄN</t>
        </is>
      </c>
      <c r="E12682" t="inlineStr">
        <is>
          <t>SKELLEFTEÅ</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55790-2023</t>
        </is>
      </c>
      <c r="B12683" s="1" t="n">
        <v>45239</v>
      </c>
      <c r="C12683" s="1" t="n">
        <v>45357</v>
      </c>
      <c r="D12683" t="inlineStr">
        <is>
          <t>VÄSTERBOTTENS LÄN</t>
        </is>
      </c>
      <c r="E12683" t="inlineStr">
        <is>
          <t>UMEÅ</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55874-2023</t>
        </is>
      </c>
      <c r="B12684" s="1" t="n">
        <v>45239</v>
      </c>
      <c r="C12684" s="1" t="n">
        <v>45357</v>
      </c>
      <c r="D12684" t="inlineStr">
        <is>
          <t>VÄSTERBOTTENS LÄN</t>
        </is>
      </c>
      <c r="E12684" t="inlineStr">
        <is>
          <t>MALÅ</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55895-2023</t>
        </is>
      </c>
      <c r="B12685" s="1" t="n">
        <v>45239</v>
      </c>
      <c r="C12685" s="1" t="n">
        <v>45357</v>
      </c>
      <c r="D12685" t="inlineStr">
        <is>
          <t>VÄSTERBOTTENS LÄN</t>
        </is>
      </c>
      <c r="E12685" t="inlineStr">
        <is>
          <t>SKELLEFTEÅ</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55907-2023</t>
        </is>
      </c>
      <c r="B12686" s="1" t="n">
        <v>45239</v>
      </c>
      <c r="C12686" s="1" t="n">
        <v>45357</v>
      </c>
      <c r="D12686" t="inlineStr">
        <is>
          <t>VÄSTERBOTTENS LÄN</t>
        </is>
      </c>
      <c r="E12686" t="inlineStr">
        <is>
          <t>SKELLEFTEÅ</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55911-2023</t>
        </is>
      </c>
      <c r="B12687" s="1" t="n">
        <v>45239</v>
      </c>
      <c r="C12687" s="1" t="n">
        <v>45357</v>
      </c>
      <c r="D12687" t="inlineStr">
        <is>
          <t>VÄSTERBOTTENS LÄN</t>
        </is>
      </c>
      <c r="E12687" t="inlineStr">
        <is>
          <t>UMEÅ</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55919-2023</t>
        </is>
      </c>
      <c r="B12688" s="1" t="n">
        <v>45240</v>
      </c>
      <c r="C12688" s="1" t="n">
        <v>45357</v>
      </c>
      <c r="D12688" t="inlineStr">
        <is>
          <t>VÄSTERBOTTENS LÄN</t>
        </is>
      </c>
      <c r="E12688" t="inlineStr">
        <is>
          <t>DOROTEA</t>
        </is>
      </c>
      <c r="F12688" t="inlineStr">
        <is>
          <t>SCA</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55923-2023</t>
        </is>
      </c>
      <c r="B12689" s="1" t="n">
        <v>45240</v>
      </c>
      <c r="C12689" s="1" t="n">
        <v>45357</v>
      </c>
      <c r="D12689" t="inlineStr">
        <is>
          <t>VÄSTERBOTTENS LÄN</t>
        </is>
      </c>
      <c r="E12689" t="inlineStr">
        <is>
          <t>LYCKSELE</t>
        </is>
      </c>
      <c r="F12689" t="inlineStr">
        <is>
          <t>SCA</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56891-2023</t>
        </is>
      </c>
      <c r="B12690" s="1" t="n">
        <v>45239</v>
      </c>
      <c r="C12690" s="1" t="n">
        <v>45357</v>
      </c>
      <c r="D12690" t="inlineStr">
        <is>
          <t>VÄSTERBOTTENS LÄN</t>
        </is>
      </c>
      <c r="E12690" t="inlineStr">
        <is>
          <t>VILHELMINA</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57123-2023</t>
        </is>
      </c>
      <c r="B12691" s="1" t="n">
        <v>45239</v>
      </c>
      <c r="C12691" s="1" t="n">
        <v>45357</v>
      </c>
      <c r="D12691" t="inlineStr">
        <is>
          <t>VÄSTERBOTTENS LÄN</t>
        </is>
      </c>
      <c r="E12691" t="inlineStr">
        <is>
          <t>VILHELMINA</t>
        </is>
      </c>
      <c r="G12691" t="n">
        <v>16.1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57224-2023</t>
        </is>
      </c>
      <c r="B12692" s="1" t="n">
        <v>45239</v>
      </c>
      <c r="C12692" s="1" t="n">
        <v>45357</v>
      </c>
      <c r="D12692" t="inlineStr">
        <is>
          <t>VÄSTERBOTTENS LÄN</t>
        </is>
      </c>
      <c r="E12692" t="inlineStr">
        <is>
          <t>LYCKSELE</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57246-2023</t>
        </is>
      </c>
      <c r="B12693" s="1" t="n">
        <v>45239</v>
      </c>
      <c r="C12693" s="1" t="n">
        <v>45357</v>
      </c>
      <c r="D12693" t="inlineStr">
        <is>
          <t>VÄSTERBOTTENS LÄN</t>
        </is>
      </c>
      <c r="E12693" t="inlineStr">
        <is>
          <t>VILHELMINA</t>
        </is>
      </c>
      <c r="G12693" t="n">
        <v>15.3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57440-2023</t>
        </is>
      </c>
      <c r="B12694" s="1" t="n">
        <v>45240</v>
      </c>
      <c r="C12694" s="1" t="n">
        <v>45357</v>
      </c>
      <c r="D12694" t="inlineStr">
        <is>
          <t>VÄSTERBOTTENS LÄN</t>
        </is>
      </c>
      <c r="E12694" t="inlineStr">
        <is>
          <t>SKELLEFTEÅ</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56265-2023</t>
        </is>
      </c>
      <c r="B12695" s="1" t="n">
        <v>45240</v>
      </c>
      <c r="C12695" s="1" t="n">
        <v>45357</v>
      </c>
      <c r="D12695" t="inlineStr">
        <is>
          <t>VÄSTERBOTTENS LÄN</t>
        </is>
      </c>
      <c r="E12695" t="inlineStr">
        <is>
          <t>SKELLEFTEÅ</t>
        </is>
      </c>
      <c r="F12695" t="inlineStr">
        <is>
          <t>SCA</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56245-2023</t>
        </is>
      </c>
      <c r="B12696" s="1" t="n">
        <v>45240</v>
      </c>
      <c r="C12696" s="1" t="n">
        <v>45357</v>
      </c>
      <c r="D12696" t="inlineStr">
        <is>
          <t>VÄSTERBOTTENS LÄN</t>
        </is>
      </c>
      <c r="E12696" t="inlineStr">
        <is>
          <t>VILHELMINA</t>
        </is>
      </c>
      <c r="F12696" t="inlineStr">
        <is>
          <t>SCA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56258-2023</t>
        </is>
      </c>
      <c r="B12697" s="1" t="n">
        <v>45240</v>
      </c>
      <c r="C12697" s="1" t="n">
        <v>45357</v>
      </c>
      <c r="D12697" t="inlineStr">
        <is>
          <t>VÄSTERBOTTENS LÄN</t>
        </is>
      </c>
      <c r="E12697" t="inlineStr">
        <is>
          <t>ÅSELE</t>
        </is>
      </c>
      <c r="F12697" t="inlineStr">
        <is>
          <t>SCA</t>
        </is>
      </c>
      <c r="G12697" t="n">
        <v>4.6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56246-2023</t>
        </is>
      </c>
      <c r="B12698" s="1" t="n">
        <v>45240</v>
      </c>
      <c r="C12698" s="1" t="n">
        <v>45357</v>
      </c>
      <c r="D12698" t="inlineStr">
        <is>
          <t>VÄSTERBOTTENS LÄN</t>
        </is>
      </c>
      <c r="E12698" t="inlineStr">
        <is>
          <t>VILHELMINA</t>
        </is>
      </c>
      <c r="F12698" t="inlineStr">
        <is>
          <t>SCA</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56153-2023</t>
        </is>
      </c>
      <c r="B12699" s="1" t="n">
        <v>45240</v>
      </c>
      <c r="C12699" s="1" t="n">
        <v>45357</v>
      </c>
      <c r="D12699" t="inlineStr">
        <is>
          <t>VÄSTERBOTTENS LÄN</t>
        </is>
      </c>
      <c r="E12699" t="inlineStr">
        <is>
          <t>SKELLEFTEÅ</t>
        </is>
      </c>
      <c r="G12699" t="n">
        <v>3.6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56061-2023</t>
        </is>
      </c>
      <c r="B12700" s="1" t="n">
        <v>45240</v>
      </c>
      <c r="C12700" s="1" t="n">
        <v>45357</v>
      </c>
      <c r="D12700" t="inlineStr">
        <is>
          <t>VÄSTERBOTTENS LÄN</t>
        </is>
      </c>
      <c r="E12700" t="inlineStr">
        <is>
          <t>NORSJÖ</t>
        </is>
      </c>
      <c r="F12700" t="inlineStr">
        <is>
          <t>Sveaskog</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56048-2023</t>
        </is>
      </c>
      <c r="B12701" s="1" t="n">
        <v>45240</v>
      </c>
      <c r="C12701" s="1" t="n">
        <v>45357</v>
      </c>
      <c r="D12701" t="inlineStr">
        <is>
          <t>VÄSTERBOTTENS LÄN</t>
        </is>
      </c>
      <c r="E12701" t="inlineStr">
        <is>
          <t>MALÅ</t>
        </is>
      </c>
      <c r="F12701" t="inlineStr">
        <is>
          <t>Sveaskog</t>
        </is>
      </c>
      <c r="G12701" t="n">
        <v>6.4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55974-2023</t>
        </is>
      </c>
      <c r="B12702" s="1" t="n">
        <v>45240</v>
      </c>
      <c r="C12702" s="1" t="n">
        <v>45357</v>
      </c>
      <c r="D12702" t="inlineStr">
        <is>
          <t>VÄSTERBOTTENS LÄN</t>
        </is>
      </c>
      <c r="E12702" t="inlineStr">
        <is>
          <t>MALÅ</t>
        </is>
      </c>
      <c r="F12702" t="inlineStr">
        <is>
          <t>Sveaskog</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56264-2023</t>
        </is>
      </c>
      <c r="B12703" s="1" t="n">
        <v>45240</v>
      </c>
      <c r="C12703" s="1" t="n">
        <v>45357</v>
      </c>
      <c r="D12703" t="inlineStr">
        <is>
          <t>VÄSTERBOTTENS LÄN</t>
        </is>
      </c>
      <c r="E12703" t="inlineStr">
        <is>
          <t>SKELLEFTEÅ</t>
        </is>
      </c>
      <c r="F12703" t="inlineStr">
        <is>
          <t>SCA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56236-2023</t>
        </is>
      </c>
      <c r="B12704" s="1" t="n">
        <v>45240</v>
      </c>
      <c r="C12704" s="1" t="n">
        <v>45357</v>
      </c>
      <c r="D12704" t="inlineStr">
        <is>
          <t>VÄSTERBOTTENS LÄN</t>
        </is>
      </c>
      <c r="E12704" t="inlineStr">
        <is>
          <t>VILHELMINA</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56178-2023</t>
        </is>
      </c>
      <c r="B12705" s="1" t="n">
        <v>45240</v>
      </c>
      <c r="C12705" s="1" t="n">
        <v>45357</v>
      </c>
      <c r="D12705" t="inlineStr">
        <is>
          <t>VÄSTERBOTTENS LÄN</t>
        </is>
      </c>
      <c r="E12705" t="inlineStr">
        <is>
          <t>VINDELN</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56163-2023</t>
        </is>
      </c>
      <c r="B12706" s="1" t="n">
        <v>45240</v>
      </c>
      <c r="C12706" s="1" t="n">
        <v>45357</v>
      </c>
      <c r="D12706" t="inlineStr">
        <is>
          <t>VÄSTERBOTTENS LÄN</t>
        </is>
      </c>
      <c r="E12706" t="inlineStr">
        <is>
          <t>SKELLEFTEÅ</t>
        </is>
      </c>
      <c r="G12706" t="n">
        <v>7.9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56146-2023</t>
        </is>
      </c>
      <c r="B12707" s="1" t="n">
        <v>45240</v>
      </c>
      <c r="C12707" s="1" t="n">
        <v>45357</v>
      </c>
      <c r="D12707" t="inlineStr">
        <is>
          <t>VÄSTERBOTTENS LÄN</t>
        </is>
      </c>
      <c r="E12707" t="inlineStr">
        <is>
          <t>MALÅ</t>
        </is>
      </c>
      <c r="F12707" t="inlineStr">
        <is>
          <t>Sveaskog</t>
        </is>
      </c>
      <c r="G12707" t="n">
        <v>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56090-2023</t>
        </is>
      </c>
      <c r="B12708" s="1" t="n">
        <v>45240</v>
      </c>
      <c r="C12708" s="1" t="n">
        <v>45357</v>
      </c>
      <c r="D12708" t="inlineStr">
        <is>
          <t>VÄSTERBOTTENS LÄN</t>
        </is>
      </c>
      <c r="E12708" t="inlineStr">
        <is>
          <t>NORSJÖ</t>
        </is>
      </c>
      <c r="F12708" t="inlineStr">
        <is>
          <t>Sveaskog</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56027-2023</t>
        </is>
      </c>
      <c r="B12709" s="1" t="n">
        <v>45240</v>
      </c>
      <c r="C12709" s="1" t="n">
        <v>45357</v>
      </c>
      <c r="D12709" t="inlineStr">
        <is>
          <t>VÄSTERBOTTENS LÄN</t>
        </is>
      </c>
      <c r="E12709" t="inlineStr">
        <is>
          <t>LYCKSELE</t>
        </is>
      </c>
      <c r="F12709" t="inlineStr">
        <is>
          <t>Sveaskog</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55987-2023</t>
        </is>
      </c>
      <c r="B12710" s="1" t="n">
        <v>45240</v>
      </c>
      <c r="C12710" s="1" t="n">
        <v>45357</v>
      </c>
      <c r="D12710" t="inlineStr">
        <is>
          <t>VÄSTERBOTTENS LÄN</t>
        </is>
      </c>
      <c r="E12710" t="inlineStr">
        <is>
          <t>MALÅ</t>
        </is>
      </c>
      <c r="F12710" t="inlineStr">
        <is>
          <t>Sveaskog</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55938-2023</t>
        </is>
      </c>
      <c r="B12711" s="1" t="n">
        <v>45240</v>
      </c>
      <c r="C12711" s="1" t="n">
        <v>45357</v>
      </c>
      <c r="D12711" t="inlineStr">
        <is>
          <t>VÄSTERBOTTENS LÄN</t>
        </is>
      </c>
      <c r="E12711" t="inlineStr">
        <is>
          <t>LYCKSELE</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57437-2023</t>
        </is>
      </c>
      <c r="B12712" s="1" t="n">
        <v>45240</v>
      </c>
      <c r="C12712" s="1" t="n">
        <v>45357</v>
      </c>
      <c r="D12712" t="inlineStr">
        <is>
          <t>VÄSTERBOTTENS LÄN</t>
        </is>
      </c>
      <c r="E12712" t="inlineStr">
        <is>
          <t>SKELLEFTEÅ</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56263-2023</t>
        </is>
      </c>
      <c r="B12713" s="1" t="n">
        <v>45240</v>
      </c>
      <c r="C12713" s="1" t="n">
        <v>45357</v>
      </c>
      <c r="D12713" t="inlineStr">
        <is>
          <t>VÄSTERBOTTENS LÄN</t>
        </is>
      </c>
      <c r="E12713" t="inlineStr">
        <is>
          <t>SKELLEFTEÅ</t>
        </is>
      </c>
      <c r="F12713" t="inlineStr">
        <is>
          <t>SCA</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56235-2023</t>
        </is>
      </c>
      <c r="B12714" s="1" t="n">
        <v>45240</v>
      </c>
      <c r="C12714" s="1" t="n">
        <v>45357</v>
      </c>
      <c r="D12714" t="inlineStr">
        <is>
          <t>VÄSTERBOTTENS LÄN</t>
        </is>
      </c>
      <c r="E12714" t="inlineStr">
        <is>
          <t>VILHELMINA</t>
        </is>
      </c>
      <c r="G12714" t="n">
        <v>12.7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56203-2023</t>
        </is>
      </c>
      <c r="B12715" s="1" t="n">
        <v>45240</v>
      </c>
      <c r="C12715" s="1" t="n">
        <v>45357</v>
      </c>
      <c r="D12715" t="inlineStr">
        <is>
          <t>VÄSTERBOTTENS LÄN</t>
        </is>
      </c>
      <c r="E12715" t="inlineStr">
        <is>
          <t>SKELLEFTEÅ</t>
        </is>
      </c>
      <c r="F12715" t="inlineStr">
        <is>
          <t>Holmen skog AB</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56182-2023</t>
        </is>
      </c>
      <c r="B12716" s="1" t="n">
        <v>45240</v>
      </c>
      <c r="C12716" s="1" t="n">
        <v>45357</v>
      </c>
      <c r="D12716" t="inlineStr">
        <is>
          <t>VÄSTERBOTTENS LÄN</t>
        </is>
      </c>
      <c r="E12716" t="inlineStr">
        <is>
          <t>VINDELN</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55986-2023</t>
        </is>
      </c>
      <c r="B12717" s="1" t="n">
        <v>45240</v>
      </c>
      <c r="C12717" s="1" t="n">
        <v>45357</v>
      </c>
      <c r="D12717" t="inlineStr">
        <is>
          <t>VÄSTERBOTTENS LÄN</t>
        </is>
      </c>
      <c r="E12717" t="inlineStr">
        <is>
          <t>SKELLEFTEÅ</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56143-2023</t>
        </is>
      </c>
      <c r="B12718" s="1" t="n">
        <v>45240</v>
      </c>
      <c r="C12718" s="1" t="n">
        <v>45357</v>
      </c>
      <c r="D12718" t="inlineStr">
        <is>
          <t>VÄSTERBOTTENS LÄN</t>
        </is>
      </c>
      <c r="E12718" t="inlineStr">
        <is>
          <t>SKELLEFTEÅ</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55988-2023</t>
        </is>
      </c>
      <c r="B12719" s="1" t="n">
        <v>45240</v>
      </c>
      <c r="C12719" s="1" t="n">
        <v>45357</v>
      </c>
      <c r="D12719" t="inlineStr">
        <is>
          <t>VÄSTERBOTTENS LÄN</t>
        </is>
      </c>
      <c r="E12719" t="inlineStr">
        <is>
          <t>VINDELN</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56277-2023</t>
        </is>
      </c>
      <c r="B12720" s="1" t="n">
        <v>45241</v>
      </c>
      <c r="C12720" s="1" t="n">
        <v>45357</v>
      </c>
      <c r="D12720" t="inlineStr">
        <is>
          <t>VÄSTERBOTTENS LÄN</t>
        </is>
      </c>
      <c r="E12720" t="inlineStr">
        <is>
          <t>NORDMALING</t>
        </is>
      </c>
      <c r="G12720" t="n">
        <v>4.1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56296-2023</t>
        </is>
      </c>
      <c r="B12721" s="1" t="n">
        <v>45242</v>
      </c>
      <c r="C12721" s="1" t="n">
        <v>45357</v>
      </c>
      <c r="D12721" t="inlineStr">
        <is>
          <t>VÄSTERBOTTENS LÄN</t>
        </is>
      </c>
      <c r="E12721" t="inlineStr">
        <is>
          <t>STORUMAN</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56300-2023</t>
        </is>
      </c>
      <c r="B12722" s="1" t="n">
        <v>45242</v>
      </c>
      <c r="C12722" s="1" t="n">
        <v>45357</v>
      </c>
      <c r="D12722" t="inlineStr">
        <is>
          <t>VÄSTERBOTTENS LÄN</t>
        </is>
      </c>
      <c r="E12722" t="inlineStr">
        <is>
          <t>SORSELE</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56297-2023</t>
        </is>
      </c>
      <c r="B12723" s="1" t="n">
        <v>45242</v>
      </c>
      <c r="C12723" s="1" t="n">
        <v>45357</v>
      </c>
      <c r="D12723" t="inlineStr">
        <is>
          <t>VÄSTERBOTTENS LÄN</t>
        </is>
      </c>
      <c r="E12723" t="inlineStr">
        <is>
          <t>STORUMAN</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56302-2023</t>
        </is>
      </c>
      <c r="B12724" s="1" t="n">
        <v>45242</v>
      </c>
      <c r="C12724" s="1" t="n">
        <v>45357</v>
      </c>
      <c r="D12724" t="inlineStr">
        <is>
          <t>VÄSTERBOTTENS LÄN</t>
        </is>
      </c>
      <c r="E12724" t="inlineStr">
        <is>
          <t>UMEÅ</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56291-2023</t>
        </is>
      </c>
      <c r="B12725" s="1" t="n">
        <v>45242</v>
      </c>
      <c r="C12725" s="1" t="n">
        <v>45357</v>
      </c>
      <c r="D12725" t="inlineStr">
        <is>
          <t>VÄSTERBOTTENS LÄN</t>
        </is>
      </c>
      <c r="E12725" t="inlineStr">
        <is>
          <t>SKELLEFTEÅ</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56332-2023</t>
        </is>
      </c>
      <c r="B12726" s="1" t="n">
        <v>45243</v>
      </c>
      <c r="C12726" s="1" t="n">
        <v>45357</v>
      </c>
      <c r="D12726" t="inlineStr">
        <is>
          <t>VÄSTERBOTTENS LÄN</t>
        </is>
      </c>
      <c r="E12726" t="inlineStr">
        <is>
          <t>UMEÅ</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56406-2023</t>
        </is>
      </c>
      <c r="B12727" s="1" t="n">
        <v>45243</v>
      </c>
      <c r="C12727" s="1" t="n">
        <v>45357</v>
      </c>
      <c r="D12727" t="inlineStr">
        <is>
          <t>VÄSTERBOTTENS LÄN</t>
        </is>
      </c>
      <c r="E12727" t="inlineStr">
        <is>
          <t>DOROTEA</t>
        </is>
      </c>
      <c r="G12727" t="n">
        <v>17.7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56617-2023</t>
        </is>
      </c>
      <c r="B12728" s="1" t="n">
        <v>45243</v>
      </c>
      <c r="C12728" s="1" t="n">
        <v>45357</v>
      </c>
      <c r="D12728" t="inlineStr">
        <is>
          <t>VÄSTERBOTTENS LÄN</t>
        </is>
      </c>
      <c r="E12728" t="inlineStr">
        <is>
          <t>VILHELMINA</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56622-2023</t>
        </is>
      </c>
      <c r="B12729" s="1" t="n">
        <v>45243</v>
      </c>
      <c r="C12729" s="1" t="n">
        <v>45357</v>
      </c>
      <c r="D12729" t="inlineStr">
        <is>
          <t>VÄSTERBOTTENS LÄN</t>
        </is>
      </c>
      <c r="E12729" t="inlineStr">
        <is>
          <t>VILHELMINA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56463-2023</t>
        </is>
      </c>
      <c r="B12730" s="1" t="n">
        <v>45243</v>
      </c>
      <c r="C12730" s="1" t="n">
        <v>45357</v>
      </c>
      <c r="D12730" t="inlineStr">
        <is>
          <t>VÄSTERBOTTENS LÄN</t>
        </is>
      </c>
      <c r="E12730" t="inlineStr">
        <is>
          <t>SKELLEFTEÅ</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56640-2023</t>
        </is>
      </c>
      <c r="B12731" s="1" t="n">
        <v>45243</v>
      </c>
      <c r="C12731" s="1" t="n">
        <v>45357</v>
      </c>
      <c r="D12731" t="inlineStr">
        <is>
          <t>VÄSTERBOTTENS LÄN</t>
        </is>
      </c>
      <c r="E12731" t="inlineStr">
        <is>
          <t>VINDELN</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56450-2023</t>
        </is>
      </c>
      <c r="B12732" s="1" t="n">
        <v>45243</v>
      </c>
      <c r="C12732" s="1" t="n">
        <v>45357</v>
      </c>
      <c r="D12732" t="inlineStr">
        <is>
          <t>VÄSTERBOTTENS LÄN</t>
        </is>
      </c>
      <c r="E12732" t="inlineStr">
        <is>
          <t>SKELLEFTEÅ</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56548-2023</t>
        </is>
      </c>
      <c r="B12733" s="1" t="n">
        <v>45243</v>
      </c>
      <c r="C12733" s="1" t="n">
        <v>45357</v>
      </c>
      <c r="D12733" t="inlineStr">
        <is>
          <t>VÄSTERBOTTENS LÄN</t>
        </is>
      </c>
      <c r="E12733" t="inlineStr">
        <is>
          <t>SKELLEFTEÅ</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56653-2023</t>
        </is>
      </c>
      <c r="B12734" s="1" t="n">
        <v>45243</v>
      </c>
      <c r="C12734" s="1" t="n">
        <v>45357</v>
      </c>
      <c r="D12734" t="inlineStr">
        <is>
          <t>VÄSTERBOTTENS LÄN</t>
        </is>
      </c>
      <c r="E12734" t="inlineStr">
        <is>
          <t>SKELLEFTEÅ</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57558-2023</t>
        </is>
      </c>
      <c r="B12735" s="1" t="n">
        <v>45243</v>
      </c>
      <c r="C12735" s="1" t="n">
        <v>45357</v>
      </c>
      <c r="D12735" t="inlineStr">
        <is>
          <t>VÄSTERBOTTENS LÄN</t>
        </is>
      </c>
      <c r="E12735" t="inlineStr">
        <is>
          <t>SKELLEFTEÅ</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56375-2023</t>
        </is>
      </c>
      <c r="B12736" s="1" t="n">
        <v>45243</v>
      </c>
      <c r="C12736" s="1" t="n">
        <v>45357</v>
      </c>
      <c r="D12736" t="inlineStr">
        <is>
          <t>VÄSTERBOTTENS LÄN</t>
        </is>
      </c>
      <c r="E12736" t="inlineStr">
        <is>
          <t>SKELLEFTEÅ</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56471-2023</t>
        </is>
      </c>
      <c r="B12737" s="1" t="n">
        <v>45243</v>
      </c>
      <c r="C12737" s="1" t="n">
        <v>45357</v>
      </c>
      <c r="D12737" t="inlineStr">
        <is>
          <t>VÄSTERBOTTENS LÄN</t>
        </is>
      </c>
      <c r="E12737" t="inlineStr">
        <is>
          <t>SKELLEFTEÅ</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56494-2023</t>
        </is>
      </c>
      <c r="B12738" s="1" t="n">
        <v>45243</v>
      </c>
      <c r="C12738" s="1" t="n">
        <v>45357</v>
      </c>
      <c r="D12738" t="inlineStr">
        <is>
          <t>VÄSTERBOTTENS LÄN</t>
        </is>
      </c>
      <c r="E12738" t="inlineStr">
        <is>
          <t>LYCKSELE</t>
        </is>
      </c>
      <c r="F12738" t="inlineStr">
        <is>
          <t>Sveaskog</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57691-2023</t>
        </is>
      </c>
      <c r="B12739" s="1" t="n">
        <v>45243</v>
      </c>
      <c r="C12739" s="1" t="n">
        <v>45357</v>
      </c>
      <c r="D12739" t="inlineStr">
        <is>
          <t>VÄSTERBOTTENS LÄN</t>
        </is>
      </c>
      <c r="E12739" t="inlineStr">
        <is>
          <t>VILHELMINA</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57561-2023</t>
        </is>
      </c>
      <c r="B12740" s="1" t="n">
        <v>45243</v>
      </c>
      <c r="C12740" s="1" t="n">
        <v>45357</v>
      </c>
      <c r="D12740" t="inlineStr">
        <is>
          <t>VÄSTERBOTTENS LÄN</t>
        </is>
      </c>
      <c r="E12740" t="inlineStr">
        <is>
          <t>VINDELN</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56743-2023</t>
        </is>
      </c>
      <c r="B12741" s="1" t="n">
        <v>45244</v>
      </c>
      <c r="C12741" s="1" t="n">
        <v>45357</v>
      </c>
      <c r="D12741" t="inlineStr">
        <is>
          <t>VÄSTERBOTTENS LÄN</t>
        </is>
      </c>
      <c r="E12741" t="inlineStr">
        <is>
          <t>UMEÅ</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56749-2023</t>
        </is>
      </c>
      <c r="B12742" s="1" t="n">
        <v>45244</v>
      </c>
      <c r="C12742" s="1" t="n">
        <v>45357</v>
      </c>
      <c r="D12742" t="inlineStr">
        <is>
          <t>VÄSTERBOTTENS LÄN</t>
        </is>
      </c>
      <c r="E12742" t="inlineStr">
        <is>
          <t>UMEÅ</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56801-2023</t>
        </is>
      </c>
      <c r="B12743" s="1" t="n">
        <v>45244</v>
      </c>
      <c r="C12743" s="1" t="n">
        <v>45357</v>
      </c>
      <c r="D12743" t="inlineStr">
        <is>
          <t>VÄSTERBOTTENS LÄN</t>
        </is>
      </c>
      <c r="E12743" t="inlineStr">
        <is>
          <t>NORDMALING</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56839-2023</t>
        </is>
      </c>
      <c r="B12744" s="1" t="n">
        <v>45244</v>
      </c>
      <c r="C12744" s="1" t="n">
        <v>45357</v>
      </c>
      <c r="D12744" t="inlineStr">
        <is>
          <t>VÄSTERBOTTENS LÄN</t>
        </is>
      </c>
      <c r="E12744" t="inlineStr">
        <is>
          <t>SKELLEFTEÅ</t>
        </is>
      </c>
      <c r="F12744" t="inlineStr">
        <is>
          <t>Holmen skog AB</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56943-2023</t>
        </is>
      </c>
      <c r="B12745" s="1" t="n">
        <v>45244</v>
      </c>
      <c r="C12745" s="1" t="n">
        <v>45357</v>
      </c>
      <c r="D12745" t="inlineStr">
        <is>
          <t>VÄSTERBOTTENS LÄN</t>
        </is>
      </c>
      <c r="E12745" t="inlineStr">
        <is>
          <t>VINDELN</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56957-2023</t>
        </is>
      </c>
      <c r="B12746" s="1" t="n">
        <v>45244</v>
      </c>
      <c r="C12746" s="1" t="n">
        <v>45357</v>
      </c>
      <c r="D12746" t="inlineStr">
        <is>
          <t>VÄSTERBOTTENS LÄN</t>
        </is>
      </c>
      <c r="E12746" t="inlineStr">
        <is>
          <t>MALÅ</t>
        </is>
      </c>
      <c r="F12746" t="inlineStr">
        <is>
          <t>Sveaskog</t>
        </is>
      </c>
      <c r="G12746" t="n">
        <v>10.2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56961-2023</t>
        </is>
      </c>
      <c r="B12747" s="1" t="n">
        <v>45244</v>
      </c>
      <c r="C12747" s="1" t="n">
        <v>45357</v>
      </c>
      <c r="D12747" t="inlineStr">
        <is>
          <t>VÄSTERBOTTENS LÄN</t>
        </is>
      </c>
      <c r="E12747" t="inlineStr">
        <is>
          <t>ÅSELE</t>
        </is>
      </c>
      <c r="F12747" t="inlineStr">
        <is>
          <t>Holmen skog AB</t>
        </is>
      </c>
      <c r="G12747" t="n">
        <v>10.8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56965-2023</t>
        </is>
      </c>
      <c r="B12748" s="1" t="n">
        <v>45244</v>
      </c>
      <c r="C12748" s="1" t="n">
        <v>45357</v>
      </c>
      <c r="D12748" t="inlineStr">
        <is>
          <t>VÄSTERBOTTENS LÄN</t>
        </is>
      </c>
      <c r="E12748" t="inlineStr">
        <is>
          <t>MALÅ</t>
        </is>
      </c>
      <c r="F12748" t="inlineStr">
        <is>
          <t>Sveaskog</t>
        </is>
      </c>
      <c r="G12748" t="n">
        <v>7.2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56993-2023</t>
        </is>
      </c>
      <c r="B12749" s="1" t="n">
        <v>45244</v>
      </c>
      <c r="C12749" s="1" t="n">
        <v>45357</v>
      </c>
      <c r="D12749" t="inlineStr">
        <is>
          <t>VÄSTERBOTTENS LÄN</t>
        </is>
      </c>
      <c r="E12749" t="inlineStr">
        <is>
          <t>MALÅ</t>
        </is>
      </c>
      <c r="F12749" t="inlineStr">
        <is>
          <t>Sveaskog</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56997-2023</t>
        </is>
      </c>
      <c r="B12750" s="1" t="n">
        <v>45244</v>
      </c>
      <c r="C12750" s="1" t="n">
        <v>45357</v>
      </c>
      <c r="D12750" t="inlineStr">
        <is>
          <t>VÄSTERBOTTENS LÄN</t>
        </is>
      </c>
      <c r="E12750" t="inlineStr">
        <is>
          <t>MALÅ</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57001-2023</t>
        </is>
      </c>
      <c r="B12751" s="1" t="n">
        <v>45244</v>
      </c>
      <c r="C12751" s="1" t="n">
        <v>45357</v>
      </c>
      <c r="D12751" t="inlineStr">
        <is>
          <t>VÄSTERBOTTENS LÄN</t>
        </is>
      </c>
      <c r="E12751" t="inlineStr">
        <is>
          <t>MALÅ</t>
        </is>
      </c>
      <c r="F12751" t="inlineStr">
        <is>
          <t>Sveaskog</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56998-2023</t>
        </is>
      </c>
      <c r="B12752" s="1" t="n">
        <v>45244</v>
      </c>
      <c r="C12752" s="1" t="n">
        <v>45357</v>
      </c>
      <c r="D12752" t="inlineStr">
        <is>
          <t>VÄSTERBOTTENS LÄN</t>
        </is>
      </c>
      <c r="E12752" t="inlineStr">
        <is>
          <t>MALÅ</t>
        </is>
      </c>
      <c r="F12752" t="inlineStr">
        <is>
          <t>Sveaskog</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57014-2023</t>
        </is>
      </c>
      <c r="B12753" s="1" t="n">
        <v>45244</v>
      </c>
      <c r="C12753" s="1" t="n">
        <v>45357</v>
      </c>
      <c r="D12753" t="inlineStr">
        <is>
          <t>VÄSTERBOTTENS LÄN</t>
        </is>
      </c>
      <c r="E12753" t="inlineStr">
        <is>
          <t>MALÅ</t>
        </is>
      </c>
      <c r="F12753" t="inlineStr">
        <is>
          <t>Sveaskog</t>
        </is>
      </c>
      <c r="G12753" t="n">
        <v>10.4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57002-2023</t>
        </is>
      </c>
      <c r="B12754" s="1" t="n">
        <v>45244</v>
      </c>
      <c r="C12754" s="1" t="n">
        <v>45357</v>
      </c>
      <c r="D12754" t="inlineStr">
        <is>
          <t>VÄSTERBOTTENS LÄN</t>
        </is>
      </c>
      <c r="E12754" t="inlineStr">
        <is>
          <t>MALÅ</t>
        </is>
      </c>
      <c r="F12754" t="inlineStr">
        <is>
          <t>Sveaskog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57047-2023</t>
        </is>
      </c>
      <c r="B12755" s="1" t="n">
        <v>45244</v>
      </c>
      <c r="C12755" s="1" t="n">
        <v>45357</v>
      </c>
      <c r="D12755" t="inlineStr">
        <is>
          <t>VÄSTERBOTTENS LÄN</t>
        </is>
      </c>
      <c r="E12755" t="inlineStr">
        <is>
          <t>STORUMAN</t>
        </is>
      </c>
      <c r="G12755" t="n">
        <v>12.7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56826-2023</t>
        </is>
      </c>
      <c r="B12756" s="1" t="n">
        <v>45244</v>
      </c>
      <c r="C12756" s="1" t="n">
        <v>45357</v>
      </c>
      <c r="D12756" t="inlineStr">
        <is>
          <t>VÄSTERBOTTENS LÄN</t>
        </is>
      </c>
      <c r="E12756" t="inlineStr">
        <is>
          <t>ÅSELE</t>
        </is>
      </c>
      <c r="F12756" t="inlineStr">
        <is>
          <t>Naturvårdsverket</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56954-2023</t>
        </is>
      </c>
      <c r="B12757" s="1" t="n">
        <v>45244</v>
      </c>
      <c r="C12757" s="1" t="n">
        <v>45357</v>
      </c>
      <c r="D12757" t="inlineStr">
        <is>
          <t>VÄSTERBOTTENS LÄN</t>
        </is>
      </c>
      <c r="E12757" t="inlineStr">
        <is>
          <t>MALÅ</t>
        </is>
      </c>
      <c r="F12757" t="inlineStr">
        <is>
          <t>Sveaskog</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56958-2023</t>
        </is>
      </c>
      <c r="B12758" s="1" t="n">
        <v>45244</v>
      </c>
      <c r="C12758" s="1" t="n">
        <v>45357</v>
      </c>
      <c r="D12758" t="inlineStr">
        <is>
          <t>VÄSTERBOTTENS LÄN</t>
        </is>
      </c>
      <c r="E12758" t="inlineStr">
        <is>
          <t>MALÅ</t>
        </is>
      </c>
      <c r="F12758" t="inlineStr">
        <is>
          <t>Sveaskog</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56962-2023</t>
        </is>
      </c>
      <c r="B12759" s="1" t="n">
        <v>45244</v>
      </c>
      <c r="C12759" s="1" t="n">
        <v>45357</v>
      </c>
      <c r="D12759" t="inlineStr">
        <is>
          <t>VÄSTERBOTTENS LÄN</t>
        </is>
      </c>
      <c r="E12759" t="inlineStr">
        <is>
          <t>MALÅ</t>
        </is>
      </c>
      <c r="F12759" t="inlineStr">
        <is>
          <t>Sveaskog</t>
        </is>
      </c>
      <c r="G12759" t="n">
        <v>7.3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56995-2023</t>
        </is>
      </c>
      <c r="B12760" s="1" t="n">
        <v>45244</v>
      </c>
      <c r="C12760" s="1" t="n">
        <v>45357</v>
      </c>
      <c r="D12760" t="inlineStr">
        <is>
          <t>VÄSTERBOTTENS LÄN</t>
        </is>
      </c>
      <c r="E12760" t="inlineStr">
        <is>
          <t>MALÅ</t>
        </is>
      </c>
      <c r="F12760" t="inlineStr">
        <is>
          <t>Sveaskog</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56999-2023</t>
        </is>
      </c>
      <c r="B12761" s="1" t="n">
        <v>45244</v>
      </c>
      <c r="C12761" s="1" t="n">
        <v>45357</v>
      </c>
      <c r="D12761" t="inlineStr">
        <is>
          <t>VÄSTERBOTTENS LÄN</t>
        </is>
      </c>
      <c r="E12761" t="inlineStr">
        <is>
          <t>MALÅ</t>
        </is>
      </c>
      <c r="F12761" t="inlineStr">
        <is>
          <t>Sveaskog</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57016-2023</t>
        </is>
      </c>
      <c r="B12762" s="1" t="n">
        <v>45244</v>
      </c>
      <c r="C12762" s="1" t="n">
        <v>45357</v>
      </c>
      <c r="D12762" t="inlineStr">
        <is>
          <t>VÄSTERBOTTENS LÄN</t>
        </is>
      </c>
      <c r="E12762" t="inlineStr">
        <is>
          <t>MALÅ</t>
        </is>
      </c>
      <c r="F12762" t="inlineStr">
        <is>
          <t>Sveaskog</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56951-2023</t>
        </is>
      </c>
      <c r="B12763" s="1" t="n">
        <v>45244</v>
      </c>
      <c r="C12763" s="1" t="n">
        <v>45357</v>
      </c>
      <c r="D12763" t="inlineStr">
        <is>
          <t>VÄSTERBOTTENS LÄN</t>
        </is>
      </c>
      <c r="E12763" t="inlineStr">
        <is>
          <t>VINDELN</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56963-2023</t>
        </is>
      </c>
      <c r="B12764" s="1" t="n">
        <v>45244</v>
      </c>
      <c r="C12764" s="1" t="n">
        <v>45357</v>
      </c>
      <c r="D12764" t="inlineStr">
        <is>
          <t>VÄSTERBOTTENS LÄN</t>
        </is>
      </c>
      <c r="E12764" t="inlineStr">
        <is>
          <t>MALÅ</t>
        </is>
      </c>
      <c r="F12764" t="inlineStr">
        <is>
          <t>Sveaskog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57920-2023</t>
        </is>
      </c>
      <c r="B12765" s="1" t="n">
        <v>45244</v>
      </c>
      <c r="C12765" s="1" t="n">
        <v>45357</v>
      </c>
      <c r="D12765" t="inlineStr">
        <is>
          <t>VÄSTERBOTTENS LÄN</t>
        </is>
      </c>
      <c r="E12765" t="inlineStr">
        <is>
          <t>ÅSELE</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57816-2023</t>
        </is>
      </c>
      <c r="B12766" s="1" t="n">
        <v>45244</v>
      </c>
      <c r="C12766" s="1" t="n">
        <v>45357</v>
      </c>
      <c r="D12766" t="inlineStr">
        <is>
          <t>VÄSTERBOTTENS LÄN</t>
        </is>
      </c>
      <c r="E12766" t="inlineStr">
        <is>
          <t>VINDELN</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57071-2023</t>
        </is>
      </c>
      <c r="B12767" s="1" t="n">
        <v>45245</v>
      </c>
      <c r="C12767" s="1" t="n">
        <v>45357</v>
      </c>
      <c r="D12767" t="inlineStr">
        <is>
          <t>VÄSTERBOTTENS LÄN</t>
        </is>
      </c>
      <c r="E12767" t="inlineStr">
        <is>
          <t>DOROTEA</t>
        </is>
      </c>
      <c r="F12767" t="inlineStr">
        <is>
          <t>SCA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57881-2023</t>
        </is>
      </c>
      <c r="B12768" s="1" t="n">
        <v>45244</v>
      </c>
      <c r="C12768" s="1" t="n">
        <v>45357</v>
      </c>
      <c r="D12768" t="inlineStr">
        <is>
          <t>VÄSTERBOTTENS LÄN</t>
        </is>
      </c>
      <c r="E12768" t="inlineStr">
        <is>
          <t>LYCKSELE</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57058-2023</t>
        </is>
      </c>
      <c r="B12769" s="1" t="n">
        <v>45244</v>
      </c>
      <c r="C12769" s="1" t="n">
        <v>45357</v>
      </c>
      <c r="D12769" t="inlineStr">
        <is>
          <t>VÄSTERBOTTENS LÄN</t>
        </is>
      </c>
      <c r="E12769" t="inlineStr">
        <is>
          <t>VILHELMINA</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57074-2023</t>
        </is>
      </c>
      <c r="B12770" s="1" t="n">
        <v>45245</v>
      </c>
      <c r="C12770" s="1" t="n">
        <v>45357</v>
      </c>
      <c r="D12770" t="inlineStr">
        <is>
          <t>VÄSTERBOTTENS LÄN</t>
        </is>
      </c>
      <c r="E12770" t="inlineStr">
        <is>
          <t>DOROTEA</t>
        </is>
      </c>
      <c r="F12770" t="inlineStr">
        <is>
          <t>SCA</t>
        </is>
      </c>
      <c r="G12770" t="n">
        <v>3.2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57070-2023</t>
        </is>
      </c>
      <c r="B12771" s="1" t="n">
        <v>45245</v>
      </c>
      <c r="C12771" s="1" t="n">
        <v>45357</v>
      </c>
      <c r="D12771" t="inlineStr">
        <is>
          <t>VÄSTERBOTTENS LÄN</t>
        </is>
      </c>
      <c r="E12771" t="inlineStr">
        <is>
          <t>DOROTEA</t>
        </is>
      </c>
      <c r="F12771" t="inlineStr">
        <is>
          <t>SCA</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57985-2023</t>
        </is>
      </c>
      <c r="B12772" s="1" t="n">
        <v>45244</v>
      </c>
      <c r="C12772" s="1" t="n">
        <v>45357</v>
      </c>
      <c r="D12772" t="inlineStr">
        <is>
          <t>VÄSTERBOTTENS LÄN</t>
        </is>
      </c>
      <c r="E12772" t="inlineStr">
        <is>
          <t>SKELLEFTEÅ</t>
        </is>
      </c>
      <c r="G12772" t="n">
        <v>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57819-2023</t>
        </is>
      </c>
      <c r="B12773" s="1" t="n">
        <v>45244</v>
      </c>
      <c r="C12773" s="1" t="n">
        <v>45357</v>
      </c>
      <c r="D12773" t="inlineStr">
        <is>
          <t>VÄSTERBOTTENS LÄN</t>
        </is>
      </c>
      <c r="E12773" t="inlineStr">
        <is>
          <t>VINDELN</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57890-2023</t>
        </is>
      </c>
      <c r="B12774" s="1" t="n">
        <v>45244</v>
      </c>
      <c r="C12774" s="1" t="n">
        <v>45357</v>
      </c>
      <c r="D12774" t="inlineStr">
        <is>
          <t>VÄSTERBOTTENS LÄN</t>
        </is>
      </c>
      <c r="E12774" t="inlineStr">
        <is>
          <t>BJURHOLM</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57057-2023</t>
        </is>
      </c>
      <c r="B12775" s="1" t="n">
        <v>45244</v>
      </c>
      <c r="C12775" s="1" t="n">
        <v>45357</v>
      </c>
      <c r="D12775" t="inlineStr">
        <is>
          <t>VÄSTERBOTTENS LÄN</t>
        </is>
      </c>
      <c r="E12775" t="inlineStr">
        <is>
          <t>VILHELMINA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58012-2023</t>
        </is>
      </c>
      <c r="B12776" s="1" t="n">
        <v>45244</v>
      </c>
      <c r="C12776" s="1" t="n">
        <v>45357</v>
      </c>
      <c r="D12776" t="inlineStr">
        <is>
          <t>VÄSTERBOTTENS LÄN</t>
        </is>
      </c>
      <c r="E12776" t="inlineStr">
        <is>
          <t>SKELLEFTEÅ</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57873-2023</t>
        </is>
      </c>
      <c r="B12777" s="1" t="n">
        <v>45244</v>
      </c>
      <c r="C12777" s="1" t="n">
        <v>45357</v>
      </c>
      <c r="D12777" t="inlineStr">
        <is>
          <t>VÄSTERBOTTENS LÄN</t>
        </is>
      </c>
      <c r="E12777" t="inlineStr">
        <is>
          <t>LYCKSELE</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57085-2023</t>
        </is>
      </c>
      <c r="B12778" s="1" t="n">
        <v>45245</v>
      </c>
      <c r="C12778" s="1" t="n">
        <v>45357</v>
      </c>
      <c r="D12778" t="inlineStr">
        <is>
          <t>VÄSTERBOTTENS LÄN</t>
        </is>
      </c>
      <c r="E12778" t="inlineStr">
        <is>
          <t>SKELLEFTEÅ</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57191-2023</t>
        </is>
      </c>
      <c r="B12779" s="1" t="n">
        <v>45245</v>
      </c>
      <c r="C12779" s="1" t="n">
        <v>45357</v>
      </c>
      <c r="D12779" t="inlineStr">
        <is>
          <t>VÄSTERBOTTENS LÄN</t>
        </is>
      </c>
      <c r="E12779" t="inlineStr">
        <is>
          <t>SKELLEFTEÅ</t>
        </is>
      </c>
      <c r="F12779" t="inlineStr">
        <is>
          <t>Sveaskog</t>
        </is>
      </c>
      <c r="G12779" t="n">
        <v>11.3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57214-2023</t>
        </is>
      </c>
      <c r="B12780" s="1" t="n">
        <v>45245</v>
      </c>
      <c r="C12780" s="1" t="n">
        <v>45357</v>
      </c>
      <c r="D12780" t="inlineStr">
        <is>
          <t>VÄSTERBOTTENS LÄN</t>
        </is>
      </c>
      <c r="E12780" t="inlineStr">
        <is>
          <t>LYCKSELE</t>
        </is>
      </c>
      <c r="F12780" t="inlineStr">
        <is>
          <t>Sveaskog</t>
        </is>
      </c>
      <c r="G12780" t="n">
        <v>10.1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57249-2023</t>
        </is>
      </c>
      <c r="B12781" s="1" t="n">
        <v>45245</v>
      </c>
      <c r="C12781" s="1" t="n">
        <v>45357</v>
      </c>
      <c r="D12781" t="inlineStr">
        <is>
          <t>VÄSTERBOTTENS LÄN</t>
        </is>
      </c>
      <c r="E12781" t="inlineStr">
        <is>
          <t>VINDELN</t>
        </is>
      </c>
      <c r="F12781" t="inlineStr">
        <is>
          <t>Sveaskog</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57297-2023</t>
        </is>
      </c>
      <c r="B12782" s="1" t="n">
        <v>45245</v>
      </c>
      <c r="C12782" s="1" t="n">
        <v>45357</v>
      </c>
      <c r="D12782" t="inlineStr">
        <is>
          <t>VÄSTERBOTTENS LÄN</t>
        </is>
      </c>
      <c r="E12782" t="inlineStr">
        <is>
          <t>MALÅ</t>
        </is>
      </c>
      <c r="F12782" t="inlineStr">
        <is>
          <t>Sveaskog</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57380-2023</t>
        </is>
      </c>
      <c r="B12783" s="1" t="n">
        <v>45245</v>
      </c>
      <c r="C12783" s="1" t="n">
        <v>45357</v>
      </c>
      <c r="D12783" t="inlineStr">
        <is>
          <t>VÄSTERBOTTENS LÄN</t>
        </is>
      </c>
      <c r="E12783" t="inlineStr">
        <is>
          <t>NORDMALING</t>
        </is>
      </c>
      <c r="G12783" t="n">
        <v>12.3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57388-2023</t>
        </is>
      </c>
      <c r="B12784" s="1" t="n">
        <v>45245</v>
      </c>
      <c r="C12784" s="1" t="n">
        <v>45357</v>
      </c>
      <c r="D12784" t="inlineStr">
        <is>
          <t>VÄSTERBOTTENS LÄN</t>
        </is>
      </c>
      <c r="E12784" t="inlineStr">
        <is>
          <t>NORDMALING</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57265-2023</t>
        </is>
      </c>
      <c r="B12785" s="1" t="n">
        <v>45245</v>
      </c>
      <c r="C12785" s="1" t="n">
        <v>45357</v>
      </c>
      <c r="D12785" t="inlineStr">
        <is>
          <t>VÄSTERBOTTENS LÄN</t>
        </is>
      </c>
      <c r="E12785" t="inlineStr">
        <is>
          <t>ROBERTSFORS</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57284-2023</t>
        </is>
      </c>
      <c r="B12786" s="1" t="n">
        <v>45245</v>
      </c>
      <c r="C12786" s="1" t="n">
        <v>45357</v>
      </c>
      <c r="D12786" t="inlineStr">
        <is>
          <t>VÄSTERBOTTENS LÄN</t>
        </is>
      </c>
      <c r="E12786" t="inlineStr">
        <is>
          <t>ROBERTSFORS</t>
        </is>
      </c>
      <c r="F12786" t="inlineStr">
        <is>
          <t>Holmen skog AB</t>
        </is>
      </c>
      <c r="G12786" t="n">
        <v>6.8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57296-2023</t>
        </is>
      </c>
      <c r="B12787" s="1" t="n">
        <v>45245</v>
      </c>
      <c r="C12787" s="1" t="n">
        <v>45357</v>
      </c>
      <c r="D12787" t="inlineStr">
        <is>
          <t>VÄSTERBOTTENS LÄN</t>
        </is>
      </c>
      <c r="E12787" t="inlineStr">
        <is>
          <t>MALÅ</t>
        </is>
      </c>
      <c r="F12787" t="inlineStr">
        <is>
          <t>Sveaskog</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57301-2023</t>
        </is>
      </c>
      <c r="B12788" s="1" t="n">
        <v>45245</v>
      </c>
      <c r="C12788" s="1" t="n">
        <v>45357</v>
      </c>
      <c r="D12788" t="inlineStr">
        <is>
          <t>VÄSTERBOTTENS LÄN</t>
        </is>
      </c>
      <c r="E12788" t="inlineStr">
        <is>
          <t>MALÅ</t>
        </is>
      </c>
      <c r="F12788" t="inlineStr">
        <is>
          <t>Sveaskog</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57270-2023</t>
        </is>
      </c>
      <c r="B12789" s="1" t="n">
        <v>45245</v>
      </c>
      <c r="C12789" s="1" t="n">
        <v>45357</v>
      </c>
      <c r="D12789" t="inlineStr">
        <is>
          <t>VÄSTERBOTTENS LÄN</t>
        </is>
      </c>
      <c r="E12789" t="inlineStr">
        <is>
          <t>ROBERTSFORS</t>
        </is>
      </c>
      <c r="F12789" t="inlineStr">
        <is>
          <t>Holmen skog AB</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57295-2023</t>
        </is>
      </c>
      <c r="B12790" s="1" t="n">
        <v>45245</v>
      </c>
      <c r="C12790" s="1" t="n">
        <v>45357</v>
      </c>
      <c r="D12790" t="inlineStr">
        <is>
          <t>VÄSTERBOTTENS LÄN</t>
        </is>
      </c>
      <c r="E12790" t="inlineStr">
        <is>
          <t>MALÅ</t>
        </is>
      </c>
      <c r="F12790" t="inlineStr">
        <is>
          <t>Sveaskog</t>
        </is>
      </c>
      <c r="G12790" t="n">
        <v>9.699999999999999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57300-2023</t>
        </is>
      </c>
      <c r="B12791" s="1" t="n">
        <v>45245</v>
      </c>
      <c r="C12791" s="1" t="n">
        <v>45357</v>
      </c>
      <c r="D12791" t="inlineStr">
        <is>
          <t>VÄSTERBOTTENS LÄN</t>
        </is>
      </c>
      <c r="E12791" t="inlineStr">
        <is>
          <t>MALÅ</t>
        </is>
      </c>
      <c r="F12791" t="inlineStr">
        <is>
          <t>Sveaskog</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57251-2023</t>
        </is>
      </c>
      <c r="B12792" s="1" t="n">
        <v>45245</v>
      </c>
      <c r="C12792" s="1" t="n">
        <v>45357</v>
      </c>
      <c r="D12792" t="inlineStr">
        <is>
          <t>VÄSTERBOTTENS LÄN</t>
        </is>
      </c>
      <c r="E12792" t="inlineStr">
        <is>
          <t>NORDMALING</t>
        </is>
      </c>
      <c r="G12792" t="n">
        <v>6.5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57303-2023</t>
        </is>
      </c>
      <c r="B12793" s="1" t="n">
        <v>45245</v>
      </c>
      <c r="C12793" s="1" t="n">
        <v>45357</v>
      </c>
      <c r="D12793" t="inlineStr">
        <is>
          <t>VÄSTERBOTTENS LÄN</t>
        </is>
      </c>
      <c r="E12793" t="inlineStr">
        <is>
          <t>MALÅ</t>
        </is>
      </c>
      <c r="F12793" t="inlineStr">
        <is>
          <t>Sveaskog</t>
        </is>
      </c>
      <c r="G12793" t="n">
        <v>5.8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57377-2023</t>
        </is>
      </c>
      <c r="B12794" s="1" t="n">
        <v>45245</v>
      </c>
      <c r="C12794" s="1" t="n">
        <v>45357</v>
      </c>
      <c r="D12794" t="inlineStr">
        <is>
          <t>VÄSTERBOTTENS LÄN</t>
        </is>
      </c>
      <c r="E12794" t="inlineStr">
        <is>
          <t>ÅSELE</t>
        </is>
      </c>
      <c r="F12794" t="inlineStr">
        <is>
          <t>Holmen skog AB</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57381-2023</t>
        </is>
      </c>
      <c r="B12795" s="1" t="n">
        <v>45245</v>
      </c>
      <c r="C12795" s="1" t="n">
        <v>45357</v>
      </c>
      <c r="D12795" t="inlineStr">
        <is>
          <t>VÄSTERBOTTENS LÄN</t>
        </is>
      </c>
      <c r="E12795" t="inlineStr">
        <is>
          <t>NORDMALING</t>
        </is>
      </c>
      <c r="G12795" t="n">
        <v>3.9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57379-2023</t>
        </is>
      </c>
      <c r="B12796" s="1" t="n">
        <v>45245</v>
      </c>
      <c r="C12796" s="1" t="n">
        <v>45357</v>
      </c>
      <c r="D12796" t="inlineStr">
        <is>
          <t>VÄSTERBOTTENS LÄN</t>
        </is>
      </c>
      <c r="E12796" t="inlineStr">
        <is>
          <t>DOROTEA</t>
        </is>
      </c>
      <c r="G12796" t="n">
        <v>6.5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58192-2023</t>
        </is>
      </c>
      <c r="B12797" s="1" t="n">
        <v>45245</v>
      </c>
      <c r="C12797" s="1" t="n">
        <v>45357</v>
      </c>
      <c r="D12797" t="inlineStr">
        <is>
          <t>VÄSTERBOTTENS LÄN</t>
        </is>
      </c>
      <c r="E12797" t="inlineStr">
        <is>
          <t>LYCKSELE</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58362-2023</t>
        </is>
      </c>
      <c r="B12798" s="1" t="n">
        <v>45245</v>
      </c>
      <c r="C12798" s="1" t="n">
        <v>45357</v>
      </c>
      <c r="D12798" t="inlineStr">
        <is>
          <t>VÄSTERBOTTENS LÄN</t>
        </is>
      </c>
      <c r="E12798" t="inlineStr">
        <is>
          <t>VILHELMINA</t>
        </is>
      </c>
      <c r="G12798" t="n">
        <v>13.6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57453-2023</t>
        </is>
      </c>
      <c r="B12799" s="1" t="n">
        <v>45246</v>
      </c>
      <c r="C12799" s="1" t="n">
        <v>45357</v>
      </c>
      <c r="D12799" t="inlineStr">
        <is>
          <t>VÄSTERBOTTENS LÄN</t>
        </is>
      </c>
      <c r="E12799" t="inlineStr">
        <is>
          <t>SKELLEFTEÅ</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57462-2023</t>
        </is>
      </c>
      <c r="B12800" s="1" t="n">
        <v>45246</v>
      </c>
      <c r="C12800" s="1" t="n">
        <v>45357</v>
      </c>
      <c r="D12800" t="inlineStr">
        <is>
          <t>VÄSTERBOTTENS LÄN</t>
        </is>
      </c>
      <c r="E12800" t="inlineStr">
        <is>
          <t>LYCKSELE</t>
        </is>
      </c>
      <c r="F12800" t="inlineStr">
        <is>
          <t>Sveaskog</t>
        </is>
      </c>
      <c r="G12800" t="n">
        <v>8.800000000000001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57443-2023</t>
        </is>
      </c>
      <c r="B12801" s="1" t="n">
        <v>45246</v>
      </c>
      <c r="C12801" s="1" t="n">
        <v>45357</v>
      </c>
      <c r="D12801" t="inlineStr">
        <is>
          <t>VÄSTERBOTTENS LÄN</t>
        </is>
      </c>
      <c r="E12801" t="inlineStr">
        <is>
          <t>LYCKSELE</t>
        </is>
      </c>
      <c r="F12801" t="inlineStr">
        <is>
          <t>Sveaskog</t>
        </is>
      </c>
      <c r="G12801" t="n">
        <v>10.1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57460-2023</t>
        </is>
      </c>
      <c r="B12802" s="1" t="n">
        <v>45246</v>
      </c>
      <c r="C12802" s="1" t="n">
        <v>45357</v>
      </c>
      <c r="D12802" t="inlineStr">
        <is>
          <t>VÄSTERBOTTENS LÄN</t>
        </is>
      </c>
      <c r="E12802" t="inlineStr">
        <is>
          <t>LYCKSELE</t>
        </is>
      </c>
      <c r="F12802" t="inlineStr">
        <is>
          <t>Sveaskog</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57441-2023</t>
        </is>
      </c>
      <c r="B12803" s="1" t="n">
        <v>45246</v>
      </c>
      <c r="C12803" s="1" t="n">
        <v>45357</v>
      </c>
      <c r="D12803" t="inlineStr">
        <is>
          <t>VÄSTERBOTTENS LÄN</t>
        </is>
      </c>
      <c r="E12803" t="inlineStr">
        <is>
          <t>LYCKSELE</t>
        </is>
      </c>
      <c r="F12803" t="inlineStr">
        <is>
          <t>Sveaskog</t>
        </is>
      </c>
      <c r="G12803" t="n">
        <v>18.6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57456-2023</t>
        </is>
      </c>
      <c r="B12804" s="1" t="n">
        <v>45246</v>
      </c>
      <c r="C12804" s="1" t="n">
        <v>45357</v>
      </c>
      <c r="D12804" t="inlineStr">
        <is>
          <t>VÄSTERBOTTENS LÄN</t>
        </is>
      </c>
      <c r="E12804" t="inlineStr">
        <is>
          <t>LYCKSELE</t>
        </is>
      </c>
      <c r="F12804" t="inlineStr">
        <is>
          <t>Sveaskog</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57629-2023</t>
        </is>
      </c>
      <c r="B12805" s="1" t="n">
        <v>45246</v>
      </c>
      <c r="C12805" s="1" t="n">
        <v>45357</v>
      </c>
      <c r="D12805" t="inlineStr">
        <is>
          <t>VÄSTERBOTTENS LÄN</t>
        </is>
      </c>
      <c r="E12805" t="inlineStr">
        <is>
          <t>ROBERTSFORS</t>
        </is>
      </c>
      <c r="G12805" t="n">
        <v>3.8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57641-2023</t>
        </is>
      </c>
      <c r="B12806" s="1" t="n">
        <v>45246</v>
      </c>
      <c r="C12806" s="1" t="n">
        <v>45357</v>
      </c>
      <c r="D12806" t="inlineStr">
        <is>
          <t>VÄSTERBOTTENS LÄN</t>
        </is>
      </c>
      <c r="E12806" t="inlineStr">
        <is>
          <t>ÅSELE</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57768-2023</t>
        </is>
      </c>
      <c r="B12807" s="1" t="n">
        <v>45246</v>
      </c>
      <c r="C12807" s="1" t="n">
        <v>45357</v>
      </c>
      <c r="D12807" t="inlineStr">
        <is>
          <t>VÄSTERBOTTENS LÄN</t>
        </is>
      </c>
      <c r="E12807" t="inlineStr">
        <is>
          <t>STORUMAN</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57777-2023</t>
        </is>
      </c>
      <c r="B12808" s="1" t="n">
        <v>45246</v>
      </c>
      <c r="C12808" s="1" t="n">
        <v>45357</v>
      </c>
      <c r="D12808" t="inlineStr">
        <is>
          <t>VÄSTERBOTTENS LÄN</t>
        </is>
      </c>
      <c r="E12808" t="inlineStr">
        <is>
          <t>VÄNNÄS</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57632-2023</t>
        </is>
      </c>
      <c r="B12809" s="1" t="n">
        <v>45246</v>
      </c>
      <c r="C12809" s="1" t="n">
        <v>45357</v>
      </c>
      <c r="D12809" t="inlineStr">
        <is>
          <t>VÄSTERBOTTENS LÄN</t>
        </is>
      </c>
      <c r="E12809" t="inlineStr">
        <is>
          <t>ÅSELE</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57793-2023</t>
        </is>
      </c>
      <c r="B12810" s="1" t="n">
        <v>45247</v>
      </c>
      <c r="C12810" s="1" t="n">
        <v>45357</v>
      </c>
      <c r="D12810" t="inlineStr">
        <is>
          <t>VÄSTERBOTTENS LÄN</t>
        </is>
      </c>
      <c r="E12810" t="inlineStr">
        <is>
          <t>DOROTEA</t>
        </is>
      </c>
      <c r="F12810" t="inlineStr">
        <is>
          <t>SCA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57795-2023</t>
        </is>
      </c>
      <c r="B12811" s="1" t="n">
        <v>45247</v>
      </c>
      <c r="C12811" s="1" t="n">
        <v>45357</v>
      </c>
      <c r="D12811" t="inlineStr">
        <is>
          <t>VÄSTERBOTTENS LÄN</t>
        </is>
      </c>
      <c r="E12811" t="inlineStr">
        <is>
          <t>VILHELMINA</t>
        </is>
      </c>
      <c r="F12811" t="inlineStr">
        <is>
          <t>SCA</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57799-2023</t>
        </is>
      </c>
      <c r="B12812" s="1" t="n">
        <v>45247</v>
      </c>
      <c r="C12812" s="1" t="n">
        <v>45357</v>
      </c>
      <c r="D12812" t="inlineStr">
        <is>
          <t>VÄSTERBOTTENS LÄN</t>
        </is>
      </c>
      <c r="E12812" t="inlineStr">
        <is>
          <t>BJURHOLM</t>
        </is>
      </c>
      <c r="F12812" t="inlineStr">
        <is>
          <t>SCA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58482-2023</t>
        </is>
      </c>
      <c r="B12813" s="1" t="n">
        <v>45246</v>
      </c>
      <c r="C12813" s="1" t="n">
        <v>45357</v>
      </c>
      <c r="D12813" t="inlineStr">
        <is>
          <t>VÄSTERBOTTENS LÄN</t>
        </is>
      </c>
      <c r="E12813" t="inlineStr">
        <is>
          <t>NORDMALING</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58582-2023</t>
        </is>
      </c>
      <c r="B12814" s="1" t="n">
        <v>45246</v>
      </c>
      <c r="C12814" s="1" t="n">
        <v>45357</v>
      </c>
      <c r="D12814" t="inlineStr">
        <is>
          <t>VÄSTERBOTTENS LÄN</t>
        </is>
      </c>
      <c r="E12814" t="inlineStr">
        <is>
          <t>ROBERTSFORS</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57801-2023</t>
        </is>
      </c>
      <c r="B12815" s="1" t="n">
        <v>45247</v>
      </c>
      <c r="C12815" s="1" t="n">
        <v>45357</v>
      </c>
      <c r="D12815" t="inlineStr">
        <is>
          <t>VÄSTERBOTTENS LÄN</t>
        </is>
      </c>
      <c r="E12815" t="inlineStr">
        <is>
          <t>BJURHOLM</t>
        </is>
      </c>
      <c r="F12815" t="inlineStr">
        <is>
          <t>SCA</t>
        </is>
      </c>
      <c r="G12815" t="n">
        <v>11.5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58524-2023</t>
        </is>
      </c>
      <c r="B12816" s="1" t="n">
        <v>45246</v>
      </c>
      <c r="C12816" s="1" t="n">
        <v>45357</v>
      </c>
      <c r="D12816" t="inlineStr">
        <is>
          <t>VÄSTERBOTTENS LÄN</t>
        </is>
      </c>
      <c r="E12816" t="inlineStr">
        <is>
          <t>NORSJÖ</t>
        </is>
      </c>
      <c r="G12816" t="n">
        <v>11.1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57769-2023</t>
        </is>
      </c>
      <c r="B12817" s="1" t="n">
        <v>45246</v>
      </c>
      <c r="C12817" s="1" t="n">
        <v>45357</v>
      </c>
      <c r="D12817" t="inlineStr">
        <is>
          <t>VÄSTERBOTTENS LÄN</t>
        </is>
      </c>
      <c r="E12817" t="inlineStr">
        <is>
          <t>STORUMAN</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57646-2023</t>
        </is>
      </c>
      <c r="B12818" s="1" t="n">
        <v>45246</v>
      </c>
      <c r="C12818" s="1" t="n">
        <v>45357</v>
      </c>
      <c r="D12818" t="inlineStr">
        <is>
          <t>VÄSTERBOTTENS LÄN</t>
        </is>
      </c>
      <c r="E12818" t="inlineStr">
        <is>
          <t>ROBERTSFORS</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57794-2023</t>
        </is>
      </c>
      <c r="B12819" s="1" t="n">
        <v>45247</v>
      </c>
      <c r="C12819" s="1" t="n">
        <v>45357</v>
      </c>
      <c r="D12819" t="inlineStr">
        <is>
          <t>VÄSTERBOTTENS LÄN</t>
        </is>
      </c>
      <c r="E12819" t="inlineStr">
        <is>
          <t>DOROTEA</t>
        </is>
      </c>
      <c r="F12819" t="inlineStr">
        <is>
          <t>SCA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58542-2023</t>
        </is>
      </c>
      <c r="B12820" s="1" t="n">
        <v>45246</v>
      </c>
      <c r="C12820" s="1" t="n">
        <v>45357</v>
      </c>
      <c r="D12820" t="inlineStr">
        <is>
          <t>VÄSTERBOTTENS LÄN</t>
        </is>
      </c>
      <c r="E12820" t="inlineStr">
        <is>
          <t>ROBERTSFORS</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58579-2023</t>
        </is>
      </c>
      <c r="B12821" s="1" t="n">
        <v>45246</v>
      </c>
      <c r="C12821" s="1" t="n">
        <v>45357</v>
      </c>
      <c r="D12821" t="inlineStr">
        <is>
          <t>VÄSTERBOTTENS LÄN</t>
        </is>
      </c>
      <c r="E12821" t="inlineStr">
        <is>
          <t>ROBERTSFORS</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58565-2023</t>
        </is>
      </c>
      <c r="B12822" s="1" t="n">
        <v>45246</v>
      </c>
      <c r="C12822" s="1" t="n">
        <v>45357</v>
      </c>
      <c r="D12822" t="inlineStr">
        <is>
          <t>VÄSTERBOTTENS LÄN</t>
        </is>
      </c>
      <c r="E12822" t="inlineStr">
        <is>
          <t>ROBERTSFORS</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58581-2023</t>
        </is>
      </c>
      <c r="B12823" s="1" t="n">
        <v>45246</v>
      </c>
      <c r="C12823" s="1" t="n">
        <v>45357</v>
      </c>
      <c r="D12823" t="inlineStr">
        <is>
          <t>VÄSTERBOTTENS LÄN</t>
        </is>
      </c>
      <c r="E12823" t="inlineStr">
        <is>
          <t>SKELLEFTEÅ</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57767-2023</t>
        </is>
      </c>
      <c r="B12824" s="1" t="n">
        <v>45246</v>
      </c>
      <c r="C12824" s="1" t="n">
        <v>45357</v>
      </c>
      <c r="D12824" t="inlineStr">
        <is>
          <t>VÄSTERBOTTENS LÄN</t>
        </is>
      </c>
      <c r="E12824" t="inlineStr">
        <is>
          <t>LYCKSELE</t>
        </is>
      </c>
      <c r="F12824" t="inlineStr">
        <is>
          <t>Kommuner</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57788-2023</t>
        </is>
      </c>
      <c r="B12825" s="1" t="n">
        <v>45246</v>
      </c>
      <c r="C12825" s="1" t="n">
        <v>45357</v>
      </c>
      <c r="D12825" t="inlineStr">
        <is>
          <t>VÄSTERBOTTENS LÄN</t>
        </is>
      </c>
      <c r="E12825" t="inlineStr">
        <is>
          <t>ÅSELE</t>
        </is>
      </c>
      <c r="F12825" t="inlineStr">
        <is>
          <t>SCA</t>
        </is>
      </c>
      <c r="G12825" t="n">
        <v>7.7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57800-2023</t>
        </is>
      </c>
      <c r="B12826" s="1" t="n">
        <v>45247</v>
      </c>
      <c r="C12826" s="1" t="n">
        <v>45357</v>
      </c>
      <c r="D12826" t="inlineStr">
        <is>
          <t>VÄSTERBOTTENS LÄN</t>
        </is>
      </c>
      <c r="E12826" t="inlineStr">
        <is>
          <t>ÅSELE</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58539-2023</t>
        </is>
      </c>
      <c r="B12827" s="1" t="n">
        <v>45246</v>
      </c>
      <c r="C12827" s="1" t="n">
        <v>45357</v>
      </c>
      <c r="D12827" t="inlineStr">
        <is>
          <t>VÄSTERBOTTENS LÄN</t>
        </is>
      </c>
      <c r="E12827" t="inlineStr">
        <is>
          <t>ROBERTSFORS</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58597-2023</t>
        </is>
      </c>
      <c r="B12828" s="1" t="n">
        <v>45246</v>
      </c>
      <c r="C12828" s="1" t="n">
        <v>45357</v>
      </c>
      <c r="D12828" t="inlineStr">
        <is>
          <t>VÄSTERBOTTENS LÄN</t>
        </is>
      </c>
      <c r="E12828" t="inlineStr">
        <is>
          <t>NORSJÖ</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57846-2023</t>
        </is>
      </c>
      <c r="B12829" s="1" t="n">
        <v>45247</v>
      </c>
      <c r="C12829" s="1" t="n">
        <v>45357</v>
      </c>
      <c r="D12829" t="inlineStr">
        <is>
          <t>VÄSTERBOTTENS LÄN</t>
        </is>
      </c>
      <c r="E12829" t="inlineStr">
        <is>
          <t>VINDELN</t>
        </is>
      </c>
      <c r="F12829" t="inlineStr">
        <is>
          <t>Sveaskog</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57868-2023</t>
        </is>
      </c>
      <c r="B12830" s="1" t="n">
        <v>45247</v>
      </c>
      <c r="C12830" s="1" t="n">
        <v>45357</v>
      </c>
      <c r="D12830" t="inlineStr">
        <is>
          <t>VÄSTERBOTTENS LÄN</t>
        </is>
      </c>
      <c r="E12830" t="inlineStr">
        <is>
          <t>VINDELN</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57886-2023</t>
        </is>
      </c>
      <c r="B12831" s="1" t="n">
        <v>45247</v>
      </c>
      <c r="C12831" s="1" t="n">
        <v>45357</v>
      </c>
      <c r="D12831" t="inlineStr">
        <is>
          <t>VÄSTERBOTTENS LÄN</t>
        </is>
      </c>
      <c r="E12831" t="inlineStr">
        <is>
          <t>BJURHOLM</t>
        </is>
      </c>
      <c r="G12831" t="n">
        <v>0.3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57865-2023</t>
        </is>
      </c>
      <c r="B12832" s="1" t="n">
        <v>45247</v>
      </c>
      <c r="C12832" s="1" t="n">
        <v>45357</v>
      </c>
      <c r="D12832" t="inlineStr">
        <is>
          <t>VÄSTERBOTTENS LÄN</t>
        </is>
      </c>
      <c r="E12832" t="inlineStr">
        <is>
          <t>VINDELN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57887-2023</t>
        </is>
      </c>
      <c r="B12833" s="1" t="n">
        <v>45247</v>
      </c>
      <c r="C12833" s="1" t="n">
        <v>45357</v>
      </c>
      <c r="D12833" t="inlineStr">
        <is>
          <t>VÄSTERBOTTENS LÄN</t>
        </is>
      </c>
      <c r="E12833" t="inlineStr">
        <is>
          <t>VINDELN</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57838-2023</t>
        </is>
      </c>
      <c r="B12834" s="1" t="n">
        <v>45247</v>
      </c>
      <c r="C12834" s="1" t="n">
        <v>45357</v>
      </c>
      <c r="D12834" t="inlineStr">
        <is>
          <t>VÄSTERBOTTENS LÄN</t>
        </is>
      </c>
      <c r="E12834" t="inlineStr">
        <is>
          <t>SKELLEFTEÅ</t>
        </is>
      </c>
      <c r="F12834" t="inlineStr">
        <is>
          <t>Sveaskog</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57848-2023</t>
        </is>
      </c>
      <c r="B12835" s="1" t="n">
        <v>45247</v>
      </c>
      <c r="C12835" s="1" t="n">
        <v>45357</v>
      </c>
      <c r="D12835" t="inlineStr">
        <is>
          <t>VÄSTERBOTTENS LÄN</t>
        </is>
      </c>
      <c r="E12835" t="inlineStr">
        <is>
          <t>LYCKSELE</t>
        </is>
      </c>
      <c r="F12835" t="inlineStr">
        <is>
          <t>Sveaskog</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57877-2023</t>
        </is>
      </c>
      <c r="B12836" s="1" t="n">
        <v>45247</v>
      </c>
      <c r="C12836" s="1" t="n">
        <v>45357</v>
      </c>
      <c r="D12836" t="inlineStr">
        <is>
          <t>VÄSTERBOTTENS LÄN</t>
        </is>
      </c>
      <c r="E12836" t="inlineStr">
        <is>
          <t>BJURHOLM</t>
        </is>
      </c>
      <c r="G12836" t="n">
        <v>0.3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57883-2023</t>
        </is>
      </c>
      <c r="B12837" s="1" t="n">
        <v>45247</v>
      </c>
      <c r="C12837" s="1" t="n">
        <v>45357</v>
      </c>
      <c r="D12837" t="inlineStr">
        <is>
          <t>VÄSTERBOTTENS LÄN</t>
        </is>
      </c>
      <c r="E12837" t="inlineStr">
        <is>
          <t>UMEÅ</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58043-2023</t>
        </is>
      </c>
      <c r="B12838" s="1" t="n">
        <v>45247</v>
      </c>
      <c r="C12838" s="1" t="n">
        <v>45357</v>
      </c>
      <c r="D12838" t="inlineStr">
        <is>
          <t>VÄSTERBOTTENS LÄN</t>
        </is>
      </c>
      <c r="E12838" t="inlineStr">
        <is>
          <t>SKELLEFTEÅ</t>
        </is>
      </c>
      <c r="F12838" t="inlineStr">
        <is>
          <t>Sveaskog</t>
        </is>
      </c>
      <c r="G12838" t="n">
        <v>12.6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58058-2023</t>
        </is>
      </c>
      <c r="B12839" s="1" t="n">
        <v>45247</v>
      </c>
      <c r="C12839" s="1" t="n">
        <v>45357</v>
      </c>
      <c r="D12839" t="inlineStr">
        <is>
          <t>VÄSTERBOTTENS LÄN</t>
        </is>
      </c>
      <c r="E12839" t="inlineStr">
        <is>
          <t>SKELLEFTEÅ</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58070-2023</t>
        </is>
      </c>
      <c r="B12840" s="1" t="n">
        <v>45247</v>
      </c>
      <c r="C12840" s="1" t="n">
        <v>45357</v>
      </c>
      <c r="D12840" t="inlineStr">
        <is>
          <t>VÄSTERBOTTENS LÄN</t>
        </is>
      </c>
      <c r="E12840" t="inlineStr">
        <is>
          <t>STORUMAN</t>
        </is>
      </c>
      <c r="G12840" t="n">
        <v>5.6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58069-2023</t>
        </is>
      </c>
      <c r="B12841" s="1" t="n">
        <v>45247</v>
      </c>
      <c r="C12841" s="1" t="n">
        <v>45357</v>
      </c>
      <c r="D12841" t="inlineStr">
        <is>
          <t>VÄSTERBOTTENS LÄN</t>
        </is>
      </c>
      <c r="E12841" t="inlineStr">
        <is>
          <t>SKELLEFTEÅ</t>
        </is>
      </c>
      <c r="G12841" t="n">
        <v>4.1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58059-2023</t>
        </is>
      </c>
      <c r="B12842" s="1" t="n">
        <v>45247</v>
      </c>
      <c r="C12842" s="1" t="n">
        <v>45357</v>
      </c>
      <c r="D12842" t="inlineStr">
        <is>
          <t>VÄSTERBOTTENS LÄN</t>
        </is>
      </c>
      <c r="E12842" t="inlineStr">
        <is>
          <t>SKELLEFTEÅ</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58072-2023</t>
        </is>
      </c>
      <c r="B12843" s="1" t="n">
        <v>45247</v>
      </c>
      <c r="C12843" s="1" t="n">
        <v>45357</v>
      </c>
      <c r="D12843" t="inlineStr">
        <is>
          <t>VÄSTERBOTTENS LÄN</t>
        </is>
      </c>
      <c r="E12843" t="inlineStr">
        <is>
          <t>SKELLEFTEÅ</t>
        </is>
      </c>
      <c r="G12843" t="n">
        <v>8.199999999999999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58655-2023</t>
        </is>
      </c>
      <c r="B12844" s="1" t="n">
        <v>45247</v>
      </c>
      <c r="C12844" s="1" t="n">
        <v>45357</v>
      </c>
      <c r="D12844" t="inlineStr">
        <is>
          <t>VÄSTERBOTTENS LÄN</t>
        </is>
      </c>
      <c r="E12844" t="inlineStr">
        <is>
          <t>NORDMALING</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58663-2023</t>
        </is>
      </c>
      <c r="B12845" s="1" t="n">
        <v>45247</v>
      </c>
      <c r="C12845" s="1" t="n">
        <v>45357</v>
      </c>
      <c r="D12845" t="inlineStr">
        <is>
          <t>VÄSTERBOTTENS LÄN</t>
        </is>
      </c>
      <c r="E12845" t="inlineStr">
        <is>
          <t>NORDMALING</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58780-2023</t>
        </is>
      </c>
      <c r="B12846" s="1" t="n">
        <v>45247</v>
      </c>
      <c r="C12846" s="1" t="n">
        <v>45357</v>
      </c>
      <c r="D12846" t="inlineStr">
        <is>
          <t>VÄSTERBOTTENS LÄN</t>
        </is>
      </c>
      <c r="E12846" t="inlineStr">
        <is>
          <t>SORSELE</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58680-2023</t>
        </is>
      </c>
      <c r="B12847" s="1" t="n">
        <v>45247</v>
      </c>
      <c r="C12847" s="1" t="n">
        <v>45357</v>
      </c>
      <c r="D12847" t="inlineStr">
        <is>
          <t>VÄSTERBOTTENS LÄN</t>
        </is>
      </c>
      <c r="E12847" t="inlineStr">
        <is>
          <t>SKELLEFTEÅ</t>
        </is>
      </c>
      <c r="G12847" t="n">
        <v>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58701-2023</t>
        </is>
      </c>
      <c r="B12848" s="1" t="n">
        <v>45247</v>
      </c>
      <c r="C12848" s="1" t="n">
        <v>45357</v>
      </c>
      <c r="D12848" t="inlineStr">
        <is>
          <t>VÄSTERBOTTENS LÄN</t>
        </is>
      </c>
      <c r="E12848" t="inlineStr">
        <is>
          <t>SKELLEFTEÅ</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58821-2023</t>
        </is>
      </c>
      <c r="B12849" s="1" t="n">
        <v>45247</v>
      </c>
      <c r="C12849" s="1" t="n">
        <v>45357</v>
      </c>
      <c r="D12849" t="inlineStr">
        <is>
          <t>VÄSTERBOTTENS LÄN</t>
        </is>
      </c>
      <c r="E12849" t="inlineStr">
        <is>
          <t>SKELLEFTEÅ</t>
        </is>
      </c>
      <c r="G12849" t="n">
        <v>15.6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58824-2023</t>
        </is>
      </c>
      <c r="B12850" s="1" t="n">
        <v>45247</v>
      </c>
      <c r="C12850" s="1" t="n">
        <v>45357</v>
      </c>
      <c r="D12850" t="inlineStr">
        <is>
          <t>VÄSTERBOTTENS LÄN</t>
        </is>
      </c>
      <c r="E12850" t="inlineStr">
        <is>
          <t>SORSELE</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58830-2023</t>
        </is>
      </c>
      <c r="B12851" s="1" t="n">
        <v>45247</v>
      </c>
      <c r="C12851" s="1" t="n">
        <v>45357</v>
      </c>
      <c r="D12851" t="inlineStr">
        <is>
          <t>VÄSTERBOTTENS LÄN</t>
        </is>
      </c>
      <c r="E12851" t="inlineStr">
        <is>
          <t>SORSELE</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58060-2023</t>
        </is>
      </c>
      <c r="B12852" s="1" t="n">
        <v>45247</v>
      </c>
      <c r="C12852" s="1" t="n">
        <v>45357</v>
      </c>
      <c r="D12852" t="inlineStr">
        <is>
          <t>VÄSTERBOTTENS LÄN</t>
        </is>
      </c>
      <c r="E12852" t="inlineStr">
        <is>
          <t>SKELLEFTEÅ</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58040-2023</t>
        </is>
      </c>
      <c r="B12853" s="1" t="n">
        <v>45247</v>
      </c>
      <c r="C12853" s="1" t="n">
        <v>45357</v>
      </c>
      <c r="D12853" t="inlineStr">
        <is>
          <t>VÄSTERBOTTENS LÄN</t>
        </is>
      </c>
      <c r="E12853" t="inlineStr">
        <is>
          <t>LYCKSELE</t>
        </is>
      </c>
      <c r="F12853" t="inlineStr">
        <is>
          <t>Sveaskog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58008-2023</t>
        </is>
      </c>
      <c r="B12854" s="1" t="n">
        <v>45247</v>
      </c>
      <c r="C12854" s="1" t="n">
        <v>45357</v>
      </c>
      <c r="D12854" t="inlineStr">
        <is>
          <t>VÄSTERBOTTENS LÄN</t>
        </is>
      </c>
      <c r="E12854" t="inlineStr">
        <is>
          <t>SKELLEFTEÅ</t>
        </is>
      </c>
      <c r="G12854" t="n">
        <v>7.3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57958-2023</t>
        </is>
      </c>
      <c r="B12855" s="1" t="n">
        <v>45247</v>
      </c>
      <c r="C12855" s="1" t="n">
        <v>45357</v>
      </c>
      <c r="D12855" t="inlineStr">
        <is>
          <t>VÄSTERBOTTENS LÄN</t>
        </is>
      </c>
      <c r="E12855" t="inlineStr">
        <is>
          <t>SKELLEFTEÅ</t>
        </is>
      </c>
      <c r="F12855" t="inlineStr">
        <is>
          <t>Holmen skog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57926-2023</t>
        </is>
      </c>
      <c r="B12856" s="1" t="n">
        <v>45247</v>
      </c>
      <c r="C12856" s="1" t="n">
        <v>45357</v>
      </c>
      <c r="D12856" t="inlineStr">
        <is>
          <t>VÄSTERBOTTENS LÄN</t>
        </is>
      </c>
      <c r="E12856" t="inlineStr">
        <is>
          <t>SKELLEFTEÅ</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57867-2023</t>
        </is>
      </c>
      <c r="B12857" s="1" t="n">
        <v>45247</v>
      </c>
      <c r="C12857" s="1" t="n">
        <v>45357</v>
      </c>
      <c r="D12857" t="inlineStr">
        <is>
          <t>VÄSTERBOTTENS LÄN</t>
        </is>
      </c>
      <c r="E12857" t="inlineStr">
        <is>
          <t>VINDELN</t>
        </is>
      </c>
      <c r="G12857" t="n">
        <v>10.6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57845-2023</t>
        </is>
      </c>
      <c r="B12858" s="1" t="n">
        <v>45247</v>
      </c>
      <c r="C12858" s="1" t="n">
        <v>45357</v>
      </c>
      <c r="D12858" t="inlineStr">
        <is>
          <t>VÄSTERBOTTENS LÄN</t>
        </is>
      </c>
      <c r="E12858" t="inlineStr">
        <is>
          <t>LYCKSELE</t>
        </is>
      </c>
      <c r="F12858" t="inlineStr">
        <is>
          <t>Sveaskog</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58833-2023</t>
        </is>
      </c>
      <c r="B12859" s="1" t="n">
        <v>45248</v>
      </c>
      <c r="C12859" s="1" t="n">
        <v>45357</v>
      </c>
      <c r="D12859" t="inlineStr">
        <is>
          <t>VÄSTERBOTTENS LÄN</t>
        </is>
      </c>
      <c r="E12859" t="inlineStr">
        <is>
          <t>VILHELMINA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58130-2023</t>
        </is>
      </c>
      <c r="B12860" s="1" t="n">
        <v>45249</v>
      </c>
      <c r="C12860" s="1" t="n">
        <v>45357</v>
      </c>
      <c r="D12860" t="inlineStr">
        <is>
          <t>VÄSTERBOTTENS LÄN</t>
        </is>
      </c>
      <c r="E12860" t="inlineStr">
        <is>
          <t>UMEÅ</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58117-2023</t>
        </is>
      </c>
      <c r="B12861" s="1" t="n">
        <v>45249</v>
      </c>
      <c r="C12861" s="1" t="n">
        <v>45357</v>
      </c>
      <c r="D12861" t="inlineStr">
        <is>
          <t>VÄSTERBOTTENS LÄN</t>
        </is>
      </c>
      <c r="E12861" t="inlineStr">
        <is>
          <t>SKELLEFTEÅ</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58187-2023</t>
        </is>
      </c>
      <c r="B12862" s="1" t="n">
        <v>45250</v>
      </c>
      <c r="C12862" s="1" t="n">
        <v>45357</v>
      </c>
      <c r="D12862" t="inlineStr">
        <is>
          <t>VÄSTERBOTTENS LÄN</t>
        </is>
      </c>
      <c r="E12862" t="inlineStr">
        <is>
          <t>VINDELN</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58211-2023</t>
        </is>
      </c>
      <c r="B12863" s="1" t="n">
        <v>45250</v>
      </c>
      <c r="C12863" s="1" t="n">
        <v>45357</v>
      </c>
      <c r="D12863" t="inlineStr">
        <is>
          <t>VÄSTERBOTTENS LÄN</t>
        </is>
      </c>
      <c r="E12863" t="inlineStr">
        <is>
          <t>LYCKSELE</t>
        </is>
      </c>
      <c r="F12863" t="inlineStr">
        <is>
          <t>Sveaskog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58194-2023</t>
        </is>
      </c>
      <c r="B12864" s="1" t="n">
        <v>45250</v>
      </c>
      <c r="C12864" s="1" t="n">
        <v>45357</v>
      </c>
      <c r="D12864" t="inlineStr">
        <is>
          <t>VÄSTERBOTTENS LÄN</t>
        </is>
      </c>
      <c r="E12864" t="inlineStr">
        <is>
          <t>SKELLEFTEÅ</t>
        </is>
      </c>
      <c r="G12864" t="n">
        <v>10.1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58218-2023</t>
        </is>
      </c>
      <c r="B12865" s="1" t="n">
        <v>45250</v>
      </c>
      <c r="C12865" s="1" t="n">
        <v>45357</v>
      </c>
      <c r="D12865" t="inlineStr">
        <is>
          <t>VÄSTERBOTTENS LÄN</t>
        </is>
      </c>
      <c r="E12865" t="inlineStr">
        <is>
          <t>MALÅ</t>
        </is>
      </c>
      <c r="F12865" t="inlineStr">
        <is>
          <t>Sveaskog</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58225-2023</t>
        </is>
      </c>
      <c r="B12866" s="1" t="n">
        <v>45250</v>
      </c>
      <c r="C12866" s="1" t="n">
        <v>45357</v>
      </c>
      <c r="D12866" t="inlineStr">
        <is>
          <t>VÄSTERBOTTENS LÄN</t>
        </is>
      </c>
      <c r="E12866" t="inlineStr">
        <is>
          <t>MALÅ</t>
        </is>
      </c>
      <c r="F12866" t="inlineStr">
        <is>
          <t>Sveaskog</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58237-2023</t>
        </is>
      </c>
      <c r="B12867" s="1" t="n">
        <v>45250</v>
      </c>
      <c r="C12867" s="1" t="n">
        <v>45357</v>
      </c>
      <c r="D12867" t="inlineStr">
        <is>
          <t>VÄSTERBOTTENS LÄN</t>
        </is>
      </c>
      <c r="E12867" t="inlineStr">
        <is>
          <t>MALÅ</t>
        </is>
      </c>
      <c r="F12867" t="inlineStr">
        <is>
          <t>Sveaskog</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58269-2023</t>
        </is>
      </c>
      <c r="B12868" s="1" t="n">
        <v>45250</v>
      </c>
      <c r="C12868" s="1" t="n">
        <v>45357</v>
      </c>
      <c r="D12868" t="inlineStr">
        <is>
          <t>VÄSTERBOTTENS LÄN</t>
        </is>
      </c>
      <c r="E12868" t="inlineStr">
        <is>
          <t>MALÅ</t>
        </is>
      </c>
      <c r="F12868" t="inlineStr">
        <is>
          <t>Sveaskog</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58212-2023</t>
        </is>
      </c>
      <c r="B12869" s="1" t="n">
        <v>45250</v>
      </c>
      <c r="C12869" s="1" t="n">
        <v>45357</v>
      </c>
      <c r="D12869" t="inlineStr">
        <is>
          <t>VÄSTERBOTTENS LÄN</t>
        </is>
      </c>
      <c r="E12869" t="inlineStr">
        <is>
          <t>MALÅ</t>
        </is>
      </c>
      <c r="F12869" t="inlineStr">
        <is>
          <t>Sveaskog</t>
        </is>
      </c>
      <c r="G12869" t="n">
        <v>19.3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58217-2023</t>
        </is>
      </c>
      <c r="B12870" s="1" t="n">
        <v>45250</v>
      </c>
      <c r="C12870" s="1" t="n">
        <v>45357</v>
      </c>
      <c r="D12870" t="inlineStr">
        <is>
          <t>VÄSTERBOTTENS LÄN</t>
        </is>
      </c>
      <c r="E12870" t="inlineStr">
        <is>
          <t>MALÅ</t>
        </is>
      </c>
      <c r="F12870" t="inlineStr">
        <is>
          <t>Sveaskog</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58216-2023</t>
        </is>
      </c>
      <c r="B12871" s="1" t="n">
        <v>45250</v>
      </c>
      <c r="C12871" s="1" t="n">
        <v>45357</v>
      </c>
      <c r="D12871" t="inlineStr">
        <is>
          <t>VÄSTERBOTTENS LÄN</t>
        </is>
      </c>
      <c r="E12871" t="inlineStr">
        <is>
          <t>MALÅ</t>
        </is>
      </c>
      <c r="F12871" t="inlineStr">
        <is>
          <t>Sveaskog</t>
        </is>
      </c>
      <c r="G12871" t="n">
        <v>16.8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58222-2023</t>
        </is>
      </c>
      <c r="B12872" s="1" t="n">
        <v>45250</v>
      </c>
      <c r="C12872" s="1" t="n">
        <v>45357</v>
      </c>
      <c r="D12872" t="inlineStr">
        <is>
          <t>VÄSTERBOTTENS LÄN</t>
        </is>
      </c>
      <c r="E12872" t="inlineStr">
        <is>
          <t>MALÅ</t>
        </is>
      </c>
      <c r="F12872" t="inlineStr">
        <is>
          <t>Sveaskog</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58215-2023</t>
        </is>
      </c>
      <c r="B12873" s="1" t="n">
        <v>45250</v>
      </c>
      <c r="C12873" s="1" t="n">
        <v>45357</v>
      </c>
      <c r="D12873" t="inlineStr">
        <is>
          <t>VÄSTERBOTTENS LÄN</t>
        </is>
      </c>
      <c r="E12873" t="inlineStr">
        <is>
          <t>MALÅ</t>
        </is>
      </c>
      <c r="F12873" t="inlineStr">
        <is>
          <t>Sveaskog</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58221-2023</t>
        </is>
      </c>
      <c r="B12874" s="1" t="n">
        <v>45250</v>
      </c>
      <c r="C12874" s="1" t="n">
        <v>45357</v>
      </c>
      <c r="D12874" t="inlineStr">
        <is>
          <t>VÄSTERBOTTENS LÄN</t>
        </is>
      </c>
      <c r="E12874" t="inlineStr">
        <is>
          <t>MALÅ</t>
        </is>
      </c>
      <c r="F12874" t="inlineStr">
        <is>
          <t>Sveaskog</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58226-2023</t>
        </is>
      </c>
      <c r="B12875" s="1" t="n">
        <v>45250</v>
      </c>
      <c r="C12875" s="1" t="n">
        <v>45357</v>
      </c>
      <c r="D12875" t="inlineStr">
        <is>
          <t>VÄSTERBOTTENS LÄN</t>
        </is>
      </c>
      <c r="E12875" t="inlineStr">
        <is>
          <t>MALÅ</t>
        </is>
      </c>
      <c r="F12875" t="inlineStr">
        <is>
          <t>Sveaskog</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58252-2023</t>
        </is>
      </c>
      <c r="B12876" s="1" t="n">
        <v>45250</v>
      </c>
      <c r="C12876" s="1" t="n">
        <v>45357</v>
      </c>
      <c r="D12876" t="inlineStr">
        <is>
          <t>VÄSTERBOTTENS LÄN</t>
        </is>
      </c>
      <c r="E12876" t="inlineStr">
        <is>
          <t>ROBERTSFORS</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58262-2023</t>
        </is>
      </c>
      <c r="B12877" s="1" t="n">
        <v>45250</v>
      </c>
      <c r="C12877" s="1" t="n">
        <v>45357</v>
      </c>
      <c r="D12877" t="inlineStr">
        <is>
          <t>VÄSTERBOTTENS LÄN</t>
        </is>
      </c>
      <c r="E12877" t="inlineStr">
        <is>
          <t>UMEÅ</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58266-2023</t>
        </is>
      </c>
      <c r="B12878" s="1" t="n">
        <v>45250</v>
      </c>
      <c r="C12878" s="1" t="n">
        <v>45357</v>
      </c>
      <c r="D12878" t="inlineStr">
        <is>
          <t>VÄSTERBOTTENS LÄN</t>
        </is>
      </c>
      <c r="E12878" t="inlineStr">
        <is>
          <t>MALÅ</t>
        </is>
      </c>
      <c r="F12878" t="inlineStr">
        <is>
          <t>Sveaskog</t>
        </is>
      </c>
      <c r="G12878" t="n">
        <v>7.7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58350-2023</t>
        </is>
      </c>
      <c r="B12879" s="1" t="n">
        <v>45250</v>
      </c>
      <c r="C12879" s="1" t="n">
        <v>45357</v>
      </c>
      <c r="D12879" t="inlineStr">
        <is>
          <t>VÄSTERBOTTENS LÄN</t>
        </is>
      </c>
      <c r="E12879" t="inlineStr">
        <is>
          <t>VINDELN</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58395-2023</t>
        </is>
      </c>
      <c r="B12880" s="1" t="n">
        <v>45250</v>
      </c>
      <c r="C12880" s="1" t="n">
        <v>45357</v>
      </c>
      <c r="D12880" t="inlineStr">
        <is>
          <t>VÄSTERBOTTENS LÄN</t>
        </is>
      </c>
      <c r="E12880" t="inlineStr">
        <is>
          <t>MALÅ</t>
        </is>
      </c>
      <c r="F12880" t="inlineStr">
        <is>
          <t>Sveaskog</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58456-2023</t>
        </is>
      </c>
      <c r="B12881" s="1" t="n">
        <v>45251</v>
      </c>
      <c r="C12881" s="1" t="n">
        <v>45357</v>
      </c>
      <c r="D12881" t="inlineStr">
        <is>
          <t>VÄSTERBOTTENS LÄN</t>
        </is>
      </c>
      <c r="E12881" t="inlineStr">
        <is>
          <t>VILHELMINA</t>
        </is>
      </c>
      <c r="F12881" t="inlineStr">
        <is>
          <t>SCA</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58460-2023</t>
        </is>
      </c>
      <c r="B12882" s="1" t="n">
        <v>45251</v>
      </c>
      <c r="C12882" s="1" t="n">
        <v>45357</v>
      </c>
      <c r="D12882" t="inlineStr">
        <is>
          <t>VÄSTERBOTTENS LÄN</t>
        </is>
      </c>
      <c r="E12882" t="inlineStr">
        <is>
          <t>LYCKSELE</t>
        </is>
      </c>
      <c r="F12882" t="inlineStr">
        <is>
          <t>SCA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58940-2023</t>
        </is>
      </c>
      <c r="B12883" s="1" t="n">
        <v>45250</v>
      </c>
      <c r="C12883" s="1" t="n">
        <v>45357</v>
      </c>
      <c r="D12883" t="inlineStr">
        <is>
          <t>VÄSTERBOTTENS LÄN</t>
        </is>
      </c>
      <c r="E12883" t="inlineStr">
        <is>
          <t>SKELLEFTEÅ</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58968-2023</t>
        </is>
      </c>
      <c r="B12884" s="1" t="n">
        <v>45250</v>
      </c>
      <c r="C12884" s="1" t="n">
        <v>45357</v>
      </c>
      <c r="D12884" t="inlineStr">
        <is>
          <t>VÄSTERBOTTENS LÄN</t>
        </is>
      </c>
      <c r="E12884" t="inlineStr">
        <is>
          <t>MALÅ</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58240-2023</t>
        </is>
      </c>
      <c r="B12885" s="1" t="n">
        <v>45250</v>
      </c>
      <c r="C12885" s="1" t="n">
        <v>45357</v>
      </c>
      <c r="D12885" t="inlineStr">
        <is>
          <t>VÄSTERBOTTENS LÄN</t>
        </is>
      </c>
      <c r="E12885" t="inlineStr">
        <is>
          <t>ROBERTSFORS</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58256-2023</t>
        </is>
      </c>
      <c r="B12886" s="1" t="n">
        <v>45250</v>
      </c>
      <c r="C12886" s="1" t="n">
        <v>45357</v>
      </c>
      <c r="D12886" t="inlineStr">
        <is>
          <t>VÄSTERBOTTENS LÄN</t>
        </is>
      </c>
      <c r="E12886" t="inlineStr">
        <is>
          <t>UMEÅ</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58348-2023</t>
        </is>
      </c>
      <c r="B12887" s="1" t="n">
        <v>45250</v>
      </c>
      <c r="C12887" s="1" t="n">
        <v>45357</v>
      </c>
      <c r="D12887" t="inlineStr">
        <is>
          <t>VÄSTERBOTTENS LÄN</t>
        </is>
      </c>
      <c r="E12887" t="inlineStr">
        <is>
          <t>ÅSELE</t>
        </is>
      </c>
      <c r="F12887" t="inlineStr">
        <is>
          <t>Holmen skog AB</t>
        </is>
      </c>
      <c r="G12887" t="n">
        <v>7.7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58245-2023</t>
        </is>
      </c>
      <c r="B12888" s="1" t="n">
        <v>45250</v>
      </c>
      <c r="C12888" s="1" t="n">
        <v>45357</v>
      </c>
      <c r="D12888" t="inlineStr">
        <is>
          <t>VÄSTERBOTTENS LÄN</t>
        </is>
      </c>
      <c r="E12888" t="inlineStr">
        <is>
          <t>UMEÅ</t>
        </is>
      </c>
      <c r="G12888" t="n">
        <v>8.5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58249-2023</t>
        </is>
      </c>
      <c r="B12889" s="1" t="n">
        <v>45250</v>
      </c>
      <c r="C12889" s="1" t="n">
        <v>45357</v>
      </c>
      <c r="D12889" t="inlineStr">
        <is>
          <t>VÄSTERBOTTENS LÄN</t>
        </is>
      </c>
      <c r="E12889" t="inlineStr">
        <is>
          <t>LYCKSELE</t>
        </is>
      </c>
      <c r="F12889" t="inlineStr">
        <is>
          <t>Sveaskog</t>
        </is>
      </c>
      <c r="G12889" t="n">
        <v>5.4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58263-2023</t>
        </is>
      </c>
      <c r="B12890" s="1" t="n">
        <v>45250</v>
      </c>
      <c r="C12890" s="1" t="n">
        <v>45357</v>
      </c>
      <c r="D12890" t="inlineStr">
        <is>
          <t>VÄSTERBOTTENS LÄN</t>
        </is>
      </c>
      <c r="E12890" t="inlineStr">
        <is>
          <t>MALÅ</t>
        </is>
      </c>
      <c r="F12890" t="inlineStr">
        <is>
          <t>Sveaskog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58393-2023</t>
        </is>
      </c>
      <c r="B12891" s="1" t="n">
        <v>45250</v>
      </c>
      <c r="C12891" s="1" t="n">
        <v>45357</v>
      </c>
      <c r="D12891" t="inlineStr">
        <is>
          <t>VÄSTERBOTTENS LÄN</t>
        </is>
      </c>
      <c r="E12891" t="inlineStr">
        <is>
          <t>MALÅ</t>
        </is>
      </c>
      <c r="F12891" t="inlineStr">
        <is>
          <t>Sveaskog</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58396-2023</t>
        </is>
      </c>
      <c r="B12892" s="1" t="n">
        <v>45250</v>
      </c>
      <c r="C12892" s="1" t="n">
        <v>45357</v>
      </c>
      <c r="D12892" t="inlineStr">
        <is>
          <t>VÄSTERBOTTENS LÄN</t>
        </is>
      </c>
      <c r="E12892" t="inlineStr">
        <is>
          <t>MALÅ</t>
        </is>
      </c>
      <c r="F12892" t="inlineStr">
        <is>
          <t>Sveaskog</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58457-2023</t>
        </is>
      </c>
      <c r="B12893" s="1" t="n">
        <v>45250</v>
      </c>
      <c r="C12893" s="1" t="n">
        <v>45357</v>
      </c>
      <c r="D12893" t="inlineStr">
        <is>
          <t>VÄSTERBOTTENS LÄN</t>
        </is>
      </c>
      <c r="E12893" t="inlineStr">
        <is>
          <t>BJURHOLM</t>
        </is>
      </c>
      <c r="F12893" t="inlineStr">
        <is>
          <t>SCA</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58465-2023</t>
        </is>
      </c>
      <c r="B12894" s="1" t="n">
        <v>45251</v>
      </c>
      <c r="C12894" s="1" t="n">
        <v>45357</v>
      </c>
      <c r="D12894" t="inlineStr">
        <is>
          <t>VÄSTERBOTTENS LÄN</t>
        </is>
      </c>
      <c r="E12894" t="inlineStr">
        <is>
          <t>DOROTEA</t>
        </is>
      </c>
      <c r="F12894" t="inlineStr">
        <is>
          <t>SCA</t>
        </is>
      </c>
      <c r="G12894" t="n">
        <v>25.5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58489-2023</t>
        </is>
      </c>
      <c r="B12895" s="1" t="n">
        <v>45251</v>
      </c>
      <c r="C12895" s="1" t="n">
        <v>45357</v>
      </c>
      <c r="D12895" t="inlineStr">
        <is>
          <t>VÄSTERBOTTENS LÄN</t>
        </is>
      </c>
      <c r="E12895" t="inlineStr">
        <is>
          <t>BJURHOLM</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58480-2023</t>
        </is>
      </c>
      <c r="B12896" s="1" t="n">
        <v>45251</v>
      </c>
      <c r="C12896" s="1" t="n">
        <v>45357</v>
      </c>
      <c r="D12896" t="inlineStr">
        <is>
          <t>VÄSTERBOTTENS LÄN</t>
        </is>
      </c>
      <c r="E12896" t="inlineStr">
        <is>
          <t>NORDMALING</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58503-2023</t>
        </is>
      </c>
      <c r="B12897" s="1" t="n">
        <v>45251</v>
      </c>
      <c r="C12897" s="1" t="n">
        <v>45357</v>
      </c>
      <c r="D12897" t="inlineStr">
        <is>
          <t>VÄSTERBOTTENS LÄN</t>
        </is>
      </c>
      <c r="E12897" t="inlineStr">
        <is>
          <t>SKELLEFTEÅ</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58517-2023</t>
        </is>
      </c>
      <c r="B12898" s="1" t="n">
        <v>45251</v>
      </c>
      <c r="C12898" s="1" t="n">
        <v>45357</v>
      </c>
      <c r="D12898" t="inlineStr">
        <is>
          <t>VÄSTERBOTTENS LÄN</t>
        </is>
      </c>
      <c r="E12898" t="inlineStr">
        <is>
          <t>SKELLEFTEÅ</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58525-2023</t>
        </is>
      </c>
      <c r="B12899" s="1" t="n">
        <v>45251</v>
      </c>
      <c r="C12899" s="1" t="n">
        <v>45357</v>
      </c>
      <c r="D12899" t="inlineStr">
        <is>
          <t>VÄSTERBOTTENS LÄN</t>
        </is>
      </c>
      <c r="E12899" t="inlineStr">
        <is>
          <t>SKELLEFTEÅ</t>
        </is>
      </c>
      <c r="F12899" t="inlineStr">
        <is>
          <t>Holmen skog AB</t>
        </is>
      </c>
      <c r="G12899" t="n">
        <v>19.1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58546-2023</t>
        </is>
      </c>
      <c r="B12900" s="1" t="n">
        <v>45251</v>
      </c>
      <c r="C12900" s="1" t="n">
        <v>45357</v>
      </c>
      <c r="D12900" t="inlineStr">
        <is>
          <t>VÄSTERBOTTENS LÄN</t>
        </is>
      </c>
      <c r="E12900" t="inlineStr">
        <is>
          <t>SKELLEFTEÅ</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58526-2023</t>
        </is>
      </c>
      <c r="B12901" s="1" t="n">
        <v>45251</v>
      </c>
      <c r="C12901" s="1" t="n">
        <v>45357</v>
      </c>
      <c r="D12901" t="inlineStr">
        <is>
          <t>VÄSTERBOTTENS LÄN</t>
        </is>
      </c>
      <c r="E12901" t="inlineStr">
        <is>
          <t>ROBERTSFORS</t>
        </is>
      </c>
      <c r="F12901" t="inlineStr">
        <is>
          <t>Holmen skog AB</t>
        </is>
      </c>
      <c r="G12901" t="n">
        <v>13.9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58560-2023</t>
        </is>
      </c>
      <c r="B12902" s="1" t="n">
        <v>45251</v>
      </c>
      <c r="C12902" s="1" t="n">
        <v>45357</v>
      </c>
      <c r="D12902" t="inlineStr">
        <is>
          <t>VÄSTERBOTTENS LÄN</t>
        </is>
      </c>
      <c r="E12902" t="inlineStr">
        <is>
          <t>SKELLEFTEÅ</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58566-2023</t>
        </is>
      </c>
      <c r="B12903" s="1" t="n">
        <v>45251</v>
      </c>
      <c r="C12903" s="1" t="n">
        <v>45357</v>
      </c>
      <c r="D12903" t="inlineStr">
        <is>
          <t>VÄSTERBOTTENS LÄN</t>
        </is>
      </c>
      <c r="E12903" t="inlineStr">
        <is>
          <t>SKELLEFTEÅ</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58555-2023</t>
        </is>
      </c>
      <c r="B12904" s="1" t="n">
        <v>45251</v>
      </c>
      <c r="C12904" s="1" t="n">
        <v>45357</v>
      </c>
      <c r="D12904" t="inlineStr">
        <is>
          <t>VÄSTERBOTTENS LÄN</t>
        </is>
      </c>
      <c r="E12904" t="inlineStr">
        <is>
          <t>SKELLEFTEÅ</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58553-2023</t>
        </is>
      </c>
      <c r="B12905" s="1" t="n">
        <v>45251</v>
      </c>
      <c r="C12905" s="1" t="n">
        <v>45357</v>
      </c>
      <c r="D12905" t="inlineStr">
        <is>
          <t>VÄSTERBOTTENS LÄN</t>
        </is>
      </c>
      <c r="E12905" t="inlineStr">
        <is>
          <t>LYCKSELE</t>
        </is>
      </c>
      <c r="F12905" t="inlineStr">
        <is>
          <t>Sveaskog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58624-2023</t>
        </is>
      </c>
      <c r="B12906" s="1" t="n">
        <v>45251</v>
      </c>
      <c r="C12906" s="1" t="n">
        <v>45357</v>
      </c>
      <c r="D12906" t="inlineStr">
        <is>
          <t>VÄSTERBOTTENS LÄN</t>
        </is>
      </c>
      <c r="E12906" t="inlineStr">
        <is>
          <t>ROBERTSFORS</t>
        </is>
      </c>
      <c r="F12906" t="inlineStr">
        <is>
          <t>Holmen skog AB</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58575-2023</t>
        </is>
      </c>
      <c r="B12907" s="1" t="n">
        <v>45251</v>
      </c>
      <c r="C12907" s="1" t="n">
        <v>45357</v>
      </c>
      <c r="D12907" t="inlineStr">
        <is>
          <t>VÄSTERBOTTENS LÄN</t>
        </is>
      </c>
      <c r="E12907" t="inlineStr">
        <is>
          <t>SKELLEFTEÅ</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58590-2023</t>
        </is>
      </c>
      <c r="B12908" s="1" t="n">
        <v>45251</v>
      </c>
      <c r="C12908" s="1" t="n">
        <v>45357</v>
      </c>
      <c r="D12908" t="inlineStr">
        <is>
          <t>VÄSTERBOTTENS LÄN</t>
        </is>
      </c>
      <c r="E12908" t="inlineStr">
        <is>
          <t>VINDELN</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58598-2023</t>
        </is>
      </c>
      <c r="B12909" s="1" t="n">
        <v>45251</v>
      </c>
      <c r="C12909" s="1" t="n">
        <v>45357</v>
      </c>
      <c r="D12909" t="inlineStr">
        <is>
          <t>VÄSTERBOTTENS LÄN</t>
        </is>
      </c>
      <c r="E12909" t="inlineStr">
        <is>
          <t>LYCKSELE</t>
        </is>
      </c>
      <c r="F12909" t="inlineStr">
        <is>
          <t>Sveaskog</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58726-2023</t>
        </is>
      </c>
      <c r="B12910" s="1" t="n">
        <v>45251</v>
      </c>
      <c r="C12910" s="1" t="n">
        <v>45357</v>
      </c>
      <c r="D12910" t="inlineStr">
        <is>
          <t>VÄSTERBOTTENS LÄN</t>
        </is>
      </c>
      <c r="E12910" t="inlineStr">
        <is>
          <t>MALÅ</t>
        </is>
      </c>
      <c r="F12910" t="inlineStr">
        <is>
          <t>Sveaskog</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58750-2023</t>
        </is>
      </c>
      <c r="B12911" s="1" t="n">
        <v>45251</v>
      </c>
      <c r="C12911" s="1" t="n">
        <v>45357</v>
      </c>
      <c r="D12911" t="inlineStr">
        <is>
          <t>VÄSTERBOTTENS LÄN</t>
        </is>
      </c>
      <c r="E12911" t="inlineStr">
        <is>
          <t>SKELLEFTEÅ</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58754-2023</t>
        </is>
      </c>
      <c r="B12912" s="1" t="n">
        <v>45251</v>
      </c>
      <c r="C12912" s="1" t="n">
        <v>45357</v>
      </c>
      <c r="D12912" t="inlineStr">
        <is>
          <t>VÄSTERBOTTENS LÄN</t>
        </is>
      </c>
      <c r="E12912" t="inlineStr">
        <is>
          <t>SKELLEFTEÅ</t>
        </is>
      </c>
      <c r="G12912" t="n">
        <v>8.199999999999999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58724-2023</t>
        </is>
      </c>
      <c r="B12913" s="1" t="n">
        <v>45251</v>
      </c>
      <c r="C12913" s="1" t="n">
        <v>45357</v>
      </c>
      <c r="D12913" t="inlineStr">
        <is>
          <t>VÄSTERBOTTENS LÄN</t>
        </is>
      </c>
      <c r="E12913" t="inlineStr">
        <is>
          <t>MALÅ</t>
        </is>
      </c>
      <c r="F12913" t="inlineStr">
        <is>
          <t>Sveaskog</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58732-2023</t>
        </is>
      </c>
      <c r="B12914" s="1" t="n">
        <v>45251</v>
      </c>
      <c r="C12914" s="1" t="n">
        <v>45357</v>
      </c>
      <c r="D12914" t="inlineStr">
        <is>
          <t>VÄSTERBOTTENS LÄN</t>
        </is>
      </c>
      <c r="E12914" t="inlineStr">
        <is>
          <t>VÄNNÄS</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58736-2023</t>
        </is>
      </c>
      <c r="B12915" s="1" t="n">
        <v>45251</v>
      </c>
      <c r="C12915" s="1" t="n">
        <v>45357</v>
      </c>
      <c r="D12915" t="inlineStr">
        <is>
          <t>VÄSTERBOTTENS LÄN</t>
        </is>
      </c>
      <c r="E12915" t="inlineStr">
        <is>
          <t>VÄNNÄS</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58752-2023</t>
        </is>
      </c>
      <c r="B12916" s="1" t="n">
        <v>45251</v>
      </c>
      <c r="C12916" s="1" t="n">
        <v>45357</v>
      </c>
      <c r="D12916" t="inlineStr">
        <is>
          <t>VÄSTERBOTTENS LÄN</t>
        </is>
      </c>
      <c r="E12916" t="inlineStr">
        <is>
          <t>SKELLEFTEÅ</t>
        </is>
      </c>
      <c r="G12916" t="n">
        <v>3.6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58756-2023</t>
        </is>
      </c>
      <c r="B12917" s="1" t="n">
        <v>45251</v>
      </c>
      <c r="C12917" s="1" t="n">
        <v>45357</v>
      </c>
      <c r="D12917" t="inlineStr">
        <is>
          <t>VÄSTERBOTTENS LÄN</t>
        </is>
      </c>
      <c r="E12917" t="inlineStr">
        <is>
          <t>VILHELMINA</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58768-2023</t>
        </is>
      </c>
      <c r="B12918" s="1" t="n">
        <v>45252</v>
      </c>
      <c r="C12918" s="1" t="n">
        <v>45357</v>
      </c>
      <c r="D12918" t="inlineStr">
        <is>
          <t>VÄSTERBOTTENS LÄN</t>
        </is>
      </c>
      <c r="E12918" t="inlineStr">
        <is>
          <t>DOROTEA</t>
        </is>
      </c>
      <c r="F12918" t="inlineStr">
        <is>
          <t>SCA</t>
        </is>
      </c>
      <c r="G12918" t="n">
        <v>22.6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59117-2023</t>
        </is>
      </c>
      <c r="B12919" s="1" t="n">
        <v>45251</v>
      </c>
      <c r="C12919" s="1" t="n">
        <v>45357</v>
      </c>
      <c r="D12919" t="inlineStr">
        <is>
          <t>VÄSTERBOTTENS LÄN</t>
        </is>
      </c>
      <c r="E12919" t="inlineStr">
        <is>
          <t>VILHELMINA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58660-2023</t>
        </is>
      </c>
      <c r="B12920" s="1" t="n">
        <v>45251</v>
      </c>
      <c r="C12920" s="1" t="n">
        <v>45357</v>
      </c>
      <c r="D12920" t="inlineStr">
        <is>
          <t>VÄSTERBOTTENS LÄN</t>
        </is>
      </c>
      <c r="E12920" t="inlineStr">
        <is>
          <t>VINDELN</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59152-2023</t>
        </is>
      </c>
      <c r="B12921" s="1" t="n">
        <v>45251</v>
      </c>
      <c r="C12921" s="1" t="n">
        <v>45357</v>
      </c>
      <c r="D12921" t="inlineStr">
        <is>
          <t>VÄSTERBOTTENS LÄN</t>
        </is>
      </c>
      <c r="E12921" t="inlineStr">
        <is>
          <t>UMEÅ</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59178-2023</t>
        </is>
      </c>
      <c r="B12922" s="1" t="n">
        <v>45251</v>
      </c>
      <c r="C12922" s="1" t="n">
        <v>45357</v>
      </c>
      <c r="D12922" t="inlineStr">
        <is>
          <t>VÄSTERBOTTENS LÄN</t>
        </is>
      </c>
      <c r="E12922" t="inlineStr">
        <is>
          <t>ROBERTSFORS</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58725-2023</t>
        </is>
      </c>
      <c r="B12923" s="1" t="n">
        <v>45251</v>
      </c>
      <c r="C12923" s="1" t="n">
        <v>45357</v>
      </c>
      <c r="D12923" t="inlineStr">
        <is>
          <t>VÄSTERBOTTENS LÄN</t>
        </is>
      </c>
      <c r="E12923" t="inlineStr">
        <is>
          <t>MALÅ</t>
        </is>
      </c>
      <c r="F12923" t="inlineStr">
        <is>
          <t>Sveaskog</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58733-2023</t>
        </is>
      </c>
      <c r="B12924" s="1" t="n">
        <v>45251</v>
      </c>
      <c r="C12924" s="1" t="n">
        <v>45357</v>
      </c>
      <c r="D12924" t="inlineStr">
        <is>
          <t>VÄSTERBOTTENS LÄN</t>
        </is>
      </c>
      <c r="E12924" t="inlineStr">
        <is>
          <t>VÄNNÄS</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58749-2023</t>
        </is>
      </c>
      <c r="B12925" s="1" t="n">
        <v>45251</v>
      </c>
      <c r="C12925" s="1" t="n">
        <v>45357</v>
      </c>
      <c r="D12925" t="inlineStr">
        <is>
          <t>VÄSTERBOTTENS LÄN</t>
        </is>
      </c>
      <c r="E12925" t="inlineStr">
        <is>
          <t>VILHELMINA</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58753-2023</t>
        </is>
      </c>
      <c r="B12926" s="1" t="n">
        <v>45251</v>
      </c>
      <c r="C12926" s="1" t="n">
        <v>45357</v>
      </c>
      <c r="D12926" t="inlineStr">
        <is>
          <t>VÄSTERBOTTENS LÄN</t>
        </is>
      </c>
      <c r="E12926" t="inlineStr">
        <is>
          <t>NORSJÖ</t>
        </is>
      </c>
      <c r="G12926" t="n">
        <v>4.8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58757-2023</t>
        </is>
      </c>
      <c r="B12927" s="1" t="n">
        <v>45251</v>
      </c>
      <c r="C12927" s="1" t="n">
        <v>45357</v>
      </c>
      <c r="D12927" t="inlineStr">
        <is>
          <t>VÄSTERBOTTENS LÄN</t>
        </is>
      </c>
      <c r="E12927" t="inlineStr">
        <is>
          <t>MALÅ</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58761-2023</t>
        </is>
      </c>
      <c r="B12928" s="1" t="n">
        <v>45251</v>
      </c>
      <c r="C12928" s="1" t="n">
        <v>45357</v>
      </c>
      <c r="D12928" t="inlineStr">
        <is>
          <t>VÄSTERBOTTENS LÄN</t>
        </is>
      </c>
      <c r="E12928" t="inlineStr">
        <is>
          <t>DOROTEA</t>
        </is>
      </c>
      <c r="F12928" t="inlineStr">
        <is>
          <t>SCA</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59171-2023</t>
        </is>
      </c>
      <c r="B12929" s="1" t="n">
        <v>45251</v>
      </c>
      <c r="C12929" s="1" t="n">
        <v>45357</v>
      </c>
      <c r="D12929" t="inlineStr">
        <is>
          <t>VÄSTERBOTTENS LÄN</t>
        </is>
      </c>
      <c r="E12929" t="inlineStr">
        <is>
          <t>ROBERTSFORS</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59211-2023</t>
        </is>
      </c>
      <c r="B12930" s="1" t="n">
        <v>45251</v>
      </c>
      <c r="C12930" s="1" t="n">
        <v>45357</v>
      </c>
      <c r="D12930" t="inlineStr">
        <is>
          <t>VÄSTERBOTTENS LÄN</t>
        </is>
      </c>
      <c r="E12930" t="inlineStr">
        <is>
          <t>ROBERTSFORS</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58672-2023</t>
        </is>
      </c>
      <c r="B12931" s="1" t="n">
        <v>45251</v>
      </c>
      <c r="C12931" s="1" t="n">
        <v>45357</v>
      </c>
      <c r="D12931" t="inlineStr">
        <is>
          <t>VÄSTERBOTTENS LÄN</t>
        </is>
      </c>
      <c r="E12931" t="inlineStr">
        <is>
          <t>SKELLEFTEÅ</t>
        </is>
      </c>
      <c r="F12931" t="inlineStr">
        <is>
          <t>Holmen skog AB</t>
        </is>
      </c>
      <c r="G12931" t="n">
        <v>3.3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58735-2023</t>
        </is>
      </c>
      <c r="B12932" s="1" t="n">
        <v>45251</v>
      </c>
      <c r="C12932" s="1" t="n">
        <v>45357</v>
      </c>
      <c r="D12932" t="inlineStr">
        <is>
          <t>VÄSTERBOTTENS LÄN</t>
        </is>
      </c>
      <c r="E12932" t="inlineStr">
        <is>
          <t>VÄNNÄS</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58751-2023</t>
        </is>
      </c>
      <c r="B12933" s="1" t="n">
        <v>45251</v>
      </c>
      <c r="C12933" s="1" t="n">
        <v>45357</v>
      </c>
      <c r="D12933" t="inlineStr">
        <is>
          <t>VÄSTERBOTTENS LÄN</t>
        </is>
      </c>
      <c r="E12933" t="inlineStr">
        <is>
          <t>SKELLEFTEÅ</t>
        </is>
      </c>
      <c r="G12933" t="n">
        <v>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58755-2023</t>
        </is>
      </c>
      <c r="B12934" s="1" t="n">
        <v>45251</v>
      </c>
      <c r="C12934" s="1" t="n">
        <v>45357</v>
      </c>
      <c r="D12934" t="inlineStr">
        <is>
          <t>VÄSTERBOTTENS LÄN</t>
        </is>
      </c>
      <c r="E12934" t="inlineStr">
        <is>
          <t>SKELLEFTEÅ</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59110-2023</t>
        </is>
      </c>
      <c r="B12935" s="1" t="n">
        <v>45251</v>
      </c>
      <c r="C12935" s="1" t="n">
        <v>45357</v>
      </c>
      <c r="D12935" t="inlineStr">
        <is>
          <t>VÄSTERBOTTENS LÄN</t>
        </is>
      </c>
      <c r="E12935" t="inlineStr">
        <is>
          <t>VILHELMINA</t>
        </is>
      </c>
      <c r="G12935" t="n">
        <v>10.1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59127-2023</t>
        </is>
      </c>
      <c r="B12936" s="1" t="n">
        <v>45251</v>
      </c>
      <c r="C12936" s="1" t="n">
        <v>45357</v>
      </c>
      <c r="D12936" t="inlineStr">
        <is>
          <t>VÄSTERBOTTENS LÄN</t>
        </is>
      </c>
      <c r="E12936" t="inlineStr">
        <is>
          <t>SKELLEFTEÅ</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59157-2023</t>
        </is>
      </c>
      <c r="B12937" s="1" t="n">
        <v>45251</v>
      </c>
      <c r="C12937" s="1" t="n">
        <v>45357</v>
      </c>
      <c r="D12937" t="inlineStr">
        <is>
          <t>VÄSTERBOTTENS LÄN</t>
        </is>
      </c>
      <c r="E12937" t="inlineStr">
        <is>
          <t>UMEÅ</t>
        </is>
      </c>
      <c r="G12937" t="n">
        <v>4.1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59165-2023</t>
        </is>
      </c>
      <c r="B12938" s="1" t="n">
        <v>45251</v>
      </c>
      <c r="C12938" s="1" t="n">
        <v>45357</v>
      </c>
      <c r="D12938" t="inlineStr">
        <is>
          <t>VÄSTERBOTTENS LÄN</t>
        </is>
      </c>
      <c r="E12938" t="inlineStr">
        <is>
          <t>SKELLEFTEÅ</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59181-2023</t>
        </is>
      </c>
      <c r="B12939" s="1" t="n">
        <v>45251</v>
      </c>
      <c r="C12939" s="1" t="n">
        <v>45357</v>
      </c>
      <c r="D12939" t="inlineStr">
        <is>
          <t>VÄSTERBOTTENS LÄN</t>
        </is>
      </c>
      <c r="E12939" t="inlineStr">
        <is>
          <t>BJURHOLM</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58838-2023</t>
        </is>
      </c>
      <c r="B12940" s="1" t="n">
        <v>45252</v>
      </c>
      <c r="C12940" s="1" t="n">
        <v>45357</v>
      </c>
      <c r="D12940" t="inlineStr">
        <is>
          <t>VÄSTERBOTTENS LÄN</t>
        </is>
      </c>
      <c r="E12940" t="inlineStr">
        <is>
          <t>SKELLEFTEÅ</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59058-2023</t>
        </is>
      </c>
      <c r="B12941" s="1" t="n">
        <v>45252</v>
      </c>
      <c r="C12941" s="1" t="n">
        <v>45357</v>
      </c>
      <c r="D12941" t="inlineStr">
        <is>
          <t>VÄSTERBOTTENS LÄN</t>
        </is>
      </c>
      <c r="E12941" t="inlineStr">
        <is>
          <t>STORUMAN</t>
        </is>
      </c>
      <c r="G12941" t="n">
        <v>15.3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59062-2023</t>
        </is>
      </c>
      <c r="B12942" s="1" t="n">
        <v>45252</v>
      </c>
      <c r="C12942" s="1" t="n">
        <v>45357</v>
      </c>
      <c r="D12942" t="inlineStr">
        <is>
          <t>VÄSTERBOTTENS LÄN</t>
        </is>
      </c>
      <c r="E12942" t="inlineStr">
        <is>
          <t>SORSELE</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59066-2023</t>
        </is>
      </c>
      <c r="B12943" s="1" t="n">
        <v>45252</v>
      </c>
      <c r="C12943" s="1" t="n">
        <v>45357</v>
      </c>
      <c r="D12943" t="inlineStr">
        <is>
          <t>VÄSTERBOTTENS LÄN</t>
        </is>
      </c>
      <c r="E12943" t="inlineStr">
        <is>
          <t>SORSELE</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59029-2023</t>
        </is>
      </c>
      <c r="B12944" s="1" t="n">
        <v>45252</v>
      </c>
      <c r="C12944" s="1" t="n">
        <v>45357</v>
      </c>
      <c r="D12944" t="inlineStr">
        <is>
          <t>VÄSTERBOTTENS LÄN</t>
        </is>
      </c>
      <c r="E12944" t="inlineStr">
        <is>
          <t>MALÅ</t>
        </is>
      </c>
      <c r="F12944" t="inlineStr">
        <is>
          <t>Sveaskog</t>
        </is>
      </c>
      <c r="G12944" t="n">
        <v>11.6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59065-2023</t>
        </is>
      </c>
      <c r="B12945" s="1" t="n">
        <v>45252</v>
      </c>
      <c r="C12945" s="1" t="n">
        <v>45357</v>
      </c>
      <c r="D12945" t="inlineStr">
        <is>
          <t>VÄSTERBOTTENS LÄN</t>
        </is>
      </c>
      <c r="E12945" t="inlineStr">
        <is>
          <t>SORSELE</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58948-2023</t>
        </is>
      </c>
      <c r="B12946" s="1" t="n">
        <v>45252</v>
      </c>
      <c r="C12946" s="1" t="n">
        <v>45357</v>
      </c>
      <c r="D12946" t="inlineStr">
        <is>
          <t>VÄSTERBOTTENS LÄN</t>
        </is>
      </c>
      <c r="E12946" t="inlineStr">
        <is>
          <t>BJURHOLM</t>
        </is>
      </c>
      <c r="F12946" t="inlineStr">
        <is>
          <t>Sveaskog</t>
        </is>
      </c>
      <c r="G12946" t="n">
        <v>7.9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59067-2023</t>
        </is>
      </c>
      <c r="B12947" s="1" t="n">
        <v>45252</v>
      </c>
      <c r="C12947" s="1" t="n">
        <v>45357</v>
      </c>
      <c r="D12947" t="inlineStr">
        <is>
          <t>VÄSTERBOTTENS LÄN</t>
        </is>
      </c>
      <c r="E12947" t="inlineStr">
        <is>
          <t>MALÅ</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59060-2023</t>
        </is>
      </c>
      <c r="B12948" s="1" t="n">
        <v>45252</v>
      </c>
      <c r="C12948" s="1" t="n">
        <v>45357</v>
      </c>
      <c r="D12948" t="inlineStr">
        <is>
          <t>VÄSTERBOTTENS LÄN</t>
        </is>
      </c>
      <c r="E12948" t="inlineStr">
        <is>
          <t>SORSELE</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59193-2023</t>
        </is>
      </c>
      <c r="B12949" s="1" t="n">
        <v>45252</v>
      </c>
      <c r="C12949" s="1" t="n">
        <v>45357</v>
      </c>
      <c r="D12949" t="inlineStr">
        <is>
          <t>VÄSTERBOTTENS LÄN</t>
        </is>
      </c>
      <c r="E12949" t="inlineStr">
        <is>
          <t>NORSJÖ</t>
        </is>
      </c>
      <c r="G12949" t="n">
        <v>12.3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59242-2023</t>
        </is>
      </c>
      <c r="B12950" s="1" t="n">
        <v>45252</v>
      </c>
      <c r="C12950" s="1" t="n">
        <v>45357</v>
      </c>
      <c r="D12950" t="inlineStr">
        <is>
          <t>VÄSTERBOTTENS LÄN</t>
        </is>
      </c>
      <c r="E12950" t="inlineStr">
        <is>
          <t>SKELLEFTEÅ</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59083-2023</t>
        </is>
      </c>
      <c r="B12951" s="1" t="n">
        <v>45252</v>
      </c>
      <c r="C12951" s="1" t="n">
        <v>45357</v>
      </c>
      <c r="D12951" t="inlineStr">
        <is>
          <t>VÄSTERBOTTENS LÄN</t>
        </is>
      </c>
      <c r="E12951" t="inlineStr">
        <is>
          <t>VILHELMINA</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59220-2023</t>
        </is>
      </c>
      <c r="B12952" s="1" t="n">
        <v>45252</v>
      </c>
      <c r="C12952" s="1" t="n">
        <v>45357</v>
      </c>
      <c r="D12952" t="inlineStr">
        <is>
          <t>VÄSTERBOTTENS LÄN</t>
        </is>
      </c>
      <c r="E12952" t="inlineStr">
        <is>
          <t>UMEÅ</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59289-2023</t>
        </is>
      </c>
      <c r="B12953" s="1" t="n">
        <v>45252</v>
      </c>
      <c r="C12953" s="1" t="n">
        <v>45357</v>
      </c>
      <c r="D12953" t="inlineStr">
        <is>
          <t>VÄSTERBOTTENS LÄN</t>
        </is>
      </c>
      <c r="E12953" t="inlineStr">
        <is>
          <t>UMEÅ</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59333-2023</t>
        </is>
      </c>
      <c r="B12954" s="1" t="n">
        <v>45252</v>
      </c>
      <c r="C12954" s="1" t="n">
        <v>45357</v>
      </c>
      <c r="D12954" t="inlineStr">
        <is>
          <t>VÄSTERBOTTENS LÄN</t>
        </is>
      </c>
      <c r="E12954" t="inlineStr">
        <is>
          <t>UMEÅ</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59245-2023</t>
        </is>
      </c>
      <c r="B12955" s="1" t="n">
        <v>45252</v>
      </c>
      <c r="C12955" s="1" t="n">
        <v>45357</v>
      </c>
      <c r="D12955" t="inlineStr">
        <is>
          <t>VÄSTERBOTTENS LÄN</t>
        </is>
      </c>
      <c r="E12955" t="inlineStr">
        <is>
          <t>SKELLEFTEÅ</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59153-2023</t>
        </is>
      </c>
      <c r="B12956" s="1" t="n">
        <v>45253</v>
      </c>
      <c r="C12956" s="1" t="n">
        <v>45357</v>
      </c>
      <c r="D12956" t="inlineStr">
        <is>
          <t>VÄSTERBOTTENS LÄN</t>
        </is>
      </c>
      <c r="E12956" t="inlineStr">
        <is>
          <t>LYCKSELE</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59306-2023</t>
        </is>
      </c>
      <c r="B12957" s="1" t="n">
        <v>45253</v>
      </c>
      <c r="C12957" s="1" t="n">
        <v>45357</v>
      </c>
      <c r="D12957" t="inlineStr">
        <is>
          <t>VÄSTERBOTTENS LÄN</t>
        </is>
      </c>
      <c r="E12957" t="inlineStr">
        <is>
          <t>ROBERTSFORS</t>
        </is>
      </c>
      <c r="F12957" t="inlineStr">
        <is>
          <t>Holmen skog AB</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59379-2023</t>
        </is>
      </c>
      <c r="B12958" s="1" t="n">
        <v>45253</v>
      </c>
      <c r="C12958" s="1" t="n">
        <v>45357</v>
      </c>
      <c r="D12958" t="inlineStr">
        <is>
          <t>VÄSTERBOTTENS LÄN</t>
        </is>
      </c>
      <c r="E12958" t="inlineStr">
        <is>
          <t>BJURHOLM</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59343-2023</t>
        </is>
      </c>
      <c r="B12959" s="1" t="n">
        <v>45253</v>
      </c>
      <c r="C12959" s="1" t="n">
        <v>45357</v>
      </c>
      <c r="D12959" t="inlineStr">
        <is>
          <t>VÄSTERBOTTENS LÄN</t>
        </is>
      </c>
      <c r="E12959" t="inlineStr">
        <is>
          <t>UMEÅ</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59396-2023</t>
        </is>
      </c>
      <c r="B12960" s="1" t="n">
        <v>45253</v>
      </c>
      <c r="C12960" s="1" t="n">
        <v>45357</v>
      </c>
      <c r="D12960" t="inlineStr">
        <is>
          <t>VÄSTERBOTTENS LÄN</t>
        </is>
      </c>
      <c r="E12960" t="inlineStr">
        <is>
          <t>DOROTEA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59404-2023</t>
        </is>
      </c>
      <c r="B12961" s="1" t="n">
        <v>45253</v>
      </c>
      <c r="C12961" s="1" t="n">
        <v>45357</v>
      </c>
      <c r="D12961" t="inlineStr">
        <is>
          <t>VÄSTERBOTTENS LÄN</t>
        </is>
      </c>
      <c r="E12961" t="inlineStr">
        <is>
          <t>SKELLEFTEÅ</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59382-2023</t>
        </is>
      </c>
      <c r="B12962" s="1" t="n">
        <v>45253</v>
      </c>
      <c r="C12962" s="1" t="n">
        <v>45357</v>
      </c>
      <c r="D12962" t="inlineStr">
        <is>
          <t>VÄSTERBOTTENS LÄN</t>
        </is>
      </c>
      <c r="E12962" t="inlineStr">
        <is>
          <t>BJURHOLM</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59150-2023</t>
        </is>
      </c>
      <c r="B12963" s="1" t="n">
        <v>45253</v>
      </c>
      <c r="C12963" s="1" t="n">
        <v>45357</v>
      </c>
      <c r="D12963" t="inlineStr">
        <is>
          <t>VÄSTERBOTTENS LÄN</t>
        </is>
      </c>
      <c r="E12963" t="inlineStr">
        <is>
          <t>LYCKSELE</t>
        </is>
      </c>
      <c r="G12963" t="n">
        <v>6.5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59395-2023</t>
        </is>
      </c>
      <c r="B12964" s="1" t="n">
        <v>45253</v>
      </c>
      <c r="C12964" s="1" t="n">
        <v>45357</v>
      </c>
      <c r="D12964" t="inlineStr">
        <is>
          <t>VÄSTERBOTTENS LÄN</t>
        </is>
      </c>
      <c r="E12964" t="inlineStr">
        <is>
          <t>DOROTEA</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59399-2023</t>
        </is>
      </c>
      <c r="B12965" s="1" t="n">
        <v>45253</v>
      </c>
      <c r="C12965" s="1" t="n">
        <v>45357</v>
      </c>
      <c r="D12965" t="inlineStr">
        <is>
          <t>VÄSTERBOTTENS LÄN</t>
        </is>
      </c>
      <c r="E12965" t="inlineStr">
        <is>
          <t>STORUMAN</t>
        </is>
      </c>
      <c r="G12965" t="n">
        <v>12.6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59648-2023</t>
        </is>
      </c>
      <c r="B12966" s="1" t="n">
        <v>45253</v>
      </c>
      <c r="C12966" s="1" t="n">
        <v>45357</v>
      </c>
      <c r="D12966" t="inlineStr">
        <is>
          <t>VÄSTERBOTTENS LÄN</t>
        </is>
      </c>
      <c r="E12966" t="inlineStr">
        <is>
          <t>SKELLEFTEÅ</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59394-2023</t>
        </is>
      </c>
      <c r="B12967" s="1" t="n">
        <v>45253</v>
      </c>
      <c r="C12967" s="1" t="n">
        <v>45357</v>
      </c>
      <c r="D12967" t="inlineStr">
        <is>
          <t>VÄSTERBOTTENS LÄN</t>
        </is>
      </c>
      <c r="E12967" t="inlineStr">
        <is>
          <t>DOROTEA</t>
        </is>
      </c>
      <c r="G12967" t="n">
        <v>28.8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59406-2023</t>
        </is>
      </c>
      <c r="B12968" s="1" t="n">
        <v>45253</v>
      </c>
      <c r="C12968" s="1" t="n">
        <v>45357</v>
      </c>
      <c r="D12968" t="inlineStr">
        <is>
          <t>VÄSTERBOTTENS LÄN</t>
        </is>
      </c>
      <c r="E12968" t="inlineStr">
        <is>
          <t>SKELLEFTEÅ</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59381-2023</t>
        </is>
      </c>
      <c r="B12969" s="1" t="n">
        <v>45253</v>
      </c>
      <c r="C12969" s="1" t="n">
        <v>45357</v>
      </c>
      <c r="D12969" t="inlineStr">
        <is>
          <t>VÄSTERBOTTENS LÄN</t>
        </is>
      </c>
      <c r="E12969" t="inlineStr">
        <is>
          <t>BJURHOLM</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59397-2023</t>
        </is>
      </c>
      <c r="B12970" s="1" t="n">
        <v>45253</v>
      </c>
      <c r="C12970" s="1" t="n">
        <v>45357</v>
      </c>
      <c r="D12970" t="inlineStr">
        <is>
          <t>VÄSTERBOTTENS LÄN</t>
        </is>
      </c>
      <c r="E12970" t="inlineStr">
        <is>
          <t>DOROTEA</t>
        </is>
      </c>
      <c r="G12970" t="n">
        <v>8.5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59405-2023</t>
        </is>
      </c>
      <c r="B12971" s="1" t="n">
        <v>45253</v>
      </c>
      <c r="C12971" s="1" t="n">
        <v>45357</v>
      </c>
      <c r="D12971" t="inlineStr">
        <is>
          <t>VÄSTERBOTTENS LÄN</t>
        </is>
      </c>
      <c r="E12971" t="inlineStr">
        <is>
          <t>SKELLEFTEÅ</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59418-2023</t>
        </is>
      </c>
      <c r="B12972" s="1" t="n">
        <v>45253</v>
      </c>
      <c r="C12972" s="1" t="n">
        <v>45357</v>
      </c>
      <c r="D12972" t="inlineStr">
        <is>
          <t>VÄSTERBOTTENS LÄN</t>
        </is>
      </c>
      <c r="E12972" t="inlineStr">
        <is>
          <t>DOROTEA</t>
        </is>
      </c>
      <c r="F12972" t="inlineStr">
        <is>
          <t>SCA</t>
        </is>
      </c>
      <c r="G12972" t="n">
        <v>7.6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59647-2023</t>
        </is>
      </c>
      <c r="B12973" s="1" t="n">
        <v>45253</v>
      </c>
      <c r="C12973" s="1" t="n">
        <v>45357</v>
      </c>
      <c r="D12973" t="inlineStr">
        <is>
          <t>VÄSTERBOTTENS LÄN</t>
        </is>
      </c>
      <c r="E12973" t="inlineStr">
        <is>
          <t>SKELLEFTEÅ</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59833-2023</t>
        </is>
      </c>
      <c r="B12974" s="1" t="n">
        <v>45253</v>
      </c>
      <c r="C12974" s="1" t="n">
        <v>45357</v>
      </c>
      <c r="D12974" t="inlineStr">
        <is>
          <t>VÄSTERBOTTENS LÄN</t>
        </is>
      </c>
      <c r="E12974" t="inlineStr">
        <is>
          <t>LYCKSELE</t>
        </is>
      </c>
      <c r="G12974" t="n">
        <v>6.9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59549-2023</t>
        </is>
      </c>
      <c r="B12975" s="1" t="n">
        <v>45253</v>
      </c>
      <c r="C12975" s="1" t="n">
        <v>45357</v>
      </c>
      <c r="D12975" t="inlineStr">
        <is>
          <t>VÄSTERBOTTENS LÄN</t>
        </is>
      </c>
      <c r="E12975" t="inlineStr">
        <is>
          <t>ROBERTSFORS</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59458-2023</t>
        </is>
      </c>
      <c r="B12976" s="1" t="n">
        <v>45254</v>
      </c>
      <c r="C12976" s="1" t="n">
        <v>45357</v>
      </c>
      <c r="D12976" t="inlineStr">
        <is>
          <t>VÄSTERBOTTENS LÄN</t>
        </is>
      </c>
      <c r="E12976" t="inlineStr">
        <is>
          <t>MALÅ</t>
        </is>
      </c>
      <c r="F12976" t="inlineStr">
        <is>
          <t>Sveaskog</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59599-2023</t>
        </is>
      </c>
      <c r="B12977" s="1" t="n">
        <v>45254</v>
      </c>
      <c r="C12977" s="1" t="n">
        <v>45357</v>
      </c>
      <c r="D12977" t="inlineStr">
        <is>
          <t>VÄSTERBOTTENS LÄN</t>
        </is>
      </c>
      <c r="E12977" t="inlineStr">
        <is>
          <t>MALÅ</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59596-2023</t>
        </is>
      </c>
      <c r="B12978" s="1" t="n">
        <v>45254</v>
      </c>
      <c r="C12978" s="1" t="n">
        <v>45357</v>
      </c>
      <c r="D12978" t="inlineStr">
        <is>
          <t>VÄSTERBOTTENS LÄN</t>
        </is>
      </c>
      <c r="E12978" t="inlineStr">
        <is>
          <t>ROBERTSFORS</t>
        </is>
      </c>
      <c r="F12978" t="inlineStr">
        <is>
          <t>Holmen skog AB</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59609-2023</t>
        </is>
      </c>
      <c r="B12979" s="1" t="n">
        <v>45254</v>
      </c>
      <c r="C12979" s="1" t="n">
        <v>45357</v>
      </c>
      <c r="D12979" t="inlineStr">
        <is>
          <t>VÄSTERBOTTENS LÄN</t>
        </is>
      </c>
      <c r="E12979" t="inlineStr">
        <is>
          <t>VINDELN</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59603-2023</t>
        </is>
      </c>
      <c r="B12980" s="1" t="n">
        <v>45254</v>
      </c>
      <c r="C12980" s="1" t="n">
        <v>45357</v>
      </c>
      <c r="D12980" t="inlineStr">
        <is>
          <t>VÄSTERBOTTENS LÄN</t>
        </is>
      </c>
      <c r="E12980" t="inlineStr">
        <is>
          <t>MALÅ</t>
        </is>
      </c>
      <c r="F12980" t="inlineStr">
        <is>
          <t>Sveaskog</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59664-2023</t>
        </is>
      </c>
      <c r="B12981" s="1" t="n">
        <v>45254</v>
      </c>
      <c r="C12981" s="1" t="n">
        <v>45357</v>
      </c>
      <c r="D12981" t="inlineStr">
        <is>
          <t>VÄSTERBOTTENS LÄN</t>
        </is>
      </c>
      <c r="E12981" t="inlineStr">
        <is>
          <t>VILHELMINA</t>
        </is>
      </c>
      <c r="F12981" t="inlineStr">
        <is>
          <t>SCA</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59653-2023</t>
        </is>
      </c>
      <c r="B12982" s="1" t="n">
        <v>45254</v>
      </c>
      <c r="C12982" s="1" t="n">
        <v>45357</v>
      </c>
      <c r="D12982" t="inlineStr">
        <is>
          <t>VÄSTERBOTTENS LÄN</t>
        </is>
      </c>
      <c r="E12982" t="inlineStr">
        <is>
          <t>SKELLEFTEÅ</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60035-2023</t>
        </is>
      </c>
      <c r="B12983" s="1" t="n">
        <v>45254</v>
      </c>
      <c r="C12983" s="1" t="n">
        <v>45357</v>
      </c>
      <c r="D12983" t="inlineStr">
        <is>
          <t>VÄSTERBOTTENS LÄN</t>
        </is>
      </c>
      <c r="E12983" t="inlineStr">
        <is>
          <t>VILHELMINA</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59945-2023</t>
        </is>
      </c>
      <c r="B12984" s="1" t="n">
        <v>45254</v>
      </c>
      <c r="C12984" s="1" t="n">
        <v>45357</v>
      </c>
      <c r="D12984" t="inlineStr">
        <is>
          <t>VÄSTERBOTTENS LÄN</t>
        </is>
      </c>
      <c r="E12984" t="inlineStr">
        <is>
          <t>SKELLEFTEÅ</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59602-2023</t>
        </is>
      </c>
      <c r="B12985" s="1" t="n">
        <v>45254</v>
      </c>
      <c r="C12985" s="1" t="n">
        <v>45357</v>
      </c>
      <c r="D12985" t="inlineStr">
        <is>
          <t>VÄSTERBOTTENS LÄN</t>
        </is>
      </c>
      <c r="E12985" t="inlineStr">
        <is>
          <t>MALÅ</t>
        </is>
      </c>
      <c r="F12985" t="inlineStr">
        <is>
          <t>Sveaskog</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59655-2023</t>
        </is>
      </c>
      <c r="B12986" s="1" t="n">
        <v>45254</v>
      </c>
      <c r="C12986" s="1" t="n">
        <v>45357</v>
      </c>
      <c r="D12986" t="inlineStr">
        <is>
          <t>VÄSTERBOTTENS LÄN</t>
        </is>
      </c>
      <c r="E12986" t="inlineStr">
        <is>
          <t>STORUMAN</t>
        </is>
      </c>
      <c r="G12986" t="n">
        <v>8.9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59663-2023</t>
        </is>
      </c>
      <c r="B12987" s="1" t="n">
        <v>45254</v>
      </c>
      <c r="C12987" s="1" t="n">
        <v>45357</v>
      </c>
      <c r="D12987" t="inlineStr">
        <is>
          <t>VÄSTERBOTTENS LÄN</t>
        </is>
      </c>
      <c r="E12987" t="inlineStr">
        <is>
          <t>VILHELMINA</t>
        </is>
      </c>
      <c r="F12987" t="inlineStr">
        <is>
          <t>SCA</t>
        </is>
      </c>
      <c r="G12987" t="n">
        <v>12.8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59671-2023</t>
        </is>
      </c>
      <c r="B12988" s="1" t="n">
        <v>45255</v>
      </c>
      <c r="C12988" s="1" t="n">
        <v>45357</v>
      </c>
      <c r="D12988" t="inlineStr">
        <is>
          <t>VÄSTERBOTTENS LÄN</t>
        </is>
      </c>
      <c r="E12988" t="inlineStr">
        <is>
          <t>VILHELMINA</t>
        </is>
      </c>
      <c r="F12988" t="inlineStr">
        <is>
          <t>SCA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59685-2023</t>
        </is>
      </c>
      <c r="B12989" s="1" t="n">
        <v>45255</v>
      </c>
      <c r="C12989" s="1" t="n">
        <v>45357</v>
      </c>
      <c r="D12989" t="inlineStr">
        <is>
          <t>VÄSTERBOTTENS LÄN</t>
        </is>
      </c>
      <c r="E12989" t="inlineStr">
        <is>
          <t>NORDMALING</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59684-2023</t>
        </is>
      </c>
      <c r="B12990" s="1" t="n">
        <v>45255</v>
      </c>
      <c r="C12990" s="1" t="n">
        <v>45357</v>
      </c>
      <c r="D12990" t="inlineStr">
        <is>
          <t>VÄSTERBOTTENS LÄN</t>
        </is>
      </c>
      <c r="E12990" t="inlineStr">
        <is>
          <t>NORDMALING</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59730-2023</t>
        </is>
      </c>
      <c r="B12991" s="1" t="n">
        <v>45257</v>
      </c>
      <c r="C12991" s="1" t="n">
        <v>45357</v>
      </c>
      <c r="D12991" t="inlineStr">
        <is>
          <t>VÄSTERBOTTENS LÄN</t>
        </is>
      </c>
      <c r="E12991" t="inlineStr">
        <is>
          <t>STORUMAN</t>
        </is>
      </c>
      <c r="G12991" t="n">
        <v>18.9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59712-2023</t>
        </is>
      </c>
      <c r="B12992" s="1" t="n">
        <v>45257</v>
      </c>
      <c r="C12992" s="1" t="n">
        <v>45357</v>
      </c>
      <c r="D12992" t="inlineStr">
        <is>
          <t>VÄSTERBOTTENS LÄN</t>
        </is>
      </c>
      <c r="E12992" t="inlineStr">
        <is>
          <t>BJURHOLM</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59771-2023</t>
        </is>
      </c>
      <c r="B12993" s="1" t="n">
        <v>45257</v>
      </c>
      <c r="C12993" s="1" t="n">
        <v>45357</v>
      </c>
      <c r="D12993" t="inlineStr">
        <is>
          <t>VÄSTERBOTTENS LÄN</t>
        </is>
      </c>
      <c r="E12993" t="inlineStr">
        <is>
          <t>VÄNNÄS</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59788-2023</t>
        </is>
      </c>
      <c r="B12994" s="1" t="n">
        <v>45257</v>
      </c>
      <c r="C12994" s="1" t="n">
        <v>45357</v>
      </c>
      <c r="D12994" t="inlineStr">
        <is>
          <t>VÄSTERBOTTENS LÄN</t>
        </is>
      </c>
      <c r="E12994" t="inlineStr">
        <is>
          <t>SKELLEFTEÅ</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59798-2023</t>
        </is>
      </c>
      <c r="B12995" s="1" t="n">
        <v>45257</v>
      </c>
      <c r="C12995" s="1" t="n">
        <v>45357</v>
      </c>
      <c r="D12995" t="inlineStr">
        <is>
          <t>VÄSTERBOTTENS LÄN</t>
        </is>
      </c>
      <c r="E12995" t="inlineStr">
        <is>
          <t>SKELLEFTEÅ</t>
        </is>
      </c>
      <c r="G12995" t="n">
        <v>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59814-2023</t>
        </is>
      </c>
      <c r="B12996" s="1" t="n">
        <v>45257</v>
      </c>
      <c r="C12996" s="1" t="n">
        <v>45357</v>
      </c>
      <c r="D12996" t="inlineStr">
        <is>
          <t>VÄSTERBOTTENS LÄN</t>
        </is>
      </c>
      <c r="E12996" t="inlineStr">
        <is>
          <t>NORSJÖ</t>
        </is>
      </c>
      <c r="G12996" t="n">
        <v>28.6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59818-2023</t>
        </is>
      </c>
      <c r="B12997" s="1" t="n">
        <v>45257</v>
      </c>
      <c r="C12997" s="1" t="n">
        <v>45357</v>
      </c>
      <c r="D12997" t="inlineStr">
        <is>
          <t>VÄSTERBOTTENS LÄN</t>
        </is>
      </c>
      <c r="E12997" t="inlineStr">
        <is>
          <t>UMEÅ</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59791-2023</t>
        </is>
      </c>
      <c r="B12998" s="1" t="n">
        <v>45257</v>
      </c>
      <c r="C12998" s="1" t="n">
        <v>45357</v>
      </c>
      <c r="D12998" t="inlineStr">
        <is>
          <t>VÄSTERBOTTENS LÄN</t>
        </is>
      </c>
      <c r="E12998" t="inlineStr">
        <is>
          <t>SKELLEFTEÅ</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59907-2023</t>
        </is>
      </c>
      <c r="B12999" s="1" t="n">
        <v>45257</v>
      </c>
      <c r="C12999" s="1" t="n">
        <v>45357</v>
      </c>
      <c r="D12999" t="inlineStr">
        <is>
          <t>VÄSTERBOTTENS LÄN</t>
        </is>
      </c>
      <c r="E12999" t="inlineStr">
        <is>
          <t>SKELLEFTEÅ</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59711-2023</t>
        </is>
      </c>
      <c r="B13000" s="1" t="n">
        <v>45257</v>
      </c>
      <c r="C13000" s="1" t="n">
        <v>45357</v>
      </c>
      <c r="D13000" t="inlineStr">
        <is>
          <t>VÄSTERBOTTENS LÄN</t>
        </is>
      </c>
      <c r="E13000" t="inlineStr">
        <is>
          <t>BJURHOLM</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59919-2023</t>
        </is>
      </c>
      <c r="B13001" s="1" t="n">
        <v>45257</v>
      </c>
      <c r="C13001" s="1" t="n">
        <v>45357</v>
      </c>
      <c r="D13001" t="inlineStr">
        <is>
          <t>VÄSTERBOTTENS LÄN</t>
        </is>
      </c>
      <c r="E13001" t="inlineStr">
        <is>
          <t>SKELLEFTEÅ</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60008-2023</t>
        </is>
      </c>
      <c r="B13002" s="1" t="n">
        <v>45257</v>
      </c>
      <c r="C13002" s="1" t="n">
        <v>45357</v>
      </c>
      <c r="D13002" t="inlineStr">
        <is>
          <t>VÄSTERBOTTENS LÄN</t>
        </is>
      </c>
      <c r="E13002" t="inlineStr">
        <is>
          <t>BJURHOLM</t>
        </is>
      </c>
      <c r="F13002" t="inlineStr">
        <is>
          <t>SCA</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60015-2023</t>
        </is>
      </c>
      <c r="B13003" s="1" t="n">
        <v>45258</v>
      </c>
      <c r="C13003" s="1" t="n">
        <v>45357</v>
      </c>
      <c r="D13003" t="inlineStr">
        <is>
          <t>VÄSTERBOTTENS LÄN</t>
        </is>
      </c>
      <c r="E13003" t="inlineStr">
        <is>
          <t>DOROTEA</t>
        </is>
      </c>
      <c r="F13003" t="inlineStr">
        <is>
          <t>SCA</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60130-2023</t>
        </is>
      </c>
      <c r="B13004" s="1" t="n">
        <v>45257</v>
      </c>
      <c r="C13004" s="1" t="n">
        <v>45357</v>
      </c>
      <c r="D13004" t="inlineStr">
        <is>
          <t>VÄSTERBOTTENS LÄN</t>
        </is>
      </c>
      <c r="E13004" t="inlineStr">
        <is>
          <t>SKELLEFTEÅ</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59793-2023</t>
        </is>
      </c>
      <c r="B13005" s="1" t="n">
        <v>45257</v>
      </c>
      <c r="C13005" s="1" t="n">
        <v>45357</v>
      </c>
      <c r="D13005" t="inlineStr">
        <is>
          <t>VÄSTERBOTTENS LÄN</t>
        </is>
      </c>
      <c r="E13005" t="inlineStr">
        <is>
          <t>SKELLEFTEÅ</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59889-2023</t>
        </is>
      </c>
      <c r="B13006" s="1" t="n">
        <v>45257</v>
      </c>
      <c r="C13006" s="1" t="n">
        <v>45357</v>
      </c>
      <c r="D13006" t="inlineStr">
        <is>
          <t>VÄSTERBOTTENS LÄN</t>
        </is>
      </c>
      <c r="E13006" t="inlineStr">
        <is>
          <t>NORSJÖ</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59959-2023</t>
        </is>
      </c>
      <c r="B13007" s="1" t="n">
        <v>45257</v>
      </c>
      <c r="C13007" s="1" t="n">
        <v>45357</v>
      </c>
      <c r="D13007" t="inlineStr">
        <is>
          <t>VÄSTERBOTTENS LÄN</t>
        </is>
      </c>
      <c r="E13007" t="inlineStr">
        <is>
          <t>NORSJÖ</t>
        </is>
      </c>
      <c r="F13007" t="inlineStr">
        <is>
          <t>Holmen skog AB</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59963-2023</t>
        </is>
      </c>
      <c r="B13008" s="1" t="n">
        <v>45257</v>
      </c>
      <c r="C13008" s="1" t="n">
        <v>45357</v>
      </c>
      <c r="D13008" t="inlineStr">
        <is>
          <t>VÄSTERBOTTENS LÄN</t>
        </is>
      </c>
      <c r="E13008" t="inlineStr">
        <is>
          <t>UMEÅ</t>
        </is>
      </c>
      <c r="G13008" t="n">
        <v>25.3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59998-2023</t>
        </is>
      </c>
      <c r="B13009" s="1" t="n">
        <v>45257</v>
      </c>
      <c r="C13009" s="1" t="n">
        <v>45357</v>
      </c>
      <c r="D13009" t="inlineStr">
        <is>
          <t>VÄSTERBOTTENS LÄN</t>
        </is>
      </c>
      <c r="E13009" t="inlineStr">
        <is>
          <t>ÅSELE</t>
        </is>
      </c>
      <c r="F13009" t="inlineStr">
        <is>
          <t>SCA</t>
        </is>
      </c>
      <c r="G13009" t="n">
        <v>32.5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60109-2023</t>
        </is>
      </c>
      <c r="B13010" s="1" t="n">
        <v>45257</v>
      </c>
      <c r="C13010" s="1" t="n">
        <v>45357</v>
      </c>
      <c r="D13010" t="inlineStr">
        <is>
          <t>VÄSTERBOTTENS LÄN</t>
        </is>
      </c>
      <c r="E13010" t="inlineStr">
        <is>
          <t>SKELLEFTEÅ</t>
        </is>
      </c>
      <c r="G13010" t="n">
        <v>7.2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60250-2023</t>
        </is>
      </c>
      <c r="B13011" s="1" t="n">
        <v>45257</v>
      </c>
      <c r="C13011" s="1" t="n">
        <v>45357</v>
      </c>
      <c r="D13011" t="inlineStr">
        <is>
          <t>VÄSTERBOTTENS LÄN</t>
        </is>
      </c>
      <c r="E13011" t="inlineStr">
        <is>
          <t>SORSELE</t>
        </is>
      </c>
      <c r="G13011" t="n">
        <v>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60245-2023</t>
        </is>
      </c>
      <c r="B13012" s="1" t="n">
        <v>45257</v>
      </c>
      <c r="C13012" s="1" t="n">
        <v>45357</v>
      </c>
      <c r="D13012" t="inlineStr">
        <is>
          <t>VÄSTERBOTTENS LÄN</t>
        </is>
      </c>
      <c r="E13012" t="inlineStr">
        <is>
          <t>SORSELE</t>
        </is>
      </c>
      <c r="G13012" t="n">
        <v>13.1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60348-2023</t>
        </is>
      </c>
      <c r="B13013" s="1" t="n">
        <v>45257</v>
      </c>
      <c r="C13013" s="1" t="n">
        <v>45357</v>
      </c>
      <c r="D13013" t="inlineStr">
        <is>
          <t>VÄSTERBOTTENS LÄN</t>
        </is>
      </c>
      <c r="E13013" t="inlineStr">
        <is>
          <t>ÅSELE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60061-2023</t>
        </is>
      </c>
      <c r="B13014" s="1" t="n">
        <v>45258</v>
      </c>
      <c r="C13014" s="1" t="n">
        <v>45357</v>
      </c>
      <c r="D13014" t="inlineStr">
        <is>
          <t>VÄSTERBOTTENS LÄN</t>
        </is>
      </c>
      <c r="E13014" t="inlineStr">
        <is>
          <t>LYCKSELE</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60320-2023</t>
        </is>
      </c>
      <c r="B13015" s="1" t="n">
        <v>45258</v>
      </c>
      <c r="C13015" s="1" t="n">
        <v>45357</v>
      </c>
      <c r="D13015" t="inlineStr">
        <is>
          <t>VÄSTERBOTTENS LÄN</t>
        </is>
      </c>
      <c r="E13015" t="inlineStr">
        <is>
          <t>STORUMAN</t>
        </is>
      </c>
      <c r="G13015" t="n">
        <v>18.2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60305-2023</t>
        </is>
      </c>
      <c r="B13016" s="1" t="n">
        <v>45258</v>
      </c>
      <c r="C13016" s="1" t="n">
        <v>45357</v>
      </c>
      <c r="D13016" t="inlineStr">
        <is>
          <t>VÄSTERBOTTENS LÄN</t>
        </is>
      </c>
      <c r="E13016" t="inlineStr">
        <is>
          <t>SKELLEFTEÅ</t>
        </is>
      </c>
      <c r="G13016" t="n">
        <v>9.699999999999999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60321-2023</t>
        </is>
      </c>
      <c r="B13017" s="1" t="n">
        <v>45258</v>
      </c>
      <c r="C13017" s="1" t="n">
        <v>45357</v>
      </c>
      <c r="D13017" t="inlineStr">
        <is>
          <t>VÄSTERBOTTENS LÄN</t>
        </is>
      </c>
      <c r="E13017" t="inlineStr">
        <is>
          <t>STORUMAN</t>
        </is>
      </c>
      <c r="G13017" t="n">
        <v>19.9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60323-2023</t>
        </is>
      </c>
      <c r="B13018" s="1" t="n">
        <v>45258</v>
      </c>
      <c r="C13018" s="1" t="n">
        <v>45357</v>
      </c>
      <c r="D13018" t="inlineStr">
        <is>
          <t>VÄSTERBOTTENS LÄN</t>
        </is>
      </c>
      <c r="E13018" t="inlineStr">
        <is>
          <t>SORSELE</t>
        </is>
      </c>
      <c r="G13018" t="n">
        <v>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60479-2023</t>
        </is>
      </c>
      <c r="B13019" s="1" t="n">
        <v>45258</v>
      </c>
      <c r="C13019" s="1" t="n">
        <v>45357</v>
      </c>
      <c r="D13019" t="inlineStr">
        <is>
          <t>VÄSTERBOTTENS LÄN</t>
        </is>
      </c>
      <c r="E13019" t="inlineStr">
        <is>
          <t>SKELLEFTEÅ</t>
        </is>
      </c>
      <c r="G13019" t="n">
        <v>21.5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60451-2023</t>
        </is>
      </c>
      <c r="B13020" s="1" t="n">
        <v>45258</v>
      </c>
      <c r="C13020" s="1" t="n">
        <v>45357</v>
      </c>
      <c r="D13020" t="inlineStr">
        <is>
          <t>VÄSTERBOTTENS LÄN</t>
        </is>
      </c>
      <c r="E13020" t="inlineStr">
        <is>
          <t>SKELLEFTEÅ</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60560-2023</t>
        </is>
      </c>
      <c r="B13021" s="1" t="n">
        <v>45259</v>
      </c>
      <c r="C13021" s="1" t="n">
        <v>45357</v>
      </c>
      <c r="D13021" t="inlineStr">
        <is>
          <t>VÄSTERBOTTENS LÄN</t>
        </is>
      </c>
      <c r="E13021" t="inlineStr">
        <is>
          <t>VÄNNÄS</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60572-2023</t>
        </is>
      </c>
      <c r="B13022" s="1" t="n">
        <v>45259</v>
      </c>
      <c r="C13022" s="1" t="n">
        <v>45357</v>
      </c>
      <c r="D13022" t="inlineStr">
        <is>
          <t>VÄSTERBOTTENS LÄN</t>
        </is>
      </c>
      <c r="E13022" t="inlineStr">
        <is>
          <t>MALÅ</t>
        </is>
      </c>
      <c r="F13022" t="inlineStr">
        <is>
          <t>Sveaskog</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60624-2023</t>
        </is>
      </c>
      <c r="B13023" s="1" t="n">
        <v>45259</v>
      </c>
      <c r="C13023" s="1" t="n">
        <v>45357</v>
      </c>
      <c r="D13023" t="inlineStr">
        <is>
          <t>VÄSTERBOTTENS LÄN</t>
        </is>
      </c>
      <c r="E13023" t="inlineStr">
        <is>
          <t>BJURHOLM</t>
        </is>
      </c>
      <c r="G13023" t="n">
        <v>5.8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60466-2023</t>
        </is>
      </c>
      <c r="B13024" s="1" t="n">
        <v>45259</v>
      </c>
      <c r="C13024" s="1" t="n">
        <v>45357</v>
      </c>
      <c r="D13024" t="inlineStr">
        <is>
          <t>VÄSTERBOTTENS LÄN</t>
        </is>
      </c>
      <c r="E13024" t="inlineStr">
        <is>
          <t>VÄNNÄS</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60499-2023</t>
        </is>
      </c>
      <c r="B13025" s="1" t="n">
        <v>45259</v>
      </c>
      <c r="C13025" s="1" t="n">
        <v>45357</v>
      </c>
      <c r="D13025" t="inlineStr">
        <is>
          <t>VÄSTERBOTTENS LÄN</t>
        </is>
      </c>
      <c r="E13025" t="inlineStr">
        <is>
          <t>BJURHOLM</t>
        </is>
      </c>
      <c r="G13025" t="n">
        <v>9.5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60782-2023</t>
        </is>
      </c>
      <c r="B13026" s="1" t="n">
        <v>45259</v>
      </c>
      <c r="C13026" s="1" t="n">
        <v>45357</v>
      </c>
      <c r="D13026" t="inlineStr">
        <is>
          <t>VÄSTERBOTTENS LÄN</t>
        </is>
      </c>
      <c r="E13026" t="inlineStr">
        <is>
          <t>VILHELMINA</t>
        </is>
      </c>
      <c r="G13026" t="n">
        <v>12.7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60659-2023</t>
        </is>
      </c>
      <c r="B13027" s="1" t="n">
        <v>45259</v>
      </c>
      <c r="C13027" s="1" t="n">
        <v>45357</v>
      </c>
      <c r="D13027" t="inlineStr">
        <is>
          <t>VÄSTERBOTTENS LÄN</t>
        </is>
      </c>
      <c r="E13027" t="inlineStr">
        <is>
          <t>BJURHOLM</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60569-2023</t>
        </is>
      </c>
      <c r="B13028" s="1" t="n">
        <v>45259</v>
      </c>
      <c r="C13028" s="1" t="n">
        <v>45357</v>
      </c>
      <c r="D13028" t="inlineStr">
        <is>
          <t>VÄSTERBOTTENS LÄN</t>
        </is>
      </c>
      <c r="E13028" t="inlineStr">
        <is>
          <t>SKELLEFTEÅ</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60557-2023</t>
        </is>
      </c>
      <c r="B13029" s="1" t="n">
        <v>45259</v>
      </c>
      <c r="C13029" s="1" t="n">
        <v>45357</v>
      </c>
      <c r="D13029" t="inlineStr">
        <is>
          <t>VÄSTERBOTTENS LÄN</t>
        </is>
      </c>
      <c r="E13029" t="inlineStr">
        <is>
          <t>VÄNNÄS</t>
        </is>
      </c>
      <c r="G13029" t="n">
        <v>3.9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60339-2023</t>
        </is>
      </c>
      <c r="B13030" s="1" t="n">
        <v>45259</v>
      </c>
      <c r="C13030" s="1" t="n">
        <v>45357</v>
      </c>
      <c r="D13030" t="inlineStr">
        <is>
          <t>VÄSTERBOTTENS LÄN</t>
        </is>
      </c>
      <c r="E13030" t="inlineStr">
        <is>
          <t>SKELLEFTEÅ</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60946-2023</t>
        </is>
      </c>
      <c r="B13031" s="1" t="n">
        <v>45259</v>
      </c>
      <c r="C13031" s="1" t="n">
        <v>45357</v>
      </c>
      <c r="D13031" t="inlineStr">
        <is>
          <t>VÄSTERBOTTENS LÄN</t>
        </is>
      </c>
      <c r="E13031" t="inlineStr">
        <is>
          <t>SORSELE</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61069-2023</t>
        </is>
      </c>
      <c r="B13032" s="1" t="n">
        <v>45259</v>
      </c>
      <c r="C13032" s="1" t="n">
        <v>45357</v>
      </c>
      <c r="D13032" t="inlineStr">
        <is>
          <t>VÄSTERBOTTENS LÄN</t>
        </is>
      </c>
      <c r="E13032" t="inlineStr">
        <is>
          <t>SKELLEFTEÅ</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61064-2023</t>
        </is>
      </c>
      <c r="B13033" s="1" t="n">
        <v>45259</v>
      </c>
      <c r="C13033" s="1" t="n">
        <v>45357</v>
      </c>
      <c r="D13033" t="inlineStr">
        <is>
          <t>VÄSTERBOTTENS LÄN</t>
        </is>
      </c>
      <c r="E13033" t="inlineStr">
        <is>
          <t>SKELLEFTEÅ</t>
        </is>
      </c>
      <c r="G13033" t="n">
        <v>5.8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61049-2023</t>
        </is>
      </c>
      <c r="B13034" s="1" t="n">
        <v>45259</v>
      </c>
      <c r="C13034" s="1" t="n">
        <v>45357</v>
      </c>
      <c r="D13034" t="inlineStr">
        <is>
          <t>VÄSTERBOTTENS LÄN</t>
        </is>
      </c>
      <c r="E13034" t="inlineStr">
        <is>
          <t>SKELLEFTEÅ</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60950-2023</t>
        </is>
      </c>
      <c r="B13035" s="1" t="n">
        <v>45259</v>
      </c>
      <c r="C13035" s="1" t="n">
        <v>45357</v>
      </c>
      <c r="D13035" t="inlineStr">
        <is>
          <t>VÄSTERBOTTENS LÄN</t>
        </is>
      </c>
      <c r="E13035" t="inlineStr">
        <is>
          <t>SORSELE</t>
        </is>
      </c>
      <c r="G13035" t="n">
        <v>44.2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60939-2023</t>
        </is>
      </c>
      <c r="B13036" s="1" t="n">
        <v>45259</v>
      </c>
      <c r="C13036" s="1" t="n">
        <v>45357</v>
      </c>
      <c r="D13036" t="inlineStr">
        <is>
          <t>VÄSTERBOTTENS LÄN</t>
        </is>
      </c>
      <c r="E13036" t="inlineStr">
        <is>
          <t>SORSELE</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60554-2023</t>
        </is>
      </c>
      <c r="B13037" s="1" t="n">
        <v>45259</v>
      </c>
      <c r="C13037" s="1" t="n">
        <v>45357</v>
      </c>
      <c r="D13037" t="inlineStr">
        <is>
          <t>VÄSTERBOTTENS LÄN</t>
        </is>
      </c>
      <c r="E13037" t="inlineStr">
        <is>
          <t>VÄNNÄS</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60845-2023</t>
        </is>
      </c>
      <c r="B13038" s="1" t="n">
        <v>45260</v>
      </c>
      <c r="C13038" s="1" t="n">
        <v>45357</v>
      </c>
      <c r="D13038" t="inlineStr">
        <is>
          <t>VÄSTERBOTTENS LÄN</t>
        </is>
      </c>
      <c r="E13038" t="inlineStr">
        <is>
          <t>NORSJÖ</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60841-2023</t>
        </is>
      </c>
      <c r="B13039" s="1" t="n">
        <v>45260</v>
      </c>
      <c r="C13039" s="1" t="n">
        <v>45357</v>
      </c>
      <c r="D13039" t="inlineStr">
        <is>
          <t>VÄSTERBOTTENS LÄN</t>
        </is>
      </c>
      <c r="E13039" t="inlineStr">
        <is>
          <t>VILHELMINA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60612-2023</t>
        </is>
      </c>
      <c r="B13040" s="1" t="n">
        <v>45260</v>
      </c>
      <c r="C13040" s="1" t="n">
        <v>45357</v>
      </c>
      <c r="D13040" t="inlineStr">
        <is>
          <t>VÄSTERBOTTENS LÄN</t>
        </is>
      </c>
      <c r="E13040" t="inlineStr">
        <is>
          <t>SKELLEFTEÅ</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60842-2023</t>
        </is>
      </c>
      <c r="B13041" s="1" t="n">
        <v>45260</v>
      </c>
      <c r="C13041" s="1" t="n">
        <v>45357</v>
      </c>
      <c r="D13041" t="inlineStr">
        <is>
          <t>VÄSTERBOTTENS LÄN</t>
        </is>
      </c>
      <c r="E13041" t="inlineStr">
        <is>
          <t>VILHELMINA</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60846-2023</t>
        </is>
      </c>
      <c r="B13042" s="1" t="n">
        <v>45260</v>
      </c>
      <c r="C13042" s="1" t="n">
        <v>45357</v>
      </c>
      <c r="D13042" t="inlineStr">
        <is>
          <t>VÄSTERBOTTENS LÄN</t>
        </is>
      </c>
      <c r="E13042" t="inlineStr">
        <is>
          <t>NORSJÖ</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60854-2023</t>
        </is>
      </c>
      <c r="B13043" s="1" t="n">
        <v>45260</v>
      </c>
      <c r="C13043" s="1" t="n">
        <v>45357</v>
      </c>
      <c r="D13043" t="inlineStr">
        <is>
          <t>VÄSTERBOTTENS LÄN</t>
        </is>
      </c>
      <c r="E13043" t="inlineStr">
        <is>
          <t>STORUMAN</t>
        </is>
      </c>
      <c r="G13043" t="n">
        <v>8.1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61275-2023</t>
        </is>
      </c>
      <c r="B13044" s="1" t="n">
        <v>45260</v>
      </c>
      <c r="C13044" s="1" t="n">
        <v>45357</v>
      </c>
      <c r="D13044" t="inlineStr">
        <is>
          <t>VÄSTERBOTTENS LÄN</t>
        </is>
      </c>
      <c r="E13044" t="inlineStr">
        <is>
          <t>UMEÅ</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61087-2023</t>
        </is>
      </c>
      <c r="B13045" s="1" t="n">
        <v>45260</v>
      </c>
      <c r="C13045" s="1" t="n">
        <v>45357</v>
      </c>
      <c r="D13045" t="inlineStr">
        <is>
          <t>VÄSTERBOTTENS LÄN</t>
        </is>
      </c>
      <c r="E13045" t="inlineStr">
        <is>
          <t>SKELLEFTEÅ</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60862-2023</t>
        </is>
      </c>
      <c r="B13046" s="1" t="n">
        <v>45261</v>
      </c>
      <c r="C13046" s="1" t="n">
        <v>45357</v>
      </c>
      <c r="D13046" t="inlineStr">
        <is>
          <t>VÄSTERBOTTENS LÄN</t>
        </is>
      </c>
      <c r="E13046" t="inlineStr">
        <is>
          <t>BJURHOLM</t>
        </is>
      </c>
      <c r="F13046" t="inlineStr">
        <is>
          <t>SCA</t>
        </is>
      </c>
      <c r="G13046" t="n">
        <v>4.9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60645-2023</t>
        </is>
      </c>
      <c r="B13047" s="1" t="n">
        <v>45260</v>
      </c>
      <c r="C13047" s="1" t="n">
        <v>45357</v>
      </c>
      <c r="D13047" t="inlineStr">
        <is>
          <t>VÄSTERBOTTENS LÄN</t>
        </is>
      </c>
      <c r="E13047" t="inlineStr">
        <is>
          <t>UMEÅ</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61204-2023</t>
        </is>
      </c>
      <c r="B13048" s="1" t="n">
        <v>45260</v>
      </c>
      <c r="C13048" s="1" t="n">
        <v>45357</v>
      </c>
      <c r="D13048" t="inlineStr">
        <is>
          <t>VÄSTERBOTTENS LÄN</t>
        </is>
      </c>
      <c r="E13048" t="inlineStr">
        <is>
          <t>UMEÅ</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60606-2023</t>
        </is>
      </c>
      <c r="B13049" s="1" t="n">
        <v>45260</v>
      </c>
      <c r="C13049" s="1" t="n">
        <v>45357</v>
      </c>
      <c r="D13049" t="inlineStr">
        <is>
          <t>VÄSTERBOTTENS LÄN</t>
        </is>
      </c>
      <c r="E13049" t="inlineStr">
        <is>
          <t>BJURHOLM</t>
        </is>
      </c>
      <c r="G13049" t="n">
        <v>7.5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60614-2023</t>
        </is>
      </c>
      <c r="B13050" s="1" t="n">
        <v>45260</v>
      </c>
      <c r="C13050" s="1" t="n">
        <v>45357</v>
      </c>
      <c r="D13050" t="inlineStr">
        <is>
          <t>VÄSTERBOTTENS LÄN</t>
        </is>
      </c>
      <c r="E13050" t="inlineStr">
        <is>
          <t>SKELLEFTEÅ</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61200-2023</t>
        </is>
      </c>
      <c r="B13051" s="1" t="n">
        <v>45260</v>
      </c>
      <c r="C13051" s="1" t="n">
        <v>45357</v>
      </c>
      <c r="D13051" t="inlineStr">
        <is>
          <t>VÄSTERBOTTENS LÄN</t>
        </is>
      </c>
      <c r="E13051" t="inlineStr">
        <is>
          <t>ÅSELE</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61280-2023</t>
        </is>
      </c>
      <c r="B13052" s="1" t="n">
        <v>45260</v>
      </c>
      <c r="C13052" s="1" t="n">
        <v>45357</v>
      </c>
      <c r="D13052" t="inlineStr">
        <is>
          <t>VÄSTERBOTTENS LÄN</t>
        </is>
      </c>
      <c r="E13052" t="inlineStr">
        <is>
          <t>UMEÅ</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60844-2023</t>
        </is>
      </c>
      <c r="B13053" s="1" t="n">
        <v>45260</v>
      </c>
      <c r="C13053" s="1" t="n">
        <v>45357</v>
      </c>
      <c r="D13053" t="inlineStr">
        <is>
          <t>VÄSTERBOTTENS LÄN</t>
        </is>
      </c>
      <c r="E13053" t="inlineStr">
        <is>
          <t>NORSJÖ</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60601-2023</t>
        </is>
      </c>
      <c r="B13054" s="1" t="n">
        <v>45260</v>
      </c>
      <c r="C13054" s="1" t="n">
        <v>45357</v>
      </c>
      <c r="D13054" t="inlineStr">
        <is>
          <t>VÄSTERBOTTENS LÄN</t>
        </is>
      </c>
      <c r="E13054" t="inlineStr">
        <is>
          <t>SKELLEFTEÅ</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60785-2023</t>
        </is>
      </c>
      <c r="B13055" s="1" t="n">
        <v>45260</v>
      </c>
      <c r="C13055" s="1" t="n">
        <v>45357</v>
      </c>
      <c r="D13055" t="inlineStr">
        <is>
          <t>VÄSTERBOTTENS LÄN</t>
        </is>
      </c>
      <c r="E13055" t="inlineStr">
        <is>
          <t>SKELLEFTEÅ</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60810-2023</t>
        </is>
      </c>
      <c r="B13056" s="1" t="n">
        <v>45260</v>
      </c>
      <c r="C13056" s="1" t="n">
        <v>45357</v>
      </c>
      <c r="D13056" t="inlineStr">
        <is>
          <t>VÄSTERBOTTENS LÄN</t>
        </is>
      </c>
      <c r="E13056" t="inlineStr">
        <is>
          <t>VINDELN</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60843-2023</t>
        </is>
      </c>
      <c r="B13057" s="1" t="n">
        <v>45260</v>
      </c>
      <c r="C13057" s="1" t="n">
        <v>45357</v>
      </c>
      <c r="D13057" t="inlineStr">
        <is>
          <t>VÄSTERBOTTENS LÄN</t>
        </is>
      </c>
      <c r="E13057" t="inlineStr">
        <is>
          <t>NORSJÖ</t>
        </is>
      </c>
      <c r="G13057" t="n">
        <v>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60855-2023</t>
        </is>
      </c>
      <c r="B13058" s="1" t="n">
        <v>45260</v>
      </c>
      <c r="C13058" s="1" t="n">
        <v>45357</v>
      </c>
      <c r="D13058" t="inlineStr">
        <is>
          <t>VÄSTERBOTTENS LÄN</t>
        </is>
      </c>
      <c r="E13058" t="inlineStr">
        <is>
          <t>STORUMAN</t>
        </is>
      </c>
      <c r="G13058" t="n">
        <v>6.5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60859-2023</t>
        </is>
      </c>
      <c r="B13059" s="1" t="n">
        <v>45260</v>
      </c>
      <c r="C13059" s="1" t="n">
        <v>45357</v>
      </c>
      <c r="D13059" t="inlineStr">
        <is>
          <t>VÄSTERBOTTENS LÄN</t>
        </is>
      </c>
      <c r="E13059" t="inlineStr">
        <is>
          <t>VINDELN</t>
        </is>
      </c>
      <c r="F13059" t="inlineStr">
        <is>
          <t>SCA</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60867-2023</t>
        </is>
      </c>
      <c r="B13060" s="1" t="n">
        <v>45260</v>
      </c>
      <c r="C13060" s="1" t="n">
        <v>45357</v>
      </c>
      <c r="D13060" t="inlineStr">
        <is>
          <t>VÄSTERBOTTENS LÄN</t>
        </is>
      </c>
      <c r="E13060" t="inlineStr">
        <is>
          <t>DOROTEA</t>
        </is>
      </c>
      <c r="F13060" t="inlineStr">
        <is>
          <t>SCA</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60871-2023</t>
        </is>
      </c>
      <c r="B13061" s="1" t="n">
        <v>45261</v>
      </c>
      <c r="C13061" s="1" t="n">
        <v>45357</v>
      </c>
      <c r="D13061" t="inlineStr">
        <is>
          <t>VÄSTERBOTTENS LÄN</t>
        </is>
      </c>
      <c r="E13061" t="inlineStr">
        <is>
          <t>VINDELN</t>
        </is>
      </c>
      <c r="F13061" t="inlineStr">
        <is>
          <t>SCA</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61089-2023</t>
        </is>
      </c>
      <c r="B13062" s="1" t="n">
        <v>45260</v>
      </c>
      <c r="C13062" s="1" t="n">
        <v>45357</v>
      </c>
      <c r="D13062" t="inlineStr">
        <is>
          <t>VÄSTERBOTTENS LÄN</t>
        </is>
      </c>
      <c r="E13062" t="inlineStr">
        <is>
          <t>SKELLEFTEÅ</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61033-2023</t>
        </is>
      </c>
      <c r="B13063" s="1" t="n">
        <v>45261</v>
      </c>
      <c r="C13063" s="1" t="n">
        <v>45357</v>
      </c>
      <c r="D13063" t="inlineStr">
        <is>
          <t>VÄSTERBOTTENS LÄN</t>
        </is>
      </c>
      <c r="E13063" t="inlineStr">
        <is>
          <t>SKELLEFTEÅ</t>
        </is>
      </c>
      <c r="F13063" t="inlineStr">
        <is>
          <t>Sveaskog</t>
        </is>
      </c>
      <c r="G13063" t="n">
        <v>16.4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61153-2023</t>
        </is>
      </c>
      <c r="B13064" s="1" t="n">
        <v>45261</v>
      </c>
      <c r="C13064" s="1" t="n">
        <v>45357</v>
      </c>
      <c r="D13064" t="inlineStr">
        <is>
          <t>VÄSTERBOTTENS LÄN</t>
        </is>
      </c>
      <c r="E13064" t="inlineStr">
        <is>
          <t>ROBERTSFORS</t>
        </is>
      </c>
      <c r="F13064" t="inlineStr">
        <is>
          <t>SCA</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61145-2023</t>
        </is>
      </c>
      <c r="B13065" s="1" t="n">
        <v>45262</v>
      </c>
      <c r="C13065" s="1" t="n">
        <v>45357</v>
      </c>
      <c r="D13065" t="inlineStr">
        <is>
          <t>VÄSTERBOTTENS LÄN</t>
        </is>
      </c>
      <c r="E13065" t="inlineStr">
        <is>
          <t>SKELLEFTEÅ</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61105-2023</t>
        </is>
      </c>
      <c r="B13066" s="1" t="n">
        <v>45261</v>
      </c>
      <c r="C13066" s="1" t="n">
        <v>45357</v>
      </c>
      <c r="D13066" t="inlineStr">
        <is>
          <t>VÄSTERBOTTENS LÄN</t>
        </is>
      </c>
      <c r="E13066" t="inlineStr">
        <is>
          <t>UMEÅ</t>
        </is>
      </c>
      <c r="G13066" t="n">
        <v>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61094-2023</t>
        </is>
      </c>
      <c r="B13067" s="1" t="n">
        <v>45261</v>
      </c>
      <c r="C13067" s="1" t="n">
        <v>45357</v>
      </c>
      <c r="D13067" t="inlineStr">
        <is>
          <t>VÄSTERBOTTENS LÄN</t>
        </is>
      </c>
      <c r="E13067" t="inlineStr">
        <is>
          <t>LYCKSELE</t>
        </is>
      </c>
      <c r="G13067" t="n">
        <v>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60896-2023</t>
        </is>
      </c>
      <c r="B13068" s="1" t="n">
        <v>45261</v>
      </c>
      <c r="C13068" s="1" t="n">
        <v>45357</v>
      </c>
      <c r="D13068" t="inlineStr">
        <is>
          <t>VÄSTERBOTTENS LÄN</t>
        </is>
      </c>
      <c r="E13068" t="inlineStr">
        <is>
          <t>SKELLEFTEÅ</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61146-2023</t>
        </is>
      </c>
      <c r="B13069" s="1" t="n">
        <v>45262</v>
      </c>
      <c r="C13069" s="1" t="n">
        <v>45357</v>
      </c>
      <c r="D13069" t="inlineStr">
        <is>
          <t>VÄSTERBOTTENS LÄN</t>
        </is>
      </c>
      <c r="E13069" t="inlineStr">
        <is>
          <t>SKELLEFTEÅ</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61150-2023</t>
        </is>
      </c>
      <c r="B13070" s="1" t="n">
        <v>45261</v>
      </c>
      <c r="C13070" s="1" t="n">
        <v>45357</v>
      </c>
      <c r="D13070" t="inlineStr">
        <is>
          <t>VÄSTERBOTTENS LÄN</t>
        </is>
      </c>
      <c r="E13070" t="inlineStr">
        <is>
          <t>ROBERTSFORS</t>
        </is>
      </c>
      <c r="F13070" t="inlineStr">
        <is>
          <t>SCA</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61151-2023</t>
        </is>
      </c>
      <c r="B13071" s="1" t="n">
        <v>45262</v>
      </c>
      <c r="C13071" s="1" t="n">
        <v>45357</v>
      </c>
      <c r="D13071" t="inlineStr">
        <is>
          <t>VÄSTERBOTTENS LÄN</t>
        </is>
      </c>
      <c r="E13071" t="inlineStr">
        <is>
          <t>VINDELN</t>
        </is>
      </c>
      <c r="F13071" t="inlineStr">
        <is>
          <t>SCA</t>
        </is>
      </c>
      <c r="G13071" t="n">
        <v>6.8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61147-2023</t>
        </is>
      </c>
      <c r="B13072" s="1" t="n">
        <v>45262</v>
      </c>
      <c r="C13072" s="1" t="n">
        <v>45357</v>
      </c>
      <c r="D13072" t="inlineStr">
        <is>
          <t>VÄSTERBOTTENS LÄN</t>
        </is>
      </c>
      <c r="E13072" t="inlineStr">
        <is>
          <t>SKELLEFTEÅ</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61129-2023</t>
        </is>
      </c>
      <c r="B13073" s="1" t="n">
        <v>45261</v>
      </c>
      <c r="C13073" s="1" t="n">
        <v>45357</v>
      </c>
      <c r="D13073" t="inlineStr">
        <is>
          <t>VÄSTERBOTTENS LÄN</t>
        </is>
      </c>
      <c r="E13073" t="inlineStr">
        <is>
          <t>MALÅ</t>
        </is>
      </c>
      <c r="G13073" t="n">
        <v>11.8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61101-2023</t>
        </is>
      </c>
      <c r="B13074" s="1" t="n">
        <v>45261</v>
      </c>
      <c r="C13074" s="1" t="n">
        <v>45357</v>
      </c>
      <c r="D13074" t="inlineStr">
        <is>
          <t>VÄSTERBOTTENS LÄN</t>
        </is>
      </c>
      <c r="E13074" t="inlineStr">
        <is>
          <t>UMEÅ</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60898-2023</t>
        </is>
      </c>
      <c r="B13075" s="1" t="n">
        <v>45261</v>
      </c>
      <c r="C13075" s="1" t="n">
        <v>45357</v>
      </c>
      <c r="D13075" t="inlineStr">
        <is>
          <t>VÄSTERBOTTENS LÄN</t>
        </is>
      </c>
      <c r="E13075" t="inlineStr">
        <is>
          <t>SKELLEFTEÅ</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61568-2023</t>
        </is>
      </c>
      <c r="B13076" s="1" t="n">
        <v>45261</v>
      </c>
      <c r="C13076" s="1" t="n">
        <v>45357</v>
      </c>
      <c r="D13076" t="inlineStr">
        <is>
          <t>VÄSTERBOTTENS LÄN</t>
        </is>
      </c>
      <c r="E13076" t="inlineStr">
        <is>
          <t>ÅSELE</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60760-2023</t>
        </is>
      </c>
      <c r="B13077" s="1" t="n">
        <v>45261</v>
      </c>
      <c r="C13077" s="1" t="n">
        <v>45357</v>
      </c>
      <c r="D13077" t="inlineStr">
        <is>
          <t>VÄSTERBOTTENS LÄN</t>
        </is>
      </c>
      <c r="E13077" t="inlineStr">
        <is>
          <t>MALÅ</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61616-2023</t>
        </is>
      </c>
      <c r="B13078" s="1" t="n">
        <v>45261</v>
      </c>
      <c r="C13078" s="1" t="n">
        <v>45357</v>
      </c>
      <c r="D13078" t="inlineStr">
        <is>
          <t>VÄSTERBOTTENS LÄN</t>
        </is>
      </c>
      <c r="E13078" t="inlineStr">
        <is>
          <t>NORDMALING</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61563-2023</t>
        </is>
      </c>
      <c r="B13079" s="1" t="n">
        <v>45261</v>
      </c>
      <c r="C13079" s="1" t="n">
        <v>45357</v>
      </c>
      <c r="D13079" t="inlineStr">
        <is>
          <t>VÄSTERBOTTENS LÄN</t>
        </is>
      </c>
      <c r="E13079" t="inlineStr">
        <is>
          <t>UMEÅ</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61553-2023</t>
        </is>
      </c>
      <c r="B13080" s="1" t="n">
        <v>45261</v>
      </c>
      <c r="C13080" s="1" t="n">
        <v>45357</v>
      </c>
      <c r="D13080" t="inlineStr">
        <is>
          <t>VÄSTERBOTTENS LÄN</t>
        </is>
      </c>
      <c r="E13080" t="inlineStr">
        <is>
          <t>ROBERTSFORS</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61152-2023</t>
        </is>
      </c>
      <c r="B13081" s="1" t="n">
        <v>45261</v>
      </c>
      <c r="C13081" s="1" t="n">
        <v>45357</v>
      </c>
      <c r="D13081" t="inlineStr">
        <is>
          <t>VÄSTERBOTTENS LÄN</t>
        </is>
      </c>
      <c r="E13081" t="inlineStr">
        <is>
          <t>VINDELN</t>
        </is>
      </c>
      <c r="F13081" t="inlineStr">
        <is>
          <t>SCA</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61148-2023</t>
        </is>
      </c>
      <c r="B13082" s="1" t="n">
        <v>45261</v>
      </c>
      <c r="C13082" s="1" t="n">
        <v>45357</v>
      </c>
      <c r="D13082" t="inlineStr">
        <is>
          <t>VÄSTERBOTTENS LÄN</t>
        </is>
      </c>
      <c r="E13082" t="inlineStr">
        <is>
          <t>DOROTEA</t>
        </is>
      </c>
      <c r="F13082" t="inlineStr">
        <is>
          <t>SCA</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61130-2023</t>
        </is>
      </c>
      <c r="B13083" s="1" t="n">
        <v>45261</v>
      </c>
      <c r="C13083" s="1" t="n">
        <v>45357</v>
      </c>
      <c r="D13083" t="inlineStr">
        <is>
          <t>VÄSTERBOTTENS LÄN</t>
        </is>
      </c>
      <c r="E13083" t="inlineStr">
        <is>
          <t>SKELLEFTEÅ</t>
        </is>
      </c>
      <c r="G13083" t="n">
        <v>6.9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60959-2023</t>
        </is>
      </c>
      <c r="B13084" s="1" t="n">
        <v>45261</v>
      </c>
      <c r="C13084" s="1" t="n">
        <v>45357</v>
      </c>
      <c r="D13084" t="inlineStr">
        <is>
          <t>VÄSTERBOTTENS LÄN</t>
        </is>
      </c>
      <c r="E13084" t="inlineStr">
        <is>
          <t>UMEÅ</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61188-2023</t>
        </is>
      </c>
      <c r="B13085" s="1" t="n">
        <v>45264</v>
      </c>
      <c r="C13085" s="1" t="n">
        <v>45357</v>
      </c>
      <c r="D13085" t="inlineStr">
        <is>
          <t>VÄSTERBOTTENS LÄN</t>
        </is>
      </c>
      <c r="E13085" t="inlineStr">
        <is>
          <t>SKELLEFTEÅ</t>
        </is>
      </c>
      <c r="F13085" t="inlineStr">
        <is>
          <t>Sveaskog</t>
        </is>
      </c>
      <c r="G13085" t="n">
        <v>7.3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61242-2023</t>
        </is>
      </c>
      <c r="B13086" s="1" t="n">
        <v>45264</v>
      </c>
      <c r="C13086" s="1" t="n">
        <v>45357</v>
      </c>
      <c r="D13086" t="inlineStr">
        <is>
          <t>VÄSTERBOTTENS LÄN</t>
        </is>
      </c>
      <c r="E13086" t="inlineStr">
        <is>
          <t>SKELLEFTEÅ</t>
        </is>
      </c>
      <c r="F13086" t="inlineStr">
        <is>
          <t>Holmen skog AB</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61283-2023</t>
        </is>
      </c>
      <c r="B13087" s="1" t="n">
        <v>45264</v>
      </c>
      <c r="C13087" s="1" t="n">
        <v>45357</v>
      </c>
      <c r="D13087" t="inlineStr">
        <is>
          <t>VÄSTERBOTTENS LÄN</t>
        </is>
      </c>
      <c r="E13087" t="inlineStr">
        <is>
          <t>NORDMALING</t>
        </is>
      </c>
      <c r="F13087" t="inlineStr">
        <is>
          <t>Sveaskog</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61186-2023</t>
        </is>
      </c>
      <c r="B13088" s="1" t="n">
        <v>45264</v>
      </c>
      <c r="C13088" s="1" t="n">
        <v>45357</v>
      </c>
      <c r="D13088" t="inlineStr">
        <is>
          <t>VÄSTERBOTTENS LÄN</t>
        </is>
      </c>
      <c r="E13088" t="inlineStr">
        <is>
          <t>SKELLEFTEÅ</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61457-2023</t>
        </is>
      </c>
      <c r="B13089" s="1" t="n">
        <v>45264</v>
      </c>
      <c r="C13089" s="1" t="n">
        <v>45357</v>
      </c>
      <c r="D13089" t="inlineStr">
        <is>
          <t>VÄSTERBOTTENS LÄN</t>
        </is>
      </c>
      <c r="E13089" t="inlineStr">
        <is>
          <t>SKELLEFTEÅ</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61292-2023</t>
        </is>
      </c>
      <c r="B13090" s="1" t="n">
        <v>45264</v>
      </c>
      <c r="C13090" s="1" t="n">
        <v>45357</v>
      </c>
      <c r="D13090" t="inlineStr">
        <is>
          <t>VÄSTERBOTTENS LÄN</t>
        </is>
      </c>
      <c r="E13090" t="inlineStr">
        <is>
          <t>SKELLEFTEÅ</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61496-2023</t>
        </is>
      </c>
      <c r="B13091" s="1" t="n">
        <v>45264</v>
      </c>
      <c r="C13091" s="1" t="n">
        <v>45357</v>
      </c>
      <c r="D13091" t="inlineStr">
        <is>
          <t>VÄSTERBOTTENS LÄN</t>
        </is>
      </c>
      <c r="E13091" t="inlineStr">
        <is>
          <t>LYCKSELE</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61723-2023</t>
        </is>
      </c>
      <c r="B13092" s="1" t="n">
        <v>45264</v>
      </c>
      <c r="C13092" s="1" t="n">
        <v>45357</v>
      </c>
      <c r="D13092" t="inlineStr">
        <is>
          <t>VÄSTERBOTTENS LÄN</t>
        </is>
      </c>
      <c r="E13092" t="inlineStr">
        <is>
          <t>SKELLEFTEÅ</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61703-2023</t>
        </is>
      </c>
      <c r="B13093" s="1" t="n">
        <v>45264</v>
      </c>
      <c r="C13093" s="1" t="n">
        <v>45357</v>
      </c>
      <c r="D13093" t="inlineStr">
        <is>
          <t>VÄSTERBOTTENS LÄN</t>
        </is>
      </c>
      <c r="E13093" t="inlineStr">
        <is>
          <t>UMEÅ</t>
        </is>
      </c>
      <c r="G13093" t="n">
        <v>7.3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61730-2023</t>
        </is>
      </c>
      <c r="B13094" s="1" t="n">
        <v>45264</v>
      </c>
      <c r="C13094" s="1" t="n">
        <v>45357</v>
      </c>
      <c r="D13094" t="inlineStr">
        <is>
          <t>VÄSTERBOTTENS LÄN</t>
        </is>
      </c>
      <c r="E13094" t="inlineStr">
        <is>
          <t>SKELLEFTEÅ</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61749-2023</t>
        </is>
      </c>
      <c r="B13095" s="1" t="n">
        <v>45264</v>
      </c>
      <c r="C13095" s="1" t="n">
        <v>45357</v>
      </c>
      <c r="D13095" t="inlineStr">
        <is>
          <t>VÄSTERBOTTENS LÄN</t>
        </is>
      </c>
      <c r="E13095" t="inlineStr">
        <is>
          <t>UMEÅ</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61733-2023</t>
        </is>
      </c>
      <c r="B13096" s="1" t="n">
        <v>45264</v>
      </c>
      <c r="C13096" s="1" t="n">
        <v>45357</v>
      </c>
      <c r="D13096" t="inlineStr">
        <is>
          <t>VÄSTERBOTTENS LÄN</t>
        </is>
      </c>
      <c r="E13096" t="inlineStr">
        <is>
          <t>SKELLEFTEÅ</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61808-2023</t>
        </is>
      </c>
      <c r="B13097" s="1" t="n">
        <v>45264</v>
      </c>
      <c r="C13097" s="1" t="n">
        <v>45357</v>
      </c>
      <c r="D13097" t="inlineStr">
        <is>
          <t>VÄSTERBOTTENS LÄN</t>
        </is>
      </c>
      <c r="E13097" t="inlineStr">
        <is>
          <t>SKELLEFTEÅ</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61495-2023</t>
        </is>
      </c>
      <c r="B13098" s="1" t="n">
        <v>45264</v>
      </c>
      <c r="C13098" s="1" t="n">
        <v>45357</v>
      </c>
      <c r="D13098" t="inlineStr">
        <is>
          <t>VÄSTERBOTTENS LÄN</t>
        </is>
      </c>
      <c r="E13098" t="inlineStr">
        <is>
          <t>LYCKSELE</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61745-2023</t>
        </is>
      </c>
      <c r="B13099" s="1" t="n">
        <v>45264</v>
      </c>
      <c r="C13099" s="1" t="n">
        <v>45357</v>
      </c>
      <c r="D13099" t="inlineStr">
        <is>
          <t>VÄSTERBOTTENS LÄN</t>
        </is>
      </c>
      <c r="E13099" t="inlineStr">
        <is>
          <t>NORDMALING</t>
        </is>
      </c>
      <c r="G13099" t="n">
        <v>4.4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61693-2023</t>
        </is>
      </c>
      <c r="B13100" s="1" t="n">
        <v>45265</v>
      </c>
      <c r="C13100" s="1" t="n">
        <v>45357</v>
      </c>
      <c r="D13100" t="inlineStr">
        <is>
          <t>VÄSTERBOTTENS LÄN</t>
        </is>
      </c>
      <c r="E13100" t="inlineStr">
        <is>
          <t>LYCKSELE</t>
        </is>
      </c>
      <c r="G13100" t="n">
        <v>13.4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61688-2023</t>
        </is>
      </c>
      <c r="B13101" s="1" t="n">
        <v>45265</v>
      </c>
      <c r="C13101" s="1" t="n">
        <v>45357</v>
      </c>
      <c r="D13101" t="inlineStr">
        <is>
          <t>VÄSTERBOTTENS LÄN</t>
        </is>
      </c>
      <c r="E13101" t="inlineStr">
        <is>
          <t>LYCKSELE</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61699-2023</t>
        </is>
      </c>
      <c r="B13102" s="1" t="n">
        <v>45265</v>
      </c>
      <c r="C13102" s="1" t="n">
        <v>45357</v>
      </c>
      <c r="D13102" t="inlineStr">
        <is>
          <t>VÄSTERBOTTENS LÄN</t>
        </is>
      </c>
      <c r="E13102" t="inlineStr">
        <is>
          <t>LYCKSELE</t>
        </is>
      </c>
      <c r="G13102" t="n">
        <v>28.4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61780-2023</t>
        </is>
      </c>
      <c r="B13103" s="1" t="n">
        <v>45265</v>
      </c>
      <c r="C13103" s="1" t="n">
        <v>45357</v>
      </c>
      <c r="D13103" t="inlineStr">
        <is>
          <t>VÄSTERBOTTENS LÄN</t>
        </is>
      </c>
      <c r="E13103" t="inlineStr">
        <is>
          <t>VILHELMINA</t>
        </is>
      </c>
      <c r="F13103" t="inlineStr">
        <is>
          <t>SCA</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61792-2023</t>
        </is>
      </c>
      <c r="B13104" s="1" t="n">
        <v>45265</v>
      </c>
      <c r="C13104" s="1" t="n">
        <v>45357</v>
      </c>
      <c r="D13104" t="inlineStr">
        <is>
          <t>VÄSTERBOTTENS LÄN</t>
        </is>
      </c>
      <c r="E13104" t="inlineStr">
        <is>
          <t>NORDMALING</t>
        </is>
      </c>
      <c r="F13104" t="inlineStr">
        <is>
          <t>SCA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61800-2023</t>
        </is>
      </c>
      <c r="B13105" s="1" t="n">
        <v>45266</v>
      </c>
      <c r="C13105" s="1" t="n">
        <v>45357</v>
      </c>
      <c r="D13105" t="inlineStr">
        <is>
          <t>VÄSTERBOTTENS LÄN</t>
        </is>
      </c>
      <c r="E13105" t="inlineStr">
        <is>
          <t>ÅSELE</t>
        </is>
      </c>
      <c r="F13105" t="inlineStr">
        <is>
          <t>SCA</t>
        </is>
      </c>
      <c r="G13105" t="n">
        <v>3.8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62024-2023</t>
        </is>
      </c>
      <c r="B13106" s="1" t="n">
        <v>45265</v>
      </c>
      <c r="C13106" s="1" t="n">
        <v>45357</v>
      </c>
      <c r="D13106" t="inlineStr">
        <is>
          <t>VÄSTERBOTTENS LÄN</t>
        </is>
      </c>
      <c r="E13106" t="inlineStr">
        <is>
          <t>DOROTEA</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61778-2023</t>
        </is>
      </c>
      <c r="B13107" s="1" t="n">
        <v>45265</v>
      </c>
      <c r="C13107" s="1" t="n">
        <v>45357</v>
      </c>
      <c r="D13107" t="inlineStr">
        <is>
          <t>VÄSTERBOTTENS LÄN</t>
        </is>
      </c>
      <c r="E13107" t="inlineStr">
        <is>
          <t>VILHELMINA</t>
        </is>
      </c>
      <c r="F13107" t="inlineStr">
        <is>
          <t>SCA</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61798-2023</t>
        </is>
      </c>
      <c r="B13108" s="1" t="n">
        <v>45266</v>
      </c>
      <c r="C13108" s="1" t="n">
        <v>45357</v>
      </c>
      <c r="D13108" t="inlineStr">
        <is>
          <t>VÄSTERBOTTENS LÄN</t>
        </is>
      </c>
      <c r="E13108" t="inlineStr">
        <is>
          <t>LYCKSELE</t>
        </is>
      </c>
      <c r="F13108" t="inlineStr">
        <is>
          <t>SCA</t>
        </is>
      </c>
      <c r="G13108" t="n">
        <v>13.2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61927-2023</t>
        </is>
      </c>
      <c r="B13109" s="1" t="n">
        <v>45265</v>
      </c>
      <c r="C13109" s="1" t="n">
        <v>45357</v>
      </c>
      <c r="D13109" t="inlineStr">
        <is>
          <t>VÄSTERBOTTENS LÄN</t>
        </is>
      </c>
      <c r="E13109" t="inlineStr">
        <is>
          <t>SKELLEFTEÅ</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62015-2023</t>
        </is>
      </c>
      <c r="B13110" s="1" t="n">
        <v>45265</v>
      </c>
      <c r="C13110" s="1" t="n">
        <v>45357</v>
      </c>
      <c r="D13110" t="inlineStr">
        <is>
          <t>VÄSTERBOTTENS LÄN</t>
        </is>
      </c>
      <c r="E13110" t="inlineStr">
        <is>
          <t>VILHELMINA</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61779-2023</t>
        </is>
      </c>
      <c r="B13111" s="1" t="n">
        <v>45265</v>
      </c>
      <c r="C13111" s="1" t="n">
        <v>45357</v>
      </c>
      <c r="D13111" t="inlineStr">
        <is>
          <t>VÄSTERBOTTENS LÄN</t>
        </is>
      </c>
      <c r="E13111" t="inlineStr">
        <is>
          <t>VILHELMINA</t>
        </is>
      </c>
      <c r="F13111" t="inlineStr">
        <is>
          <t>SCA</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61795-2023</t>
        </is>
      </c>
      <c r="B13112" s="1" t="n">
        <v>45265</v>
      </c>
      <c r="C13112" s="1" t="n">
        <v>45357</v>
      </c>
      <c r="D13112" t="inlineStr">
        <is>
          <t>VÄSTERBOTTENS LÄN</t>
        </is>
      </c>
      <c r="E13112" t="inlineStr">
        <is>
          <t>NORDMALING</t>
        </is>
      </c>
      <c r="F13112" t="inlineStr">
        <is>
          <t>SCA</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61799-2023</t>
        </is>
      </c>
      <c r="B13113" s="1" t="n">
        <v>45266</v>
      </c>
      <c r="C13113" s="1" t="n">
        <v>45357</v>
      </c>
      <c r="D13113" t="inlineStr">
        <is>
          <t>VÄSTERBOTTENS LÄN</t>
        </is>
      </c>
      <c r="E13113" t="inlineStr">
        <is>
          <t>LYCKSELE</t>
        </is>
      </c>
      <c r="F13113" t="inlineStr">
        <is>
          <t>SCA</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61928-2023</t>
        </is>
      </c>
      <c r="B13114" s="1" t="n">
        <v>45265</v>
      </c>
      <c r="C13114" s="1" t="n">
        <v>45357</v>
      </c>
      <c r="D13114" t="inlineStr">
        <is>
          <t>VÄSTERBOTTENS LÄN</t>
        </is>
      </c>
      <c r="E13114" t="inlineStr">
        <is>
          <t>SKELLEFTEÅ</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62021-2023</t>
        </is>
      </c>
      <c r="B13115" s="1" t="n">
        <v>45265</v>
      </c>
      <c r="C13115" s="1" t="n">
        <v>45357</v>
      </c>
      <c r="D13115" t="inlineStr">
        <is>
          <t>VÄSTERBOTTENS LÄN</t>
        </is>
      </c>
      <c r="E13115" t="inlineStr">
        <is>
          <t>VILHELMINA</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61773-2023</t>
        </is>
      </c>
      <c r="B13116" s="1" t="n">
        <v>45265</v>
      </c>
      <c r="C13116" s="1" t="n">
        <v>45357</v>
      </c>
      <c r="D13116" t="inlineStr">
        <is>
          <t>VÄSTERBOTTENS LÄN</t>
        </is>
      </c>
      <c r="E13116" t="inlineStr">
        <is>
          <t>MALÅ</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61777-2023</t>
        </is>
      </c>
      <c r="B13117" s="1" t="n">
        <v>45265</v>
      </c>
      <c r="C13117" s="1" t="n">
        <v>45357</v>
      </c>
      <c r="D13117" t="inlineStr">
        <is>
          <t>VÄSTERBOTTENS LÄN</t>
        </is>
      </c>
      <c r="E13117" t="inlineStr">
        <is>
          <t>VILHELMINA</t>
        </is>
      </c>
      <c r="F13117" t="inlineStr">
        <is>
          <t>SCA</t>
        </is>
      </c>
      <c r="G13117" t="n">
        <v>20.6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61793-2023</t>
        </is>
      </c>
      <c r="B13118" s="1" t="n">
        <v>45265</v>
      </c>
      <c r="C13118" s="1" t="n">
        <v>45357</v>
      </c>
      <c r="D13118" t="inlineStr">
        <is>
          <t>VÄSTERBOTTENS LÄN</t>
        </is>
      </c>
      <c r="E13118" t="inlineStr">
        <is>
          <t>NORDMALING</t>
        </is>
      </c>
      <c r="F13118" t="inlineStr">
        <is>
          <t>SCA</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61801-2023</t>
        </is>
      </c>
      <c r="B13119" s="1" t="n">
        <v>45266</v>
      </c>
      <c r="C13119" s="1" t="n">
        <v>45357</v>
      </c>
      <c r="D13119" t="inlineStr">
        <is>
          <t>VÄSTERBOTTENS LÄN</t>
        </is>
      </c>
      <c r="E13119" t="inlineStr">
        <is>
          <t>ÅSELE</t>
        </is>
      </c>
      <c r="F13119" t="inlineStr">
        <is>
          <t>SCA</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61973-2023</t>
        </is>
      </c>
      <c r="B13120" s="1" t="n">
        <v>45265</v>
      </c>
      <c r="C13120" s="1" t="n">
        <v>45357</v>
      </c>
      <c r="D13120" t="inlineStr">
        <is>
          <t>VÄSTERBOTTENS LÄN</t>
        </is>
      </c>
      <c r="E13120" t="inlineStr">
        <is>
          <t>VILHELMINA</t>
        </is>
      </c>
      <c r="G13120" t="n">
        <v>24.9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61876-2023</t>
        </is>
      </c>
      <c r="B13121" s="1" t="n">
        <v>45266</v>
      </c>
      <c r="C13121" s="1" t="n">
        <v>45357</v>
      </c>
      <c r="D13121" t="inlineStr">
        <is>
          <t>VÄSTERBOTTENS LÄN</t>
        </is>
      </c>
      <c r="E13121" t="inlineStr">
        <is>
          <t>ÅSELE</t>
        </is>
      </c>
      <c r="F13121" t="inlineStr">
        <is>
          <t>Sveaskog</t>
        </is>
      </c>
      <c r="G13121" t="n">
        <v>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62094-2023</t>
        </is>
      </c>
      <c r="B13122" s="1" t="n">
        <v>45266</v>
      </c>
      <c r="C13122" s="1" t="n">
        <v>45357</v>
      </c>
      <c r="D13122" t="inlineStr">
        <is>
          <t>VÄSTERBOTTENS LÄN</t>
        </is>
      </c>
      <c r="E13122" t="inlineStr">
        <is>
          <t>LYCKSELE</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61985-2023</t>
        </is>
      </c>
      <c r="B13123" s="1" t="n">
        <v>45266</v>
      </c>
      <c r="C13123" s="1" t="n">
        <v>45357</v>
      </c>
      <c r="D13123" t="inlineStr">
        <is>
          <t>VÄSTERBOTTENS LÄN</t>
        </is>
      </c>
      <c r="E13123" t="inlineStr">
        <is>
          <t>ÅSELE</t>
        </is>
      </c>
      <c r="F13123" t="inlineStr">
        <is>
          <t>Sveaskog</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62108-2023</t>
        </is>
      </c>
      <c r="B13124" s="1" t="n">
        <v>45266</v>
      </c>
      <c r="C13124" s="1" t="n">
        <v>45357</v>
      </c>
      <c r="D13124" t="inlineStr">
        <is>
          <t>VÄSTERBOTTENS LÄN</t>
        </is>
      </c>
      <c r="E13124" t="inlineStr">
        <is>
          <t>ÅSELE</t>
        </is>
      </c>
      <c r="F13124" t="inlineStr">
        <is>
          <t>SCA</t>
        </is>
      </c>
      <c r="G13124" t="n">
        <v>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62392-2023</t>
        </is>
      </c>
      <c r="B13125" s="1" t="n">
        <v>45266</v>
      </c>
      <c r="C13125" s="1" t="n">
        <v>45357</v>
      </c>
      <c r="D13125" t="inlineStr">
        <is>
          <t>VÄSTERBOTTENS LÄN</t>
        </is>
      </c>
      <c r="E13125" t="inlineStr">
        <is>
          <t>BJURHOLM</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61869-2023</t>
        </is>
      </c>
      <c r="B13126" s="1" t="n">
        <v>45266</v>
      </c>
      <c r="C13126" s="1" t="n">
        <v>45357</v>
      </c>
      <c r="D13126" t="inlineStr">
        <is>
          <t>VÄSTERBOTTENS LÄN</t>
        </is>
      </c>
      <c r="E13126" t="inlineStr">
        <is>
          <t>NORDMALING</t>
        </is>
      </c>
      <c r="G13126" t="n">
        <v>4.6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61874-2023</t>
        </is>
      </c>
      <c r="B13127" s="1" t="n">
        <v>45266</v>
      </c>
      <c r="C13127" s="1" t="n">
        <v>45357</v>
      </c>
      <c r="D13127" t="inlineStr">
        <is>
          <t>VÄSTERBOTTENS LÄN</t>
        </is>
      </c>
      <c r="E13127" t="inlineStr">
        <is>
          <t>ÅSELE</t>
        </is>
      </c>
      <c r="F13127" t="inlineStr">
        <is>
          <t>Sveaskog</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62047-2023</t>
        </is>
      </c>
      <c r="B13128" s="1" t="n">
        <v>45266</v>
      </c>
      <c r="C13128" s="1" t="n">
        <v>45357</v>
      </c>
      <c r="D13128" t="inlineStr">
        <is>
          <t>VÄSTERBOTTENS LÄN</t>
        </is>
      </c>
      <c r="E13128" t="inlineStr">
        <is>
          <t>VINDELN</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62109-2023</t>
        </is>
      </c>
      <c r="B13129" s="1" t="n">
        <v>45266</v>
      </c>
      <c r="C13129" s="1" t="n">
        <v>45357</v>
      </c>
      <c r="D13129" t="inlineStr">
        <is>
          <t>VÄSTERBOTTENS LÄN</t>
        </is>
      </c>
      <c r="E13129" t="inlineStr">
        <is>
          <t>ÅSELE</t>
        </is>
      </c>
      <c r="F13129" t="inlineStr">
        <is>
          <t>SCA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62300-2023</t>
        </is>
      </c>
      <c r="B13130" s="1" t="n">
        <v>45266</v>
      </c>
      <c r="C13130" s="1" t="n">
        <v>45357</v>
      </c>
      <c r="D13130" t="inlineStr">
        <is>
          <t>VÄSTERBOTTENS LÄN</t>
        </is>
      </c>
      <c r="E13130" t="inlineStr">
        <is>
          <t>SKELLEFTEÅ</t>
        </is>
      </c>
      <c r="G13130" t="n">
        <v>4.3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62249-2023</t>
        </is>
      </c>
      <c r="B13131" s="1" t="n">
        <v>45267</v>
      </c>
      <c r="C13131" s="1" t="n">
        <v>45357</v>
      </c>
      <c r="D13131" t="inlineStr">
        <is>
          <t>VÄSTERBOTTENS LÄN</t>
        </is>
      </c>
      <c r="E13131" t="inlineStr">
        <is>
          <t>MALÅ</t>
        </is>
      </c>
      <c r="F13131" t="inlineStr">
        <is>
          <t>Sveaskog</t>
        </is>
      </c>
      <c r="G13131" t="n">
        <v>9.199999999999999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62259-2023</t>
        </is>
      </c>
      <c r="B13132" s="1" t="n">
        <v>45267</v>
      </c>
      <c r="C13132" s="1" t="n">
        <v>45357</v>
      </c>
      <c r="D13132" t="inlineStr">
        <is>
          <t>VÄSTERBOTTENS LÄN</t>
        </is>
      </c>
      <c r="E13132" t="inlineStr">
        <is>
          <t>MALÅ</t>
        </is>
      </c>
      <c r="F13132" t="inlineStr">
        <is>
          <t>Sveaskog</t>
        </is>
      </c>
      <c r="G13132" t="n">
        <v>4.4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62284-2023</t>
        </is>
      </c>
      <c r="B13133" s="1" t="n">
        <v>45267</v>
      </c>
      <c r="C13133" s="1" t="n">
        <v>45357</v>
      </c>
      <c r="D13133" t="inlineStr">
        <is>
          <t>VÄSTERBOTTENS LÄN</t>
        </is>
      </c>
      <c r="E13133" t="inlineStr">
        <is>
          <t>MALÅ</t>
        </is>
      </c>
      <c r="F13133" t="inlineStr">
        <is>
          <t>Sveaskog</t>
        </is>
      </c>
      <c r="G13133" t="n">
        <v>6.6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62336-2023</t>
        </is>
      </c>
      <c r="B13134" s="1" t="n">
        <v>45267</v>
      </c>
      <c r="C13134" s="1" t="n">
        <v>45357</v>
      </c>
      <c r="D13134" t="inlineStr">
        <is>
          <t>VÄSTERBOTTENS LÄN</t>
        </is>
      </c>
      <c r="E13134" t="inlineStr">
        <is>
          <t>SKELLEFTEÅ</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62344-2023</t>
        </is>
      </c>
      <c r="B13135" s="1" t="n">
        <v>45267</v>
      </c>
      <c r="C13135" s="1" t="n">
        <v>45357</v>
      </c>
      <c r="D13135" t="inlineStr">
        <is>
          <t>VÄSTERBOTTENS LÄN</t>
        </is>
      </c>
      <c r="E13135" t="inlineStr">
        <is>
          <t>SKELLEFTEÅ</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62353-2023</t>
        </is>
      </c>
      <c r="B13136" s="1" t="n">
        <v>45267</v>
      </c>
      <c r="C13136" s="1" t="n">
        <v>45357</v>
      </c>
      <c r="D13136" t="inlineStr">
        <is>
          <t>VÄSTERBOTTENS LÄN</t>
        </is>
      </c>
      <c r="E13136" t="inlineStr">
        <is>
          <t>ÅSELE</t>
        </is>
      </c>
      <c r="F13136" t="inlineStr">
        <is>
          <t>SCA</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62347-2023</t>
        </is>
      </c>
      <c r="B13137" s="1" t="n">
        <v>45267</v>
      </c>
      <c r="C13137" s="1" t="n">
        <v>45357</v>
      </c>
      <c r="D13137" t="inlineStr">
        <is>
          <t>VÄSTERBOTTENS LÄN</t>
        </is>
      </c>
      <c r="E13137" t="inlineStr">
        <is>
          <t>SKELLEFTEÅ</t>
        </is>
      </c>
      <c r="G13137" t="n">
        <v>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62599-2023</t>
        </is>
      </c>
      <c r="B13138" s="1" t="n">
        <v>45267</v>
      </c>
      <c r="C13138" s="1" t="n">
        <v>45357</v>
      </c>
      <c r="D13138" t="inlineStr">
        <is>
          <t>VÄSTERBOTTENS LÄN</t>
        </is>
      </c>
      <c r="E13138" t="inlineStr">
        <is>
          <t>SKELLEFTEÅ</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62141-2023</t>
        </is>
      </c>
      <c r="B13139" s="1" t="n">
        <v>45267</v>
      </c>
      <c r="C13139" s="1" t="n">
        <v>45357</v>
      </c>
      <c r="D13139" t="inlineStr">
        <is>
          <t>VÄSTERBOTTENS LÄN</t>
        </is>
      </c>
      <c r="E13139" t="inlineStr">
        <is>
          <t>SKELLEFTEÅ</t>
        </is>
      </c>
      <c r="G13139" t="n">
        <v>12.7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62191-2023</t>
        </is>
      </c>
      <c r="B13140" s="1" t="n">
        <v>45267</v>
      </c>
      <c r="C13140" s="1" t="n">
        <v>45357</v>
      </c>
      <c r="D13140" t="inlineStr">
        <is>
          <t>VÄSTERBOTTENS LÄN</t>
        </is>
      </c>
      <c r="E13140" t="inlineStr">
        <is>
          <t>SKELLEFTEÅ</t>
        </is>
      </c>
      <c r="G13140" t="n">
        <v>14.5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62605-2023</t>
        </is>
      </c>
      <c r="B13141" s="1" t="n">
        <v>45267</v>
      </c>
      <c r="C13141" s="1" t="n">
        <v>45357</v>
      </c>
      <c r="D13141" t="inlineStr">
        <is>
          <t>VÄSTERBOTTENS LÄN</t>
        </is>
      </c>
      <c r="E13141" t="inlineStr">
        <is>
          <t>VINDELN</t>
        </is>
      </c>
      <c r="G13141" t="n">
        <v>7.4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62243-2023</t>
        </is>
      </c>
      <c r="B13142" s="1" t="n">
        <v>45267</v>
      </c>
      <c r="C13142" s="1" t="n">
        <v>45357</v>
      </c>
      <c r="D13142" t="inlineStr">
        <is>
          <t>VÄSTERBOTTENS LÄN</t>
        </is>
      </c>
      <c r="E13142" t="inlineStr">
        <is>
          <t>MALÅ</t>
        </is>
      </c>
      <c r="F13142" t="inlineStr">
        <is>
          <t>Sveaskog</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62257-2023</t>
        </is>
      </c>
      <c r="B13143" s="1" t="n">
        <v>45267</v>
      </c>
      <c r="C13143" s="1" t="n">
        <v>45357</v>
      </c>
      <c r="D13143" t="inlineStr">
        <is>
          <t>VÄSTERBOTTENS LÄN</t>
        </is>
      </c>
      <c r="E13143" t="inlineStr">
        <is>
          <t>MALÅ</t>
        </is>
      </c>
      <c r="F13143" t="inlineStr">
        <is>
          <t>Sveaskog</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62673-2023</t>
        </is>
      </c>
      <c r="B13144" s="1" t="n">
        <v>45267</v>
      </c>
      <c r="C13144" s="1" t="n">
        <v>45357</v>
      </c>
      <c r="D13144" t="inlineStr">
        <is>
          <t>VÄSTERBOTTENS LÄN</t>
        </is>
      </c>
      <c r="E13144" t="inlineStr">
        <is>
          <t>VILHELMINA</t>
        </is>
      </c>
      <c r="F13144" t="inlineStr">
        <is>
          <t>Allmännings- och besparingsskogar</t>
        </is>
      </c>
      <c r="G13144" t="n">
        <v>19.8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62341-2023</t>
        </is>
      </c>
      <c r="B13145" s="1" t="n">
        <v>45267</v>
      </c>
      <c r="C13145" s="1" t="n">
        <v>45357</v>
      </c>
      <c r="D13145" t="inlineStr">
        <is>
          <t>VÄSTERBOTTENS LÄN</t>
        </is>
      </c>
      <c r="E13145" t="inlineStr">
        <is>
          <t>VINDELN</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62345-2023</t>
        </is>
      </c>
      <c r="B13146" s="1" t="n">
        <v>45267</v>
      </c>
      <c r="C13146" s="1" t="n">
        <v>45357</v>
      </c>
      <c r="D13146" t="inlineStr">
        <is>
          <t>VÄSTERBOTTENS LÄN</t>
        </is>
      </c>
      <c r="E13146" t="inlineStr">
        <is>
          <t>SKELLEFTEÅ</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62538-2023</t>
        </is>
      </c>
      <c r="B13147" s="1" t="n">
        <v>45267</v>
      </c>
      <c r="C13147" s="1" t="n">
        <v>45357</v>
      </c>
      <c r="D13147" t="inlineStr">
        <is>
          <t>VÄSTERBOTTENS LÄN</t>
        </is>
      </c>
      <c r="E13147" t="inlineStr">
        <is>
          <t>UMEÅ</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62601-2023</t>
        </is>
      </c>
      <c r="B13148" s="1" t="n">
        <v>45267</v>
      </c>
      <c r="C13148" s="1" t="n">
        <v>45357</v>
      </c>
      <c r="D13148" t="inlineStr">
        <is>
          <t>VÄSTERBOTTENS LÄN</t>
        </is>
      </c>
      <c r="E13148" t="inlineStr">
        <is>
          <t>SKELLEFTEÅ</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62663-2023</t>
        </is>
      </c>
      <c r="B13149" s="1" t="n">
        <v>45267</v>
      </c>
      <c r="C13149" s="1" t="n">
        <v>45357</v>
      </c>
      <c r="D13149" t="inlineStr">
        <is>
          <t>VÄSTERBOTTENS LÄN</t>
        </is>
      </c>
      <c r="E13149" t="inlineStr">
        <is>
          <t>VILHELMINA</t>
        </is>
      </c>
      <c r="F13149" t="inlineStr">
        <is>
          <t>Allmännings- och besparingsskogar</t>
        </is>
      </c>
      <c r="G13149" t="n">
        <v>19.3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62508-2023</t>
        </is>
      </c>
      <c r="B13150" s="1" t="n">
        <v>45268</v>
      </c>
      <c r="C13150" s="1" t="n">
        <v>45357</v>
      </c>
      <c r="D13150" t="inlineStr">
        <is>
          <t>VÄSTERBOTTENS LÄN</t>
        </is>
      </c>
      <c r="E13150" t="inlineStr">
        <is>
          <t>LYCKSELE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62552-2023</t>
        </is>
      </c>
      <c r="B13151" s="1" t="n">
        <v>45268</v>
      </c>
      <c r="C13151" s="1" t="n">
        <v>45357</v>
      </c>
      <c r="D13151" t="inlineStr">
        <is>
          <t>VÄSTERBOTTENS LÄN</t>
        </is>
      </c>
      <c r="E13151" t="inlineStr">
        <is>
          <t>DOROTEA</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62547-2023</t>
        </is>
      </c>
      <c r="B13152" s="1" t="n">
        <v>45268</v>
      </c>
      <c r="C13152" s="1" t="n">
        <v>45357</v>
      </c>
      <c r="D13152" t="inlineStr">
        <is>
          <t>VÄSTERBOTTENS LÄN</t>
        </is>
      </c>
      <c r="E13152" t="inlineStr">
        <is>
          <t>SKELLEFTEÅ</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62506-2023</t>
        </is>
      </c>
      <c r="B13153" s="1" t="n">
        <v>45268</v>
      </c>
      <c r="C13153" s="1" t="n">
        <v>45357</v>
      </c>
      <c r="D13153" t="inlineStr">
        <is>
          <t>VÄSTERBOTTENS LÄN</t>
        </is>
      </c>
      <c r="E13153" t="inlineStr">
        <is>
          <t>ROBERTSFORS</t>
        </is>
      </c>
      <c r="G13153" t="n">
        <v>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62520-2023</t>
        </is>
      </c>
      <c r="B13154" s="1" t="n">
        <v>45268</v>
      </c>
      <c r="C13154" s="1" t="n">
        <v>45357</v>
      </c>
      <c r="D13154" t="inlineStr">
        <is>
          <t>VÄSTERBOTTENS LÄN</t>
        </is>
      </c>
      <c r="E13154" t="inlineStr">
        <is>
          <t>UMEÅ</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62504-2023</t>
        </is>
      </c>
      <c r="B13155" s="1" t="n">
        <v>45268</v>
      </c>
      <c r="C13155" s="1" t="n">
        <v>45357</v>
      </c>
      <c r="D13155" t="inlineStr">
        <is>
          <t>VÄSTERBOTTENS LÄN</t>
        </is>
      </c>
      <c r="E13155" t="inlineStr">
        <is>
          <t>SKELLEFTEÅ</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62553-2023</t>
        </is>
      </c>
      <c r="B13156" s="1" t="n">
        <v>45268</v>
      </c>
      <c r="C13156" s="1" t="n">
        <v>45357</v>
      </c>
      <c r="D13156" t="inlineStr">
        <is>
          <t>VÄSTERBOTTENS LÄN</t>
        </is>
      </c>
      <c r="E13156" t="inlineStr">
        <is>
          <t>DOROTEA</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62768-2023</t>
        </is>
      </c>
      <c r="B13157" s="1" t="n">
        <v>45268</v>
      </c>
      <c r="C13157" s="1" t="n">
        <v>45357</v>
      </c>
      <c r="D13157" t="inlineStr">
        <is>
          <t>VÄSTERBOTTENS LÄN</t>
        </is>
      </c>
      <c r="E13157" t="inlineStr">
        <is>
          <t>SORSELE</t>
        </is>
      </c>
      <c r="G13157" t="n">
        <v>9.699999999999999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62591-2023</t>
        </is>
      </c>
      <c r="B13158" s="1" t="n">
        <v>45270</v>
      </c>
      <c r="C13158" s="1" t="n">
        <v>45357</v>
      </c>
      <c r="D13158" t="inlineStr">
        <is>
          <t>VÄSTERBOTTENS LÄN</t>
        </is>
      </c>
      <c r="E13158" t="inlineStr">
        <is>
          <t>NORDMALING</t>
        </is>
      </c>
      <c r="G13158" t="n">
        <v>6.8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62600-2023</t>
        </is>
      </c>
      <c r="B13159" s="1" t="n">
        <v>45271</v>
      </c>
      <c r="C13159" s="1" t="n">
        <v>45357</v>
      </c>
      <c r="D13159" t="inlineStr">
        <is>
          <t>VÄSTERBOTTENS LÄN</t>
        </is>
      </c>
      <c r="E13159" t="inlineStr">
        <is>
          <t>NORSJÖ</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62624-2023</t>
        </is>
      </c>
      <c r="B13160" s="1" t="n">
        <v>45271</v>
      </c>
      <c r="C13160" s="1" t="n">
        <v>45357</v>
      </c>
      <c r="D13160" t="inlineStr">
        <is>
          <t>VÄSTERBOTTENS LÄN</t>
        </is>
      </c>
      <c r="E13160" t="inlineStr">
        <is>
          <t>STORUMAN</t>
        </is>
      </c>
      <c r="G13160" t="n">
        <v>7.7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62598-2023</t>
        </is>
      </c>
      <c r="B13161" s="1" t="n">
        <v>45271</v>
      </c>
      <c r="C13161" s="1" t="n">
        <v>45357</v>
      </c>
      <c r="D13161" t="inlineStr">
        <is>
          <t>VÄSTERBOTTENS LÄN</t>
        </is>
      </c>
      <c r="E13161" t="inlineStr">
        <is>
          <t>NORSJÖ</t>
        </is>
      </c>
      <c r="G13161" t="n">
        <v>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62708-2023</t>
        </is>
      </c>
      <c r="B13162" s="1" t="n">
        <v>45271</v>
      </c>
      <c r="C13162" s="1" t="n">
        <v>45357</v>
      </c>
      <c r="D13162" t="inlineStr">
        <is>
          <t>VÄSTERBOTTENS LÄN</t>
        </is>
      </c>
      <c r="E13162" t="inlineStr">
        <is>
          <t>SKELLEFTEÅ</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62726-2023</t>
        </is>
      </c>
      <c r="B13163" s="1" t="n">
        <v>45271</v>
      </c>
      <c r="C13163" s="1" t="n">
        <v>45357</v>
      </c>
      <c r="D13163" t="inlineStr">
        <is>
          <t>VÄSTERBOTTENS LÄN</t>
        </is>
      </c>
      <c r="E13163" t="inlineStr">
        <is>
          <t>UMEÅ</t>
        </is>
      </c>
      <c r="G13163" t="n">
        <v>5.1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62743-2023</t>
        </is>
      </c>
      <c r="B13164" s="1" t="n">
        <v>45271</v>
      </c>
      <c r="C13164" s="1" t="n">
        <v>45357</v>
      </c>
      <c r="D13164" t="inlineStr">
        <is>
          <t>VÄSTERBOTTENS LÄN</t>
        </is>
      </c>
      <c r="E13164" t="inlineStr">
        <is>
          <t>NORSJÖ</t>
        </is>
      </c>
      <c r="F13164" t="inlineStr">
        <is>
          <t>Holmen skog AB</t>
        </is>
      </c>
      <c r="G13164" t="n">
        <v>12.2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62700-2023</t>
        </is>
      </c>
      <c r="B13165" s="1" t="n">
        <v>45271</v>
      </c>
      <c r="C13165" s="1" t="n">
        <v>45357</v>
      </c>
      <c r="D13165" t="inlineStr">
        <is>
          <t>VÄSTERBOTTENS LÄN</t>
        </is>
      </c>
      <c r="E13165" t="inlineStr">
        <is>
          <t>MALÅ</t>
        </is>
      </c>
      <c r="F13165" t="inlineStr">
        <is>
          <t>Sveaskog</t>
        </is>
      </c>
      <c r="G13165" t="n">
        <v>11.5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62626-2023</t>
        </is>
      </c>
      <c r="B13166" s="1" t="n">
        <v>45271</v>
      </c>
      <c r="C13166" s="1" t="n">
        <v>45357</v>
      </c>
      <c r="D13166" t="inlineStr">
        <is>
          <t>VÄSTERBOTTENS LÄN</t>
        </is>
      </c>
      <c r="E13166" t="inlineStr">
        <is>
          <t>STORUMAN</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62715-2023</t>
        </is>
      </c>
      <c r="B13167" s="1" t="n">
        <v>45271</v>
      </c>
      <c r="C13167" s="1" t="n">
        <v>45357</v>
      </c>
      <c r="D13167" t="inlineStr">
        <is>
          <t>VÄSTERBOTTENS LÄN</t>
        </is>
      </c>
      <c r="E13167" t="inlineStr">
        <is>
          <t>STORUMAN</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62699-2023</t>
        </is>
      </c>
      <c r="B13168" s="1" t="n">
        <v>45271</v>
      </c>
      <c r="C13168" s="1" t="n">
        <v>45357</v>
      </c>
      <c r="D13168" t="inlineStr">
        <is>
          <t>VÄSTERBOTTENS LÄN</t>
        </is>
      </c>
      <c r="E13168" t="inlineStr">
        <is>
          <t>MALÅ</t>
        </is>
      </c>
      <c r="F13168" t="inlineStr">
        <is>
          <t>Sveaskog</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62721-2023</t>
        </is>
      </c>
      <c r="B13169" s="1" t="n">
        <v>45271</v>
      </c>
      <c r="C13169" s="1" t="n">
        <v>45357</v>
      </c>
      <c r="D13169" t="inlineStr">
        <is>
          <t>VÄSTERBOTTENS LÄN</t>
        </is>
      </c>
      <c r="E13169" t="inlineStr">
        <is>
          <t>UMEÅ</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62838-2023</t>
        </is>
      </c>
      <c r="B13170" s="1" t="n">
        <v>45271</v>
      </c>
      <c r="C13170" s="1" t="n">
        <v>45357</v>
      </c>
      <c r="D13170" t="inlineStr">
        <is>
          <t>VÄSTERBOTTENS LÄN</t>
        </is>
      </c>
      <c r="E13170" t="inlineStr">
        <is>
          <t>ÅSELE</t>
        </is>
      </c>
      <c r="F13170" t="inlineStr">
        <is>
          <t>SCA</t>
        </is>
      </c>
      <c r="G13170" t="n">
        <v>7.9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62877-2023</t>
        </is>
      </c>
      <c r="B13171" s="1" t="n">
        <v>45271</v>
      </c>
      <c r="C13171" s="1" t="n">
        <v>45357</v>
      </c>
      <c r="D13171" t="inlineStr">
        <is>
          <t>VÄSTERBOTTENS LÄN</t>
        </is>
      </c>
      <c r="E13171" t="inlineStr">
        <is>
          <t>LYCKSELE</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62915-2023</t>
        </is>
      </c>
      <c r="B13172" s="1" t="n">
        <v>45271</v>
      </c>
      <c r="C13172" s="1" t="n">
        <v>45357</v>
      </c>
      <c r="D13172" t="inlineStr">
        <is>
          <t>VÄSTERBOTTENS LÄN</t>
        </is>
      </c>
      <c r="E13172" t="inlineStr">
        <is>
          <t>MALÅ</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62937-2023</t>
        </is>
      </c>
      <c r="B13173" s="1" t="n">
        <v>45271</v>
      </c>
      <c r="C13173" s="1" t="n">
        <v>45357</v>
      </c>
      <c r="D13173" t="inlineStr">
        <is>
          <t>VÄSTERBOTTENS LÄN</t>
        </is>
      </c>
      <c r="E13173" t="inlineStr">
        <is>
          <t>ROBERTSFORS</t>
        </is>
      </c>
      <c r="G13173" t="n">
        <v>7.5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62874-2023</t>
        </is>
      </c>
      <c r="B13174" s="1" t="n">
        <v>45271</v>
      </c>
      <c r="C13174" s="1" t="n">
        <v>45357</v>
      </c>
      <c r="D13174" t="inlineStr">
        <is>
          <t>VÄSTERBOTTENS LÄN</t>
        </is>
      </c>
      <c r="E13174" t="inlineStr">
        <is>
          <t>LYCKSELE</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62885-2023</t>
        </is>
      </c>
      <c r="B13175" s="1" t="n">
        <v>45271</v>
      </c>
      <c r="C13175" s="1" t="n">
        <v>45357</v>
      </c>
      <c r="D13175" t="inlineStr">
        <is>
          <t>VÄSTERBOTTENS LÄN</t>
        </is>
      </c>
      <c r="E13175" t="inlineStr">
        <is>
          <t>SKELLEFTEÅ</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62901-2023</t>
        </is>
      </c>
      <c r="B13176" s="1" t="n">
        <v>45271</v>
      </c>
      <c r="C13176" s="1" t="n">
        <v>45357</v>
      </c>
      <c r="D13176" t="inlineStr">
        <is>
          <t>VÄSTERBOTTENS LÄN</t>
        </is>
      </c>
      <c r="E13176" t="inlineStr">
        <is>
          <t>VÄNNÄS</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62868-2023</t>
        </is>
      </c>
      <c r="B13177" s="1" t="n">
        <v>45271</v>
      </c>
      <c r="C13177" s="1" t="n">
        <v>45357</v>
      </c>
      <c r="D13177" t="inlineStr">
        <is>
          <t>VÄSTERBOTTENS LÄN</t>
        </is>
      </c>
      <c r="E13177" t="inlineStr">
        <is>
          <t>VINDELN</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62879-2023</t>
        </is>
      </c>
      <c r="B13178" s="1" t="n">
        <v>45271</v>
      </c>
      <c r="C13178" s="1" t="n">
        <v>45357</v>
      </c>
      <c r="D13178" t="inlineStr">
        <is>
          <t>VÄSTERBOTTENS LÄN</t>
        </is>
      </c>
      <c r="E13178" t="inlineStr">
        <is>
          <t>LYCKSELE</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62918-2023</t>
        </is>
      </c>
      <c r="B13179" s="1" t="n">
        <v>45271</v>
      </c>
      <c r="C13179" s="1" t="n">
        <v>45357</v>
      </c>
      <c r="D13179" t="inlineStr">
        <is>
          <t>VÄSTERBOTTENS LÄN</t>
        </is>
      </c>
      <c r="E13179" t="inlineStr">
        <is>
          <t>MALÅ</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62933-2023</t>
        </is>
      </c>
      <c r="B13180" s="1" t="n">
        <v>45271</v>
      </c>
      <c r="C13180" s="1" t="n">
        <v>45357</v>
      </c>
      <c r="D13180" t="inlineStr">
        <is>
          <t>VÄSTERBOTTENS LÄN</t>
        </is>
      </c>
      <c r="E13180" t="inlineStr">
        <is>
          <t>ROBERTSFORS</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62870-2023</t>
        </is>
      </c>
      <c r="B13181" s="1" t="n">
        <v>45271</v>
      </c>
      <c r="C13181" s="1" t="n">
        <v>45357</v>
      </c>
      <c r="D13181" t="inlineStr">
        <is>
          <t>VÄSTERBOTTENS LÄN</t>
        </is>
      </c>
      <c r="E13181" t="inlineStr">
        <is>
          <t>LYCKSELE</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62882-2023</t>
        </is>
      </c>
      <c r="B13182" s="1" t="n">
        <v>45271</v>
      </c>
      <c r="C13182" s="1" t="n">
        <v>45357</v>
      </c>
      <c r="D13182" t="inlineStr">
        <is>
          <t>VÄSTERBOTTENS LÄN</t>
        </is>
      </c>
      <c r="E13182" t="inlineStr">
        <is>
          <t>LYCKSELE</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62911-2023</t>
        </is>
      </c>
      <c r="B13183" s="1" t="n">
        <v>45271</v>
      </c>
      <c r="C13183" s="1" t="n">
        <v>45357</v>
      </c>
      <c r="D13183" t="inlineStr">
        <is>
          <t>VÄSTERBOTTENS LÄN</t>
        </is>
      </c>
      <c r="E13183" t="inlineStr">
        <is>
          <t>MALÅ</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62980-2023</t>
        </is>
      </c>
      <c r="B13184" s="1" t="n">
        <v>45272</v>
      </c>
      <c r="C13184" s="1" t="n">
        <v>45357</v>
      </c>
      <c r="D13184" t="inlineStr">
        <is>
          <t>VÄSTERBOTTENS LÄN</t>
        </is>
      </c>
      <c r="E13184" t="inlineStr">
        <is>
          <t>ROBERTSFORS</t>
        </is>
      </c>
      <c r="G13184" t="n">
        <v>6.2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62984-2023</t>
        </is>
      </c>
      <c r="B13185" s="1" t="n">
        <v>45272</v>
      </c>
      <c r="C13185" s="1" t="n">
        <v>45357</v>
      </c>
      <c r="D13185" t="inlineStr">
        <is>
          <t>VÄSTERBOTTENS LÄN</t>
        </is>
      </c>
      <c r="E13185" t="inlineStr">
        <is>
          <t>LYCKSELE</t>
        </is>
      </c>
      <c r="G13185" t="n">
        <v>9.4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62991-2023</t>
        </is>
      </c>
      <c r="B13186" s="1" t="n">
        <v>45272</v>
      </c>
      <c r="C13186" s="1" t="n">
        <v>45357</v>
      </c>
      <c r="D13186" t="inlineStr">
        <is>
          <t>VÄSTERBOTTENS LÄN</t>
        </is>
      </c>
      <c r="E13186" t="inlineStr">
        <is>
          <t>VÄNNÄS</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63059-2023</t>
        </is>
      </c>
      <c r="B13187" s="1" t="n">
        <v>45272</v>
      </c>
      <c r="C13187" s="1" t="n">
        <v>45357</v>
      </c>
      <c r="D13187" t="inlineStr">
        <is>
          <t>VÄSTERBOTTENS LÄN</t>
        </is>
      </c>
      <c r="E13187" t="inlineStr">
        <is>
          <t>ÅSELE</t>
        </is>
      </c>
      <c r="F13187" t="inlineStr">
        <is>
          <t>SCA</t>
        </is>
      </c>
      <c r="G13187" t="n">
        <v>23.2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63060-2023</t>
        </is>
      </c>
      <c r="B13188" s="1" t="n">
        <v>45272</v>
      </c>
      <c r="C13188" s="1" t="n">
        <v>45357</v>
      </c>
      <c r="D13188" t="inlineStr">
        <is>
          <t>VÄSTERBOTTENS LÄN</t>
        </is>
      </c>
      <c r="E13188" t="inlineStr">
        <is>
          <t>ÅSELE</t>
        </is>
      </c>
      <c r="F13188" t="inlineStr">
        <is>
          <t>SCA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63123-2023</t>
        </is>
      </c>
      <c r="B13189" s="1" t="n">
        <v>45272</v>
      </c>
      <c r="C13189" s="1" t="n">
        <v>45357</v>
      </c>
      <c r="D13189" t="inlineStr">
        <is>
          <t>VÄSTERBOTTENS LÄN</t>
        </is>
      </c>
      <c r="E13189" t="inlineStr">
        <is>
          <t>DOROTEA</t>
        </is>
      </c>
      <c r="G13189" t="n">
        <v>3.7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62961-2023</t>
        </is>
      </c>
      <c r="B13190" s="1" t="n">
        <v>45272</v>
      </c>
      <c r="C13190" s="1" t="n">
        <v>45357</v>
      </c>
      <c r="D13190" t="inlineStr">
        <is>
          <t>VÄSTERBOTTENS LÄN</t>
        </is>
      </c>
      <c r="E13190" t="inlineStr">
        <is>
          <t>SKELLEFTEÅ</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63049-2023</t>
        </is>
      </c>
      <c r="B13191" s="1" t="n">
        <v>45272</v>
      </c>
      <c r="C13191" s="1" t="n">
        <v>45357</v>
      </c>
      <c r="D13191" t="inlineStr">
        <is>
          <t>VÄSTERBOTTENS LÄN</t>
        </is>
      </c>
      <c r="E13191" t="inlineStr">
        <is>
          <t>VILHELMINA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63053-2023</t>
        </is>
      </c>
      <c r="B13192" s="1" t="n">
        <v>45272</v>
      </c>
      <c r="C13192" s="1" t="n">
        <v>45357</v>
      </c>
      <c r="D13192" t="inlineStr">
        <is>
          <t>VÄSTERBOTTENS LÄN</t>
        </is>
      </c>
      <c r="E13192" t="inlineStr">
        <is>
          <t>VILHELMINA</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62855-2023</t>
        </is>
      </c>
      <c r="B13193" s="1" t="n">
        <v>45272</v>
      </c>
      <c r="C13193" s="1" t="n">
        <v>45357</v>
      </c>
      <c r="D13193" t="inlineStr">
        <is>
          <t>VÄSTERBOTTENS LÄN</t>
        </is>
      </c>
      <c r="E13193" t="inlineStr">
        <is>
          <t>STORUMAN</t>
        </is>
      </c>
      <c r="G13193" t="n">
        <v>9.5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63061-2023</t>
        </is>
      </c>
      <c r="B13194" s="1" t="n">
        <v>45272</v>
      </c>
      <c r="C13194" s="1" t="n">
        <v>45357</v>
      </c>
      <c r="D13194" t="inlineStr">
        <is>
          <t>VÄSTERBOTTENS LÄN</t>
        </is>
      </c>
      <c r="E13194" t="inlineStr">
        <is>
          <t>ÅSELE</t>
        </is>
      </c>
      <c r="F13194" t="inlineStr">
        <is>
          <t>SCA</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63067-2023</t>
        </is>
      </c>
      <c r="B13195" s="1" t="n">
        <v>45272</v>
      </c>
      <c r="C13195" s="1" t="n">
        <v>45357</v>
      </c>
      <c r="D13195" t="inlineStr">
        <is>
          <t>VÄSTERBOTTENS LÄN</t>
        </is>
      </c>
      <c r="E13195" t="inlineStr">
        <is>
          <t>BJURHOLM</t>
        </is>
      </c>
      <c r="F13195" t="inlineStr">
        <is>
          <t>SCA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63050-2023</t>
        </is>
      </c>
      <c r="B13196" s="1" t="n">
        <v>45272</v>
      </c>
      <c r="C13196" s="1" t="n">
        <v>45357</v>
      </c>
      <c r="D13196" t="inlineStr">
        <is>
          <t>VÄSTERBOTTENS LÄN</t>
        </is>
      </c>
      <c r="E13196" t="inlineStr">
        <is>
          <t>VILHELMINA</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63058-2023</t>
        </is>
      </c>
      <c r="B13197" s="1" t="n">
        <v>45272</v>
      </c>
      <c r="C13197" s="1" t="n">
        <v>45357</v>
      </c>
      <c r="D13197" t="inlineStr">
        <is>
          <t>VÄSTERBOTTENS LÄN</t>
        </is>
      </c>
      <c r="E13197" t="inlineStr">
        <is>
          <t>ÅSELE</t>
        </is>
      </c>
      <c r="F13197" t="inlineStr">
        <is>
          <t>SCA</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63084-2023</t>
        </is>
      </c>
      <c r="B13198" s="1" t="n">
        <v>45272</v>
      </c>
      <c r="C13198" s="1" t="n">
        <v>45357</v>
      </c>
      <c r="D13198" t="inlineStr">
        <is>
          <t>VÄSTERBOTTENS LÄN</t>
        </is>
      </c>
      <c r="E13198" t="inlineStr">
        <is>
          <t>DOROTEA</t>
        </is>
      </c>
      <c r="G13198" t="n">
        <v>11.4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63188-2023</t>
        </is>
      </c>
      <c r="B13199" s="1" t="n">
        <v>45272</v>
      </c>
      <c r="C13199" s="1" t="n">
        <v>45357</v>
      </c>
      <c r="D13199" t="inlineStr">
        <is>
          <t>VÄSTERBOTTENS LÄN</t>
        </is>
      </c>
      <c r="E13199" t="inlineStr">
        <is>
          <t>UMEÅ</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63062-2023</t>
        </is>
      </c>
      <c r="B13200" s="1" t="n">
        <v>45272</v>
      </c>
      <c r="C13200" s="1" t="n">
        <v>45357</v>
      </c>
      <c r="D13200" t="inlineStr">
        <is>
          <t>VÄSTERBOTTENS LÄN</t>
        </is>
      </c>
      <c r="E13200" t="inlineStr">
        <is>
          <t>ÅSELE</t>
        </is>
      </c>
      <c r="F13200" t="inlineStr">
        <is>
          <t>SCA</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63010-2023</t>
        </is>
      </c>
      <c r="B13201" s="1" t="n">
        <v>45272</v>
      </c>
      <c r="C13201" s="1" t="n">
        <v>45357</v>
      </c>
      <c r="D13201" t="inlineStr">
        <is>
          <t>VÄSTERBOTTENS LÄN</t>
        </is>
      </c>
      <c r="E13201" t="inlineStr">
        <is>
          <t>SKELLEFTEÅ</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63135-2023</t>
        </is>
      </c>
      <c r="B13202" s="1" t="n">
        <v>45273</v>
      </c>
      <c r="C13202" s="1" t="n">
        <v>45357</v>
      </c>
      <c r="D13202" t="inlineStr">
        <is>
          <t>VÄSTERBOTTENS LÄN</t>
        </is>
      </c>
      <c r="E13202" t="inlineStr">
        <is>
          <t>UMEÅ</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63078-2023</t>
        </is>
      </c>
      <c r="B13203" s="1" t="n">
        <v>45273</v>
      </c>
      <c r="C13203" s="1" t="n">
        <v>45357</v>
      </c>
      <c r="D13203" t="inlineStr">
        <is>
          <t>VÄSTERBOTTENS LÄN</t>
        </is>
      </c>
      <c r="E13203" t="inlineStr">
        <is>
          <t>VÄNNÄS</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63079-2023</t>
        </is>
      </c>
      <c r="B13204" s="1" t="n">
        <v>45273</v>
      </c>
      <c r="C13204" s="1" t="n">
        <v>45357</v>
      </c>
      <c r="D13204" t="inlineStr">
        <is>
          <t>VÄSTERBOTTENS LÄN</t>
        </is>
      </c>
      <c r="E13204" t="inlineStr">
        <is>
          <t>VÄNNÄS</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63151-2023</t>
        </is>
      </c>
      <c r="B13205" s="1" t="n">
        <v>45273</v>
      </c>
      <c r="C13205" s="1" t="n">
        <v>45357</v>
      </c>
      <c r="D13205" t="inlineStr">
        <is>
          <t>VÄSTERBOTTENS LÄN</t>
        </is>
      </c>
      <c r="E13205" t="inlineStr">
        <is>
          <t>UMEÅ</t>
        </is>
      </c>
      <c r="F13205" t="inlineStr">
        <is>
          <t>Holmen skog AB</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63289-2023</t>
        </is>
      </c>
      <c r="B13206" s="1" t="n">
        <v>45273</v>
      </c>
      <c r="C13206" s="1" t="n">
        <v>45357</v>
      </c>
      <c r="D13206" t="inlineStr">
        <is>
          <t>VÄSTERBOTTENS LÄN</t>
        </is>
      </c>
      <c r="E13206" t="inlineStr">
        <is>
          <t>SKELLEFTEÅ</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63293-2023</t>
        </is>
      </c>
      <c r="B13207" s="1" t="n">
        <v>45273</v>
      </c>
      <c r="C13207" s="1" t="n">
        <v>45357</v>
      </c>
      <c r="D13207" t="inlineStr">
        <is>
          <t>VÄSTERBOTTENS LÄN</t>
        </is>
      </c>
      <c r="E13207" t="inlineStr">
        <is>
          <t>ÅSELE</t>
        </is>
      </c>
      <c r="F13207" t="inlineStr">
        <is>
          <t>SCA</t>
        </is>
      </c>
      <c r="G13207" t="n">
        <v>10.1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63136-2023</t>
        </is>
      </c>
      <c r="B13208" s="1" t="n">
        <v>45273</v>
      </c>
      <c r="C13208" s="1" t="n">
        <v>45357</v>
      </c>
      <c r="D13208" t="inlineStr">
        <is>
          <t>VÄSTERBOTTENS LÄN</t>
        </is>
      </c>
      <c r="E13208" t="inlineStr">
        <is>
          <t>UMEÅ</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63225-2023</t>
        </is>
      </c>
      <c r="B13209" s="1" t="n">
        <v>45273</v>
      </c>
      <c r="C13209" s="1" t="n">
        <v>45357</v>
      </c>
      <c r="D13209" t="inlineStr">
        <is>
          <t>VÄSTERBOTTENS LÄN</t>
        </is>
      </c>
      <c r="E13209" t="inlineStr">
        <is>
          <t>VÄNNÄS</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63296-2023</t>
        </is>
      </c>
      <c r="B13210" s="1" t="n">
        <v>45273</v>
      </c>
      <c r="C13210" s="1" t="n">
        <v>45357</v>
      </c>
      <c r="D13210" t="inlineStr">
        <is>
          <t>VÄSTERBOTTENS LÄN</t>
        </is>
      </c>
      <c r="E13210" t="inlineStr">
        <is>
          <t>DOROTEA</t>
        </is>
      </c>
      <c r="F13210" t="inlineStr">
        <is>
          <t>SCA</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63328-2023</t>
        </is>
      </c>
      <c r="B13211" s="1" t="n">
        <v>45273</v>
      </c>
      <c r="C13211" s="1" t="n">
        <v>45357</v>
      </c>
      <c r="D13211" t="inlineStr">
        <is>
          <t>VÄSTERBOTTENS LÄN</t>
        </is>
      </c>
      <c r="E13211" t="inlineStr">
        <is>
          <t>MALÅ</t>
        </is>
      </c>
      <c r="G13211" t="n">
        <v>4.7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63424-2023</t>
        </is>
      </c>
      <c r="B13212" s="1" t="n">
        <v>45274</v>
      </c>
      <c r="C13212" s="1" t="n">
        <v>45357</v>
      </c>
      <c r="D13212" t="inlineStr">
        <is>
          <t>VÄSTERBOTTENS LÄN</t>
        </is>
      </c>
      <c r="E13212" t="inlineStr">
        <is>
          <t>NORSJÖ</t>
        </is>
      </c>
      <c r="F13212" t="inlineStr">
        <is>
          <t>Sveaskog</t>
        </is>
      </c>
      <c r="G13212" t="n">
        <v>9.199999999999999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63298-2023</t>
        </is>
      </c>
      <c r="B13213" s="1" t="n">
        <v>45274</v>
      </c>
      <c r="C13213" s="1" t="n">
        <v>45357</v>
      </c>
      <c r="D13213" t="inlineStr">
        <is>
          <t>VÄSTERBOTTENS LÄN</t>
        </is>
      </c>
      <c r="E13213" t="inlineStr">
        <is>
          <t>VÄNNÄS</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63356-2023</t>
        </is>
      </c>
      <c r="B13214" s="1" t="n">
        <v>45274</v>
      </c>
      <c r="C13214" s="1" t="n">
        <v>45357</v>
      </c>
      <c r="D13214" t="inlineStr">
        <is>
          <t>VÄSTERBOTTENS LÄN</t>
        </is>
      </c>
      <c r="E13214" t="inlineStr">
        <is>
          <t>MALÅ</t>
        </is>
      </c>
      <c r="F13214" t="inlineStr">
        <is>
          <t>Sveaskog</t>
        </is>
      </c>
      <c r="G13214" t="n">
        <v>9.300000000000001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63368-2023</t>
        </is>
      </c>
      <c r="B13215" s="1" t="n">
        <v>45274</v>
      </c>
      <c r="C13215" s="1" t="n">
        <v>45357</v>
      </c>
      <c r="D13215" t="inlineStr">
        <is>
          <t>VÄSTERBOTTENS LÄN</t>
        </is>
      </c>
      <c r="E13215" t="inlineStr">
        <is>
          <t>NORSJÖ</t>
        </is>
      </c>
      <c r="F13215" t="inlineStr">
        <is>
          <t>Sveaskog</t>
        </is>
      </c>
      <c r="G13215" t="n">
        <v>11.7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63390-2023</t>
        </is>
      </c>
      <c r="B13216" s="1" t="n">
        <v>45274</v>
      </c>
      <c r="C13216" s="1" t="n">
        <v>45357</v>
      </c>
      <c r="D13216" t="inlineStr">
        <is>
          <t>VÄSTERBOTTENS LÄN</t>
        </is>
      </c>
      <c r="E13216" t="inlineStr">
        <is>
          <t>ROBERTSFORS</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63525-2023</t>
        </is>
      </c>
      <c r="B13217" s="1" t="n">
        <v>45274</v>
      </c>
      <c r="C13217" s="1" t="n">
        <v>45357</v>
      </c>
      <c r="D13217" t="inlineStr">
        <is>
          <t>VÄSTERBOTTENS LÄN</t>
        </is>
      </c>
      <c r="E13217" t="inlineStr">
        <is>
          <t>SKELLEFTEÅ</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63563-2023</t>
        </is>
      </c>
      <c r="B13218" s="1" t="n">
        <v>45274</v>
      </c>
      <c r="C13218" s="1" t="n">
        <v>45357</v>
      </c>
      <c r="D13218" t="inlineStr">
        <is>
          <t>VÄSTERBOTTENS LÄN</t>
        </is>
      </c>
      <c r="E13218" t="inlineStr">
        <is>
          <t>VILHELMINA</t>
        </is>
      </c>
      <c r="F13218" t="inlineStr">
        <is>
          <t>Övriga Aktiebolag</t>
        </is>
      </c>
      <c r="G13218" t="n">
        <v>15.1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63787-2023</t>
        </is>
      </c>
      <c r="B13219" s="1" t="n">
        <v>45275</v>
      </c>
      <c r="C13219" s="1" t="n">
        <v>45357</v>
      </c>
      <c r="D13219" t="inlineStr">
        <is>
          <t>VÄSTERBOTTENS LÄN</t>
        </is>
      </c>
      <c r="E13219" t="inlineStr">
        <is>
          <t>UMEÅ</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63687-2023</t>
        </is>
      </c>
      <c r="B13220" s="1" t="n">
        <v>45275</v>
      </c>
      <c r="C13220" s="1" t="n">
        <v>45357</v>
      </c>
      <c r="D13220" t="inlineStr">
        <is>
          <t>VÄSTERBOTTENS LÄN</t>
        </is>
      </c>
      <c r="E13220" t="inlineStr">
        <is>
          <t>VINDELN</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63817-2023</t>
        </is>
      </c>
      <c r="B13221" s="1" t="n">
        <v>45275</v>
      </c>
      <c r="C13221" s="1" t="n">
        <v>45357</v>
      </c>
      <c r="D13221" t="inlineStr">
        <is>
          <t>VÄSTERBOTTENS LÄN</t>
        </is>
      </c>
      <c r="E13221" t="inlineStr">
        <is>
          <t>VÄNNÄS</t>
        </is>
      </c>
      <c r="G13221" t="n">
        <v>6.7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63779-2023</t>
        </is>
      </c>
      <c r="B13222" s="1" t="n">
        <v>45275</v>
      </c>
      <c r="C13222" s="1" t="n">
        <v>45357</v>
      </c>
      <c r="D13222" t="inlineStr">
        <is>
          <t>VÄSTERBOTTENS LÄN</t>
        </is>
      </c>
      <c r="E13222" t="inlineStr">
        <is>
          <t>NORDMALING</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63666-2023</t>
        </is>
      </c>
      <c r="B13223" s="1" t="n">
        <v>45275</v>
      </c>
      <c r="C13223" s="1" t="n">
        <v>45357</v>
      </c>
      <c r="D13223" t="inlineStr">
        <is>
          <t>VÄSTERBOTTENS LÄN</t>
        </is>
      </c>
      <c r="E13223" t="inlineStr">
        <is>
          <t>NORSJÖ</t>
        </is>
      </c>
      <c r="F13223" t="inlineStr">
        <is>
          <t>Sveaskog</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63810-2023</t>
        </is>
      </c>
      <c r="B13224" s="1" t="n">
        <v>45275</v>
      </c>
      <c r="C13224" s="1" t="n">
        <v>45357</v>
      </c>
      <c r="D13224" t="inlineStr">
        <is>
          <t>VÄSTERBOTTENS LÄN</t>
        </is>
      </c>
      <c r="E13224" t="inlineStr">
        <is>
          <t>UMEÅ</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63704-2023</t>
        </is>
      </c>
      <c r="B13225" s="1" t="n">
        <v>45275</v>
      </c>
      <c r="C13225" s="1" t="n">
        <v>45357</v>
      </c>
      <c r="D13225" t="inlineStr">
        <is>
          <t>VÄSTERBOTTENS LÄN</t>
        </is>
      </c>
      <c r="E13225" t="inlineStr">
        <is>
          <t>SKELLEFTEÅ</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63696-2023</t>
        </is>
      </c>
      <c r="B13226" s="1" t="n">
        <v>45275</v>
      </c>
      <c r="C13226" s="1" t="n">
        <v>45357</v>
      </c>
      <c r="D13226" t="inlineStr">
        <is>
          <t>VÄSTERBOTTENS LÄN</t>
        </is>
      </c>
      <c r="E13226" t="inlineStr">
        <is>
          <t>LYCKSELE</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63757-2023</t>
        </is>
      </c>
      <c r="B13227" s="1" t="n">
        <v>45278</v>
      </c>
      <c r="C13227" s="1" t="n">
        <v>45357</v>
      </c>
      <c r="D13227" t="inlineStr">
        <is>
          <t>VÄSTERBOTTENS LÄN</t>
        </is>
      </c>
      <c r="E13227" t="inlineStr">
        <is>
          <t>SKELLEFTEÅ</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63759-2023</t>
        </is>
      </c>
      <c r="B13228" s="1" t="n">
        <v>45278</v>
      </c>
      <c r="C13228" s="1" t="n">
        <v>45357</v>
      </c>
      <c r="D13228" t="inlineStr">
        <is>
          <t>VÄSTERBOTTENS LÄN</t>
        </is>
      </c>
      <c r="E13228" t="inlineStr">
        <is>
          <t>SKELLEFTEÅ</t>
        </is>
      </c>
      <c r="G13228" t="n">
        <v>5.9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63771-2023</t>
        </is>
      </c>
      <c r="B13229" s="1" t="n">
        <v>45278</v>
      </c>
      <c r="C13229" s="1" t="n">
        <v>45357</v>
      </c>
      <c r="D13229" t="inlineStr">
        <is>
          <t>VÄSTERBOTTENS LÄN</t>
        </is>
      </c>
      <c r="E13229" t="inlineStr">
        <is>
          <t>ROBERTSFORS</t>
        </is>
      </c>
      <c r="F13229" t="inlineStr">
        <is>
          <t>Sveaskog</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63877-2023</t>
        </is>
      </c>
      <c r="B13230" s="1" t="n">
        <v>45278</v>
      </c>
      <c r="C13230" s="1" t="n">
        <v>45357</v>
      </c>
      <c r="D13230" t="inlineStr">
        <is>
          <t>VÄSTERBOTTENS LÄN</t>
        </is>
      </c>
      <c r="E13230" t="inlineStr">
        <is>
          <t>VILHELMINA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63889-2023</t>
        </is>
      </c>
      <c r="B13231" s="1" t="n">
        <v>45278</v>
      </c>
      <c r="C13231" s="1" t="n">
        <v>45357</v>
      </c>
      <c r="D13231" t="inlineStr">
        <is>
          <t>VÄSTERBOTTENS LÄN</t>
        </is>
      </c>
      <c r="E13231" t="inlineStr">
        <is>
          <t>MALÅ</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63768-2023</t>
        </is>
      </c>
      <c r="B13232" s="1" t="n">
        <v>45278</v>
      </c>
      <c r="C13232" s="1" t="n">
        <v>45357</v>
      </c>
      <c r="D13232" t="inlineStr">
        <is>
          <t>VÄSTERBOTTENS LÄN</t>
        </is>
      </c>
      <c r="E13232" t="inlineStr">
        <is>
          <t>ROBERTSFORS</t>
        </is>
      </c>
      <c r="F13232" t="inlineStr">
        <is>
          <t>Sveaskog</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63935-2023</t>
        </is>
      </c>
      <c r="B13233" s="1" t="n">
        <v>45278</v>
      </c>
      <c r="C13233" s="1" t="n">
        <v>45357</v>
      </c>
      <c r="D13233" t="inlineStr">
        <is>
          <t>VÄSTERBOTTENS LÄN</t>
        </is>
      </c>
      <c r="E13233" t="inlineStr">
        <is>
          <t>SKELLEFTEÅ</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63951-2023</t>
        </is>
      </c>
      <c r="B13234" s="1" t="n">
        <v>45278</v>
      </c>
      <c r="C13234" s="1" t="n">
        <v>45357</v>
      </c>
      <c r="D13234" t="inlineStr">
        <is>
          <t>VÄSTERBOTTENS LÄN</t>
        </is>
      </c>
      <c r="E13234" t="inlineStr">
        <is>
          <t>NORDMALING</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63809-2023</t>
        </is>
      </c>
      <c r="B13235" s="1" t="n">
        <v>45278</v>
      </c>
      <c r="C13235" s="1" t="n">
        <v>45357</v>
      </c>
      <c r="D13235" t="inlineStr">
        <is>
          <t>VÄSTERBOTTENS LÄN</t>
        </is>
      </c>
      <c r="E13235" t="inlineStr">
        <is>
          <t>UMEÅ</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64006-2023</t>
        </is>
      </c>
      <c r="B13236" s="1" t="n">
        <v>45278</v>
      </c>
      <c r="C13236" s="1" t="n">
        <v>45357</v>
      </c>
      <c r="D13236" t="inlineStr">
        <is>
          <t>VÄSTERBOTTENS LÄN</t>
        </is>
      </c>
      <c r="E13236" t="inlineStr">
        <is>
          <t>SKELLEFTEÅ</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63997-2023</t>
        </is>
      </c>
      <c r="B13237" s="1" t="n">
        <v>45278</v>
      </c>
      <c r="C13237" s="1" t="n">
        <v>45357</v>
      </c>
      <c r="D13237" t="inlineStr">
        <is>
          <t>VÄSTERBOTTENS LÄN</t>
        </is>
      </c>
      <c r="E13237" t="inlineStr">
        <is>
          <t>NORDMALING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64033-2023</t>
        </is>
      </c>
      <c r="B13238" s="1" t="n">
        <v>45278</v>
      </c>
      <c r="C13238" s="1" t="n">
        <v>45357</v>
      </c>
      <c r="D13238" t="inlineStr">
        <is>
          <t>VÄSTERBOTTENS LÄN</t>
        </is>
      </c>
      <c r="E13238" t="inlineStr">
        <is>
          <t>DOROTEA</t>
        </is>
      </c>
      <c r="F13238" t="inlineStr">
        <is>
          <t>SCA</t>
        </is>
      </c>
      <c r="G13238" t="n">
        <v>5.3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64009-2023</t>
        </is>
      </c>
      <c r="B13239" s="1" t="n">
        <v>45278</v>
      </c>
      <c r="C13239" s="1" t="n">
        <v>45357</v>
      </c>
      <c r="D13239" t="inlineStr">
        <is>
          <t>VÄSTERBOTTENS LÄN</t>
        </is>
      </c>
      <c r="E13239" t="inlineStr">
        <is>
          <t>SKELLEFTEÅ</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64029-2023</t>
        </is>
      </c>
      <c r="B13240" s="1" t="n">
        <v>45278</v>
      </c>
      <c r="C13240" s="1" t="n">
        <v>45357</v>
      </c>
      <c r="D13240" t="inlineStr">
        <is>
          <t>VÄSTERBOTTENS LÄN</t>
        </is>
      </c>
      <c r="E13240" t="inlineStr">
        <is>
          <t>VILHELMINA</t>
        </is>
      </c>
      <c r="F13240" t="inlineStr">
        <is>
          <t>SCA</t>
        </is>
      </c>
      <c r="G13240" t="n">
        <v>6.4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64027-2023</t>
        </is>
      </c>
      <c r="B13241" s="1" t="n">
        <v>45278</v>
      </c>
      <c r="C13241" s="1" t="n">
        <v>45357</v>
      </c>
      <c r="D13241" t="inlineStr">
        <is>
          <t>VÄSTERBOTTENS LÄN</t>
        </is>
      </c>
      <c r="E13241" t="inlineStr">
        <is>
          <t>VILHELMINA</t>
        </is>
      </c>
      <c r="F13241" t="inlineStr">
        <is>
          <t>SCA</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64008-2023</t>
        </is>
      </c>
      <c r="B13242" s="1" t="n">
        <v>45278</v>
      </c>
      <c r="C13242" s="1" t="n">
        <v>45357</v>
      </c>
      <c r="D13242" t="inlineStr">
        <is>
          <t>VÄSTERBOTTENS LÄN</t>
        </is>
      </c>
      <c r="E13242" t="inlineStr">
        <is>
          <t>SKELLEFTEÅ</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64028-2023</t>
        </is>
      </c>
      <c r="B13243" s="1" t="n">
        <v>45278</v>
      </c>
      <c r="C13243" s="1" t="n">
        <v>45357</v>
      </c>
      <c r="D13243" t="inlineStr">
        <is>
          <t>VÄSTERBOTTENS LÄN</t>
        </is>
      </c>
      <c r="E13243" t="inlineStr">
        <is>
          <t>VILHELMINA</t>
        </is>
      </c>
      <c r="F13243" t="inlineStr">
        <is>
          <t>SCA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64047-2023</t>
        </is>
      </c>
      <c r="B13244" s="1" t="n">
        <v>45279</v>
      </c>
      <c r="C13244" s="1" t="n">
        <v>45357</v>
      </c>
      <c r="D13244" t="inlineStr">
        <is>
          <t>VÄSTERBOTTENS LÄN</t>
        </is>
      </c>
      <c r="E13244" t="inlineStr">
        <is>
          <t>ROBERTSFORS</t>
        </is>
      </c>
      <c r="F13244" t="inlineStr">
        <is>
          <t>Sveaskog</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64215-2023</t>
        </is>
      </c>
      <c r="B13245" s="1" t="n">
        <v>45279</v>
      </c>
      <c r="C13245" s="1" t="n">
        <v>45357</v>
      </c>
      <c r="D13245" t="inlineStr">
        <is>
          <t>VÄSTERBOTTENS LÄN</t>
        </is>
      </c>
      <c r="E13245" t="inlineStr">
        <is>
          <t>LYCKSELE</t>
        </is>
      </c>
      <c r="G13245" t="n">
        <v>10.6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64259-2023</t>
        </is>
      </c>
      <c r="B13246" s="1" t="n">
        <v>45279</v>
      </c>
      <c r="C13246" s="1" t="n">
        <v>45357</v>
      </c>
      <c r="D13246" t="inlineStr">
        <is>
          <t>VÄSTERBOTTENS LÄN</t>
        </is>
      </c>
      <c r="E13246" t="inlineStr">
        <is>
          <t>NORSJÖ</t>
        </is>
      </c>
      <c r="G13246" t="n">
        <v>8.6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64281-2023</t>
        </is>
      </c>
      <c r="B13247" s="1" t="n">
        <v>45279</v>
      </c>
      <c r="C13247" s="1" t="n">
        <v>45357</v>
      </c>
      <c r="D13247" t="inlineStr">
        <is>
          <t>VÄSTERBOTTENS LÄN</t>
        </is>
      </c>
      <c r="E13247" t="inlineStr">
        <is>
          <t>LYCKSELE</t>
        </is>
      </c>
      <c r="G13247" t="n">
        <v>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64205-2023</t>
        </is>
      </c>
      <c r="B13248" s="1" t="n">
        <v>45279</v>
      </c>
      <c r="C13248" s="1" t="n">
        <v>45357</v>
      </c>
      <c r="D13248" t="inlineStr">
        <is>
          <t>VÄSTERBOTTENS LÄN</t>
        </is>
      </c>
      <c r="E13248" t="inlineStr">
        <is>
          <t>VINDELN</t>
        </is>
      </c>
      <c r="F13248" t="inlineStr">
        <is>
          <t>Holmen skog AB</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64257-2023</t>
        </is>
      </c>
      <c r="B13249" s="1" t="n">
        <v>45279</v>
      </c>
      <c r="C13249" s="1" t="n">
        <v>45357</v>
      </c>
      <c r="D13249" t="inlineStr">
        <is>
          <t>VÄSTERBOTTENS LÄN</t>
        </is>
      </c>
      <c r="E13249" t="inlineStr">
        <is>
          <t>SKELLEFTEÅ</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64258-2023</t>
        </is>
      </c>
      <c r="B13250" s="1" t="n">
        <v>45279</v>
      </c>
      <c r="C13250" s="1" t="n">
        <v>45357</v>
      </c>
      <c r="D13250" t="inlineStr">
        <is>
          <t>VÄSTERBOTTENS LÄN</t>
        </is>
      </c>
      <c r="E13250" t="inlineStr">
        <is>
          <t>SKELLEFTEÅ</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64256-2023</t>
        </is>
      </c>
      <c r="B13251" s="1" t="n">
        <v>45279</v>
      </c>
      <c r="C13251" s="1" t="n">
        <v>45357</v>
      </c>
      <c r="D13251" t="inlineStr">
        <is>
          <t>VÄSTERBOTTENS LÄN</t>
        </is>
      </c>
      <c r="E13251" t="inlineStr">
        <is>
          <t>NORSJÖ</t>
        </is>
      </c>
      <c r="G13251" t="n">
        <v>7.4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64336-2023</t>
        </is>
      </c>
      <c r="B13252" s="1" t="n">
        <v>45279</v>
      </c>
      <c r="C13252" s="1" t="n">
        <v>45357</v>
      </c>
      <c r="D13252" t="inlineStr">
        <is>
          <t>VÄSTERBOTTENS LÄN</t>
        </is>
      </c>
      <c r="E13252" t="inlineStr">
        <is>
          <t>LYCKSELE</t>
        </is>
      </c>
      <c r="G13252" t="n">
        <v>6.4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64346-2023</t>
        </is>
      </c>
      <c r="B13253" s="1" t="n">
        <v>45279</v>
      </c>
      <c r="C13253" s="1" t="n">
        <v>45357</v>
      </c>
      <c r="D13253" t="inlineStr">
        <is>
          <t>VÄSTERBOTTENS LÄN</t>
        </is>
      </c>
      <c r="E13253" t="inlineStr">
        <is>
          <t>LYCKSELE</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64294-2023</t>
        </is>
      </c>
      <c r="B13254" s="1" t="n">
        <v>45279</v>
      </c>
      <c r="C13254" s="1" t="n">
        <v>45357</v>
      </c>
      <c r="D13254" t="inlineStr">
        <is>
          <t>VÄSTERBOTTENS LÄN</t>
        </is>
      </c>
      <c r="E13254" t="inlineStr">
        <is>
          <t>BJURHOLM</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64334-2023</t>
        </is>
      </c>
      <c r="B13255" s="1" t="n">
        <v>45279</v>
      </c>
      <c r="C13255" s="1" t="n">
        <v>45357</v>
      </c>
      <c r="D13255" t="inlineStr">
        <is>
          <t>VÄSTERBOTTENS LÄN</t>
        </is>
      </c>
      <c r="E13255" t="inlineStr">
        <is>
          <t>LYCKSELE</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64344-2023</t>
        </is>
      </c>
      <c r="B13256" s="1" t="n">
        <v>45279</v>
      </c>
      <c r="C13256" s="1" t="n">
        <v>45357</v>
      </c>
      <c r="D13256" t="inlineStr">
        <is>
          <t>VÄSTERBOTTENS LÄN</t>
        </is>
      </c>
      <c r="E13256" t="inlineStr">
        <is>
          <t>VINDELN</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1815-2024</t>
        </is>
      </c>
      <c r="B13257" s="1" t="n">
        <v>45279</v>
      </c>
      <c r="C13257" s="1" t="n">
        <v>45357</v>
      </c>
      <c r="D13257" t="inlineStr">
        <is>
          <t>VÄSTERBOTTENS LÄN</t>
        </is>
      </c>
      <c r="E13257" t="inlineStr">
        <is>
          <t>SKELLEFTEÅ</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64362-2023</t>
        </is>
      </c>
      <c r="B13258" s="1" t="n">
        <v>45280</v>
      </c>
      <c r="C13258" s="1" t="n">
        <v>45357</v>
      </c>
      <c r="D13258" t="inlineStr">
        <is>
          <t>VÄSTERBOTTENS LÄN</t>
        </is>
      </c>
      <c r="E13258" t="inlineStr">
        <is>
          <t>VILHELMINA</t>
        </is>
      </c>
      <c r="G13258" t="n">
        <v>7.7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64340-2023</t>
        </is>
      </c>
      <c r="B13259" s="1" t="n">
        <v>45280</v>
      </c>
      <c r="C13259" s="1" t="n">
        <v>45357</v>
      </c>
      <c r="D13259" t="inlineStr">
        <is>
          <t>VÄSTERBOTTENS LÄN</t>
        </is>
      </c>
      <c r="E13259" t="inlineStr">
        <is>
          <t>SKELLEFTEÅ</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64351-2023</t>
        </is>
      </c>
      <c r="B13260" s="1" t="n">
        <v>45280</v>
      </c>
      <c r="C13260" s="1" t="n">
        <v>45357</v>
      </c>
      <c r="D13260" t="inlineStr">
        <is>
          <t>VÄSTERBOTTENS LÄN</t>
        </is>
      </c>
      <c r="E13260" t="inlineStr">
        <is>
          <t>VINDELN</t>
        </is>
      </c>
      <c r="G13260" t="n">
        <v>4.2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64370-2023</t>
        </is>
      </c>
      <c r="B13261" s="1" t="n">
        <v>45280</v>
      </c>
      <c r="C13261" s="1" t="n">
        <v>45357</v>
      </c>
      <c r="D13261" t="inlineStr">
        <is>
          <t>VÄSTERBOTTENS LÄN</t>
        </is>
      </c>
      <c r="E13261" t="inlineStr">
        <is>
          <t>SKELLEFTEÅ</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64391-2023</t>
        </is>
      </c>
      <c r="B13262" s="1" t="n">
        <v>45280</v>
      </c>
      <c r="C13262" s="1" t="n">
        <v>45357</v>
      </c>
      <c r="D13262" t="inlineStr">
        <is>
          <t>VÄSTERBOTTENS LÄN</t>
        </is>
      </c>
      <c r="E13262" t="inlineStr">
        <is>
          <t>LYCKSELE</t>
        </is>
      </c>
      <c r="G13262" t="n">
        <v>5.8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64421-2023</t>
        </is>
      </c>
      <c r="B13263" s="1" t="n">
        <v>45280</v>
      </c>
      <c r="C13263" s="1" t="n">
        <v>45357</v>
      </c>
      <c r="D13263" t="inlineStr">
        <is>
          <t>VÄSTERBOTTENS LÄN</t>
        </is>
      </c>
      <c r="E13263" t="inlineStr">
        <is>
          <t>VILHELMINA</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64323-2023</t>
        </is>
      </c>
      <c r="B13264" s="1" t="n">
        <v>45280</v>
      </c>
      <c r="C13264" s="1" t="n">
        <v>45357</v>
      </c>
      <c r="D13264" t="inlineStr">
        <is>
          <t>VÄSTERBOTTENS LÄN</t>
        </is>
      </c>
      <c r="E13264" t="inlineStr">
        <is>
          <t>SKELLEFTEÅ</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64478-2023</t>
        </is>
      </c>
      <c r="B13265" s="1" t="n">
        <v>45280</v>
      </c>
      <c r="C13265" s="1" t="n">
        <v>45357</v>
      </c>
      <c r="D13265" t="inlineStr">
        <is>
          <t>VÄSTERBOTTENS LÄN</t>
        </is>
      </c>
      <c r="E13265" t="inlineStr">
        <is>
          <t>VÄNNÄS</t>
        </is>
      </c>
      <c r="G13265" t="n">
        <v>6.7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64497-2023</t>
        </is>
      </c>
      <c r="B13266" s="1" t="n">
        <v>45280</v>
      </c>
      <c r="C13266" s="1" t="n">
        <v>45357</v>
      </c>
      <c r="D13266" t="inlineStr">
        <is>
          <t>VÄSTERBOTTENS LÄN</t>
        </is>
      </c>
      <c r="E13266" t="inlineStr">
        <is>
          <t>ÅSELE</t>
        </is>
      </c>
      <c r="F13266" t="inlineStr">
        <is>
          <t>SCA</t>
        </is>
      </c>
      <c r="G13266" t="n">
        <v>7.3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64498-2023</t>
        </is>
      </c>
      <c r="B13267" s="1" t="n">
        <v>45280</v>
      </c>
      <c r="C13267" s="1" t="n">
        <v>45357</v>
      </c>
      <c r="D13267" t="inlineStr">
        <is>
          <t>VÄSTERBOTTENS LÄN</t>
        </is>
      </c>
      <c r="E13267" t="inlineStr">
        <is>
          <t>NORDMALING</t>
        </is>
      </c>
      <c r="F13267" t="inlineStr">
        <is>
          <t>SCA</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64479-2023</t>
        </is>
      </c>
      <c r="B13268" s="1" t="n">
        <v>45280</v>
      </c>
      <c r="C13268" s="1" t="n">
        <v>45357</v>
      </c>
      <c r="D13268" t="inlineStr">
        <is>
          <t>VÄSTERBOTTENS LÄN</t>
        </is>
      </c>
      <c r="E13268" t="inlineStr">
        <is>
          <t>VÄNNÄS</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64331-2023</t>
        </is>
      </c>
      <c r="B13269" s="1" t="n">
        <v>45280</v>
      </c>
      <c r="C13269" s="1" t="n">
        <v>45357</v>
      </c>
      <c r="D13269" t="inlineStr">
        <is>
          <t>VÄSTERBOTTENS LÄN</t>
        </is>
      </c>
      <c r="E13269" t="inlineStr">
        <is>
          <t>NORSJÖ</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64496-2023</t>
        </is>
      </c>
      <c r="B13270" s="1" t="n">
        <v>45280</v>
      </c>
      <c r="C13270" s="1" t="n">
        <v>45357</v>
      </c>
      <c r="D13270" t="inlineStr">
        <is>
          <t>VÄSTERBOTTENS LÄN</t>
        </is>
      </c>
      <c r="E13270" t="inlineStr">
        <is>
          <t>ÅSELE</t>
        </is>
      </c>
      <c r="F13270" t="inlineStr">
        <is>
          <t>SCA</t>
        </is>
      </c>
      <c r="G13270" t="n">
        <v>11.9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64501-2023</t>
        </is>
      </c>
      <c r="B13271" s="1" t="n">
        <v>45280</v>
      </c>
      <c r="C13271" s="1" t="n">
        <v>45357</v>
      </c>
      <c r="D13271" t="inlineStr">
        <is>
          <t>VÄSTERBOTTENS LÄN</t>
        </is>
      </c>
      <c r="E13271" t="inlineStr">
        <is>
          <t>BJURHOLM</t>
        </is>
      </c>
      <c r="F13271" t="inlineStr">
        <is>
          <t>SCA</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64500-2023</t>
        </is>
      </c>
      <c r="B13272" s="1" t="n">
        <v>45280</v>
      </c>
      <c r="C13272" s="1" t="n">
        <v>45357</v>
      </c>
      <c r="D13272" t="inlineStr">
        <is>
          <t>VÄSTERBOTTENS LÄN</t>
        </is>
      </c>
      <c r="E13272" t="inlineStr">
        <is>
          <t>BJURHOLM</t>
        </is>
      </c>
      <c r="F13272" t="inlineStr">
        <is>
          <t>SCA</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64495-2023</t>
        </is>
      </c>
      <c r="B13273" s="1" t="n">
        <v>45280</v>
      </c>
      <c r="C13273" s="1" t="n">
        <v>45357</v>
      </c>
      <c r="D13273" t="inlineStr">
        <is>
          <t>VÄSTERBOTTENS LÄN</t>
        </is>
      </c>
      <c r="E13273" t="inlineStr">
        <is>
          <t>VILHELMINA</t>
        </is>
      </c>
      <c r="F13273" t="inlineStr">
        <is>
          <t>SCA</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64503-2023</t>
        </is>
      </c>
      <c r="B13274" s="1" t="n">
        <v>45280</v>
      </c>
      <c r="C13274" s="1" t="n">
        <v>45357</v>
      </c>
      <c r="D13274" t="inlineStr">
        <is>
          <t>VÄSTERBOTTENS LÄN</t>
        </is>
      </c>
      <c r="E13274" t="inlineStr">
        <is>
          <t>BJURHOLM</t>
        </is>
      </c>
      <c r="F13274" t="inlineStr">
        <is>
          <t>SCA</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64592-2023</t>
        </is>
      </c>
      <c r="B13275" s="1" t="n">
        <v>45281</v>
      </c>
      <c r="C13275" s="1" t="n">
        <v>45357</v>
      </c>
      <c r="D13275" t="inlineStr">
        <is>
          <t>VÄSTERBOTTENS LÄN</t>
        </is>
      </c>
      <c r="E13275" t="inlineStr">
        <is>
          <t>VILHELMINA</t>
        </is>
      </c>
      <c r="F13275" t="inlineStr">
        <is>
          <t>Kommuner</t>
        </is>
      </c>
      <c r="G13275" t="n">
        <v>12.8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64656-2023</t>
        </is>
      </c>
      <c r="B13276" s="1" t="n">
        <v>45281</v>
      </c>
      <c r="C13276" s="1" t="n">
        <v>45357</v>
      </c>
      <c r="D13276" t="inlineStr">
        <is>
          <t>VÄSTERBOTTENS LÄN</t>
        </is>
      </c>
      <c r="E13276" t="inlineStr">
        <is>
          <t>LYCKSELE</t>
        </is>
      </c>
      <c r="G13276" t="n">
        <v>12.3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64726-2023</t>
        </is>
      </c>
      <c r="B13277" s="1" t="n">
        <v>45281</v>
      </c>
      <c r="C13277" s="1" t="n">
        <v>45357</v>
      </c>
      <c r="D13277" t="inlineStr">
        <is>
          <t>VÄSTERBOTTENS LÄN</t>
        </is>
      </c>
      <c r="E13277" t="inlineStr">
        <is>
          <t>SKELLEFTEÅ</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64598-2023</t>
        </is>
      </c>
      <c r="B13278" s="1" t="n">
        <v>45281</v>
      </c>
      <c r="C13278" s="1" t="n">
        <v>45357</v>
      </c>
      <c r="D13278" t="inlineStr">
        <is>
          <t>VÄSTERBOTTENS LÄN</t>
        </is>
      </c>
      <c r="E13278" t="inlineStr">
        <is>
          <t>SKELLEFTEÅ</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64625-2023</t>
        </is>
      </c>
      <c r="B13279" s="1" t="n">
        <v>45281</v>
      </c>
      <c r="C13279" s="1" t="n">
        <v>45357</v>
      </c>
      <c r="D13279" t="inlineStr">
        <is>
          <t>VÄSTERBOTTENS LÄN</t>
        </is>
      </c>
      <c r="E13279" t="inlineStr">
        <is>
          <t>ROBERTSFORS</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64663-2023</t>
        </is>
      </c>
      <c r="B13280" s="1" t="n">
        <v>45281</v>
      </c>
      <c r="C13280" s="1" t="n">
        <v>45357</v>
      </c>
      <c r="D13280" t="inlineStr">
        <is>
          <t>VÄSTERBOTTENS LÄN</t>
        </is>
      </c>
      <c r="E13280" t="inlineStr">
        <is>
          <t>LYCKSELE</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64720-2023</t>
        </is>
      </c>
      <c r="B13281" s="1" t="n">
        <v>45281</v>
      </c>
      <c r="C13281" s="1" t="n">
        <v>45357</v>
      </c>
      <c r="D13281" t="inlineStr">
        <is>
          <t>VÄSTERBOTTENS LÄN</t>
        </is>
      </c>
      <c r="E13281" t="inlineStr">
        <is>
          <t>SKELLEFTEÅ</t>
        </is>
      </c>
      <c r="G13281" t="n">
        <v>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64631-2023</t>
        </is>
      </c>
      <c r="B13282" s="1" t="n">
        <v>45281</v>
      </c>
      <c r="C13282" s="1" t="n">
        <v>45357</v>
      </c>
      <c r="D13282" t="inlineStr">
        <is>
          <t>VÄSTERBOTTENS LÄN</t>
        </is>
      </c>
      <c r="E13282" t="inlineStr">
        <is>
          <t>ROBERTSFORS</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64655-2023</t>
        </is>
      </c>
      <c r="B13283" s="1" t="n">
        <v>45281</v>
      </c>
      <c r="C13283" s="1" t="n">
        <v>45357</v>
      </c>
      <c r="D13283" t="inlineStr">
        <is>
          <t>VÄSTERBOTTENS LÄN</t>
        </is>
      </c>
      <c r="E13283" t="inlineStr">
        <is>
          <t>UMEÅ</t>
        </is>
      </c>
      <c r="G13283" t="n">
        <v>7.8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64682-2023</t>
        </is>
      </c>
      <c r="B13284" s="1" t="n">
        <v>45281</v>
      </c>
      <c r="C13284" s="1" t="n">
        <v>45357</v>
      </c>
      <c r="D13284" t="inlineStr">
        <is>
          <t>VÄSTERBOTTENS LÄN</t>
        </is>
      </c>
      <c r="E13284" t="inlineStr">
        <is>
          <t>SKELLEFTEÅ</t>
        </is>
      </c>
      <c r="G13284" t="n">
        <v>8.699999999999999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64668-2023</t>
        </is>
      </c>
      <c r="B13285" s="1" t="n">
        <v>45281</v>
      </c>
      <c r="C13285" s="1" t="n">
        <v>45357</v>
      </c>
      <c r="D13285" t="inlineStr">
        <is>
          <t>VÄSTERBOTTENS LÄN</t>
        </is>
      </c>
      <c r="E13285" t="inlineStr">
        <is>
          <t>LYCKSELE</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64716-2023</t>
        </is>
      </c>
      <c r="B13286" s="1" t="n">
        <v>45281</v>
      </c>
      <c r="C13286" s="1" t="n">
        <v>45357</v>
      </c>
      <c r="D13286" t="inlineStr">
        <is>
          <t>VÄSTERBOTTENS LÄN</t>
        </is>
      </c>
      <c r="E13286" t="inlineStr">
        <is>
          <t>SKELLEFTEÅ</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64723-2023</t>
        </is>
      </c>
      <c r="B13287" s="1" t="n">
        <v>45281</v>
      </c>
      <c r="C13287" s="1" t="n">
        <v>45357</v>
      </c>
      <c r="D13287" t="inlineStr">
        <is>
          <t>VÄSTERBOTTENS LÄN</t>
        </is>
      </c>
      <c r="E13287" t="inlineStr">
        <is>
          <t>SKELLEFTEÅ</t>
        </is>
      </c>
      <c r="G13287" t="n">
        <v>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64750-2023</t>
        </is>
      </c>
      <c r="B13288" s="1" t="n">
        <v>45281</v>
      </c>
      <c r="C13288" s="1" t="n">
        <v>45357</v>
      </c>
      <c r="D13288" t="inlineStr">
        <is>
          <t>VÄSTERBOTTENS LÄN</t>
        </is>
      </c>
      <c r="E13288" t="inlineStr">
        <is>
          <t>SKELLEFTEÅ</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64920-2023</t>
        </is>
      </c>
      <c r="B13289" s="1" t="n">
        <v>45282</v>
      </c>
      <c r="C13289" s="1" t="n">
        <v>45357</v>
      </c>
      <c r="D13289" t="inlineStr">
        <is>
          <t>VÄSTERBOTTENS LÄN</t>
        </is>
      </c>
      <c r="E13289" t="inlineStr">
        <is>
          <t>SKELLEFTEÅ</t>
        </is>
      </c>
      <c r="F13289" t="inlineStr">
        <is>
          <t>Sveaskog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64948-2023</t>
        </is>
      </c>
      <c r="B13290" s="1" t="n">
        <v>45282</v>
      </c>
      <c r="C13290" s="1" t="n">
        <v>45357</v>
      </c>
      <c r="D13290" t="inlineStr">
        <is>
          <t>VÄSTERBOTTENS LÄN</t>
        </is>
      </c>
      <c r="E13290" t="inlineStr">
        <is>
          <t>ÅSELE</t>
        </is>
      </c>
      <c r="F13290" t="inlineStr">
        <is>
          <t>SCA</t>
        </is>
      </c>
      <c r="G13290" t="n">
        <v>7.3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64942-2023</t>
        </is>
      </c>
      <c r="B13291" s="1" t="n">
        <v>45282</v>
      </c>
      <c r="C13291" s="1" t="n">
        <v>45357</v>
      </c>
      <c r="D13291" t="inlineStr">
        <is>
          <t>VÄSTERBOTTENS LÄN</t>
        </is>
      </c>
      <c r="E13291" t="inlineStr">
        <is>
          <t>SKELLEFTEÅ</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64898-2023</t>
        </is>
      </c>
      <c r="B13292" s="1" t="n">
        <v>45282</v>
      </c>
      <c r="C13292" s="1" t="n">
        <v>45357</v>
      </c>
      <c r="D13292" t="inlineStr">
        <is>
          <t>VÄSTERBOTTENS LÄN</t>
        </is>
      </c>
      <c r="E13292" t="inlineStr">
        <is>
          <t>ÅSELE</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64949-2023</t>
        </is>
      </c>
      <c r="B13293" s="1" t="n">
        <v>45282</v>
      </c>
      <c r="C13293" s="1" t="n">
        <v>45357</v>
      </c>
      <c r="D13293" t="inlineStr">
        <is>
          <t>VÄSTERBOTTENS LÄN</t>
        </is>
      </c>
      <c r="E13293" t="inlineStr">
        <is>
          <t>ÅSELE</t>
        </is>
      </c>
      <c r="F13293" t="inlineStr">
        <is>
          <t>SCA</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65042-2023</t>
        </is>
      </c>
      <c r="B13294" s="1" t="n">
        <v>45282</v>
      </c>
      <c r="C13294" s="1" t="n">
        <v>45357</v>
      </c>
      <c r="D13294" t="inlineStr">
        <is>
          <t>VÄSTERBOTTENS LÄN</t>
        </is>
      </c>
      <c r="E13294" t="inlineStr">
        <is>
          <t>VILHELMINA</t>
        </is>
      </c>
      <c r="F13294" t="inlineStr">
        <is>
          <t>Övriga Aktiebolag</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64951-2023</t>
        </is>
      </c>
      <c r="B13295" s="1" t="n">
        <v>45282</v>
      </c>
      <c r="C13295" s="1" t="n">
        <v>45357</v>
      </c>
      <c r="D13295" t="inlineStr">
        <is>
          <t>VÄSTERBOTTENS LÄN</t>
        </is>
      </c>
      <c r="E13295" t="inlineStr">
        <is>
          <t>ÅSELE</t>
        </is>
      </c>
      <c r="F13295" t="inlineStr">
        <is>
          <t>SCA</t>
        </is>
      </c>
      <c r="G13295" t="n">
        <v>5.9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64943-2023</t>
        </is>
      </c>
      <c r="B13296" s="1" t="n">
        <v>45282</v>
      </c>
      <c r="C13296" s="1" t="n">
        <v>45357</v>
      </c>
      <c r="D13296" t="inlineStr">
        <is>
          <t>VÄSTERBOTTENS LÄN</t>
        </is>
      </c>
      <c r="E13296" t="inlineStr">
        <is>
          <t>STORUMAN</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64895-2023</t>
        </is>
      </c>
      <c r="B13297" s="1" t="n">
        <v>45282</v>
      </c>
      <c r="C13297" s="1" t="n">
        <v>45357</v>
      </c>
      <c r="D13297" t="inlineStr">
        <is>
          <t>VÄSTERBOTTENS LÄN</t>
        </is>
      </c>
      <c r="E13297" t="inlineStr">
        <is>
          <t>UMEÅ</t>
        </is>
      </c>
      <c r="F13297" t="inlineStr">
        <is>
          <t>Holmen skog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65040-2023</t>
        </is>
      </c>
      <c r="B13298" s="1" t="n">
        <v>45282</v>
      </c>
      <c r="C13298" s="1" t="n">
        <v>45357</v>
      </c>
      <c r="D13298" t="inlineStr">
        <is>
          <t>VÄSTERBOTTENS LÄN</t>
        </is>
      </c>
      <c r="E13298" t="inlineStr">
        <is>
          <t>ÅSELE</t>
        </is>
      </c>
      <c r="G13298" t="n">
        <v>6.6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65010-2023</t>
        </is>
      </c>
      <c r="B13299" s="1" t="n">
        <v>45282</v>
      </c>
      <c r="C13299" s="1" t="n">
        <v>45357</v>
      </c>
      <c r="D13299" t="inlineStr">
        <is>
          <t>VÄSTERBOTTENS LÄN</t>
        </is>
      </c>
      <c r="E13299" t="inlineStr">
        <is>
          <t>SKELLEFTEÅ</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64941-2023</t>
        </is>
      </c>
      <c r="B13300" s="1" t="n">
        <v>45282</v>
      </c>
      <c r="C13300" s="1" t="n">
        <v>45357</v>
      </c>
      <c r="D13300" t="inlineStr">
        <is>
          <t>VÄSTERBOTTENS LÄN</t>
        </is>
      </c>
      <c r="E13300" t="inlineStr">
        <is>
          <t>SKELLEFTEÅ</t>
        </is>
      </c>
      <c r="G13300" t="n">
        <v>12.9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65038-2023</t>
        </is>
      </c>
      <c r="B13301" s="1" t="n">
        <v>45282</v>
      </c>
      <c r="C13301" s="1" t="n">
        <v>45357</v>
      </c>
      <c r="D13301" t="inlineStr">
        <is>
          <t>VÄSTERBOTTENS LÄN</t>
        </is>
      </c>
      <c r="E13301" t="inlineStr">
        <is>
          <t>ÅSELE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64966-2023</t>
        </is>
      </c>
      <c r="B13302" s="1" t="n">
        <v>45283</v>
      </c>
      <c r="C13302" s="1" t="n">
        <v>45357</v>
      </c>
      <c r="D13302" t="inlineStr">
        <is>
          <t>VÄSTERBOTTENS LÄN</t>
        </is>
      </c>
      <c r="E13302" t="inlineStr">
        <is>
          <t>VÄNNÄS</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65044-2023</t>
        </is>
      </c>
      <c r="B13303" s="1" t="n">
        <v>45283</v>
      </c>
      <c r="C13303" s="1" t="n">
        <v>45357</v>
      </c>
      <c r="D13303" t="inlineStr">
        <is>
          <t>VÄSTERBOTTENS LÄN</t>
        </is>
      </c>
      <c r="E13303" t="inlineStr">
        <is>
          <t>NORDMALING</t>
        </is>
      </c>
      <c r="F13303" t="inlineStr">
        <is>
          <t>Kommuner</t>
        </is>
      </c>
      <c r="G13303" t="n">
        <v>15.4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65011-2023</t>
        </is>
      </c>
      <c r="B13304" s="1" t="n">
        <v>45287</v>
      </c>
      <c r="C13304" s="1" t="n">
        <v>45357</v>
      </c>
      <c r="D13304" t="inlineStr">
        <is>
          <t>VÄSTERBOTTENS LÄN</t>
        </is>
      </c>
      <c r="E13304" t="inlineStr">
        <is>
          <t>SKELLEFTEÅ</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65012-2023</t>
        </is>
      </c>
      <c r="B13305" s="1" t="n">
        <v>45287</v>
      </c>
      <c r="C13305" s="1" t="n">
        <v>45357</v>
      </c>
      <c r="D13305" t="inlineStr">
        <is>
          <t>VÄSTERBOTTENS LÄN</t>
        </is>
      </c>
      <c r="E13305" t="inlineStr">
        <is>
          <t>SKELLEFTEÅ</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65009-2023</t>
        </is>
      </c>
      <c r="B13306" s="1" t="n">
        <v>45287</v>
      </c>
      <c r="C13306" s="1" t="n">
        <v>45357</v>
      </c>
      <c r="D13306" t="inlineStr">
        <is>
          <t>VÄSTERBOTTENS LÄN</t>
        </is>
      </c>
      <c r="E13306" t="inlineStr">
        <is>
          <t>SKELLEFTEÅ</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65128-2023</t>
        </is>
      </c>
      <c r="B13307" s="1" t="n">
        <v>45288</v>
      </c>
      <c r="C13307" s="1" t="n">
        <v>45357</v>
      </c>
      <c r="D13307" t="inlineStr">
        <is>
          <t>VÄSTERBOTTENS LÄN</t>
        </is>
      </c>
      <c r="E13307" t="inlineStr">
        <is>
          <t>SKELLEFTEÅ</t>
        </is>
      </c>
      <c r="G13307" t="n">
        <v>6.3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65165-2023</t>
        </is>
      </c>
      <c r="B13308" s="1" t="n">
        <v>45288</v>
      </c>
      <c r="C13308" s="1" t="n">
        <v>45357</v>
      </c>
      <c r="D13308" t="inlineStr">
        <is>
          <t>VÄSTERBOTTENS LÄN</t>
        </is>
      </c>
      <c r="E13308" t="inlineStr">
        <is>
          <t>SKELLEFTEÅ</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65178-2023</t>
        </is>
      </c>
      <c r="B13309" s="1" t="n">
        <v>45288</v>
      </c>
      <c r="C13309" s="1" t="n">
        <v>45357</v>
      </c>
      <c r="D13309" t="inlineStr">
        <is>
          <t>VÄSTERBOTTENS LÄN</t>
        </is>
      </c>
      <c r="E13309" t="inlineStr">
        <is>
          <t>SKELLEFTEÅ</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65186-2023</t>
        </is>
      </c>
      <c r="B13310" s="1" t="n">
        <v>45289</v>
      </c>
      <c r="C13310" s="1" t="n">
        <v>45357</v>
      </c>
      <c r="D13310" t="inlineStr">
        <is>
          <t>VÄSTERBOTTENS LÄN</t>
        </is>
      </c>
      <c r="E13310" t="inlineStr">
        <is>
          <t>DOROTEA</t>
        </is>
      </c>
      <c r="F13310" t="inlineStr">
        <is>
          <t>SCA</t>
        </is>
      </c>
      <c r="G13310" t="n">
        <v>20.5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65187-2023</t>
        </is>
      </c>
      <c r="B13311" s="1" t="n">
        <v>45289</v>
      </c>
      <c r="C13311" s="1" t="n">
        <v>45357</v>
      </c>
      <c r="D13311" t="inlineStr">
        <is>
          <t>VÄSTERBOTTENS LÄN</t>
        </is>
      </c>
      <c r="E13311" t="inlineStr">
        <is>
          <t>DOROTEA</t>
        </is>
      </c>
      <c r="F13311" t="inlineStr">
        <is>
          <t>SCA</t>
        </is>
      </c>
      <c r="G13311" t="n">
        <v>25.7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65191-2023</t>
        </is>
      </c>
      <c r="B13312" s="1" t="n">
        <v>45288</v>
      </c>
      <c r="C13312" s="1" t="n">
        <v>45357</v>
      </c>
      <c r="D13312" t="inlineStr">
        <is>
          <t>VÄSTERBOTTENS LÄN</t>
        </is>
      </c>
      <c r="E13312" t="inlineStr">
        <is>
          <t>SKELLEFTEÅ</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65243-2023</t>
        </is>
      </c>
      <c r="B13313" s="1" t="n">
        <v>45289</v>
      </c>
      <c r="C13313" s="1" t="n">
        <v>45357</v>
      </c>
      <c r="D13313" t="inlineStr">
        <is>
          <t>VÄSTERBOTTENS LÄN</t>
        </is>
      </c>
      <c r="E13313" t="inlineStr">
        <is>
          <t>SKELLEFTEÅ</t>
        </is>
      </c>
      <c r="G13313" t="n">
        <v>22.2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65239-2023</t>
        </is>
      </c>
      <c r="B13314" s="1" t="n">
        <v>45289</v>
      </c>
      <c r="C13314" s="1" t="n">
        <v>45357</v>
      </c>
      <c r="D13314" t="inlineStr">
        <is>
          <t>VÄSTERBOTTENS LÄN</t>
        </is>
      </c>
      <c r="E13314" t="inlineStr">
        <is>
          <t>NORSJÖ</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65203-2023</t>
        </is>
      </c>
      <c r="B13315" s="1" t="n">
        <v>45289</v>
      </c>
      <c r="C13315" s="1" t="n">
        <v>45357</v>
      </c>
      <c r="D13315" t="inlineStr">
        <is>
          <t>VÄSTERBOTTENS LÄN</t>
        </is>
      </c>
      <c r="E13315" t="inlineStr">
        <is>
          <t>BJURHOLM</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65206-2023</t>
        </is>
      </c>
      <c r="B13316" s="1" t="n">
        <v>45289</v>
      </c>
      <c r="C13316" s="1" t="n">
        <v>45357</v>
      </c>
      <c r="D13316" t="inlineStr">
        <is>
          <t>VÄSTERBOTTENS LÄN</t>
        </is>
      </c>
      <c r="E13316" t="inlineStr">
        <is>
          <t>SKELLEFTEÅ</t>
        </is>
      </c>
      <c r="G13316" t="n">
        <v>19.2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65244-2023</t>
        </is>
      </c>
      <c r="B13317" s="1" t="n">
        <v>45289</v>
      </c>
      <c r="C13317" s="1" t="n">
        <v>45357</v>
      </c>
      <c r="D13317" t="inlineStr">
        <is>
          <t>VÄSTERBOTTENS LÄN</t>
        </is>
      </c>
      <c r="E13317" t="inlineStr">
        <is>
          <t>DOROTEA</t>
        </is>
      </c>
      <c r="F13317" t="inlineStr">
        <is>
          <t>SCA</t>
        </is>
      </c>
      <c r="G13317" t="n">
        <v>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65240-2023</t>
        </is>
      </c>
      <c r="B13318" s="1" t="n">
        <v>45289</v>
      </c>
      <c r="C13318" s="1" t="n">
        <v>45357</v>
      </c>
      <c r="D13318" t="inlineStr">
        <is>
          <t>VÄSTERBOTTENS LÄN</t>
        </is>
      </c>
      <c r="E13318" t="inlineStr">
        <is>
          <t>NORSJÖ</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27-2024</t>
        </is>
      </c>
      <c r="B13319" s="1" t="n">
        <v>45293</v>
      </c>
      <c r="C13319" s="1" t="n">
        <v>45357</v>
      </c>
      <c r="D13319" t="inlineStr">
        <is>
          <t>VÄSTERBOTTENS LÄN</t>
        </is>
      </c>
      <c r="E13319" t="inlineStr">
        <is>
          <t>SKELLEFTEÅ</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34-2024</t>
        </is>
      </c>
      <c r="B13320" s="1" t="n">
        <v>45293</v>
      </c>
      <c r="C13320" s="1" t="n">
        <v>45357</v>
      </c>
      <c r="D13320" t="inlineStr">
        <is>
          <t>VÄSTERBOTTENS LÄN</t>
        </is>
      </c>
      <c r="E13320" t="inlineStr">
        <is>
          <t>VINDELN</t>
        </is>
      </c>
      <c r="G13320" t="n">
        <v>6.2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78-2024</t>
        </is>
      </c>
      <c r="B13321" s="1" t="n">
        <v>45293</v>
      </c>
      <c r="C13321" s="1" t="n">
        <v>45357</v>
      </c>
      <c r="D13321" t="inlineStr">
        <is>
          <t>VÄSTERBOTTENS LÄN</t>
        </is>
      </c>
      <c r="E13321" t="inlineStr">
        <is>
          <t>MALÅ</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80-2024</t>
        </is>
      </c>
      <c r="B13322" s="1" t="n">
        <v>45293</v>
      </c>
      <c r="C13322" s="1" t="n">
        <v>45357</v>
      </c>
      <c r="D13322" t="inlineStr">
        <is>
          <t>VÄSTERBOTTENS LÄN</t>
        </is>
      </c>
      <c r="E13322" t="inlineStr">
        <is>
          <t>BJURHOLM</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165-2024</t>
        </is>
      </c>
      <c r="B13323" s="1" t="n">
        <v>45293</v>
      </c>
      <c r="C13323" s="1" t="n">
        <v>45357</v>
      </c>
      <c r="D13323" t="inlineStr">
        <is>
          <t>VÄSTERBOTTENS LÄN</t>
        </is>
      </c>
      <c r="E13323" t="inlineStr">
        <is>
          <t>NORDMALING</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207-2024</t>
        </is>
      </c>
      <c r="B13324" s="1" t="n">
        <v>45293</v>
      </c>
      <c r="C13324" s="1" t="n">
        <v>45357</v>
      </c>
      <c r="D13324" t="inlineStr">
        <is>
          <t>VÄSTERBOTTENS LÄN</t>
        </is>
      </c>
      <c r="E13324" t="inlineStr">
        <is>
          <t>SKELLEFTEÅ</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83-2024</t>
        </is>
      </c>
      <c r="B13325" s="1" t="n">
        <v>45293</v>
      </c>
      <c r="C13325" s="1" t="n">
        <v>45357</v>
      </c>
      <c r="D13325" t="inlineStr">
        <is>
          <t>VÄSTERBOTTENS LÄN</t>
        </is>
      </c>
      <c r="E13325" t="inlineStr">
        <is>
          <t>SORSELE</t>
        </is>
      </c>
      <c r="G13325" t="n">
        <v>8.300000000000001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99-2024</t>
        </is>
      </c>
      <c r="B13326" s="1" t="n">
        <v>45293</v>
      </c>
      <c r="C13326" s="1" t="n">
        <v>45357</v>
      </c>
      <c r="D13326" t="inlineStr">
        <is>
          <t>VÄSTERBOTTENS LÄN</t>
        </is>
      </c>
      <c r="E13326" t="inlineStr">
        <is>
          <t>DOROTEA</t>
        </is>
      </c>
      <c r="G13326" t="n">
        <v>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160-2024</t>
        </is>
      </c>
      <c r="B13327" s="1" t="n">
        <v>45293</v>
      </c>
      <c r="C13327" s="1" t="n">
        <v>45357</v>
      </c>
      <c r="D13327" t="inlineStr">
        <is>
          <t>VÄSTERBOTTENS LÄN</t>
        </is>
      </c>
      <c r="E13327" t="inlineStr">
        <is>
          <t>NORDMALING</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155-2024</t>
        </is>
      </c>
      <c r="B13328" s="1" t="n">
        <v>45293</v>
      </c>
      <c r="C13328" s="1" t="n">
        <v>45357</v>
      </c>
      <c r="D13328" t="inlineStr">
        <is>
          <t>VÄSTERBOTTENS LÄN</t>
        </is>
      </c>
      <c r="E13328" t="inlineStr">
        <is>
          <t>NORDMALING</t>
        </is>
      </c>
      <c r="G13328" t="n">
        <v>14.1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248-2024</t>
        </is>
      </c>
      <c r="B13329" s="1" t="n">
        <v>45294</v>
      </c>
      <c r="C13329" s="1" t="n">
        <v>45357</v>
      </c>
      <c r="D13329" t="inlineStr">
        <is>
          <t>VÄSTERBOTTENS LÄN</t>
        </is>
      </c>
      <c r="E13329" t="inlineStr">
        <is>
          <t>SORSELE</t>
        </is>
      </c>
      <c r="G13329" t="n">
        <v>8.5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244-2024</t>
        </is>
      </c>
      <c r="B13330" s="1" t="n">
        <v>45294</v>
      </c>
      <c r="C13330" s="1" t="n">
        <v>45357</v>
      </c>
      <c r="D13330" t="inlineStr">
        <is>
          <t>VÄSTERBOTTENS LÄN</t>
        </is>
      </c>
      <c r="E13330" t="inlineStr">
        <is>
          <t>STORUMAN</t>
        </is>
      </c>
      <c r="G13330" t="n">
        <v>6.6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238-2024</t>
        </is>
      </c>
      <c r="B13331" s="1" t="n">
        <v>45294</v>
      </c>
      <c r="C13331" s="1" t="n">
        <v>45357</v>
      </c>
      <c r="D13331" t="inlineStr">
        <is>
          <t>VÄSTERBOTTENS LÄN</t>
        </is>
      </c>
      <c r="E13331" t="inlineStr">
        <is>
          <t>ÅSELE</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175-2024</t>
        </is>
      </c>
      <c r="B13332" s="1" t="n">
        <v>45294</v>
      </c>
      <c r="C13332" s="1" t="n">
        <v>45357</v>
      </c>
      <c r="D13332" t="inlineStr">
        <is>
          <t>VÄSTERBOTTENS LÄN</t>
        </is>
      </c>
      <c r="E13332" t="inlineStr">
        <is>
          <t>LYCKSELE</t>
        </is>
      </c>
      <c r="F13332" t="inlineStr">
        <is>
          <t>Sveaskog</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171-2024</t>
        </is>
      </c>
      <c r="B13333" s="1" t="n">
        <v>45294</v>
      </c>
      <c r="C13333" s="1" t="n">
        <v>45357</v>
      </c>
      <c r="D13333" t="inlineStr">
        <is>
          <t>VÄSTERBOTTENS LÄN</t>
        </is>
      </c>
      <c r="E13333" t="inlineStr">
        <is>
          <t>LYCKSELE</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134-2024</t>
        </is>
      </c>
      <c r="B13334" s="1" t="n">
        <v>45294</v>
      </c>
      <c r="C13334" s="1" t="n">
        <v>45357</v>
      </c>
      <c r="D13334" t="inlineStr">
        <is>
          <t>VÄSTERBOTTENS LÄN</t>
        </is>
      </c>
      <c r="E13334" t="inlineStr">
        <is>
          <t>LYCKSELE</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122-2024</t>
        </is>
      </c>
      <c r="B13335" s="1" t="n">
        <v>45294</v>
      </c>
      <c r="C13335" s="1" t="n">
        <v>45357</v>
      </c>
      <c r="D13335" t="inlineStr">
        <is>
          <t>VÄSTERBOTTENS LÄN</t>
        </is>
      </c>
      <c r="E13335" t="inlineStr">
        <is>
          <t>LYCKSELE</t>
        </is>
      </c>
      <c r="G13335" t="n">
        <v>6.8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245-2024</t>
        </is>
      </c>
      <c r="B13336" s="1" t="n">
        <v>45294</v>
      </c>
      <c r="C13336" s="1" t="n">
        <v>45357</v>
      </c>
      <c r="D13336" t="inlineStr">
        <is>
          <t>VÄSTERBOTTENS LÄN</t>
        </is>
      </c>
      <c r="E13336" t="inlineStr">
        <is>
          <t>STORUMAN</t>
        </is>
      </c>
      <c r="G13336" t="n">
        <v>7.7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261-2024</t>
        </is>
      </c>
      <c r="B13337" s="1" t="n">
        <v>45294</v>
      </c>
      <c r="C13337" s="1" t="n">
        <v>45357</v>
      </c>
      <c r="D13337" t="inlineStr">
        <is>
          <t>VÄSTERBOTTENS LÄN</t>
        </is>
      </c>
      <c r="E13337" t="inlineStr">
        <is>
          <t>BJURHOLM</t>
        </is>
      </c>
      <c r="G13337" t="n">
        <v>13.4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169-2024</t>
        </is>
      </c>
      <c r="B13338" s="1" t="n">
        <v>45294</v>
      </c>
      <c r="C13338" s="1" t="n">
        <v>45357</v>
      </c>
      <c r="D13338" t="inlineStr">
        <is>
          <t>VÄSTERBOTTENS LÄN</t>
        </is>
      </c>
      <c r="E13338" t="inlineStr">
        <is>
          <t>LYCKSELE</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112-2024</t>
        </is>
      </c>
      <c r="B13339" s="1" t="n">
        <v>45294</v>
      </c>
      <c r="C13339" s="1" t="n">
        <v>45357</v>
      </c>
      <c r="D13339" t="inlineStr">
        <is>
          <t>VÄSTERBOTTENS LÄN</t>
        </is>
      </c>
      <c r="E13339" t="inlineStr">
        <is>
          <t>ROBERTSFORS</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370-2024</t>
        </is>
      </c>
      <c r="B13340" s="1" t="n">
        <v>45296</v>
      </c>
      <c r="C13340" s="1" t="n">
        <v>45357</v>
      </c>
      <c r="D13340" t="inlineStr">
        <is>
          <t>VÄSTERBOTTENS LÄN</t>
        </is>
      </c>
      <c r="E13340" t="inlineStr">
        <is>
          <t>VILHELMINA</t>
        </is>
      </c>
      <c r="F13340" t="inlineStr">
        <is>
          <t>SCA</t>
        </is>
      </c>
      <c r="G13340" t="n">
        <v>6.3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367-2024</t>
        </is>
      </c>
      <c r="B13341" s="1" t="n">
        <v>45295</v>
      </c>
      <c r="C13341" s="1" t="n">
        <v>45357</v>
      </c>
      <c r="D13341" t="inlineStr">
        <is>
          <t>VÄSTERBOTTENS LÄN</t>
        </is>
      </c>
      <c r="E13341" t="inlineStr">
        <is>
          <t>VILHELMINA</t>
        </is>
      </c>
      <c r="F13341" t="inlineStr">
        <is>
          <t>SCA</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339-2024</t>
        </is>
      </c>
      <c r="B13342" s="1" t="n">
        <v>45295</v>
      </c>
      <c r="C13342" s="1" t="n">
        <v>45357</v>
      </c>
      <c r="D13342" t="inlineStr">
        <is>
          <t>VÄSTERBOTTENS LÄN</t>
        </is>
      </c>
      <c r="E13342" t="inlineStr">
        <is>
          <t>ÅSELE</t>
        </is>
      </c>
      <c r="F13342" t="inlineStr">
        <is>
          <t>Holmen skog AB</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361-2024</t>
        </is>
      </c>
      <c r="B13343" s="1" t="n">
        <v>45295</v>
      </c>
      <c r="C13343" s="1" t="n">
        <v>45357</v>
      </c>
      <c r="D13343" t="inlineStr">
        <is>
          <t>VÄSTERBOTTENS LÄN</t>
        </is>
      </c>
      <c r="E13343" t="inlineStr">
        <is>
          <t>DOROTEA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378-2024</t>
        </is>
      </c>
      <c r="B13344" s="1" t="n">
        <v>45296</v>
      </c>
      <c r="C13344" s="1" t="n">
        <v>45357</v>
      </c>
      <c r="D13344" t="inlineStr">
        <is>
          <t>VÄSTERBOTTENS LÄN</t>
        </is>
      </c>
      <c r="E13344" t="inlineStr">
        <is>
          <t>VINDELN</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381-2024</t>
        </is>
      </c>
      <c r="B13345" s="1" t="n">
        <v>45296</v>
      </c>
      <c r="C13345" s="1" t="n">
        <v>45357</v>
      </c>
      <c r="D13345" t="inlineStr">
        <is>
          <t>VÄSTERBOTTENS LÄN</t>
        </is>
      </c>
      <c r="E13345" t="inlineStr">
        <is>
          <t>SKELLEFTEÅ</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395-2024</t>
        </is>
      </c>
      <c r="B13346" s="1" t="n">
        <v>45296</v>
      </c>
      <c r="C13346" s="1" t="n">
        <v>45357</v>
      </c>
      <c r="D13346" t="inlineStr">
        <is>
          <t>VÄSTERBOTTENS LÄN</t>
        </is>
      </c>
      <c r="E13346" t="inlineStr">
        <is>
          <t>LYCKSELE</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418-2024</t>
        </is>
      </c>
      <c r="B13347" s="1" t="n">
        <v>45296</v>
      </c>
      <c r="C13347" s="1" t="n">
        <v>45357</v>
      </c>
      <c r="D13347" t="inlineStr">
        <is>
          <t>VÄSTERBOTTENS LÄN</t>
        </is>
      </c>
      <c r="E13347" t="inlineStr">
        <is>
          <t>SKELLEFTEÅ</t>
        </is>
      </c>
      <c r="G13347" t="n">
        <v>3.2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475-2024</t>
        </is>
      </c>
      <c r="B13348" s="1" t="n">
        <v>45297</v>
      </c>
      <c r="C13348" s="1" t="n">
        <v>45357</v>
      </c>
      <c r="D13348" t="inlineStr">
        <is>
          <t>VÄSTERBOTTENS LÄN</t>
        </is>
      </c>
      <c r="E13348" t="inlineStr">
        <is>
          <t>VILHELMINA</t>
        </is>
      </c>
      <c r="G13348" t="n">
        <v>6.1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468-2024</t>
        </is>
      </c>
      <c r="B13349" s="1" t="n">
        <v>45297</v>
      </c>
      <c r="C13349" s="1" t="n">
        <v>45357</v>
      </c>
      <c r="D13349" t="inlineStr">
        <is>
          <t>VÄSTERBOTTENS LÄN</t>
        </is>
      </c>
      <c r="E13349" t="inlineStr">
        <is>
          <t>VILHELMINA</t>
        </is>
      </c>
      <c r="G13349" t="n">
        <v>6.7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489-2024</t>
        </is>
      </c>
      <c r="B13350" s="1" t="n">
        <v>45298</v>
      </c>
      <c r="C13350" s="1" t="n">
        <v>45357</v>
      </c>
      <c r="D13350" t="inlineStr">
        <is>
          <t>VÄSTERBOTTENS LÄN</t>
        </is>
      </c>
      <c r="E13350" t="inlineStr">
        <is>
          <t>UMEÅ</t>
        </is>
      </c>
      <c r="G13350" t="n">
        <v>8.1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495-2024</t>
        </is>
      </c>
      <c r="B13351" s="1" t="n">
        <v>45299</v>
      </c>
      <c r="C13351" s="1" t="n">
        <v>45357</v>
      </c>
      <c r="D13351" t="inlineStr">
        <is>
          <t>VÄSTERBOTTENS LÄN</t>
        </is>
      </c>
      <c r="E13351" t="inlineStr">
        <is>
          <t>VINDELN</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536-2024</t>
        </is>
      </c>
      <c r="B13352" s="1" t="n">
        <v>45299</v>
      </c>
      <c r="C13352" s="1" t="n">
        <v>45357</v>
      </c>
      <c r="D13352" t="inlineStr">
        <is>
          <t>VÄSTERBOTTENS LÄN</t>
        </is>
      </c>
      <c r="E13352" t="inlineStr">
        <is>
          <t>VINDELN</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611-2024</t>
        </is>
      </c>
      <c r="B13353" s="1" t="n">
        <v>45299</v>
      </c>
      <c r="C13353" s="1" t="n">
        <v>45357</v>
      </c>
      <c r="D13353" t="inlineStr">
        <is>
          <t>VÄSTERBOTTENS LÄN</t>
        </is>
      </c>
      <c r="E13353" t="inlineStr">
        <is>
          <t>UMEÅ</t>
        </is>
      </c>
      <c r="G13353" t="n">
        <v>10.5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628-2024</t>
        </is>
      </c>
      <c r="B13354" s="1" t="n">
        <v>45299</v>
      </c>
      <c r="C13354" s="1" t="n">
        <v>45357</v>
      </c>
      <c r="D13354" t="inlineStr">
        <is>
          <t>VÄSTERBOTTENS LÄN</t>
        </is>
      </c>
      <c r="E13354" t="inlineStr">
        <is>
          <t>UMEÅ</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525-2024</t>
        </is>
      </c>
      <c r="B13355" s="1" t="n">
        <v>45299</v>
      </c>
      <c r="C13355" s="1" t="n">
        <v>45357</v>
      </c>
      <c r="D13355" t="inlineStr">
        <is>
          <t>VÄSTERBOTTENS LÄN</t>
        </is>
      </c>
      <c r="E13355" t="inlineStr">
        <is>
          <t>VINDELN</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590-2024</t>
        </is>
      </c>
      <c r="B13356" s="1" t="n">
        <v>45299</v>
      </c>
      <c r="C13356" s="1" t="n">
        <v>45357</v>
      </c>
      <c r="D13356" t="inlineStr">
        <is>
          <t>VÄSTERBOTTENS LÄN</t>
        </is>
      </c>
      <c r="E13356" t="inlineStr">
        <is>
          <t>UMEÅ</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598-2024</t>
        </is>
      </c>
      <c r="B13357" s="1" t="n">
        <v>45299</v>
      </c>
      <c r="C13357" s="1" t="n">
        <v>45357</v>
      </c>
      <c r="D13357" t="inlineStr">
        <is>
          <t>VÄSTERBOTTENS LÄN</t>
        </is>
      </c>
      <c r="E13357" t="inlineStr">
        <is>
          <t>UMEÅ</t>
        </is>
      </c>
      <c r="G13357" t="n">
        <v>7.2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634-2024</t>
        </is>
      </c>
      <c r="B13358" s="1" t="n">
        <v>45299</v>
      </c>
      <c r="C13358" s="1" t="n">
        <v>45357</v>
      </c>
      <c r="D13358" t="inlineStr">
        <is>
          <t>VÄSTERBOTTENS LÄN</t>
        </is>
      </c>
      <c r="E13358" t="inlineStr">
        <is>
          <t>UMEÅ</t>
        </is>
      </c>
      <c r="G13358" t="n">
        <v>2.7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671-2024</t>
        </is>
      </c>
      <c r="B13359" s="1" t="n">
        <v>45299</v>
      </c>
      <c r="C13359" s="1" t="n">
        <v>45357</v>
      </c>
      <c r="D13359" t="inlineStr">
        <is>
          <t>VÄSTERBOTTENS LÄN</t>
        </is>
      </c>
      <c r="E13359" t="inlineStr">
        <is>
          <t>SKELLEFTEÅ</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660-2024</t>
        </is>
      </c>
      <c r="B13360" s="1" t="n">
        <v>45299</v>
      </c>
      <c r="C13360" s="1" t="n">
        <v>45357</v>
      </c>
      <c r="D13360" t="inlineStr">
        <is>
          <t>VÄSTERBOTTENS LÄN</t>
        </is>
      </c>
      <c r="E13360" t="inlineStr">
        <is>
          <t>NORSJÖ</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675-2024</t>
        </is>
      </c>
      <c r="B13361" s="1" t="n">
        <v>45300</v>
      </c>
      <c r="C13361" s="1" t="n">
        <v>45357</v>
      </c>
      <c r="D13361" t="inlineStr">
        <is>
          <t>VÄSTERBOTTENS LÄN</t>
        </is>
      </c>
      <c r="E13361" t="inlineStr">
        <is>
          <t>STORUMAN</t>
        </is>
      </c>
      <c r="F13361" t="inlineStr">
        <is>
          <t>Sveaskog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793-2024</t>
        </is>
      </c>
      <c r="B13362" s="1" t="n">
        <v>45300</v>
      </c>
      <c r="C13362" s="1" t="n">
        <v>45357</v>
      </c>
      <c r="D13362" t="inlineStr">
        <is>
          <t>VÄSTERBOTTENS LÄN</t>
        </is>
      </c>
      <c r="E13362" t="inlineStr">
        <is>
          <t>NORSJÖ</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668-2024</t>
        </is>
      </c>
      <c r="B13363" s="1" t="n">
        <v>45300</v>
      </c>
      <c r="C13363" s="1" t="n">
        <v>45357</v>
      </c>
      <c r="D13363" t="inlineStr">
        <is>
          <t>VÄSTERBOTTENS LÄN</t>
        </is>
      </c>
      <c r="E13363" t="inlineStr">
        <is>
          <t>SKELLEFTEÅ</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709-2024</t>
        </is>
      </c>
      <c r="B13364" s="1" t="n">
        <v>45300</v>
      </c>
      <c r="C13364" s="1" t="n">
        <v>45357</v>
      </c>
      <c r="D13364" t="inlineStr">
        <is>
          <t>VÄSTERBOTTENS LÄN</t>
        </is>
      </c>
      <c r="E13364" t="inlineStr">
        <is>
          <t>ROBERTSFORS</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770-2024</t>
        </is>
      </c>
      <c r="B13365" s="1" t="n">
        <v>45300</v>
      </c>
      <c r="C13365" s="1" t="n">
        <v>45357</v>
      </c>
      <c r="D13365" t="inlineStr">
        <is>
          <t>VÄSTERBOTTENS LÄN</t>
        </is>
      </c>
      <c r="E13365" t="inlineStr">
        <is>
          <t>BJURHOLM</t>
        </is>
      </c>
      <c r="G13365" t="n">
        <v>5.7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706-2024</t>
        </is>
      </c>
      <c r="B13366" s="1" t="n">
        <v>45300</v>
      </c>
      <c r="C13366" s="1" t="n">
        <v>45357</v>
      </c>
      <c r="D13366" t="inlineStr">
        <is>
          <t>VÄSTERBOTTENS LÄN</t>
        </is>
      </c>
      <c r="E13366" t="inlineStr">
        <is>
          <t>VILHELMINA</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804-2024</t>
        </is>
      </c>
      <c r="B13367" s="1" t="n">
        <v>45300</v>
      </c>
      <c r="C13367" s="1" t="n">
        <v>45357</v>
      </c>
      <c r="D13367" t="inlineStr">
        <is>
          <t>VÄSTERBOTTENS LÄN</t>
        </is>
      </c>
      <c r="E13367" t="inlineStr">
        <is>
          <t>SORSELE</t>
        </is>
      </c>
      <c r="F13367" t="inlineStr">
        <is>
          <t>Sveaskog</t>
        </is>
      </c>
      <c r="G13367" t="n">
        <v>16.8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850-2024</t>
        </is>
      </c>
      <c r="B13368" s="1" t="n">
        <v>45300</v>
      </c>
      <c r="C13368" s="1" t="n">
        <v>45357</v>
      </c>
      <c r="D13368" t="inlineStr">
        <is>
          <t>VÄSTERBOTTENS LÄN</t>
        </is>
      </c>
      <c r="E13368" t="inlineStr">
        <is>
          <t>STORUMAN</t>
        </is>
      </c>
      <c r="G13368" t="n">
        <v>8.5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851-2024</t>
        </is>
      </c>
      <c r="B13369" s="1" t="n">
        <v>45300</v>
      </c>
      <c r="C13369" s="1" t="n">
        <v>45357</v>
      </c>
      <c r="D13369" t="inlineStr">
        <is>
          <t>VÄSTERBOTTENS LÄN</t>
        </is>
      </c>
      <c r="E13369" t="inlineStr">
        <is>
          <t>STORUMAN</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860-2024</t>
        </is>
      </c>
      <c r="B13370" s="1" t="n">
        <v>45300</v>
      </c>
      <c r="C13370" s="1" t="n">
        <v>45357</v>
      </c>
      <c r="D13370" t="inlineStr">
        <is>
          <t>VÄSTERBOTTENS LÄN</t>
        </is>
      </c>
      <c r="E13370" t="inlineStr">
        <is>
          <t>DOROTEA</t>
        </is>
      </c>
      <c r="F13370" t="inlineStr">
        <is>
          <t>SCA</t>
        </is>
      </c>
      <c r="G13370" t="n">
        <v>9.699999999999999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955-2024</t>
        </is>
      </c>
      <c r="B13371" s="1" t="n">
        <v>45301</v>
      </c>
      <c r="C13371" s="1" t="n">
        <v>45357</v>
      </c>
      <c r="D13371" t="inlineStr">
        <is>
          <t>VÄSTERBOTTENS LÄN</t>
        </is>
      </c>
      <c r="E13371" t="inlineStr">
        <is>
          <t>UMEÅ</t>
        </is>
      </c>
      <c r="G13371" t="n">
        <v>3.7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959-2024</t>
        </is>
      </c>
      <c r="B13372" s="1" t="n">
        <v>45301</v>
      </c>
      <c r="C13372" s="1" t="n">
        <v>45357</v>
      </c>
      <c r="D13372" t="inlineStr">
        <is>
          <t>VÄSTERBOTTENS LÄN</t>
        </is>
      </c>
      <c r="E13372" t="inlineStr">
        <is>
          <t>UMEÅ</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889-2024</t>
        </is>
      </c>
      <c r="B13373" s="1" t="n">
        <v>45301</v>
      </c>
      <c r="C13373" s="1" t="n">
        <v>45357</v>
      </c>
      <c r="D13373" t="inlineStr">
        <is>
          <t>VÄSTERBOTTENS LÄN</t>
        </is>
      </c>
      <c r="E13373" t="inlineStr">
        <is>
          <t>ÅSELE</t>
        </is>
      </c>
      <c r="G13373" t="n">
        <v>28.1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1009-2024</t>
        </is>
      </c>
      <c r="B13374" s="1" t="n">
        <v>45301</v>
      </c>
      <c r="C13374" s="1" t="n">
        <v>45357</v>
      </c>
      <c r="D13374" t="inlineStr">
        <is>
          <t>VÄSTERBOTTENS LÄN</t>
        </is>
      </c>
      <c r="E13374" t="inlineStr">
        <is>
          <t>LYCKSELE</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883-2024</t>
        </is>
      </c>
      <c r="B13375" s="1" t="n">
        <v>45301</v>
      </c>
      <c r="C13375" s="1" t="n">
        <v>45357</v>
      </c>
      <c r="D13375" t="inlineStr">
        <is>
          <t>VÄSTERBOTTENS LÄN</t>
        </is>
      </c>
      <c r="E13375" t="inlineStr">
        <is>
          <t>NORDMALING</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964-2024</t>
        </is>
      </c>
      <c r="B13376" s="1" t="n">
        <v>45301</v>
      </c>
      <c r="C13376" s="1" t="n">
        <v>45357</v>
      </c>
      <c r="D13376" t="inlineStr">
        <is>
          <t>VÄSTERBOTTENS LÄN</t>
        </is>
      </c>
      <c r="E13376" t="inlineStr">
        <is>
          <t>UMEÅ</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991-2024</t>
        </is>
      </c>
      <c r="B13377" s="1" t="n">
        <v>45301</v>
      </c>
      <c r="C13377" s="1" t="n">
        <v>45357</v>
      </c>
      <c r="D13377" t="inlineStr">
        <is>
          <t>VÄSTERBOTTENS LÄN</t>
        </is>
      </c>
      <c r="E13377" t="inlineStr">
        <is>
          <t>ROBERTSFORS</t>
        </is>
      </c>
      <c r="G13377" t="n">
        <v>8.800000000000001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995-2024</t>
        </is>
      </c>
      <c r="B13378" s="1" t="n">
        <v>45301</v>
      </c>
      <c r="C13378" s="1" t="n">
        <v>45357</v>
      </c>
      <c r="D13378" t="inlineStr">
        <is>
          <t>VÄSTERBOTTENS LÄN</t>
        </is>
      </c>
      <c r="E13378" t="inlineStr">
        <is>
          <t>LYCKSELE</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1089-2024</t>
        </is>
      </c>
      <c r="B13379" s="1" t="n">
        <v>45301</v>
      </c>
      <c r="C13379" s="1" t="n">
        <v>45357</v>
      </c>
      <c r="D13379" t="inlineStr">
        <is>
          <t>VÄSTERBOTTENS LÄN</t>
        </is>
      </c>
      <c r="E13379" t="inlineStr">
        <is>
          <t>UMEÅ</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1114-2024</t>
        </is>
      </c>
      <c r="B13380" s="1" t="n">
        <v>45302</v>
      </c>
      <c r="C13380" s="1" t="n">
        <v>45357</v>
      </c>
      <c r="D13380" t="inlineStr">
        <is>
          <t>VÄSTERBOTTENS LÄN</t>
        </is>
      </c>
      <c r="E13380" t="inlineStr">
        <is>
          <t>SKELLEFTEÅ</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1108-2024</t>
        </is>
      </c>
      <c r="B13381" s="1" t="n">
        <v>45302</v>
      </c>
      <c r="C13381" s="1" t="n">
        <v>45357</v>
      </c>
      <c r="D13381" t="inlineStr">
        <is>
          <t>VÄSTERBOTTENS LÄN</t>
        </is>
      </c>
      <c r="E13381" t="inlineStr">
        <is>
          <t>DOROTEA</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1112-2024</t>
        </is>
      </c>
      <c r="B13382" s="1" t="n">
        <v>45302</v>
      </c>
      <c r="C13382" s="1" t="n">
        <v>45357</v>
      </c>
      <c r="D13382" t="inlineStr">
        <is>
          <t>VÄSTERBOTTENS LÄN</t>
        </is>
      </c>
      <c r="E13382" t="inlineStr">
        <is>
          <t>ROBERTSFORS</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1116-2024</t>
        </is>
      </c>
      <c r="B13383" s="1" t="n">
        <v>45302</v>
      </c>
      <c r="C13383" s="1" t="n">
        <v>45357</v>
      </c>
      <c r="D13383" t="inlineStr">
        <is>
          <t>VÄSTERBOTTENS LÄN</t>
        </is>
      </c>
      <c r="E13383" t="inlineStr">
        <is>
          <t>ROBERTSFORS</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1169-2024</t>
        </is>
      </c>
      <c r="B13384" s="1" t="n">
        <v>45302</v>
      </c>
      <c r="C13384" s="1" t="n">
        <v>45357</v>
      </c>
      <c r="D13384" t="inlineStr">
        <is>
          <t>VÄSTERBOTTENS LÄN</t>
        </is>
      </c>
      <c r="E13384" t="inlineStr">
        <is>
          <t>BJURHOLM</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1220-2024</t>
        </is>
      </c>
      <c r="B13385" s="1" t="n">
        <v>45302</v>
      </c>
      <c r="C13385" s="1" t="n">
        <v>45357</v>
      </c>
      <c r="D13385" t="inlineStr">
        <is>
          <t>VÄSTERBOTTENS LÄN</t>
        </is>
      </c>
      <c r="E13385" t="inlineStr">
        <is>
          <t>STORUMAN</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1255-2024</t>
        </is>
      </c>
      <c r="B13386" s="1" t="n">
        <v>45302</v>
      </c>
      <c r="C13386" s="1" t="n">
        <v>45357</v>
      </c>
      <c r="D13386" t="inlineStr">
        <is>
          <t>VÄSTERBOTTENS LÄN</t>
        </is>
      </c>
      <c r="E13386" t="inlineStr">
        <is>
          <t>SKELLEFTEÅ</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1257-2024</t>
        </is>
      </c>
      <c r="B13387" s="1" t="n">
        <v>45302</v>
      </c>
      <c r="C13387" s="1" t="n">
        <v>45357</v>
      </c>
      <c r="D13387" t="inlineStr">
        <is>
          <t>VÄSTERBOTTENS LÄN</t>
        </is>
      </c>
      <c r="E13387" t="inlineStr">
        <is>
          <t>SKELLEFTEÅ</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1117-2024</t>
        </is>
      </c>
      <c r="B13388" s="1" t="n">
        <v>45302</v>
      </c>
      <c r="C13388" s="1" t="n">
        <v>45357</v>
      </c>
      <c r="D13388" t="inlineStr">
        <is>
          <t>VÄSTERBOTTENS LÄN</t>
        </is>
      </c>
      <c r="E13388" t="inlineStr">
        <is>
          <t>ROBERTSFORS</t>
        </is>
      </c>
      <c r="G13388" t="n">
        <v>0.3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1142-2024</t>
        </is>
      </c>
      <c r="B13389" s="1" t="n">
        <v>45302</v>
      </c>
      <c r="C13389" s="1" t="n">
        <v>45357</v>
      </c>
      <c r="D13389" t="inlineStr">
        <is>
          <t>VÄSTERBOTTENS LÄN</t>
        </is>
      </c>
      <c r="E13389" t="inlineStr">
        <is>
          <t>MALÅ</t>
        </is>
      </c>
      <c r="F13389" t="inlineStr">
        <is>
          <t>Sveaskog</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1229-2024</t>
        </is>
      </c>
      <c r="B13390" s="1" t="n">
        <v>45302</v>
      </c>
      <c r="C13390" s="1" t="n">
        <v>45357</v>
      </c>
      <c r="D13390" t="inlineStr">
        <is>
          <t>VÄSTERBOTTENS LÄN</t>
        </is>
      </c>
      <c r="E13390" t="inlineStr">
        <is>
          <t>STORUMAN</t>
        </is>
      </c>
      <c r="F13390" t="inlineStr">
        <is>
          <t>Holmen skog AB</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1256-2024</t>
        </is>
      </c>
      <c r="B13391" s="1" t="n">
        <v>45302</v>
      </c>
      <c r="C13391" s="1" t="n">
        <v>45357</v>
      </c>
      <c r="D13391" t="inlineStr">
        <is>
          <t>VÄSTERBOTTENS LÄN</t>
        </is>
      </c>
      <c r="E13391" t="inlineStr">
        <is>
          <t>SKELLEFTEÅ</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1250-2024</t>
        </is>
      </c>
      <c r="B13392" s="1" t="n">
        <v>45302</v>
      </c>
      <c r="C13392" s="1" t="n">
        <v>45357</v>
      </c>
      <c r="D13392" t="inlineStr">
        <is>
          <t>VÄSTERBOTTENS LÄN</t>
        </is>
      </c>
      <c r="E13392" t="inlineStr">
        <is>
          <t>SKELLEFTEÅ</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1280-2024</t>
        </is>
      </c>
      <c r="B13393" s="1" t="n">
        <v>45303</v>
      </c>
      <c r="C13393" s="1" t="n">
        <v>45357</v>
      </c>
      <c r="D13393" t="inlineStr">
        <is>
          <t>VÄSTERBOTTENS LÄN</t>
        </is>
      </c>
      <c r="E13393" t="inlineStr">
        <is>
          <t>SKELLEFTEÅ</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1386-2024</t>
        </is>
      </c>
      <c r="B13394" s="1" t="n">
        <v>45303</v>
      </c>
      <c r="C13394" s="1" t="n">
        <v>45357</v>
      </c>
      <c r="D13394" t="inlineStr">
        <is>
          <t>VÄSTERBOTTENS LÄN</t>
        </is>
      </c>
      <c r="E13394" t="inlineStr">
        <is>
          <t>VINDELN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1462-2024</t>
        </is>
      </c>
      <c r="B13395" s="1" t="n">
        <v>45303</v>
      </c>
      <c r="C13395" s="1" t="n">
        <v>45357</v>
      </c>
      <c r="D13395" t="inlineStr">
        <is>
          <t>VÄSTERBOTTENS LÄN</t>
        </is>
      </c>
      <c r="E13395" t="inlineStr">
        <is>
          <t>SORSELE</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1383-2024</t>
        </is>
      </c>
      <c r="B13396" s="1" t="n">
        <v>45303</v>
      </c>
      <c r="C13396" s="1" t="n">
        <v>45357</v>
      </c>
      <c r="D13396" t="inlineStr">
        <is>
          <t>VÄSTERBOTTENS LÄN</t>
        </is>
      </c>
      <c r="E13396" t="inlineStr">
        <is>
          <t>VINDELN</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1419-2024</t>
        </is>
      </c>
      <c r="B13397" s="1" t="n">
        <v>45303</v>
      </c>
      <c r="C13397" s="1" t="n">
        <v>45357</v>
      </c>
      <c r="D13397" t="inlineStr">
        <is>
          <t>VÄSTERBOTTENS LÄN</t>
        </is>
      </c>
      <c r="E13397" t="inlineStr">
        <is>
          <t>SKELLEFTEÅ</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1498-2024</t>
        </is>
      </c>
      <c r="B13398" s="1" t="n">
        <v>45306</v>
      </c>
      <c r="C13398" s="1" t="n">
        <v>45357</v>
      </c>
      <c r="D13398" t="inlineStr">
        <is>
          <t>VÄSTERBOTTENS LÄN</t>
        </is>
      </c>
      <c r="E13398" t="inlineStr">
        <is>
          <t>SKELLEFTEÅ</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1564-2024</t>
        </is>
      </c>
      <c r="B13399" s="1" t="n">
        <v>45306</v>
      </c>
      <c r="C13399" s="1" t="n">
        <v>45357</v>
      </c>
      <c r="D13399" t="inlineStr">
        <is>
          <t>VÄSTERBOTTENS LÄN</t>
        </is>
      </c>
      <c r="E13399" t="inlineStr">
        <is>
          <t>SKELLEFTEÅ</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1550-2024</t>
        </is>
      </c>
      <c r="B13400" s="1" t="n">
        <v>45306</v>
      </c>
      <c r="C13400" s="1" t="n">
        <v>45357</v>
      </c>
      <c r="D13400" t="inlineStr">
        <is>
          <t>VÄSTERBOTTENS LÄN</t>
        </is>
      </c>
      <c r="E13400" t="inlineStr">
        <is>
          <t>NORSJÖ</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1557-2024</t>
        </is>
      </c>
      <c r="B13401" s="1" t="n">
        <v>45306</v>
      </c>
      <c r="C13401" s="1" t="n">
        <v>45357</v>
      </c>
      <c r="D13401" t="inlineStr">
        <is>
          <t>VÄSTERBOTTENS LÄN</t>
        </is>
      </c>
      <c r="E13401" t="inlineStr">
        <is>
          <t>SORSELE</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1565-2024</t>
        </is>
      </c>
      <c r="B13402" s="1" t="n">
        <v>45306</v>
      </c>
      <c r="C13402" s="1" t="n">
        <v>45357</v>
      </c>
      <c r="D13402" t="inlineStr">
        <is>
          <t>VÄSTERBOTTENS LÄN</t>
        </is>
      </c>
      <c r="E13402" t="inlineStr">
        <is>
          <t>NORSJÖ</t>
        </is>
      </c>
      <c r="F13402" t="inlineStr">
        <is>
          <t>Holmen skog AB</t>
        </is>
      </c>
      <c r="G13402" t="n">
        <v>23.6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1507-2024</t>
        </is>
      </c>
      <c r="B13403" s="1" t="n">
        <v>45306</v>
      </c>
      <c r="C13403" s="1" t="n">
        <v>45357</v>
      </c>
      <c r="D13403" t="inlineStr">
        <is>
          <t>VÄSTERBOTTENS LÄN</t>
        </is>
      </c>
      <c r="E13403" t="inlineStr">
        <is>
          <t>SKELLEFTEÅ</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1645-2024</t>
        </is>
      </c>
      <c r="B13404" s="1" t="n">
        <v>45306</v>
      </c>
      <c r="C13404" s="1" t="n">
        <v>45357</v>
      </c>
      <c r="D13404" t="inlineStr">
        <is>
          <t>VÄSTERBOTTENS LÄN</t>
        </is>
      </c>
      <c r="E13404" t="inlineStr">
        <is>
          <t>SORSELE</t>
        </is>
      </c>
      <c r="G13404" t="n">
        <v>49.3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1680-2024</t>
        </is>
      </c>
      <c r="B13405" s="1" t="n">
        <v>45307</v>
      </c>
      <c r="C13405" s="1" t="n">
        <v>45357</v>
      </c>
      <c r="D13405" t="inlineStr">
        <is>
          <t>VÄSTERBOTTENS LÄN</t>
        </is>
      </c>
      <c r="E13405" t="inlineStr">
        <is>
          <t>VINDELN</t>
        </is>
      </c>
      <c r="F13405" t="inlineStr">
        <is>
          <t>SCA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1684-2024</t>
        </is>
      </c>
      <c r="B13406" s="1" t="n">
        <v>45307</v>
      </c>
      <c r="C13406" s="1" t="n">
        <v>45357</v>
      </c>
      <c r="D13406" t="inlineStr">
        <is>
          <t>VÄSTERBOTTENS LÄN</t>
        </is>
      </c>
      <c r="E13406" t="inlineStr">
        <is>
          <t>DOROTEA</t>
        </is>
      </c>
      <c r="F13406" t="inlineStr">
        <is>
          <t>SCA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1875-2024</t>
        </is>
      </c>
      <c r="B13407" s="1" t="n">
        <v>45307</v>
      </c>
      <c r="C13407" s="1" t="n">
        <v>45357</v>
      </c>
      <c r="D13407" t="inlineStr">
        <is>
          <t>VÄSTERBOTTENS LÄN</t>
        </is>
      </c>
      <c r="E13407" t="inlineStr">
        <is>
          <t>BJURHOLM</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1826-2024</t>
        </is>
      </c>
      <c r="B13408" s="1" t="n">
        <v>45307</v>
      </c>
      <c r="C13408" s="1" t="n">
        <v>45357</v>
      </c>
      <c r="D13408" t="inlineStr">
        <is>
          <t>VÄSTERBOTTENS LÄN</t>
        </is>
      </c>
      <c r="E13408" t="inlineStr">
        <is>
          <t>SKELLEFTEÅ</t>
        </is>
      </c>
      <c r="G13408" t="n">
        <v>5.9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1829-2024</t>
        </is>
      </c>
      <c r="B13409" s="1" t="n">
        <v>45307</v>
      </c>
      <c r="C13409" s="1" t="n">
        <v>45357</v>
      </c>
      <c r="D13409" t="inlineStr">
        <is>
          <t>VÄSTERBOTTENS LÄN</t>
        </is>
      </c>
      <c r="E13409" t="inlineStr">
        <is>
          <t>SKELLEFTEÅ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1809-2024</t>
        </is>
      </c>
      <c r="B13410" s="1" t="n">
        <v>45307</v>
      </c>
      <c r="C13410" s="1" t="n">
        <v>45357</v>
      </c>
      <c r="D13410" t="inlineStr">
        <is>
          <t>VÄSTERBOTTENS LÄN</t>
        </is>
      </c>
      <c r="E13410" t="inlineStr">
        <is>
          <t>SKELLEFTEÅ</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1876-2024</t>
        </is>
      </c>
      <c r="B13411" s="1" t="n">
        <v>45307</v>
      </c>
      <c r="C13411" s="1" t="n">
        <v>45357</v>
      </c>
      <c r="D13411" t="inlineStr">
        <is>
          <t>VÄSTERBOTTENS LÄN</t>
        </is>
      </c>
      <c r="E13411" t="inlineStr">
        <is>
          <t>UMEÅ</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1827-2024</t>
        </is>
      </c>
      <c r="B13412" s="1" t="n">
        <v>45307</v>
      </c>
      <c r="C13412" s="1" t="n">
        <v>45357</v>
      </c>
      <c r="D13412" t="inlineStr">
        <is>
          <t>VÄSTERBOTTENS LÄN</t>
        </is>
      </c>
      <c r="E13412" t="inlineStr">
        <is>
          <t>SKELLEFTEÅ</t>
        </is>
      </c>
      <c r="G13412" t="n">
        <v>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1802-2024</t>
        </is>
      </c>
      <c r="B13413" s="1" t="n">
        <v>45307</v>
      </c>
      <c r="C13413" s="1" t="n">
        <v>45357</v>
      </c>
      <c r="D13413" t="inlineStr">
        <is>
          <t>VÄSTERBOTTENS LÄN</t>
        </is>
      </c>
      <c r="E13413" t="inlineStr">
        <is>
          <t>VINDELN</t>
        </is>
      </c>
      <c r="F13413" t="inlineStr">
        <is>
          <t>Sveaskog</t>
        </is>
      </c>
      <c r="G13413" t="n">
        <v>35.5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1754-2024</t>
        </is>
      </c>
      <c r="B13414" s="1" t="n">
        <v>45307</v>
      </c>
      <c r="C13414" s="1" t="n">
        <v>45357</v>
      </c>
      <c r="D13414" t="inlineStr">
        <is>
          <t>VÄSTERBOTTENS LÄN</t>
        </is>
      </c>
      <c r="E13414" t="inlineStr">
        <is>
          <t>STORUMAN</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1713-2024</t>
        </is>
      </c>
      <c r="B13415" s="1" t="n">
        <v>45307</v>
      </c>
      <c r="C13415" s="1" t="n">
        <v>45357</v>
      </c>
      <c r="D13415" t="inlineStr">
        <is>
          <t>VÄSTERBOTTENS LÄN</t>
        </is>
      </c>
      <c r="E13415" t="inlineStr">
        <is>
          <t>ROBERTSFORS</t>
        </is>
      </c>
      <c r="G13415" t="n">
        <v>12.1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1855-2024</t>
        </is>
      </c>
      <c r="B13416" s="1" t="n">
        <v>45307</v>
      </c>
      <c r="C13416" s="1" t="n">
        <v>45357</v>
      </c>
      <c r="D13416" t="inlineStr">
        <is>
          <t>VÄSTERBOTTENS LÄN</t>
        </is>
      </c>
      <c r="E13416" t="inlineStr">
        <is>
          <t>MALÅ</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1812-2024</t>
        </is>
      </c>
      <c r="B13417" s="1" t="n">
        <v>45307</v>
      </c>
      <c r="C13417" s="1" t="n">
        <v>45357</v>
      </c>
      <c r="D13417" t="inlineStr">
        <is>
          <t>VÄSTERBOTTENS LÄN</t>
        </is>
      </c>
      <c r="E13417" t="inlineStr">
        <is>
          <t>LYCKSELE</t>
        </is>
      </c>
      <c r="F13417" t="inlineStr">
        <is>
          <t>Sveaskog</t>
        </is>
      </c>
      <c r="G13417" t="n">
        <v>14.9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1780-2024</t>
        </is>
      </c>
      <c r="B13418" s="1" t="n">
        <v>45307</v>
      </c>
      <c r="C13418" s="1" t="n">
        <v>45357</v>
      </c>
      <c r="D13418" t="inlineStr">
        <is>
          <t>VÄSTERBOTTENS LÄN</t>
        </is>
      </c>
      <c r="E13418" t="inlineStr">
        <is>
          <t>VILHELMINA</t>
        </is>
      </c>
      <c r="G13418" t="n">
        <v>9.1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1877-2024</t>
        </is>
      </c>
      <c r="B13419" s="1" t="n">
        <v>45307</v>
      </c>
      <c r="C13419" s="1" t="n">
        <v>45357</v>
      </c>
      <c r="D13419" t="inlineStr">
        <is>
          <t>VÄSTERBOTTENS LÄN</t>
        </is>
      </c>
      <c r="E13419" t="inlineStr">
        <is>
          <t>BJURHOLM</t>
        </is>
      </c>
      <c r="G13419" t="n">
        <v>7.9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1854-2024</t>
        </is>
      </c>
      <c r="B13420" s="1" t="n">
        <v>45307</v>
      </c>
      <c r="C13420" s="1" t="n">
        <v>45357</v>
      </c>
      <c r="D13420" t="inlineStr">
        <is>
          <t>VÄSTERBOTTENS LÄN</t>
        </is>
      </c>
      <c r="E13420" t="inlineStr">
        <is>
          <t>VILHELMINA</t>
        </is>
      </c>
      <c r="G13420" t="n">
        <v>8.6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2023-2024</t>
        </is>
      </c>
      <c r="B13421" s="1" t="n">
        <v>45308</v>
      </c>
      <c r="C13421" s="1" t="n">
        <v>45357</v>
      </c>
      <c r="D13421" t="inlineStr">
        <is>
          <t>VÄSTERBOTTENS LÄN</t>
        </is>
      </c>
      <c r="E13421" t="inlineStr">
        <is>
          <t>VILHELMINA</t>
        </is>
      </c>
      <c r="G13421" t="n">
        <v>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2024-2024</t>
        </is>
      </c>
      <c r="B13422" s="1" t="n">
        <v>45308</v>
      </c>
      <c r="C13422" s="1" t="n">
        <v>45357</v>
      </c>
      <c r="D13422" t="inlineStr">
        <is>
          <t>VÄSTERBOTTENS LÄN</t>
        </is>
      </c>
      <c r="E13422" t="inlineStr">
        <is>
          <t>STORUMAN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2020-2024</t>
        </is>
      </c>
      <c r="B13423" s="1" t="n">
        <v>45308</v>
      </c>
      <c r="C13423" s="1" t="n">
        <v>45357</v>
      </c>
      <c r="D13423" t="inlineStr">
        <is>
          <t>VÄSTERBOTTENS LÄN</t>
        </is>
      </c>
      <c r="E13423" t="inlineStr">
        <is>
          <t>VÄNNÄS</t>
        </is>
      </c>
      <c r="G13423" t="n">
        <v>5.2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2409-2024</t>
        </is>
      </c>
      <c r="B13424" s="1" t="n">
        <v>45308</v>
      </c>
      <c r="C13424" s="1" t="n">
        <v>45357</v>
      </c>
      <c r="D13424" t="inlineStr">
        <is>
          <t>VÄSTERBOTTENS LÄN</t>
        </is>
      </c>
      <c r="E13424" t="inlineStr">
        <is>
          <t>STORUMAN</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2022-2024</t>
        </is>
      </c>
      <c r="B13425" s="1" t="n">
        <v>45308</v>
      </c>
      <c r="C13425" s="1" t="n">
        <v>45357</v>
      </c>
      <c r="D13425" t="inlineStr">
        <is>
          <t>VÄSTERBOTTENS LÄN</t>
        </is>
      </c>
      <c r="E13425" t="inlineStr">
        <is>
          <t>VILHELMINA</t>
        </is>
      </c>
      <c r="G13425" t="n">
        <v>8.5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1940-2024</t>
        </is>
      </c>
      <c r="B13426" s="1" t="n">
        <v>45308</v>
      </c>
      <c r="C13426" s="1" t="n">
        <v>45357</v>
      </c>
      <c r="D13426" t="inlineStr">
        <is>
          <t>VÄSTERBOTTENS LÄN</t>
        </is>
      </c>
      <c r="E13426" t="inlineStr">
        <is>
          <t>VILHELMINA</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2056-2024</t>
        </is>
      </c>
      <c r="B13427" s="1" t="n">
        <v>45308</v>
      </c>
      <c r="C13427" s="1" t="n">
        <v>45357</v>
      </c>
      <c r="D13427" t="inlineStr">
        <is>
          <t>VÄSTERBOTTENS LÄN</t>
        </is>
      </c>
      <c r="E13427" t="inlineStr">
        <is>
          <t>SKELLEFTEÅ</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2052-2024</t>
        </is>
      </c>
      <c r="B13428" s="1" t="n">
        <v>45308</v>
      </c>
      <c r="C13428" s="1" t="n">
        <v>45357</v>
      </c>
      <c r="D13428" t="inlineStr">
        <is>
          <t>VÄSTERBOTTENS LÄN</t>
        </is>
      </c>
      <c r="E13428" t="inlineStr">
        <is>
          <t>SKELLEFTEÅ</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2045-2024</t>
        </is>
      </c>
      <c r="B13429" s="1" t="n">
        <v>45308</v>
      </c>
      <c r="C13429" s="1" t="n">
        <v>45357</v>
      </c>
      <c r="D13429" t="inlineStr">
        <is>
          <t>VÄSTERBOTTENS LÄN</t>
        </is>
      </c>
      <c r="E13429" t="inlineStr">
        <is>
          <t>SKELLEFTEÅ</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2043-2024</t>
        </is>
      </c>
      <c r="B13430" s="1" t="n">
        <v>45308</v>
      </c>
      <c r="C13430" s="1" t="n">
        <v>45357</v>
      </c>
      <c r="D13430" t="inlineStr">
        <is>
          <t>VÄSTERBOTTENS LÄN</t>
        </is>
      </c>
      <c r="E13430" t="inlineStr">
        <is>
          <t>SKELLEFTEÅ</t>
        </is>
      </c>
      <c r="G13430" t="n">
        <v>10.5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1915-2024</t>
        </is>
      </c>
      <c r="B13431" s="1" t="n">
        <v>45308</v>
      </c>
      <c r="C13431" s="1" t="n">
        <v>45357</v>
      </c>
      <c r="D13431" t="inlineStr">
        <is>
          <t>VÄSTERBOTTENS LÄN</t>
        </is>
      </c>
      <c r="E13431" t="inlineStr">
        <is>
          <t>VINDELN</t>
        </is>
      </c>
      <c r="F13431" t="inlineStr">
        <is>
          <t>Sveaskog</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2059-2024</t>
        </is>
      </c>
      <c r="B13432" s="1" t="n">
        <v>45308</v>
      </c>
      <c r="C13432" s="1" t="n">
        <v>45357</v>
      </c>
      <c r="D13432" t="inlineStr">
        <is>
          <t>VÄSTERBOTTENS LÄN</t>
        </is>
      </c>
      <c r="E13432" t="inlineStr">
        <is>
          <t>SKELLEFTEÅ</t>
        </is>
      </c>
      <c r="F13432" t="inlineStr">
        <is>
          <t>SCA</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2055-2024</t>
        </is>
      </c>
      <c r="B13433" s="1" t="n">
        <v>45308</v>
      </c>
      <c r="C13433" s="1" t="n">
        <v>45357</v>
      </c>
      <c r="D13433" t="inlineStr">
        <is>
          <t>VÄSTERBOTTENS LÄN</t>
        </is>
      </c>
      <c r="E13433" t="inlineStr">
        <is>
          <t>SKELLEFTEÅ</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2051-2024</t>
        </is>
      </c>
      <c r="B13434" s="1" t="n">
        <v>45308</v>
      </c>
      <c r="C13434" s="1" t="n">
        <v>45357</v>
      </c>
      <c r="D13434" t="inlineStr">
        <is>
          <t>VÄSTERBOTTENS LÄN</t>
        </is>
      </c>
      <c r="E13434" t="inlineStr">
        <is>
          <t>SKELLEFTEÅ</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1910-2024</t>
        </is>
      </c>
      <c r="B13435" s="1" t="n">
        <v>45308</v>
      </c>
      <c r="C13435" s="1" t="n">
        <v>45357</v>
      </c>
      <c r="D13435" t="inlineStr">
        <is>
          <t>VÄSTERBOTTENS LÄN</t>
        </is>
      </c>
      <c r="E13435" t="inlineStr">
        <is>
          <t>ROBERTSFORS</t>
        </is>
      </c>
      <c r="F13435" t="inlineStr">
        <is>
          <t>Sveaskog</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1962-2024</t>
        </is>
      </c>
      <c r="B13436" s="1" t="n">
        <v>45308</v>
      </c>
      <c r="C13436" s="1" t="n">
        <v>45357</v>
      </c>
      <c r="D13436" t="inlineStr">
        <is>
          <t>VÄSTERBOTTENS LÄN</t>
        </is>
      </c>
      <c r="E13436" t="inlineStr">
        <is>
          <t>LYCKSELE</t>
        </is>
      </c>
      <c r="F13436" t="inlineStr">
        <is>
          <t>Holmen skog AB</t>
        </is>
      </c>
      <c r="G13436" t="n">
        <v>9.300000000000001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2058-2024</t>
        </is>
      </c>
      <c r="B13437" s="1" t="n">
        <v>45308</v>
      </c>
      <c r="C13437" s="1" t="n">
        <v>45357</v>
      </c>
      <c r="D13437" t="inlineStr">
        <is>
          <t>VÄSTERBOTTENS LÄN</t>
        </is>
      </c>
      <c r="E13437" t="inlineStr">
        <is>
          <t>SKELLEFTEÅ</t>
        </is>
      </c>
      <c r="G13437" t="n">
        <v>29.4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2050-2024</t>
        </is>
      </c>
      <c r="B13438" s="1" t="n">
        <v>45308</v>
      </c>
      <c r="C13438" s="1" t="n">
        <v>45357</v>
      </c>
      <c r="D13438" t="inlineStr">
        <is>
          <t>VÄSTERBOTTENS LÄN</t>
        </is>
      </c>
      <c r="E13438" t="inlineStr">
        <is>
          <t>SKELLEFTEÅ</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2075-2024</t>
        </is>
      </c>
      <c r="B13439" s="1" t="n">
        <v>45309</v>
      </c>
      <c r="C13439" s="1" t="n">
        <v>45357</v>
      </c>
      <c r="D13439" t="inlineStr">
        <is>
          <t>VÄSTERBOTTENS LÄN</t>
        </is>
      </c>
      <c r="E13439" t="inlineStr">
        <is>
          <t>UMEÅ</t>
        </is>
      </c>
      <c r="F13439" t="inlineStr">
        <is>
          <t>Sveaskog</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2091-2024</t>
        </is>
      </c>
      <c r="B13440" s="1" t="n">
        <v>45309</v>
      </c>
      <c r="C13440" s="1" t="n">
        <v>45357</v>
      </c>
      <c r="D13440" t="inlineStr">
        <is>
          <t>VÄSTERBOTTENS LÄN</t>
        </is>
      </c>
      <c r="E13440" t="inlineStr">
        <is>
          <t>ÅSELE</t>
        </is>
      </c>
      <c r="F13440" t="inlineStr">
        <is>
          <t>Sveaskog</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2100-2024</t>
        </is>
      </c>
      <c r="B13441" s="1" t="n">
        <v>45309</v>
      </c>
      <c r="C13441" s="1" t="n">
        <v>45357</v>
      </c>
      <c r="D13441" t="inlineStr">
        <is>
          <t>VÄSTERBOTTENS LÄN</t>
        </is>
      </c>
      <c r="E13441" t="inlineStr">
        <is>
          <t>VINDELN</t>
        </is>
      </c>
      <c r="F13441" t="inlineStr">
        <is>
          <t>Sveaskog</t>
        </is>
      </c>
      <c r="G13441" t="n">
        <v>9.5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2073-2024</t>
        </is>
      </c>
      <c r="B13442" s="1" t="n">
        <v>45309</v>
      </c>
      <c r="C13442" s="1" t="n">
        <v>45357</v>
      </c>
      <c r="D13442" t="inlineStr">
        <is>
          <t>VÄSTERBOTTENS LÄN</t>
        </is>
      </c>
      <c r="E13442" t="inlineStr">
        <is>
          <t>UMEÅ</t>
        </is>
      </c>
      <c r="F13442" t="inlineStr">
        <is>
          <t>Sveaskog</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2081-2024</t>
        </is>
      </c>
      <c r="B13443" s="1" t="n">
        <v>45309</v>
      </c>
      <c r="C13443" s="1" t="n">
        <v>45357</v>
      </c>
      <c r="D13443" t="inlineStr">
        <is>
          <t>VÄSTERBOTTENS LÄN</t>
        </is>
      </c>
      <c r="E13443" t="inlineStr">
        <is>
          <t>MALÅ</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2146-2024</t>
        </is>
      </c>
      <c r="B13444" s="1" t="n">
        <v>45309</v>
      </c>
      <c r="C13444" s="1" t="n">
        <v>45357</v>
      </c>
      <c r="D13444" t="inlineStr">
        <is>
          <t>VÄSTERBOTTENS LÄN</t>
        </is>
      </c>
      <c r="E13444" t="inlineStr">
        <is>
          <t>UMEÅ</t>
        </is>
      </c>
      <c r="G13444" t="n">
        <v>5.4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2148-2024</t>
        </is>
      </c>
      <c r="B13445" s="1" t="n">
        <v>45309</v>
      </c>
      <c r="C13445" s="1" t="n">
        <v>45357</v>
      </c>
      <c r="D13445" t="inlineStr">
        <is>
          <t>VÄSTERBOTTENS LÄN</t>
        </is>
      </c>
      <c r="E13445" t="inlineStr">
        <is>
          <t>UMEÅ</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2170-2024</t>
        </is>
      </c>
      <c r="B13446" s="1" t="n">
        <v>45309</v>
      </c>
      <c r="C13446" s="1" t="n">
        <v>45357</v>
      </c>
      <c r="D13446" t="inlineStr">
        <is>
          <t>VÄSTERBOTTENS LÄN</t>
        </is>
      </c>
      <c r="E13446" t="inlineStr">
        <is>
          <t>SKELLEFTEÅ</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2090-2024</t>
        </is>
      </c>
      <c r="B13447" s="1" t="n">
        <v>45309</v>
      </c>
      <c r="C13447" s="1" t="n">
        <v>45357</v>
      </c>
      <c r="D13447" t="inlineStr">
        <is>
          <t>VÄSTERBOTTENS LÄN</t>
        </is>
      </c>
      <c r="E13447" t="inlineStr">
        <is>
          <t>SKELLEFTEÅ</t>
        </is>
      </c>
      <c r="F13447" t="inlineStr">
        <is>
          <t>Sveaskog</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2227-2024</t>
        </is>
      </c>
      <c r="B13448" s="1" t="n">
        <v>45309</v>
      </c>
      <c r="C13448" s="1" t="n">
        <v>45357</v>
      </c>
      <c r="D13448" t="inlineStr">
        <is>
          <t>VÄSTERBOTTENS LÄN</t>
        </is>
      </c>
      <c r="E13448" t="inlineStr">
        <is>
          <t>DOROTEA</t>
        </is>
      </c>
      <c r="G13448" t="n">
        <v>17.1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2326-2024</t>
        </is>
      </c>
      <c r="B13449" s="1" t="n">
        <v>45310</v>
      </c>
      <c r="C13449" s="1" t="n">
        <v>45357</v>
      </c>
      <c r="D13449" t="inlineStr">
        <is>
          <t>VÄSTERBOTTENS LÄN</t>
        </is>
      </c>
      <c r="E13449" t="inlineStr">
        <is>
          <t>VINDELN</t>
        </is>
      </c>
      <c r="G13449" t="n">
        <v>8.800000000000001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2370-2024</t>
        </is>
      </c>
      <c r="B13450" s="1" t="n">
        <v>45310</v>
      </c>
      <c r="C13450" s="1" t="n">
        <v>45357</v>
      </c>
      <c r="D13450" t="inlineStr">
        <is>
          <t>VÄSTERBOTTENS LÄN</t>
        </is>
      </c>
      <c r="E13450" t="inlineStr">
        <is>
          <t>NORSJÖ</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2417-2024</t>
        </is>
      </c>
      <c r="B13451" s="1" t="n">
        <v>45310</v>
      </c>
      <c r="C13451" s="1" t="n">
        <v>45357</v>
      </c>
      <c r="D13451" t="inlineStr">
        <is>
          <t>VÄSTERBOTTENS LÄN</t>
        </is>
      </c>
      <c r="E13451" t="inlineStr">
        <is>
          <t>SKELLEFTEÅ</t>
        </is>
      </c>
      <c r="G13451" t="n">
        <v>3.3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2552-2024</t>
        </is>
      </c>
      <c r="B13452" s="1" t="n">
        <v>45313</v>
      </c>
      <c r="C13452" s="1" t="n">
        <v>45357</v>
      </c>
      <c r="D13452" t="inlineStr">
        <is>
          <t>VÄSTERBOTTENS LÄN</t>
        </is>
      </c>
      <c r="E13452" t="inlineStr">
        <is>
          <t>LYCKSELE</t>
        </is>
      </c>
      <c r="F13452" t="inlineStr">
        <is>
          <t>Naturvårdsverket</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2572-2024</t>
        </is>
      </c>
      <c r="B13453" s="1" t="n">
        <v>45313</v>
      </c>
      <c r="C13453" s="1" t="n">
        <v>45357</v>
      </c>
      <c r="D13453" t="inlineStr">
        <is>
          <t>VÄSTERBOTTENS LÄN</t>
        </is>
      </c>
      <c r="E13453" t="inlineStr">
        <is>
          <t>SKELLEFTEÅ</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2579-2024</t>
        </is>
      </c>
      <c r="B13454" s="1" t="n">
        <v>45313</v>
      </c>
      <c r="C13454" s="1" t="n">
        <v>45357</v>
      </c>
      <c r="D13454" t="inlineStr">
        <is>
          <t>VÄSTERBOTTENS LÄN</t>
        </is>
      </c>
      <c r="E13454" t="inlineStr">
        <is>
          <t>SKELLEFTEÅ</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2526-2024</t>
        </is>
      </c>
      <c r="B13455" s="1" t="n">
        <v>45313</v>
      </c>
      <c r="C13455" s="1" t="n">
        <v>45357</v>
      </c>
      <c r="D13455" t="inlineStr">
        <is>
          <t>VÄSTERBOTTENS LÄN</t>
        </is>
      </c>
      <c r="E13455" t="inlineStr">
        <is>
          <t>SKELLEFTEÅ</t>
        </is>
      </c>
      <c r="G13455" t="n">
        <v>5.2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2562-2024</t>
        </is>
      </c>
      <c r="B13456" s="1" t="n">
        <v>45313</v>
      </c>
      <c r="C13456" s="1" t="n">
        <v>45357</v>
      </c>
      <c r="D13456" t="inlineStr">
        <is>
          <t>VÄSTERBOTTENS LÄN</t>
        </is>
      </c>
      <c r="E13456" t="inlineStr">
        <is>
          <t>SKELLEFTEÅ</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2608-2024</t>
        </is>
      </c>
      <c r="B13457" s="1" t="n">
        <v>45313</v>
      </c>
      <c r="C13457" s="1" t="n">
        <v>45357</v>
      </c>
      <c r="D13457" t="inlineStr">
        <is>
          <t>VÄSTERBOTTENS LÄN</t>
        </is>
      </c>
      <c r="E13457" t="inlineStr">
        <is>
          <t>ÅSELE</t>
        </is>
      </c>
      <c r="F13457" t="inlineStr">
        <is>
          <t>Övriga Aktiebolag</t>
        </is>
      </c>
      <c r="G13457" t="n">
        <v>20.6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2616-2024</t>
        </is>
      </c>
      <c r="B13458" s="1" t="n">
        <v>45313</v>
      </c>
      <c r="C13458" s="1" t="n">
        <v>45357</v>
      </c>
      <c r="D13458" t="inlineStr">
        <is>
          <t>VÄSTERBOTTENS LÄN</t>
        </is>
      </c>
      <c r="E13458" t="inlineStr">
        <is>
          <t>UMEÅ</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2609-2024</t>
        </is>
      </c>
      <c r="B13459" s="1" t="n">
        <v>45313</v>
      </c>
      <c r="C13459" s="1" t="n">
        <v>45357</v>
      </c>
      <c r="D13459" t="inlineStr">
        <is>
          <t>VÄSTERBOTTENS LÄN</t>
        </is>
      </c>
      <c r="E13459" t="inlineStr">
        <is>
          <t>ÅSELE</t>
        </is>
      </c>
      <c r="F13459" t="inlineStr">
        <is>
          <t>Övriga Aktiebolag</t>
        </is>
      </c>
      <c r="G13459" t="n">
        <v>5.5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2617-2024</t>
        </is>
      </c>
      <c r="B13460" s="1" t="n">
        <v>45313</v>
      </c>
      <c r="C13460" s="1" t="n">
        <v>45357</v>
      </c>
      <c r="D13460" t="inlineStr">
        <is>
          <t>VÄSTERBOTTENS LÄN</t>
        </is>
      </c>
      <c r="E13460" t="inlineStr">
        <is>
          <t>UMEÅ</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2614-2024</t>
        </is>
      </c>
      <c r="B13461" s="1" t="n">
        <v>45313</v>
      </c>
      <c r="C13461" s="1" t="n">
        <v>45357</v>
      </c>
      <c r="D13461" t="inlineStr">
        <is>
          <t>VÄSTERBOTTENS LÄN</t>
        </is>
      </c>
      <c r="E13461" t="inlineStr">
        <is>
          <t>MALÅ</t>
        </is>
      </c>
      <c r="G13461" t="n">
        <v>8.300000000000001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2811-2024</t>
        </is>
      </c>
      <c r="B13462" s="1" t="n">
        <v>45314</v>
      </c>
      <c r="C13462" s="1" t="n">
        <v>45357</v>
      </c>
      <c r="D13462" t="inlineStr">
        <is>
          <t>VÄSTERBOTTENS LÄN</t>
        </is>
      </c>
      <c r="E13462" t="inlineStr">
        <is>
          <t>SKELLEFTEÅ</t>
        </is>
      </c>
      <c r="F13462" t="inlineStr">
        <is>
          <t>Sveaskog</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2641-2024</t>
        </is>
      </c>
      <c r="B13463" s="1" t="n">
        <v>45314</v>
      </c>
      <c r="C13463" s="1" t="n">
        <v>45357</v>
      </c>
      <c r="D13463" t="inlineStr">
        <is>
          <t>VÄSTERBOTTENS LÄN</t>
        </is>
      </c>
      <c r="E13463" t="inlineStr">
        <is>
          <t>SKELLEFTEÅ</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2773-2024</t>
        </is>
      </c>
      <c r="B13464" s="1" t="n">
        <v>45314</v>
      </c>
      <c r="C13464" s="1" t="n">
        <v>45357</v>
      </c>
      <c r="D13464" t="inlineStr">
        <is>
          <t>VÄSTERBOTTENS LÄN</t>
        </is>
      </c>
      <c r="E13464" t="inlineStr">
        <is>
          <t>SKELLEFTEÅ</t>
        </is>
      </c>
      <c r="G13464" t="n">
        <v>11.5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2801-2024</t>
        </is>
      </c>
      <c r="B13465" s="1" t="n">
        <v>45314</v>
      </c>
      <c r="C13465" s="1" t="n">
        <v>45357</v>
      </c>
      <c r="D13465" t="inlineStr">
        <is>
          <t>VÄSTERBOTTENS LÄN</t>
        </is>
      </c>
      <c r="E13465" t="inlineStr">
        <is>
          <t>SKELLEFTEÅ</t>
        </is>
      </c>
      <c r="F13465" t="inlineStr">
        <is>
          <t>Sveaskog</t>
        </is>
      </c>
      <c r="G13465" t="n">
        <v>10.8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2840-2024</t>
        </is>
      </c>
      <c r="B13466" s="1" t="n">
        <v>45315</v>
      </c>
      <c r="C13466" s="1" t="n">
        <v>45357</v>
      </c>
      <c r="D13466" t="inlineStr">
        <is>
          <t>VÄSTERBOTTENS LÄN</t>
        </is>
      </c>
      <c r="E13466" t="inlineStr">
        <is>
          <t>SKELLEFTEÅ</t>
        </is>
      </c>
      <c r="F13466" t="inlineStr">
        <is>
          <t>Sveaskog</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2848-2024</t>
        </is>
      </c>
      <c r="B13467" s="1" t="n">
        <v>45315</v>
      </c>
      <c r="C13467" s="1" t="n">
        <v>45357</v>
      </c>
      <c r="D13467" t="inlineStr">
        <is>
          <t>VÄSTERBOTTENS LÄN</t>
        </is>
      </c>
      <c r="E13467" t="inlineStr">
        <is>
          <t>SKELLEFTEÅ</t>
        </is>
      </c>
      <c r="F13467" t="inlineStr">
        <is>
          <t>Sveaskog</t>
        </is>
      </c>
      <c r="G13467" t="n">
        <v>4.2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2972-2024</t>
        </is>
      </c>
      <c r="B13468" s="1" t="n">
        <v>45315</v>
      </c>
      <c r="C13468" s="1" t="n">
        <v>45357</v>
      </c>
      <c r="D13468" t="inlineStr">
        <is>
          <t>VÄSTERBOTTENS LÄN</t>
        </is>
      </c>
      <c r="E13468" t="inlineStr">
        <is>
          <t>UMEÅ</t>
        </is>
      </c>
      <c r="G13468" t="n">
        <v>13.4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2976-2024</t>
        </is>
      </c>
      <c r="B13469" s="1" t="n">
        <v>45315</v>
      </c>
      <c r="C13469" s="1" t="n">
        <v>45357</v>
      </c>
      <c r="D13469" t="inlineStr">
        <is>
          <t>VÄSTERBOTTENS LÄN</t>
        </is>
      </c>
      <c r="E13469" t="inlineStr">
        <is>
          <t>SKELLEFTEÅ</t>
        </is>
      </c>
      <c r="F13469" t="inlineStr">
        <is>
          <t>Sveaskog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2973-2024</t>
        </is>
      </c>
      <c r="B13470" s="1" t="n">
        <v>45315</v>
      </c>
      <c r="C13470" s="1" t="n">
        <v>45357</v>
      </c>
      <c r="D13470" t="inlineStr">
        <is>
          <t>VÄSTERBOTTENS LÄN</t>
        </is>
      </c>
      <c r="E13470" t="inlineStr">
        <is>
          <t>MALÅ</t>
        </is>
      </c>
      <c r="F13470" t="inlineStr">
        <is>
          <t>Sveaskog</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2845-2024</t>
        </is>
      </c>
      <c r="B13471" s="1" t="n">
        <v>45315</v>
      </c>
      <c r="C13471" s="1" t="n">
        <v>45357</v>
      </c>
      <c r="D13471" t="inlineStr">
        <is>
          <t>VÄSTERBOTTENS LÄN</t>
        </is>
      </c>
      <c r="E13471" t="inlineStr">
        <is>
          <t>SKELLEFTEÅ</t>
        </is>
      </c>
      <c r="F13471" t="inlineStr">
        <is>
          <t>Sveaskog</t>
        </is>
      </c>
      <c r="G13471" t="n">
        <v>15.7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2906-2024</t>
        </is>
      </c>
      <c r="B13472" s="1" t="n">
        <v>45315</v>
      </c>
      <c r="C13472" s="1" t="n">
        <v>45357</v>
      </c>
      <c r="D13472" t="inlineStr">
        <is>
          <t>VÄSTERBOTTENS LÄN</t>
        </is>
      </c>
      <c r="E13472" t="inlineStr">
        <is>
          <t>UMEÅ</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2910-2024</t>
        </is>
      </c>
      <c r="B13473" s="1" t="n">
        <v>45315</v>
      </c>
      <c r="C13473" s="1" t="n">
        <v>45357</v>
      </c>
      <c r="D13473" t="inlineStr">
        <is>
          <t>VÄSTERBOTTENS LÄN</t>
        </is>
      </c>
      <c r="E13473" t="inlineStr">
        <is>
          <t>UMEÅ</t>
        </is>
      </c>
      <c r="G13473" t="n">
        <v>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2955-2024</t>
        </is>
      </c>
      <c r="B13474" s="1" t="n">
        <v>45315</v>
      </c>
      <c r="C13474" s="1" t="n">
        <v>45357</v>
      </c>
      <c r="D13474" t="inlineStr">
        <is>
          <t>VÄSTERBOTTENS LÄN</t>
        </is>
      </c>
      <c r="E13474" t="inlineStr">
        <is>
          <t>SKELLEFTEÅ</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2971-2024</t>
        </is>
      </c>
      <c r="B13475" s="1" t="n">
        <v>45315</v>
      </c>
      <c r="C13475" s="1" t="n">
        <v>45357</v>
      </c>
      <c r="D13475" t="inlineStr">
        <is>
          <t>VÄSTERBOTTENS LÄN</t>
        </is>
      </c>
      <c r="E13475" t="inlineStr">
        <is>
          <t>MALÅ</t>
        </is>
      </c>
      <c r="F13475" t="inlineStr">
        <is>
          <t>Sveaskog</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2987-2024</t>
        </is>
      </c>
      <c r="B13476" s="1" t="n">
        <v>45315</v>
      </c>
      <c r="C13476" s="1" t="n">
        <v>45357</v>
      </c>
      <c r="D13476" t="inlineStr">
        <is>
          <t>VÄSTERBOTTENS LÄN</t>
        </is>
      </c>
      <c r="E13476" t="inlineStr">
        <is>
          <t>SKELLEFTEÅ</t>
        </is>
      </c>
      <c r="F13476" t="inlineStr">
        <is>
          <t>Sveaskog</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3017-2024</t>
        </is>
      </c>
      <c r="B13477" s="1" t="n">
        <v>45315</v>
      </c>
      <c r="C13477" s="1" t="n">
        <v>45357</v>
      </c>
      <c r="D13477" t="inlineStr">
        <is>
          <t>VÄSTERBOTTENS LÄN</t>
        </is>
      </c>
      <c r="E13477" t="inlineStr">
        <is>
          <t>DOROTEA</t>
        </is>
      </c>
      <c r="F13477" t="inlineStr">
        <is>
          <t>SCA</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3117-2024</t>
        </is>
      </c>
      <c r="B13478" s="1" t="n">
        <v>45316</v>
      </c>
      <c r="C13478" s="1" t="n">
        <v>45357</v>
      </c>
      <c r="D13478" t="inlineStr">
        <is>
          <t>VÄSTERBOTTENS LÄN</t>
        </is>
      </c>
      <c r="E13478" t="inlineStr">
        <is>
          <t>ÅSELE</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3141-2024</t>
        </is>
      </c>
      <c r="B13479" s="1" t="n">
        <v>45316</v>
      </c>
      <c r="C13479" s="1" t="n">
        <v>45357</v>
      </c>
      <c r="D13479" t="inlineStr">
        <is>
          <t>VÄSTERBOTTENS LÄN</t>
        </is>
      </c>
      <c r="E13479" t="inlineStr">
        <is>
          <t>SKELLEFTEÅ</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3210-2024</t>
        </is>
      </c>
      <c r="B13480" s="1" t="n">
        <v>45316</v>
      </c>
      <c r="C13480" s="1" t="n">
        <v>45357</v>
      </c>
      <c r="D13480" t="inlineStr">
        <is>
          <t>VÄSTERBOTTENS LÄN</t>
        </is>
      </c>
      <c r="E13480" t="inlineStr">
        <is>
          <t>BJURHOLM</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3242-2024</t>
        </is>
      </c>
      <c r="B13481" s="1" t="n">
        <v>45316</v>
      </c>
      <c r="C13481" s="1" t="n">
        <v>45357</v>
      </c>
      <c r="D13481" t="inlineStr">
        <is>
          <t>VÄSTERBOTTENS LÄN</t>
        </is>
      </c>
      <c r="E13481" t="inlineStr">
        <is>
          <t>VINDELN</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3045-2024</t>
        </is>
      </c>
      <c r="B13482" s="1" t="n">
        <v>45316</v>
      </c>
      <c r="C13482" s="1" t="n">
        <v>45357</v>
      </c>
      <c r="D13482" t="inlineStr">
        <is>
          <t>VÄSTERBOTTENS LÄN</t>
        </is>
      </c>
      <c r="E13482" t="inlineStr">
        <is>
          <t>SKELLEFTEÅ</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3142-2024</t>
        </is>
      </c>
      <c r="B13483" s="1" t="n">
        <v>45316</v>
      </c>
      <c r="C13483" s="1" t="n">
        <v>45357</v>
      </c>
      <c r="D13483" t="inlineStr">
        <is>
          <t>VÄSTERBOTTENS LÄN</t>
        </is>
      </c>
      <c r="E13483" t="inlineStr">
        <is>
          <t>SKELLEFTEÅ</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3063-2024</t>
        </is>
      </c>
      <c r="B13484" s="1" t="n">
        <v>45316</v>
      </c>
      <c r="C13484" s="1" t="n">
        <v>45357</v>
      </c>
      <c r="D13484" t="inlineStr">
        <is>
          <t>VÄSTERBOTTENS LÄN</t>
        </is>
      </c>
      <c r="E13484" t="inlineStr">
        <is>
          <t>ÅSELE</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3111-2024</t>
        </is>
      </c>
      <c r="B13485" s="1" t="n">
        <v>45316</v>
      </c>
      <c r="C13485" s="1" t="n">
        <v>45357</v>
      </c>
      <c r="D13485" t="inlineStr">
        <is>
          <t>VÄSTERBOTTENS LÄN</t>
        </is>
      </c>
      <c r="E13485" t="inlineStr">
        <is>
          <t>ÅSELE</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3143-2024</t>
        </is>
      </c>
      <c r="B13486" s="1" t="n">
        <v>45316</v>
      </c>
      <c r="C13486" s="1" t="n">
        <v>45357</v>
      </c>
      <c r="D13486" t="inlineStr">
        <is>
          <t>VÄSTERBOTTENS LÄN</t>
        </is>
      </c>
      <c r="E13486" t="inlineStr">
        <is>
          <t>SKELLEFTEÅ</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3212-2024</t>
        </is>
      </c>
      <c r="B13487" s="1" t="n">
        <v>45316</v>
      </c>
      <c r="C13487" s="1" t="n">
        <v>45357</v>
      </c>
      <c r="D13487" t="inlineStr">
        <is>
          <t>VÄSTERBOTTENS LÄN</t>
        </is>
      </c>
      <c r="E13487" t="inlineStr">
        <is>
          <t>VINDELN</t>
        </is>
      </c>
      <c r="G13487" t="n">
        <v>4.5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3251-2024</t>
        </is>
      </c>
      <c r="B13488" s="1" t="n">
        <v>45316</v>
      </c>
      <c r="C13488" s="1" t="n">
        <v>45357</v>
      </c>
      <c r="D13488" t="inlineStr">
        <is>
          <t>VÄSTERBOTTENS LÄN</t>
        </is>
      </c>
      <c r="E13488" t="inlineStr">
        <is>
          <t>UMEÅ</t>
        </is>
      </c>
      <c r="G13488" t="n">
        <v>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3227-2024</t>
        </is>
      </c>
      <c r="B13489" s="1" t="n">
        <v>45316</v>
      </c>
      <c r="C13489" s="1" t="n">
        <v>45357</v>
      </c>
      <c r="D13489" t="inlineStr">
        <is>
          <t>VÄSTERBOTTENS LÄN</t>
        </is>
      </c>
      <c r="E13489" t="inlineStr">
        <is>
          <t>UMEÅ</t>
        </is>
      </c>
      <c r="G13489" t="n">
        <v>10.1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3059-2024</t>
        </is>
      </c>
      <c r="B13490" s="1" t="n">
        <v>45316</v>
      </c>
      <c r="C13490" s="1" t="n">
        <v>45357</v>
      </c>
      <c r="D13490" t="inlineStr">
        <is>
          <t>VÄSTERBOTTENS LÄN</t>
        </is>
      </c>
      <c r="E13490" t="inlineStr">
        <is>
          <t>ÅSELE</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3088-2024</t>
        </is>
      </c>
      <c r="B13491" s="1" t="n">
        <v>45316</v>
      </c>
      <c r="C13491" s="1" t="n">
        <v>45357</v>
      </c>
      <c r="D13491" t="inlineStr">
        <is>
          <t>VÄSTERBOTTENS LÄN</t>
        </is>
      </c>
      <c r="E13491" t="inlineStr">
        <is>
          <t>ÅSELE</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3254-2024</t>
        </is>
      </c>
      <c r="B13492" s="1" t="n">
        <v>45316</v>
      </c>
      <c r="C13492" s="1" t="n">
        <v>45357</v>
      </c>
      <c r="D13492" t="inlineStr">
        <is>
          <t>VÄSTERBOTTENS LÄN</t>
        </is>
      </c>
      <c r="E13492" t="inlineStr">
        <is>
          <t>UMEÅ</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3237-2024</t>
        </is>
      </c>
      <c r="B13493" s="1" t="n">
        <v>45316</v>
      </c>
      <c r="C13493" s="1" t="n">
        <v>45357</v>
      </c>
      <c r="D13493" t="inlineStr">
        <is>
          <t>VÄSTERBOTTENS LÄN</t>
        </is>
      </c>
      <c r="E13493" t="inlineStr">
        <is>
          <t>VILHELMINA</t>
        </is>
      </c>
      <c r="F13493" t="inlineStr">
        <is>
          <t>SCA</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3303-2024</t>
        </is>
      </c>
      <c r="B13494" s="1" t="n">
        <v>45316</v>
      </c>
      <c r="C13494" s="1" t="n">
        <v>45357</v>
      </c>
      <c r="D13494" t="inlineStr">
        <is>
          <t>VÄSTERBOTTENS LÄN</t>
        </is>
      </c>
      <c r="E13494" t="inlineStr">
        <is>
          <t>LYCKSELE</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3358-2024</t>
        </is>
      </c>
      <c r="B13495" s="1" t="n">
        <v>45317</v>
      </c>
      <c r="C13495" s="1" t="n">
        <v>45357</v>
      </c>
      <c r="D13495" t="inlineStr">
        <is>
          <t>VÄSTERBOTTENS LÄN</t>
        </is>
      </c>
      <c r="E13495" t="inlineStr">
        <is>
          <t>SKELLEFTEÅ</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3366-2024</t>
        </is>
      </c>
      <c r="B13496" s="1" t="n">
        <v>45317</v>
      </c>
      <c r="C13496" s="1" t="n">
        <v>45357</v>
      </c>
      <c r="D13496" t="inlineStr">
        <is>
          <t>VÄSTERBOTTENS LÄN</t>
        </is>
      </c>
      <c r="E13496" t="inlineStr">
        <is>
          <t>UMEÅ</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3386-2024</t>
        </is>
      </c>
      <c r="B13497" s="1" t="n">
        <v>45317</v>
      </c>
      <c r="C13497" s="1" t="n">
        <v>45357</v>
      </c>
      <c r="D13497" t="inlineStr">
        <is>
          <t>VÄSTERBOTTENS LÄN</t>
        </is>
      </c>
      <c r="E13497" t="inlineStr">
        <is>
          <t>BJURHOLM</t>
        </is>
      </c>
      <c r="F13497" t="inlineStr">
        <is>
          <t>SCA</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3353-2024</t>
        </is>
      </c>
      <c r="B13498" s="1" t="n">
        <v>45317</v>
      </c>
      <c r="C13498" s="1" t="n">
        <v>45357</v>
      </c>
      <c r="D13498" t="inlineStr">
        <is>
          <t>VÄSTERBOTTENS LÄN</t>
        </is>
      </c>
      <c r="E13498" t="inlineStr">
        <is>
          <t>MALÅ</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3450-2024</t>
        </is>
      </c>
      <c r="B13499" s="1" t="n">
        <v>45317</v>
      </c>
      <c r="C13499" s="1" t="n">
        <v>45357</v>
      </c>
      <c r="D13499" t="inlineStr">
        <is>
          <t>VÄSTERBOTTENS LÄN</t>
        </is>
      </c>
      <c r="E13499" t="inlineStr">
        <is>
          <t>BJURHOLM</t>
        </is>
      </c>
      <c r="G13499" t="n">
        <v>3.1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3445-2024</t>
        </is>
      </c>
      <c r="B13500" s="1" t="n">
        <v>45320</v>
      </c>
      <c r="C13500" s="1" t="n">
        <v>45357</v>
      </c>
      <c r="D13500" t="inlineStr">
        <is>
          <t>VÄSTERBOTTENS LÄN</t>
        </is>
      </c>
      <c r="E13500" t="inlineStr">
        <is>
          <t>SKELLEFTEÅ</t>
        </is>
      </c>
      <c r="G13500" t="n">
        <v>19.1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3453-2024</t>
        </is>
      </c>
      <c r="B13501" s="1" t="n">
        <v>45320</v>
      </c>
      <c r="C13501" s="1" t="n">
        <v>45357</v>
      </c>
      <c r="D13501" t="inlineStr">
        <is>
          <t>VÄSTERBOTTENS LÄN</t>
        </is>
      </c>
      <c r="E13501" t="inlineStr">
        <is>
          <t>SKELLEFTEÅ</t>
        </is>
      </c>
      <c r="G13501" t="n">
        <v>11.3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3458-2024</t>
        </is>
      </c>
      <c r="B13502" s="1" t="n">
        <v>45320</v>
      </c>
      <c r="C13502" s="1" t="n">
        <v>45357</v>
      </c>
      <c r="D13502" t="inlineStr">
        <is>
          <t>VÄSTERBOTTENS LÄN</t>
        </is>
      </c>
      <c r="E13502" t="inlineStr">
        <is>
          <t>SKELLEFTEÅ</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3565-2024</t>
        </is>
      </c>
      <c r="B13503" s="1" t="n">
        <v>45320</v>
      </c>
      <c r="C13503" s="1" t="n">
        <v>45357</v>
      </c>
      <c r="D13503" t="inlineStr">
        <is>
          <t>VÄSTERBOTTENS LÄN</t>
        </is>
      </c>
      <c r="E13503" t="inlineStr">
        <is>
          <t>ÅSELE</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3451-2024</t>
        </is>
      </c>
      <c r="B13504" s="1" t="n">
        <v>45320</v>
      </c>
      <c r="C13504" s="1" t="n">
        <v>45357</v>
      </c>
      <c r="D13504" t="inlineStr">
        <is>
          <t>VÄSTERBOTTENS LÄN</t>
        </is>
      </c>
      <c r="E13504" t="inlineStr">
        <is>
          <t>SKELLEFTEÅ</t>
        </is>
      </c>
      <c r="G13504" t="n">
        <v>5.9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3465-2024</t>
        </is>
      </c>
      <c r="B13505" s="1" t="n">
        <v>45320</v>
      </c>
      <c r="C13505" s="1" t="n">
        <v>45357</v>
      </c>
      <c r="D13505" t="inlineStr">
        <is>
          <t>VÄSTERBOTTENS LÄN</t>
        </is>
      </c>
      <c r="E13505" t="inlineStr">
        <is>
          <t>SKELLEFTEÅ</t>
        </is>
      </c>
      <c r="G13505" t="n">
        <v>17.4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3546-2024</t>
        </is>
      </c>
      <c r="B13506" s="1" t="n">
        <v>45320</v>
      </c>
      <c r="C13506" s="1" t="n">
        <v>45357</v>
      </c>
      <c r="D13506" t="inlineStr">
        <is>
          <t>VÄSTERBOTTENS LÄN</t>
        </is>
      </c>
      <c r="E13506" t="inlineStr">
        <is>
          <t>LYCKSELE</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3514-2024</t>
        </is>
      </c>
      <c r="B13507" s="1" t="n">
        <v>45320</v>
      </c>
      <c r="C13507" s="1" t="n">
        <v>45357</v>
      </c>
      <c r="D13507" t="inlineStr">
        <is>
          <t>VÄSTERBOTTENS LÄN</t>
        </is>
      </c>
      <c r="E13507" t="inlineStr">
        <is>
          <t>UMEÅ</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3518-2024</t>
        </is>
      </c>
      <c r="B13508" s="1" t="n">
        <v>45320</v>
      </c>
      <c r="C13508" s="1" t="n">
        <v>45357</v>
      </c>
      <c r="D13508" t="inlineStr">
        <is>
          <t>VÄSTERBOTTENS LÄN</t>
        </is>
      </c>
      <c r="E13508" t="inlineStr">
        <is>
          <t>UMEÅ</t>
        </is>
      </c>
      <c r="G13508" t="n">
        <v>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3559-2024</t>
        </is>
      </c>
      <c r="B13509" s="1" t="n">
        <v>45320</v>
      </c>
      <c r="C13509" s="1" t="n">
        <v>45357</v>
      </c>
      <c r="D13509" t="inlineStr">
        <is>
          <t>VÄSTERBOTTENS LÄN</t>
        </is>
      </c>
      <c r="E13509" t="inlineStr">
        <is>
          <t>ÅSELE</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3571-2024</t>
        </is>
      </c>
      <c r="B13510" s="1" t="n">
        <v>45320</v>
      </c>
      <c r="C13510" s="1" t="n">
        <v>45357</v>
      </c>
      <c r="D13510" t="inlineStr">
        <is>
          <t>VÄSTERBOTTENS LÄN</t>
        </is>
      </c>
      <c r="E13510" t="inlineStr">
        <is>
          <t>SKELLEFTEÅ</t>
        </is>
      </c>
      <c r="F13510" t="inlineStr">
        <is>
          <t>Holmen skog AB</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3630-2024</t>
        </is>
      </c>
      <c r="B13511" s="1" t="n">
        <v>45320</v>
      </c>
      <c r="C13511" s="1" t="n">
        <v>45357</v>
      </c>
      <c r="D13511" t="inlineStr">
        <is>
          <t>VÄSTERBOTTENS LÄN</t>
        </is>
      </c>
      <c r="E13511" t="inlineStr">
        <is>
          <t>VINDELN</t>
        </is>
      </c>
      <c r="F13511" t="inlineStr">
        <is>
          <t>SCA</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3620-2024</t>
        </is>
      </c>
      <c r="B13512" s="1" t="n">
        <v>45320</v>
      </c>
      <c r="C13512" s="1" t="n">
        <v>45357</v>
      </c>
      <c r="D13512" t="inlineStr">
        <is>
          <t>VÄSTERBOTTENS LÄN</t>
        </is>
      </c>
      <c r="E13512" t="inlineStr">
        <is>
          <t>VILHELMINA</t>
        </is>
      </c>
      <c r="F13512" t="inlineStr">
        <is>
          <t>SCA</t>
        </is>
      </c>
      <c r="G13512" t="n">
        <v>15.6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3632-2024</t>
        </is>
      </c>
      <c r="B13513" s="1" t="n">
        <v>45320</v>
      </c>
      <c r="C13513" s="1" t="n">
        <v>45357</v>
      </c>
      <c r="D13513" t="inlineStr">
        <is>
          <t>VÄSTERBOTTENS LÄN</t>
        </is>
      </c>
      <c r="E13513" t="inlineStr">
        <is>
          <t>LYCKSELE</t>
        </is>
      </c>
      <c r="F13513" t="inlineStr">
        <is>
          <t>SCA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3611-2024</t>
        </is>
      </c>
      <c r="B13514" s="1" t="n">
        <v>45320</v>
      </c>
      <c r="C13514" s="1" t="n">
        <v>45357</v>
      </c>
      <c r="D13514" t="inlineStr">
        <is>
          <t>VÄSTERBOTTENS LÄN</t>
        </is>
      </c>
      <c r="E13514" t="inlineStr">
        <is>
          <t>SKELLEFTEÅ</t>
        </is>
      </c>
      <c r="G13514" t="n">
        <v>6.3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3631-2024</t>
        </is>
      </c>
      <c r="B13515" s="1" t="n">
        <v>45320</v>
      </c>
      <c r="C13515" s="1" t="n">
        <v>45357</v>
      </c>
      <c r="D13515" t="inlineStr">
        <is>
          <t>VÄSTERBOTTENS LÄN</t>
        </is>
      </c>
      <c r="E13515" t="inlineStr">
        <is>
          <t>VINDELN</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3693-2024</t>
        </is>
      </c>
      <c r="B13516" s="1" t="n">
        <v>45321</v>
      </c>
      <c r="C13516" s="1" t="n">
        <v>45357</v>
      </c>
      <c r="D13516" t="inlineStr">
        <is>
          <t>VÄSTERBOTTENS LÄN</t>
        </is>
      </c>
      <c r="E13516" t="inlineStr">
        <is>
          <t>UMEÅ</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3752-2024</t>
        </is>
      </c>
      <c r="B13517" s="1" t="n">
        <v>45321</v>
      </c>
      <c r="C13517" s="1" t="n">
        <v>45357</v>
      </c>
      <c r="D13517" t="inlineStr">
        <is>
          <t>VÄSTERBOTTENS LÄN</t>
        </is>
      </c>
      <c r="E13517" t="inlineStr">
        <is>
          <t>SORSELE</t>
        </is>
      </c>
      <c r="G13517" t="n">
        <v>15.1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3802-2024</t>
        </is>
      </c>
      <c r="B13518" s="1" t="n">
        <v>45321</v>
      </c>
      <c r="C13518" s="1" t="n">
        <v>45357</v>
      </c>
      <c r="D13518" t="inlineStr">
        <is>
          <t>VÄSTERBOTTENS LÄN</t>
        </is>
      </c>
      <c r="E13518" t="inlineStr">
        <is>
          <t>NORSJÖ</t>
        </is>
      </c>
      <c r="G13518" t="n">
        <v>16.3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3780-2024</t>
        </is>
      </c>
      <c r="B13519" s="1" t="n">
        <v>45321</v>
      </c>
      <c r="C13519" s="1" t="n">
        <v>45357</v>
      </c>
      <c r="D13519" t="inlineStr">
        <is>
          <t>VÄSTERBOTTENS LÄN</t>
        </is>
      </c>
      <c r="E13519" t="inlineStr">
        <is>
          <t>VINDELN</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3947-2024</t>
        </is>
      </c>
      <c r="B13520" s="1" t="n">
        <v>45322</v>
      </c>
      <c r="C13520" s="1" t="n">
        <v>45357</v>
      </c>
      <c r="D13520" t="inlineStr">
        <is>
          <t>VÄSTERBOTTENS LÄN</t>
        </is>
      </c>
      <c r="E13520" t="inlineStr">
        <is>
          <t>SKELLEFTEÅ</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3983-2024</t>
        </is>
      </c>
      <c r="B13521" s="1" t="n">
        <v>45322</v>
      </c>
      <c r="C13521" s="1" t="n">
        <v>45357</v>
      </c>
      <c r="D13521" t="inlineStr">
        <is>
          <t>VÄSTERBOTTENS LÄN</t>
        </is>
      </c>
      <c r="E13521" t="inlineStr">
        <is>
          <t>SKELLEFTEÅ</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3962-2024</t>
        </is>
      </c>
      <c r="B13522" s="1" t="n">
        <v>45322</v>
      </c>
      <c r="C13522" s="1" t="n">
        <v>45357</v>
      </c>
      <c r="D13522" t="inlineStr">
        <is>
          <t>VÄSTERBOTTENS LÄN</t>
        </is>
      </c>
      <c r="E13522" t="inlineStr">
        <is>
          <t>SKELLEFTEÅ</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4019-2024</t>
        </is>
      </c>
      <c r="B13523" s="1" t="n">
        <v>45323</v>
      </c>
      <c r="C13523" s="1" t="n">
        <v>45357</v>
      </c>
      <c r="D13523" t="inlineStr">
        <is>
          <t>VÄSTERBOTTENS LÄN</t>
        </is>
      </c>
      <c r="E13523" t="inlineStr">
        <is>
          <t>SKELLEFTEÅ</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4084-2024</t>
        </is>
      </c>
      <c r="B13524" s="1" t="n">
        <v>45323</v>
      </c>
      <c r="C13524" s="1" t="n">
        <v>45357</v>
      </c>
      <c r="D13524" t="inlineStr">
        <is>
          <t>VÄSTERBOTTENS LÄN</t>
        </is>
      </c>
      <c r="E13524" t="inlineStr">
        <is>
          <t>SKELLEFTEÅ</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4131-2024</t>
        </is>
      </c>
      <c r="B13525" s="1" t="n">
        <v>45323</v>
      </c>
      <c r="C13525" s="1" t="n">
        <v>45357</v>
      </c>
      <c r="D13525" t="inlineStr">
        <is>
          <t>VÄSTERBOTTENS LÄN</t>
        </is>
      </c>
      <c r="E13525" t="inlineStr">
        <is>
          <t>UMEÅ</t>
        </is>
      </c>
      <c r="G13525" t="n">
        <v>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4008-2024</t>
        </is>
      </c>
      <c r="B13526" s="1" t="n">
        <v>45323</v>
      </c>
      <c r="C13526" s="1" t="n">
        <v>45357</v>
      </c>
      <c r="D13526" t="inlineStr">
        <is>
          <t>VÄSTERBOTTENS LÄN</t>
        </is>
      </c>
      <c r="E13526" t="inlineStr">
        <is>
          <t>SKELLEFTEÅ</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4032-2024</t>
        </is>
      </c>
      <c r="B13527" s="1" t="n">
        <v>45323</v>
      </c>
      <c r="C13527" s="1" t="n">
        <v>45357</v>
      </c>
      <c r="D13527" t="inlineStr">
        <is>
          <t>VÄSTERBOTTENS LÄN</t>
        </is>
      </c>
      <c r="E13527" t="inlineStr">
        <is>
          <t>SKELLEFTEÅ</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4118-2024</t>
        </is>
      </c>
      <c r="B13528" s="1" t="n">
        <v>45323</v>
      </c>
      <c r="C13528" s="1" t="n">
        <v>45357</v>
      </c>
      <c r="D13528" t="inlineStr">
        <is>
          <t>VÄSTERBOTTENS LÄN</t>
        </is>
      </c>
      <c r="E13528" t="inlineStr">
        <is>
          <t>SKELLEFTEÅ</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4138-2024</t>
        </is>
      </c>
      <c r="B13529" s="1" t="n">
        <v>45323</v>
      </c>
      <c r="C13529" s="1" t="n">
        <v>45357</v>
      </c>
      <c r="D13529" t="inlineStr">
        <is>
          <t>VÄSTERBOTTENS LÄN</t>
        </is>
      </c>
      <c r="E13529" t="inlineStr">
        <is>
          <t>SKELLEFTEÅ</t>
        </is>
      </c>
      <c r="G13529" t="n">
        <v>5.6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4022-2024</t>
        </is>
      </c>
      <c r="B13530" s="1" t="n">
        <v>45323</v>
      </c>
      <c r="C13530" s="1" t="n">
        <v>45357</v>
      </c>
      <c r="D13530" t="inlineStr">
        <is>
          <t>VÄSTERBOTTENS LÄN</t>
        </is>
      </c>
      <c r="E13530" t="inlineStr">
        <is>
          <t>SKELLEFTEÅ</t>
        </is>
      </c>
      <c r="G13530" t="n">
        <v>4.7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4034-2024</t>
        </is>
      </c>
      <c r="B13531" s="1" t="n">
        <v>45323</v>
      </c>
      <c r="C13531" s="1" t="n">
        <v>45357</v>
      </c>
      <c r="D13531" t="inlineStr">
        <is>
          <t>VÄSTERBOTTENS LÄN</t>
        </is>
      </c>
      <c r="E13531" t="inlineStr">
        <is>
          <t>SKELLEFTEÅ</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4042-2024</t>
        </is>
      </c>
      <c r="B13532" s="1" t="n">
        <v>45323</v>
      </c>
      <c r="C13532" s="1" t="n">
        <v>45357</v>
      </c>
      <c r="D13532" t="inlineStr">
        <is>
          <t>VÄSTERBOTTENS LÄN</t>
        </is>
      </c>
      <c r="E13532" t="inlineStr">
        <is>
          <t>VÄNNÄS</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4124-2024</t>
        </is>
      </c>
      <c r="B13533" s="1" t="n">
        <v>45323</v>
      </c>
      <c r="C13533" s="1" t="n">
        <v>45357</v>
      </c>
      <c r="D13533" t="inlineStr">
        <is>
          <t>VÄSTERBOTTENS LÄN</t>
        </is>
      </c>
      <c r="E13533" t="inlineStr">
        <is>
          <t>SKELLEFTEÅ</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4291-2024</t>
        </is>
      </c>
      <c r="B13534" s="1" t="n">
        <v>45324</v>
      </c>
      <c r="C13534" s="1" t="n">
        <v>45357</v>
      </c>
      <c r="D13534" t="inlineStr">
        <is>
          <t>VÄSTERBOTTENS LÄN</t>
        </is>
      </c>
      <c r="E13534" t="inlineStr">
        <is>
          <t>VILHELMINA</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4299-2024</t>
        </is>
      </c>
      <c r="B13535" s="1" t="n">
        <v>45324</v>
      </c>
      <c r="C13535" s="1" t="n">
        <v>45357</v>
      </c>
      <c r="D13535" t="inlineStr">
        <is>
          <t>VÄSTERBOTTENS LÄN</t>
        </is>
      </c>
      <c r="E13535" t="inlineStr">
        <is>
          <t>VINDELN</t>
        </is>
      </c>
      <c r="G13535" t="n">
        <v>6.2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4292-2024</t>
        </is>
      </c>
      <c r="B13536" s="1" t="n">
        <v>45324</v>
      </c>
      <c r="C13536" s="1" t="n">
        <v>45357</v>
      </c>
      <c r="D13536" t="inlineStr">
        <is>
          <t>VÄSTERBOTTENS LÄN</t>
        </is>
      </c>
      <c r="E13536" t="inlineStr">
        <is>
          <t>SKELLEFTEÅ</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4338-2024</t>
        </is>
      </c>
      <c r="B13537" s="1" t="n">
        <v>45324</v>
      </c>
      <c r="C13537" s="1" t="n">
        <v>45357</v>
      </c>
      <c r="D13537" t="inlineStr">
        <is>
          <t>VÄSTERBOTTENS LÄN</t>
        </is>
      </c>
      <c r="E13537" t="inlineStr">
        <is>
          <t>UMEÅ</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4379-2024</t>
        </is>
      </c>
      <c r="B13538" s="1" t="n">
        <v>45327</v>
      </c>
      <c r="C13538" s="1" t="n">
        <v>45357</v>
      </c>
      <c r="D13538" t="inlineStr">
        <is>
          <t>VÄSTERBOTTENS LÄN</t>
        </is>
      </c>
      <c r="E13538" t="inlineStr">
        <is>
          <t>VINDELN</t>
        </is>
      </c>
      <c r="F13538" t="inlineStr">
        <is>
          <t>Holmen skog AB</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4390-2024</t>
        </is>
      </c>
      <c r="B13539" s="1" t="n">
        <v>45327</v>
      </c>
      <c r="C13539" s="1" t="n">
        <v>45357</v>
      </c>
      <c r="D13539" t="inlineStr">
        <is>
          <t>VÄSTERBOTTENS LÄN</t>
        </is>
      </c>
      <c r="E13539" t="inlineStr">
        <is>
          <t>LYCKSELE</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4477-2024</t>
        </is>
      </c>
      <c r="B13540" s="1" t="n">
        <v>45327</v>
      </c>
      <c r="C13540" s="1" t="n">
        <v>45357</v>
      </c>
      <c r="D13540" t="inlineStr">
        <is>
          <t>VÄSTERBOTTENS LÄN</t>
        </is>
      </c>
      <c r="E13540" t="inlineStr">
        <is>
          <t>NORSJÖ</t>
        </is>
      </c>
      <c r="G13540" t="n">
        <v>10.3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4485-2024</t>
        </is>
      </c>
      <c r="B13541" s="1" t="n">
        <v>45327</v>
      </c>
      <c r="C13541" s="1" t="n">
        <v>45357</v>
      </c>
      <c r="D13541" t="inlineStr">
        <is>
          <t>VÄSTERBOTTENS LÄN</t>
        </is>
      </c>
      <c r="E13541" t="inlineStr">
        <is>
          <t>STORUMAN</t>
        </is>
      </c>
      <c r="G13541" t="n">
        <v>5.9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4482-2024</t>
        </is>
      </c>
      <c r="B13542" s="1" t="n">
        <v>45327</v>
      </c>
      <c r="C13542" s="1" t="n">
        <v>45357</v>
      </c>
      <c r="D13542" t="inlineStr">
        <is>
          <t>VÄSTERBOTTENS LÄN</t>
        </is>
      </c>
      <c r="E13542" t="inlineStr">
        <is>
          <t>NORSJÖ</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4555-2024</t>
        </is>
      </c>
      <c r="B13543" s="1" t="n">
        <v>45327</v>
      </c>
      <c r="C13543" s="1" t="n">
        <v>45357</v>
      </c>
      <c r="D13543" t="inlineStr">
        <is>
          <t>VÄSTERBOTTENS LÄN</t>
        </is>
      </c>
      <c r="E13543" t="inlineStr">
        <is>
          <t>SORSELE</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4617-2024</t>
        </is>
      </c>
      <c r="B13544" s="1" t="n">
        <v>45327</v>
      </c>
      <c r="C13544" s="1" t="n">
        <v>45357</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4496-2024</t>
        </is>
      </c>
      <c r="B13545" s="1" t="n">
        <v>45327</v>
      </c>
      <c r="C13545" s="1" t="n">
        <v>45357</v>
      </c>
      <c r="D13545" t="inlineStr">
        <is>
          <t>VÄSTERBOTTENS LÄN</t>
        </is>
      </c>
      <c r="E13545" t="inlineStr">
        <is>
          <t>NORDMALING</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4568-2024</t>
        </is>
      </c>
      <c r="B13546" s="1" t="n">
        <v>45327</v>
      </c>
      <c r="C13546" s="1" t="n">
        <v>45357</v>
      </c>
      <c r="D13546" t="inlineStr">
        <is>
          <t>VÄSTERBOTTENS LÄN</t>
        </is>
      </c>
      <c r="E13546" t="inlineStr">
        <is>
          <t>VINDELN</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4656-2024</t>
        </is>
      </c>
      <c r="B13547" s="1" t="n">
        <v>45327</v>
      </c>
      <c r="C13547" s="1" t="n">
        <v>45357</v>
      </c>
      <c r="D13547" t="inlineStr">
        <is>
          <t>VÄSTERBOTTENS LÄN</t>
        </is>
      </c>
      <c r="E13547" t="inlineStr">
        <is>
          <t>SKELLEFTEÅ</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4625-2024</t>
        </is>
      </c>
      <c r="B13548" s="1" t="n">
        <v>45328</v>
      </c>
      <c r="C13548" s="1" t="n">
        <v>45357</v>
      </c>
      <c r="D13548" t="inlineStr">
        <is>
          <t>VÄSTERBOTTENS LÄN</t>
        </is>
      </c>
      <c r="E13548" t="inlineStr">
        <is>
          <t>LYCKSELE</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4705-2024</t>
        </is>
      </c>
      <c r="B13549" s="1" t="n">
        <v>45328</v>
      </c>
      <c r="C13549" s="1" t="n">
        <v>45357</v>
      </c>
      <c r="D13549" t="inlineStr">
        <is>
          <t>VÄSTERBOTTENS LÄN</t>
        </is>
      </c>
      <c r="E13549" t="inlineStr">
        <is>
          <t>NORDMALING</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4777-2024</t>
        </is>
      </c>
      <c r="B13550" s="1" t="n">
        <v>45328</v>
      </c>
      <c r="C13550" s="1" t="n">
        <v>45357</v>
      </c>
      <c r="D13550" t="inlineStr">
        <is>
          <t>VÄSTERBOTTENS LÄN</t>
        </is>
      </c>
      <c r="E13550" t="inlineStr">
        <is>
          <t>SKELLEFTEÅ</t>
        </is>
      </c>
      <c r="G13550" t="n">
        <v>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4680-2024</t>
        </is>
      </c>
      <c r="B13551" s="1" t="n">
        <v>45328</v>
      </c>
      <c r="C13551" s="1" t="n">
        <v>45357</v>
      </c>
      <c r="D13551" t="inlineStr">
        <is>
          <t>VÄSTERBOTTENS LÄN</t>
        </is>
      </c>
      <c r="E13551" t="inlineStr">
        <is>
          <t>VINDELN</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4701-2024</t>
        </is>
      </c>
      <c r="B13552" s="1" t="n">
        <v>45328</v>
      </c>
      <c r="C13552" s="1" t="n">
        <v>45357</v>
      </c>
      <c r="D13552" t="inlineStr">
        <is>
          <t>VÄSTERBOTTENS LÄN</t>
        </is>
      </c>
      <c r="E13552" t="inlineStr">
        <is>
          <t>NORDMALING</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4860-2024</t>
        </is>
      </c>
      <c r="B13553" s="1" t="n">
        <v>45329</v>
      </c>
      <c r="C13553" s="1" t="n">
        <v>45357</v>
      </c>
      <c r="D13553" t="inlineStr">
        <is>
          <t>VÄSTERBOTTENS LÄN</t>
        </is>
      </c>
      <c r="E13553" t="inlineStr">
        <is>
          <t>VINDELN</t>
        </is>
      </c>
      <c r="G13553" t="n">
        <v>6.7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4901-2024</t>
        </is>
      </c>
      <c r="B13554" s="1" t="n">
        <v>45329</v>
      </c>
      <c r="C13554" s="1" t="n">
        <v>45357</v>
      </c>
      <c r="D13554" t="inlineStr">
        <is>
          <t>VÄSTERBOTTENS LÄN</t>
        </is>
      </c>
      <c r="E13554" t="inlineStr">
        <is>
          <t>ÅSELE</t>
        </is>
      </c>
      <c r="F13554" t="inlineStr">
        <is>
          <t>Övriga Aktiebolag</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4921-2024</t>
        </is>
      </c>
      <c r="B13555" s="1" t="n">
        <v>45329</v>
      </c>
      <c r="C13555" s="1" t="n">
        <v>45357</v>
      </c>
      <c r="D13555" t="inlineStr">
        <is>
          <t>VÄSTERBOTTENS LÄN</t>
        </is>
      </c>
      <c r="E13555" t="inlineStr">
        <is>
          <t>ÅSELE</t>
        </is>
      </c>
      <c r="F13555" t="inlineStr">
        <is>
          <t>Övriga Aktiebolag</t>
        </is>
      </c>
      <c r="G13555" t="n">
        <v>7.9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4875-2024</t>
        </is>
      </c>
      <c r="B13556" s="1" t="n">
        <v>45329</v>
      </c>
      <c r="C13556" s="1" t="n">
        <v>45357</v>
      </c>
      <c r="D13556" t="inlineStr">
        <is>
          <t>VÄSTERBOTTENS LÄN</t>
        </is>
      </c>
      <c r="E13556" t="inlineStr">
        <is>
          <t>ÅSELE</t>
        </is>
      </c>
      <c r="F13556" t="inlineStr">
        <is>
          <t>Övriga Aktiebolag</t>
        </is>
      </c>
      <c r="G13556" t="n">
        <v>15.6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4879-2024</t>
        </is>
      </c>
      <c r="B13557" s="1" t="n">
        <v>45329</v>
      </c>
      <c r="C13557" s="1" t="n">
        <v>45357</v>
      </c>
      <c r="D13557" t="inlineStr">
        <is>
          <t>VÄSTERBOTTENS LÄN</t>
        </is>
      </c>
      <c r="E13557" t="inlineStr">
        <is>
          <t>VINDELN</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4888-2024</t>
        </is>
      </c>
      <c r="B13558" s="1" t="n">
        <v>45329</v>
      </c>
      <c r="C13558" s="1" t="n">
        <v>45357</v>
      </c>
      <c r="D13558" t="inlineStr">
        <is>
          <t>VÄSTERBOTTENS LÄN</t>
        </is>
      </c>
      <c r="E13558" t="inlineStr">
        <is>
          <t>ÅSELE</t>
        </is>
      </c>
      <c r="F13558" t="inlineStr">
        <is>
          <t>Övriga Aktiebolag</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4896-2024</t>
        </is>
      </c>
      <c r="B13559" s="1" t="n">
        <v>45329</v>
      </c>
      <c r="C13559" s="1" t="n">
        <v>45357</v>
      </c>
      <c r="D13559" t="inlineStr">
        <is>
          <t>VÄSTERBOTTENS LÄN</t>
        </is>
      </c>
      <c r="E13559" t="inlineStr">
        <is>
          <t>ÅSELE</t>
        </is>
      </c>
      <c r="F13559" t="inlineStr">
        <is>
          <t>Övriga Aktiebolag</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4900-2024</t>
        </is>
      </c>
      <c r="B13560" s="1" t="n">
        <v>45329</v>
      </c>
      <c r="C13560" s="1" t="n">
        <v>45357</v>
      </c>
      <c r="D13560" t="inlineStr">
        <is>
          <t>VÄSTERBOTTENS LÄN</t>
        </is>
      </c>
      <c r="E13560" t="inlineStr">
        <is>
          <t>SKELLEFTEÅ</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4940-2024</t>
        </is>
      </c>
      <c r="B13561" s="1" t="n">
        <v>45329</v>
      </c>
      <c r="C13561" s="1" t="n">
        <v>45357</v>
      </c>
      <c r="D13561" t="inlineStr">
        <is>
          <t>VÄSTERBOTTENS LÄN</t>
        </is>
      </c>
      <c r="E13561" t="inlineStr">
        <is>
          <t>NORDMALING</t>
        </is>
      </c>
      <c r="F13561" t="inlineStr">
        <is>
          <t>Kommuner</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4915-2024</t>
        </is>
      </c>
      <c r="B13562" s="1" t="n">
        <v>45329</v>
      </c>
      <c r="C13562" s="1" t="n">
        <v>45357</v>
      </c>
      <c r="D13562" t="inlineStr">
        <is>
          <t>VÄSTERBOTTENS LÄN</t>
        </is>
      </c>
      <c r="E13562" t="inlineStr">
        <is>
          <t>ÅSELE</t>
        </is>
      </c>
      <c r="F13562" t="inlineStr">
        <is>
          <t>Övriga Aktiebolag</t>
        </is>
      </c>
      <c r="G13562" t="n">
        <v>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5012-2024</t>
        </is>
      </c>
      <c r="B13563" s="1" t="n">
        <v>45329</v>
      </c>
      <c r="C13563" s="1" t="n">
        <v>45357</v>
      </c>
      <c r="D13563" t="inlineStr">
        <is>
          <t>VÄSTERBOTTENS LÄN</t>
        </is>
      </c>
      <c r="E13563" t="inlineStr">
        <is>
          <t>ÅSELE</t>
        </is>
      </c>
      <c r="F13563" t="inlineStr">
        <is>
          <t>Övriga Aktiebolag</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5024-2024</t>
        </is>
      </c>
      <c r="B13564" s="1" t="n">
        <v>45329</v>
      </c>
      <c r="C13564" s="1" t="n">
        <v>45357</v>
      </c>
      <c r="D13564" t="inlineStr">
        <is>
          <t>VÄSTERBOTTENS LÄN</t>
        </is>
      </c>
      <c r="E13564" t="inlineStr">
        <is>
          <t>ÅSELE</t>
        </is>
      </c>
      <c r="F13564" t="inlineStr">
        <is>
          <t>Övriga Aktiebolag</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5006-2024</t>
        </is>
      </c>
      <c r="B13565" s="1" t="n">
        <v>45329</v>
      </c>
      <c r="C13565" s="1" t="n">
        <v>45357</v>
      </c>
      <c r="D13565" t="inlineStr">
        <is>
          <t>VÄSTERBOTTENS LÄN</t>
        </is>
      </c>
      <c r="E13565" t="inlineStr">
        <is>
          <t>ÅSELE</t>
        </is>
      </c>
      <c r="F13565" t="inlineStr">
        <is>
          <t>Övriga Aktiebolag</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5018-2024</t>
        </is>
      </c>
      <c r="B13566" s="1" t="n">
        <v>45329</v>
      </c>
      <c r="C13566" s="1" t="n">
        <v>45357</v>
      </c>
      <c r="D13566" t="inlineStr">
        <is>
          <t>VÄSTERBOTTENS LÄN</t>
        </is>
      </c>
      <c r="E13566" t="inlineStr">
        <is>
          <t>ÅSELE</t>
        </is>
      </c>
      <c r="F13566" t="inlineStr">
        <is>
          <t>Övriga Aktiebolag</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5022-2024</t>
        </is>
      </c>
      <c r="B13567" s="1" t="n">
        <v>45329</v>
      </c>
      <c r="C13567" s="1" t="n">
        <v>45357</v>
      </c>
      <c r="D13567" t="inlineStr">
        <is>
          <t>VÄSTERBOTTENS LÄN</t>
        </is>
      </c>
      <c r="E13567" t="inlineStr">
        <is>
          <t>ÅSELE</t>
        </is>
      </c>
      <c r="F13567" t="inlineStr">
        <is>
          <t>Övriga Aktiebolag</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5153-2024</t>
        </is>
      </c>
      <c r="B13568" s="1" t="n">
        <v>45329</v>
      </c>
      <c r="C13568" s="1" t="n">
        <v>45357</v>
      </c>
      <c r="D13568" t="inlineStr">
        <is>
          <t>VÄSTERBOTTENS LÄN</t>
        </is>
      </c>
      <c r="E13568" t="inlineStr">
        <is>
          <t>DOROTEA</t>
        </is>
      </c>
      <c r="G13568" t="n">
        <v>7.8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5013-2024</t>
        </is>
      </c>
      <c r="B13569" s="1" t="n">
        <v>45329</v>
      </c>
      <c r="C13569" s="1" t="n">
        <v>45357</v>
      </c>
      <c r="D13569" t="inlineStr">
        <is>
          <t>VÄSTERBOTTENS LÄN</t>
        </is>
      </c>
      <c r="E13569" t="inlineStr">
        <is>
          <t>ÅSELE</t>
        </is>
      </c>
      <c r="F13569" t="inlineStr">
        <is>
          <t>Övriga Aktiebolag</t>
        </is>
      </c>
      <c r="G13569" t="n">
        <v>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5019-2024</t>
        </is>
      </c>
      <c r="B13570" s="1" t="n">
        <v>45329</v>
      </c>
      <c r="C13570" s="1" t="n">
        <v>45357</v>
      </c>
      <c r="D13570" t="inlineStr">
        <is>
          <t>VÄSTERBOTTENS LÄN</t>
        </is>
      </c>
      <c r="E13570" t="inlineStr">
        <is>
          <t>ÅSELE</t>
        </is>
      </c>
      <c r="F13570" t="inlineStr">
        <is>
          <t>Övriga Aktiebolag</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5171-2024</t>
        </is>
      </c>
      <c r="B13571" s="1" t="n">
        <v>45330</v>
      </c>
      <c r="C13571" s="1" t="n">
        <v>45357</v>
      </c>
      <c r="D13571" t="inlineStr">
        <is>
          <t>VÄSTERBOTTENS LÄN</t>
        </is>
      </c>
      <c r="E13571" t="inlineStr">
        <is>
          <t>VINDELN</t>
        </is>
      </c>
      <c r="G13571" t="n">
        <v>5.8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5220-2024</t>
        </is>
      </c>
      <c r="B13572" s="1" t="n">
        <v>45330</v>
      </c>
      <c r="C13572" s="1" t="n">
        <v>45357</v>
      </c>
      <c r="D13572" t="inlineStr">
        <is>
          <t>VÄSTERBOTTENS LÄN</t>
        </is>
      </c>
      <c r="E13572" t="inlineStr">
        <is>
          <t>SKELLEFTEÅ</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5237-2024</t>
        </is>
      </c>
      <c r="B13573" s="1" t="n">
        <v>45330</v>
      </c>
      <c r="C13573" s="1" t="n">
        <v>45357</v>
      </c>
      <c r="D13573" t="inlineStr">
        <is>
          <t>VÄSTERBOTTENS LÄN</t>
        </is>
      </c>
      <c r="E13573" t="inlineStr">
        <is>
          <t>SKELLEFTEÅ</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5245-2024</t>
        </is>
      </c>
      <c r="B13574" s="1" t="n">
        <v>45330</v>
      </c>
      <c r="C13574" s="1" t="n">
        <v>45357</v>
      </c>
      <c r="D13574" t="inlineStr">
        <is>
          <t>VÄSTERBOTTENS LÄN</t>
        </is>
      </c>
      <c r="E13574" t="inlineStr">
        <is>
          <t>ÅSELE</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5249-2024</t>
        </is>
      </c>
      <c r="B13575" s="1" t="n">
        <v>45330</v>
      </c>
      <c r="C13575" s="1" t="n">
        <v>45357</v>
      </c>
      <c r="D13575" t="inlineStr">
        <is>
          <t>VÄSTERBOTTENS LÄN</t>
        </is>
      </c>
      <c r="E13575" t="inlineStr">
        <is>
          <t>ÅSELE</t>
        </is>
      </c>
      <c r="G13575" t="n">
        <v>8.699999999999999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5257-2024</t>
        </is>
      </c>
      <c r="B13576" s="1" t="n">
        <v>45330</v>
      </c>
      <c r="C13576" s="1" t="n">
        <v>45357</v>
      </c>
      <c r="D13576" t="inlineStr">
        <is>
          <t>VÄSTERBOTTENS LÄN</t>
        </is>
      </c>
      <c r="E13576" t="inlineStr">
        <is>
          <t>NORDMALING</t>
        </is>
      </c>
      <c r="F13576" t="inlineStr">
        <is>
          <t>SCA</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5246-2024</t>
        </is>
      </c>
      <c r="B13577" s="1" t="n">
        <v>45330</v>
      </c>
      <c r="C13577" s="1" t="n">
        <v>45357</v>
      </c>
      <c r="D13577" t="inlineStr">
        <is>
          <t>VÄSTERBOTTENS LÄN</t>
        </is>
      </c>
      <c r="E13577" t="inlineStr">
        <is>
          <t>ÅSELE</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5258-2024</t>
        </is>
      </c>
      <c r="B13578" s="1" t="n">
        <v>45330</v>
      </c>
      <c r="C13578" s="1" t="n">
        <v>45357</v>
      </c>
      <c r="D13578" t="inlineStr">
        <is>
          <t>VÄSTERBOTTENS LÄN</t>
        </is>
      </c>
      <c r="E13578" t="inlineStr">
        <is>
          <t>NORDMALING</t>
        </is>
      </c>
      <c r="F13578" t="inlineStr">
        <is>
          <t>SCA</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5236-2024</t>
        </is>
      </c>
      <c r="B13579" s="1" t="n">
        <v>45330</v>
      </c>
      <c r="C13579" s="1" t="n">
        <v>45357</v>
      </c>
      <c r="D13579" t="inlineStr">
        <is>
          <t>VÄSTERBOTTENS LÄN</t>
        </is>
      </c>
      <c r="E13579" t="inlineStr">
        <is>
          <t>SKELLEFTEÅ</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5248-2024</t>
        </is>
      </c>
      <c r="B13580" s="1" t="n">
        <v>45330</v>
      </c>
      <c r="C13580" s="1" t="n">
        <v>45357</v>
      </c>
      <c r="D13580" t="inlineStr">
        <is>
          <t>VÄSTERBOTTENS LÄN</t>
        </is>
      </c>
      <c r="E13580" t="inlineStr">
        <is>
          <t>VINDELN</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5252-2024</t>
        </is>
      </c>
      <c r="B13581" s="1" t="n">
        <v>45330</v>
      </c>
      <c r="C13581" s="1" t="n">
        <v>45357</v>
      </c>
      <c r="D13581" t="inlineStr">
        <is>
          <t>VÄSTERBOTTENS LÄN</t>
        </is>
      </c>
      <c r="E13581" t="inlineStr">
        <is>
          <t>SKELLEFTEÅ</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5239-2024</t>
        </is>
      </c>
      <c r="B13582" s="1" t="n">
        <v>45330</v>
      </c>
      <c r="C13582" s="1" t="n">
        <v>45357</v>
      </c>
      <c r="D13582" t="inlineStr">
        <is>
          <t>VÄSTERBOTTENS LÄN</t>
        </is>
      </c>
      <c r="E13582" t="inlineStr">
        <is>
          <t>SKELLEFTEÅ</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5247-2024</t>
        </is>
      </c>
      <c r="B13583" s="1" t="n">
        <v>45330</v>
      </c>
      <c r="C13583" s="1" t="n">
        <v>45357</v>
      </c>
      <c r="D13583" t="inlineStr">
        <is>
          <t>VÄSTERBOTTENS LÄN</t>
        </is>
      </c>
      <c r="E13583" t="inlineStr">
        <is>
          <t>ÅSELE</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5251-2024</t>
        </is>
      </c>
      <c r="B13584" s="1" t="n">
        <v>45330</v>
      </c>
      <c r="C13584" s="1" t="n">
        <v>45357</v>
      </c>
      <c r="D13584" t="inlineStr">
        <is>
          <t>VÄSTERBOTTENS LÄN</t>
        </is>
      </c>
      <c r="E13584" t="inlineStr">
        <is>
          <t>DOROTEA</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5322-2024</t>
        </is>
      </c>
      <c r="B13585" s="1" t="n">
        <v>45331</v>
      </c>
      <c r="C13585" s="1" t="n">
        <v>45357</v>
      </c>
      <c r="D13585" t="inlineStr">
        <is>
          <t>VÄSTERBOTTENS LÄN</t>
        </is>
      </c>
      <c r="E13585" t="inlineStr">
        <is>
          <t>LYCKSELE</t>
        </is>
      </c>
      <c r="F13585" t="inlineStr">
        <is>
          <t>Sveaskog</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5368-2024</t>
        </is>
      </c>
      <c r="B13586" s="1" t="n">
        <v>45331</v>
      </c>
      <c r="C13586" s="1" t="n">
        <v>45357</v>
      </c>
      <c r="D13586" t="inlineStr">
        <is>
          <t>VÄSTERBOTTENS LÄN</t>
        </is>
      </c>
      <c r="E13586" t="inlineStr">
        <is>
          <t>VINDELN</t>
        </is>
      </c>
      <c r="F13586" t="inlineStr">
        <is>
          <t>Sveaskog</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5430-2024</t>
        </is>
      </c>
      <c r="B13587" s="1" t="n">
        <v>45331</v>
      </c>
      <c r="C13587" s="1" t="n">
        <v>45357</v>
      </c>
      <c r="D13587" t="inlineStr">
        <is>
          <t>VÄSTERBOTTENS LÄN</t>
        </is>
      </c>
      <c r="E13587" t="inlineStr">
        <is>
          <t>NORSJÖ</t>
        </is>
      </c>
      <c r="G13587" t="n">
        <v>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5434-2024</t>
        </is>
      </c>
      <c r="B13588" s="1" t="n">
        <v>45331</v>
      </c>
      <c r="C13588" s="1" t="n">
        <v>45357</v>
      </c>
      <c r="D13588" t="inlineStr">
        <is>
          <t>VÄSTERBOTTENS LÄN</t>
        </is>
      </c>
      <c r="E13588" t="inlineStr">
        <is>
          <t>VILHELMINA</t>
        </is>
      </c>
      <c r="G13588" t="n">
        <v>5.8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5323-2024</t>
        </is>
      </c>
      <c r="B13589" s="1" t="n">
        <v>45331</v>
      </c>
      <c r="C13589" s="1" t="n">
        <v>45357</v>
      </c>
      <c r="D13589" t="inlineStr">
        <is>
          <t>VÄSTERBOTTENS LÄN</t>
        </is>
      </c>
      <c r="E13589" t="inlineStr">
        <is>
          <t>LYCKSELE</t>
        </is>
      </c>
      <c r="F13589" t="inlineStr">
        <is>
          <t>Sveaskog</t>
        </is>
      </c>
      <c r="G13589" t="n">
        <v>5.3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5432-2024</t>
        </is>
      </c>
      <c r="B13590" s="1" t="n">
        <v>45331</v>
      </c>
      <c r="C13590" s="1" t="n">
        <v>45357</v>
      </c>
      <c r="D13590" t="inlineStr">
        <is>
          <t>VÄSTERBOTTENS LÄN</t>
        </is>
      </c>
      <c r="E13590" t="inlineStr">
        <is>
          <t>VILHELMINA</t>
        </is>
      </c>
      <c r="G13590" t="n">
        <v>19.6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5431-2024</t>
        </is>
      </c>
      <c r="B13591" s="1" t="n">
        <v>45331</v>
      </c>
      <c r="C13591" s="1" t="n">
        <v>45357</v>
      </c>
      <c r="D13591" t="inlineStr">
        <is>
          <t>VÄSTERBOTTENS LÄN</t>
        </is>
      </c>
      <c r="E13591" t="inlineStr">
        <is>
          <t>ÅSELE</t>
        </is>
      </c>
      <c r="G13591" t="n">
        <v>29.3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5435-2024</t>
        </is>
      </c>
      <c r="B13592" s="1" t="n">
        <v>45331</v>
      </c>
      <c r="C13592" s="1" t="n">
        <v>45357</v>
      </c>
      <c r="D13592" t="inlineStr">
        <is>
          <t>VÄSTERBOTTENS LÄN</t>
        </is>
      </c>
      <c r="E13592" t="inlineStr">
        <is>
          <t>VILHELMINA</t>
        </is>
      </c>
      <c r="G13592" t="n">
        <v>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5495-2024</t>
        </is>
      </c>
      <c r="B13593" s="1" t="n">
        <v>45331</v>
      </c>
      <c r="C13593" s="1" t="n">
        <v>45357</v>
      </c>
      <c r="D13593" t="inlineStr">
        <is>
          <t>VÄSTERBOTTENS LÄN</t>
        </is>
      </c>
      <c r="E13593" t="inlineStr">
        <is>
          <t>DOROTEA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5552-2024</t>
        </is>
      </c>
      <c r="B13594" s="1" t="n">
        <v>45332</v>
      </c>
      <c r="C13594" s="1" t="n">
        <v>45357</v>
      </c>
      <c r="D13594" t="inlineStr">
        <is>
          <t>VÄSTERBOTTENS LÄN</t>
        </is>
      </c>
      <c r="E13594" t="inlineStr">
        <is>
          <t>VILHELMINA</t>
        </is>
      </c>
      <c r="G13594" t="n">
        <v>18.2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5549-2024</t>
        </is>
      </c>
      <c r="B13595" s="1" t="n">
        <v>45332</v>
      </c>
      <c r="C13595" s="1" t="n">
        <v>45357</v>
      </c>
      <c r="D13595" t="inlineStr">
        <is>
          <t>VÄSTERBOTTENS LÄN</t>
        </is>
      </c>
      <c r="E13595" t="inlineStr">
        <is>
          <t>VILHELMINA</t>
        </is>
      </c>
      <c r="G13595" t="n">
        <v>25.8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5482-2024</t>
        </is>
      </c>
      <c r="B13596" s="1" t="n">
        <v>45333</v>
      </c>
      <c r="C13596" s="1" t="n">
        <v>45357</v>
      </c>
      <c r="D13596" t="inlineStr">
        <is>
          <t>VÄSTERBOTTENS LÄN</t>
        </is>
      </c>
      <c r="E13596" t="inlineStr">
        <is>
          <t>VILHELMINA</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5497-2024</t>
        </is>
      </c>
      <c r="B13597" s="1" t="n">
        <v>45334</v>
      </c>
      <c r="C13597" s="1" t="n">
        <v>45357</v>
      </c>
      <c r="D13597" t="inlineStr">
        <is>
          <t>VÄSTERBOTTENS LÄN</t>
        </is>
      </c>
      <c r="E13597" t="inlineStr">
        <is>
          <t>VILHELMINA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5636-2024</t>
        </is>
      </c>
      <c r="B13598" s="1" t="n">
        <v>45334</v>
      </c>
      <c r="C13598" s="1" t="n">
        <v>45357</v>
      </c>
      <c r="D13598" t="inlineStr">
        <is>
          <t>VÄSTERBOTTENS LÄN</t>
        </is>
      </c>
      <c r="E13598" t="inlineStr">
        <is>
          <t>SKELLEFTEÅ</t>
        </is>
      </c>
      <c r="G13598" t="n">
        <v>5.8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5660-2024</t>
        </is>
      </c>
      <c r="B13599" s="1" t="n">
        <v>45334</v>
      </c>
      <c r="C13599" s="1" t="n">
        <v>45357</v>
      </c>
      <c r="D13599" t="inlineStr">
        <is>
          <t>VÄSTERBOTTENS LÄN</t>
        </is>
      </c>
      <c r="E13599" t="inlineStr">
        <is>
          <t>SKELLEFTEÅ</t>
        </is>
      </c>
      <c r="G13599" t="n">
        <v>14.1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5596-2024</t>
        </is>
      </c>
      <c r="B13600" s="1" t="n">
        <v>45334</v>
      </c>
      <c r="C13600" s="1" t="n">
        <v>45357</v>
      </c>
      <c r="D13600" t="inlineStr">
        <is>
          <t>VÄSTERBOTTENS LÄN</t>
        </is>
      </c>
      <c r="E13600" t="inlineStr">
        <is>
          <t>SKELLEFTEÅ</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5543-2024</t>
        </is>
      </c>
      <c r="B13601" s="1" t="n">
        <v>45334</v>
      </c>
      <c r="C13601" s="1" t="n">
        <v>45357</v>
      </c>
      <c r="D13601" t="inlineStr">
        <is>
          <t>VÄSTERBOTTENS LÄN</t>
        </is>
      </c>
      <c r="E13601" t="inlineStr">
        <is>
          <t>ÅSELE</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5610-2024</t>
        </is>
      </c>
      <c r="B13602" s="1" t="n">
        <v>45334</v>
      </c>
      <c r="C13602" s="1" t="n">
        <v>45357</v>
      </c>
      <c r="D13602" t="inlineStr">
        <is>
          <t>VÄSTERBOTTENS LÄN</t>
        </is>
      </c>
      <c r="E13602" t="inlineStr">
        <is>
          <t>UMEÅ</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5639-2024</t>
        </is>
      </c>
      <c r="B13603" s="1" t="n">
        <v>45334</v>
      </c>
      <c r="C13603" s="1" t="n">
        <v>45357</v>
      </c>
      <c r="D13603" t="inlineStr">
        <is>
          <t>VÄSTERBOTTENS LÄN</t>
        </is>
      </c>
      <c r="E13603" t="inlineStr">
        <is>
          <t>SKELLEFTEÅ</t>
        </is>
      </c>
      <c r="G13603" t="n">
        <v>9.4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5545-2024</t>
        </is>
      </c>
      <c r="B13604" s="1" t="n">
        <v>45334</v>
      </c>
      <c r="C13604" s="1" t="n">
        <v>45357</v>
      </c>
      <c r="D13604" t="inlineStr">
        <is>
          <t>VÄSTERBOTTENS LÄN</t>
        </is>
      </c>
      <c r="E13604" t="inlineStr">
        <is>
          <t>ÅSELE</t>
        </is>
      </c>
      <c r="G13604" t="n">
        <v>14.4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5603-2024</t>
        </is>
      </c>
      <c r="B13605" s="1" t="n">
        <v>45334</v>
      </c>
      <c r="C13605" s="1" t="n">
        <v>45357</v>
      </c>
      <c r="D13605" t="inlineStr">
        <is>
          <t>VÄSTERBOTTENS LÄN</t>
        </is>
      </c>
      <c r="E13605" t="inlineStr">
        <is>
          <t>SKELLEFTEÅ</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5724-2024</t>
        </is>
      </c>
      <c r="B13606" s="1" t="n">
        <v>45334</v>
      </c>
      <c r="C13606" s="1" t="n">
        <v>45357</v>
      </c>
      <c r="D13606" t="inlineStr">
        <is>
          <t>VÄSTERBOTTENS LÄN</t>
        </is>
      </c>
      <c r="E13606" t="inlineStr">
        <is>
          <t>STORUMAN</t>
        </is>
      </c>
      <c r="G13606" t="n">
        <v>13.4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5726-2024</t>
        </is>
      </c>
      <c r="B13607" s="1" t="n">
        <v>45334</v>
      </c>
      <c r="C13607" s="1" t="n">
        <v>45357</v>
      </c>
      <c r="D13607" t="inlineStr">
        <is>
          <t>VÄSTERBOTTENS LÄN</t>
        </is>
      </c>
      <c r="E13607" t="inlineStr">
        <is>
          <t>ÅSELE</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5735-2024</t>
        </is>
      </c>
      <c r="B13608" s="1" t="n">
        <v>45334</v>
      </c>
      <c r="C13608" s="1" t="n">
        <v>45357</v>
      </c>
      <c r="D13608" t="inlineStr">
        <is>
          <t>VÄSTERBOTTENS LÄN</t>
        </is>
      </c>
      <c r="E13608" t="inlineStr">
        <is>
          <t>DOROTEA</t>
        </is>
      </c>
      <c r="F13608" t="inlineStr">
        <is>
          <t>SCA</t>
        </is>
      </c>
      <c r="G13608" t="n">
        <v>20.4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5815-2024</t>
        </is>
      </c>
      <c r="B13609" s="1" t="n">
        <v>45335</v>
      </c>
      <c r="C13609" s="1" t="n">
        <v>45357</v>
      </c>
      <c r="D13609" t="inlineStr">
        <is>
          <t>VÄSTERBOTTENS LÄN</t>
        </is>
      </c>
      <c r="E13609" t="inlineStr">
        <is>
          <t>ÅSELE</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5908-2024</t>
        </is>
      </c>
      <c r="B13610" s="1" t="n">
        <v>45335</v>
      </c>
      <c r="C13610" s="1" t="n">
        <v>45357</v>
      </c>
      <c r="D13610" t="inlineStr">
        <is>
          <t>VÄSTERBOTTENS LÄN</t>
        </is>
      </c>
      <c r="E13610" t="inlineStr">
        <is>
          <t>STORUMAN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5916-2024</t>
        </is>
      </c>
      <c r="B13611" s="1" t="n">
        <v>45335</v>
      </c>
      <c r="C13611" s="1" t="n">
        <v>45357</v>
      </c>
      <c r="D13611" t="inlineStr">
        <is>
          <t>VÄSTERBOTTENS LÄN</t>
        </is>
      </c>
      <c r="E13611" t="inlineStr">
        <is>
          <t>VINDELN</t>
        </is>
      </c>
      <c r="F13611" t="inlineStr">
        <is>
          <t>SCA</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5902-2024</t>
        </is>
      </c>
      <c r="B13612" s="1" t="n">
        <v>45335</v>
      </c>
      <c r="C13612" s="1" t="n">
        <v>45357</v>
      </c>
      <c r="D13612" t="inlineStr">
        <is>
          <t>VÄSTERBOTTENS LÄN</t>
        </is>
      </c>
      <c r="E13612" t="inlineStr">
        <is>
          <t>ROBERTSFORS</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5989-2024</t>
        </is>
      </c>
      <c r="B13613" s="1" t="n">
        <v>45336</v>
      </c>
      <c r="C13613" s="1" t="n">
        <v>45357</v>
      </c>
      <c r="D13613" t="inlineStr">
        <is>
          <t>VÄSTERBOTTENS LÄN</t>
        </is>
      </c>
      <c r="E13613" t="inlineStr">
        <is>
          <t>ROBERTSFORS</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6078-2024</t>
        </is>
      </c>
      <c r="B13614" s="1" t="n">
        <v>45336</v>
      </c>
      <c r="C13614" s="1" t="n">
        <v>45357</v>
      </c>
      <c r="D13614" t="inlineStr">
        <is>
          <t>VÄSTERBOTTENS LÄN</t>
        </is>
      </c>
      <c r="E13614" t="inlineStr">
        <is>
          <t>SKELLEFTEÅ</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6002-2024</t>
        </is>
      </c>
      <c r="B13615" s="1" t="n">
        <v>45336</v>
      </c>
      <c r="C13615" s="1" t="n">
        <v>45357</v>
      </c>
      <c r="D13615" t="inlineStr">
        <is>
          <t>VÄSTERBOTTENS LÄN</t>
        </is>
      </c>
      <c r="E13615" t="inlineStr">
        <is>
          <t>NORDMALING</t>
        </is>
      </c>
      <c r="F13615" t="inlineStr">
        <is>
          <t>Kommuner</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6018-2024</t>
        </is>
      </c>
      <c r="B13616" s="1" t="n">
        <v>45336</v>
      </c>
      <c r="C13616" s="1" t="n">
        <v>45357</v>
      </c>
      <c r="D13616" t="inlineStr">
        <is>
          <t>VÄSTERBOTTENS LÄN</t>
        </is>
      </c>
      <c r="E13616" t="inlineStr">
        <is>
          <t>SKELLEFTEÅ</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6076-2024</t>
        </is>
      </c>
      <c r="B13617" s="1" t="n">
        <v>45336</v>
      </c>
      <c r="C13617" s="1" t="n">
        <v>45357</v>
      </c>
      <c r="D13617" t="inlineStr">
        <is>
          <t>VÄSTERBOTTENS LÄN</t>
        </is>
      </c>
      <c r="E13617" t="inlineStr">
        <is>
          <t>NORSJÖ</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5955-2024</t>
        </is>
      </c>
      <c r="B13618" s="1" t="n">
        <v>45336</v>
      </c>
      <c r="C13618" s="1" t="n">
        <v>45357</v>
      </c>
      <c r="D13618" t="inlineStr">
        <is>
          <t>VÄSTERBOTTENS LÄN</t>
        </is>
      </c>
      <c r="E13618" t="inlineStr">
        <is>
          <t>ÅSELE</t>
        </is>
      </c>
      <c r="F13618" t="inlineStr">
        <is>
          <t>Naturvårdsverket</t>
        </is>
      </c>
      <c r="G13618" t="n">
        <v>22.6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5993-2024</t>
        </is>
      </c>
      <c r="B13619" s="1" t="n">
        <v>45336</v>
      </c>
      <c r="C13619" s="1" t="n">
        <v>45357</v>
      </c>
      <c r="D13619" t="inlineStr">
        <is>
          <t>VÄSTERBOTTENS LÄN</t>
        </is>
      </c>
      <c r="E13619" t="inlineStr">
        <is>
          <t>NORDMALING</t>
        </is>
      </c>
      <c r="F13619" t="inlineStr">
        <is>
          <t>Kommuner</t>
        </is>
      </c>
      <c r="G13619" t="n">
        <v>5.1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6075-2024</t>
        </is>
      </c>
      <c r="B13620" s="1" t="n">
        <v>45336</v>
      </c>
      <c r="C13620" s="1" t="n">
        <v>45357</v>
      </c>
      <c r="D13620" t="inlineStr">
        <is>
          <t>VÄSTERBOTTENS LÄN</t>
        </is>
      </c>
      <c r="E13620" t="inlineStr">
        <is>
          <t>NORSJÖ</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6079-2024</t>
        </is>
      </c>
      <c r="B13621" s="1" t="n">
        <v>45336</v>
      </c>
      <c r="C13621" s="1" t="n">
        <v>45357</v>
      </c>
      <c r="D13621" t="inlineStr">
        <is>
          <t>VÄSTERBOTTENS LÄN</t>
        </is>
      </c>
      <c r="E13621" t="inlineStr">
        <is>
          <t>NORSJÖ</t>
        </is>
      </c>
      <c r="G13621" t="n">
        <v>5.6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6225-2024</t>
        </is>
      </c>
      <c r="B13622" s="1" t="n">
        <v>45337</v>
      </c>
      <c r="C13622" s="1" t="n">
        <v>45357</v>
      </c>
      <c r="D13622" t="inlineStr">
        <is>
          <t>VÄSTERBOTTENS LÄN</t>
        </is>
      </c>
      <c r="E13622" t="inlineStr">
        <is>
          <t>ÅSELE</t>
        </is>
      </c>
      <c r="G13622" t="n">
        <v>13.3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6244-2024</t>
        </is>
      </c>
      <c r="B13623" s="1" t="n">
        <v>45337</v>
      </c>
      <c r="C13623" s="1" t="n">
        <v>45357</v>
      </c>
      <c r="D13623" t="inlineStr">
        <is>
          <t>VÄSTERBOTTENS LÄN</t>
        </is>
      </c>
      <c r="E13623" t="inlineStr">
        <is>
          <t>SKELLEFTEÅ</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6276-2024</t>
        </is>
      </c>
      <c r="B13624" s="1" t="n">
        <v>45337</v>
      </c>
      <c r="C13624" s="1" t="n">
        <v>45357</v>
      </c>
      <c r="D13624" t="inlineStr">
        <is>
          <t>VÄSTERBOTTENS LÄN</t>
        </is>
      </c>
      <c r="E13624" t="inlineStr">
        <is>
          <t>LYCKSELE</t>
        </is>
      </c>
      <c r="F13624" t="inlineStr">
        <is>
          <t>SCA</t>
        </is>
      </c>
      <c r="G13624" t="n">
        <v>13.1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6280-2024</t>
        </is>
      </c>
      <c r="B13625" s="1" t="n">
        <v>45337</v>
      </c>
      <c r="C13625" s="1" t="n">
        <v>45357</v>
      </c>
      <c r="D13625" t="inlineStr">
        <is>
          <t>VÄSTERBOTTENS LÄN</t>
        </is>
      </c>
      <c r="E13625" t="inlineStr">
        <is>
          <t>VILHELMINA</t>
        </is>
      </c>
      <c r="F13625" t="inlineStr">
        <is>
          <t>SCA</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6277-2024</t>
        </is>
      </c>
      <c r="B13626" s="1" t="n">
        <v>45337</v>
      </c>
      <c r="C13626" s="1" t="n">
        <v>45357</v>
      </c>
      <c r="D13626" t="inlineStr">
        <is>
          <t>VÄSTERBOTTENS LÄN</t>
        </is>
      </c>
      <c r="E13626" t="inlineStr">
        <is>
          <t>LYCKSELE</t>
        </is>
      </c>
      <c r="F13626" t="inlineStr">
        <is>
          <t>SCA</t>
        </is>
      </c>
      <c r="G13626" t="n">
        <v>40.3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6281-2024</t>
        </is>
      </c>
      <c r="B13627" s="1" t="n">
        <v>45337</v>
      </c>
      <c r="C13627" s="1" t="n">
        <v>45357</v>
      </c>
      <c r="D13627" t="inlineStr">
        <is>
          <t>VÄSTERBOTTENS LÄN</t>
        </is>
      </c>
      <c r="E13627" t="inlineStr">
        <is>
          <t>VILHELMINA</t>
        </is>
      </c>
      <c r="F13627" t="inlineStr">
        <is>
          <t>SCA</t>
        </is>
      </c>
      <c r="G13627" t="n">
        <v>17.6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6278-2024</t>
        </is>
      </c>
      <c r="B13628" s="1" t="n">
        <v>45337</v>
      </c>
      <c r="C13628" s="1" t="n">
        <v>45357</v>
      </c>
      <c r="D13628" t="inlineStr">
        <is>
          <t>VÄSTERBOTTENS LÄN</t>
        </is>
      </c>
      <c r="E13628" t="inlineStr">
        <is>
          <t>LYCKSELE</t>
        </is>
      </c>
      <c r="F13628" t="inlineStr">
        <is>
          <t>SCA</t>
        </is>
      </c>
      <c r="G13628" t="n">
        <v>23.3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6358-2024</t>
        </is>
      </c>
      <c r="B13629" s="1" t="n">
        <v>45338</v>
      </c>
      <c r="C13629" s="1" t="n">
        <v>45357</v>
      </c>
      <c r="D13629" t="inlineStr">
        <is>
          <t>VÄSTERBOTTENS LÄN</t>
        </is>
      </c>
      <c r="E13629" t="inlineStr">
        <is>
          <t>VILHELMINA</t>
        </is>
      </c>
      <c r="G13629" t="n">
        <v>10</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6420-2024</t>
        </is>
      </c>
      <c r="B13630" s="1" t="n">
        <v>45338</v>
      </c>
      <c r="C13630" s="1" t="n">
        <v>45357</v>
      </c>
      <c r="D13630" t="inlineStr">
        <is>
          <t>VÄSTERBOTTENS LÄN</t>
        </is>
      </c>
      <c r="E13630" t="inlineStr">
        <is>
          <t>SKELLEFTEÅ</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6391-2024</t>
        </is>
      </c>
      <c r="B13631" s="1" t="n">
        <v>45338</v>
      </c>
      <c r="C13631" s="1" t="n">
        <v>45357</v>
      </c>
      <c r="D13631" t="inlineStr">
        <is>
          <t>VÄSTERBOTTENS LÄN</t>
        </is>
      </c>
      <c r="E13631" t="inlineStr">
        <is>
          <t>ROBERTSFORS</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6361-2024</t>
        </is>
      </c>
      <c r="B13632" s="1" t="n">
        <v>45338</v>
      </c>
      <c r="C13632" s="1" t="n">
        <v>45357</v>
      </c>
      <c r="D13632" t="inlineStr">
        <is>
          <t>VÄSTERBOTTENS LÄN</t>
        </is>
      </c>
      <c r="E13632" t="inlineStr">
        <is>
          <t>UMEÅ</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6369-2024</t>
        </is>
      </c>
      <c r="B13633" s="1" t="n">
        <v>45338</v>
      </c>
      <c r="C13633" s="1" t="n">
        <v>45357</v>
      </c>
      <c r="D13633" t="inlineStr">
        <is>
          <t>VÄSTERBOTTENS LÄN</t>
        </is>
      </c>
      <c r="E13633" t="inlineStr">
        <is>
          <t>VILHELMINA</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6398-2024</t>
        </is>
      </c>
      <c r="B13634" s="1" t="n">
        <v>45338</v>
      </c>
      <c r="C13634" s="1" t="n">
        <v>45357</v>
      </c>
      <c r="D13634" t="inlineStr">
        <is>
          <t>VÄSTERBOTTENS LÄN</t>
        </is>
      </c>
      <c r="E13634" t="inlineStr">
        <is>
          <t>SKELLEFTEÅ</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6436-2024</t>
        </is>
      </c>
      <c r="B13635" s="1" t="n">
        <v>45338</v>
      </c>
      <c r="C13635" s="1" t="n">
        <v>45357</v>
      </c>
      <c r="D13635" t="inlineStr">
        <is>
          <t>VÄSTERBOTTENS LÄN</t>
        </is>
      </c>
      <c r="E13635" t="inlineStr">
        <is>
          <t>VINDELN</t>
        </is>
      </c>
      <c r="G13635" t="n">
        <v>17.6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6448-2024</t>
        </is>
      </c>
      <c r="B13636" s="1" t="n">
        <v>45338</v>
      </c>
      <c r="C13636" s="1" t="n">
        <v>45357</v>
      </c>
      <c r="D13636" t="inlineStr">
        <is>
          <t>VÄSTERBOTTENS LÄN</t>
        </is>
      </c>
      <c r="E13636" t="inlineStr">
        <is>
          <t>SKELLEFTEÅ</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6460-2024</t>
        </is>
      </c>
      <c r="B13637" s="1" t="n">
        <v>45338</v>
      </c>
      <c r="C13637" s="1" t="n">
        <v>45357</v>
      </c>
      <c r="D13637" t="inlineStr">
        <is>
          <t>VÄSTERBOTTENS LÄN</t>
        </is>
      </c>
      <c r="E13637" t="inlineStr">
        <is>
          <t>VINDELN</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6422-2024</t>
        </is>
      </c>
      <c r="B13638" s="1" t="n">
        <v>45338</v>
      </c>
      <c r="C13638" s="1" t="n">
        <v>45357</v>
      </c>
      <c r="D13638" t="inlineStr">
        <is>
          <t>VÄSTERBOTTENS LÄN</t>
        </is>
      </c>
      <c r="E13638" t="inlineStr">
        <is>
          <t>SKELLEFTEÅ</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6435-2024</t>
        </is>
      </c>
      <c r="B13639" s="1" t="n">
        <v>45338</v>
      </c>
      <c r="C13639" s="1" t="n">
        <v>45357</v>
      </c>
      <c r="D13639" t="inlineStr">
        <is>
          <t>VÄSTERBOTTENS LÄN</t>
        </is>
      </c>
      <c r="E13639" t="inlineStr">
        <is>
          <t>SKELLEFTEÅ</t>
        </is>
      </c>
      <c r="G13639" t="n">
        <v>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6463-2024</t>
        </is>
      </c>
      <c r="B13640" s="1" t="n">
        <v>45338</v>
      </c>
      <c r="C13640" s="1" t="n">
        <v>45357</v>
      </c>
      <c r="D13640" t="inlineStr">
        <is>
          <t>VÄSTERBOTTENS LÄN</t>
        </is>
      </c>
      <c r="E13640" t="inlineStr">
        <is>
          <t>VINDELN</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6499-2024</t>
        </is>
      </c>
      <c r="B13641" s="1" t="n">
        <v>45339</v>
      </c>
      <c r="C13641" s="1" t="n">
        <v>45357</v>
      </c>
      <c r="D13641" t="inlineStr">
        <is>
          <t>VÄSTERBOTTENS LÄN</t>
        </is>
      </c>
      <c r="E13641" t="inlineStr">
        <is>
          <t>NORSJÖ</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6527-2024</t>
        </is>
      </c>
      <c r="B13642" s="1" t="n">
        <v>45341</v>
      </c>
      <c r="C13642" s="1" t="n">
        <v>45357</v>
      </c>
      <c r="D13642" t="inlineStr">
        <is>
          <t>VÄSTERBOTTENS LÄN</t>
        </is>
      </c>
      <c r="E13642" t="inlineStr">
        <is>
          <t>NORSJÖ</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6583-2024</t>
        </is>
      </c>
      <c r="B13643" s="1" t="n">
        <v>45341</v>
      </c>
      <c r="C13643" s="1" t="n">
        <v>45357</v>
      </c>
      <c r="D13643" t="inlineStr">
        <is>
          <t>VÄSTERBOTTENS LÄN</t>
        </is>
      </c>
      <c r="E13643" t="inlineStr">
        <is>
          <t>ÅSELE</t>
        </is>
      </c>
      <c r="G13643" t="n">
        <v>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6637-2024</t>
        </is>
      </c>
      <c r="B13644" s="1" t="n">
        <v>45341</v>
      </c>
      <c r="C13644" s="1" t="n">
        <v>45357</v>
      </c>
      <c r="D13644" t="inlineStr">
        <is>
          <t>VÄSTERBOTTENS LÄN</t>
        </is>
      </c>
      <c r="E13644" t="inlineStr">
        <is>
          <t>VINDELN</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6632-2024</t>
        </is>
      </c>
      <c r="B13645" s="1" t="n">
        <v>45341</v>
      </c>
      <c r="C13645" s="1" t="n">
        <v>45357</v>
      </c>
      <c r="D13645" t="inlineStr">
        <is>
          <t>VÄSTERBOTTENS LÄN</t>
        </is>
      </c>
      <c r="E13645" t="inlineStr">
        <is>
          <t>MALÅ</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6576-2024</t>
        </is>
      </c>
      <c r="B13646" s="1" t="n">
        <v>45341</v>
      </c>
      <c r="C13646" s="1" t="n">
        <v>45357</v>
      </c>
      <c r="D13646" t="inlineStr">
        <is>
          <t>VÄSTERBOTTENS LÄN</t>
        </is>
      </c>
      <c r="E13646" t="inlineStr">
        <is>
          <t>ÅSELE</t>
        </is>
      </c>
      <c r="F13646" t="inlineStr">
        <is>
          <t>Holmen skog AB</t>
        </is>
      </c>
      <c r="G13646" t="n">
        <v>32.6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6610-2024</t>
        </is>
      </c>
      <c r="B13647" s="1" t="n">
        <v>45341</v>
      </c>
      <c r="C13647" s="1" t="n">
        <v>45357</v>
      </c>
      <c r="D13647" t="inlineStr">
        <is>
          <t>VÄSTERBOTTENS LÄN</t>
        </is>
      </c>
      <c r="E13647" t="inlineStr">
        <is>
          <t>UMEÅ</t>
        </is>
      </c>
      <c r="G13647" t="n">
        <v>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6682-2024</t>
        </is>
      </c>
      <c r="B13648" s="1" t="n">
        <v>45341</v>
      </c>
      <c r="C13648" s="1" t="n">
        <v>45357</v>
      </c>
      <c r="D13648" t="inlineStr">
        <is>
          <t>VÄSTERBOTTENS LÄN</t>
        </is>
      </c>
      <c r="E13648" t="inlineStr">
        <is>
          <t>ÅSELE</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6681-2024</t>
        </is>
      </c>
      <c r="B13649" s="1" t="n">
        <v>45341</v>
      </c>
      <c r="C13649" s="1" t="n">
        <v>45357</v>
      </c>
      <c r="D13649" t="inlineStr">
        <is>
          <t>VÄSTERBOTTENS LÄN</t>
        </is>
      </c>
      <c r="E13649" t="inlineStr">
        <is>
          <t>ÅSELE</t>
        </is>
      </c>
      <c r="G13649" t="n">
        <v>9.800000000000001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6667-2024</t>
        </is>
      </c>
      <c r="B13650" s="1" t="n">
        <v>45341</v>
      </c>
      <c r="C13650" s="1" t="n">
        <v>45357</v>
      </c>
      <c r="D13650" t="inlineStr">
        <is>
          <t>VÄSTERBOTTENS LÄN</t>
        </is>
      </c>
      <c r="E13650" t="inlineStr">
        <is>
          <t>NORSJÖ</t>
        </is>
      </c>
      <c r="F13650" t="inlineStr">
        <is>
          <t>Holmen skog AB</t>
        </is>
      </c>
      <c r="G13650" t="n">
        <v>10.8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6683-2024</t>
        </is>
      </c>
      <c r="B13651" s="1" t="n">
        <v>45341</v>
      </c>
      <c r="C13651" s="1" t="n">
        <v>45357</v>
      </c>
      <c r="D13651" t="inlineStr">
        <is>
          <t>VÄSTERBOTTENS LÄN</t>
        </is>
      </c>
      <c r="E13651" t="inlineStr">
        <is>
          <t>ÅSELE</t>
        </is>
      </c>
      <c r="G13651" t="n">
        <v>10.3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6710-2024</t>
        </is>
      </c>
      <c r="B13652" s="1" t="n">
        <v>45341</v>
      </c>
      <c r="C13652" s="1" t="n">
        <v>45357</v>
      </c>
      <c r="D13652" t="inlineStr">
        <is>
          <t>VÄSTERBOTTENS LÄN</t>
        </is>
      </c>
      <c r="E13652" t="inlineStr">
        <is>
          <t>SKELLEFTEÅ</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6723-2024</t>
        </is>
      </c>
      <c r="B13653" s="1" t="n">
        <v>45342</v>
      </c>
      <c r="C13653" s="1" t="n">
        <v>45357</v>
      </c>
      <c r="D13653" t="inlineStr">
        <is>
          <t>VÄSTERBOTTENS LÄN</t>
        </is>
      </c>
      <c r="E13653" t="inlineStr">
        <is>
          <t>SKELLEFTEÅ</t>
        </is>
      </c>
      <c r="F13653" t="inlineStr">
        <is>
          <t>Sveaskog</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6707-2024</t>
        </is>
      </c>
      <c r="B13654" s="1" t="n">
        <v>45342</v>
      </c>
      <c r="C13654" s="1" t="n">
        <v>45357</v>
      </c>
      <c r="D13654" t="inlineStr">
        <is>
          <t>VÄSTERBOTTENS LÄN</t>
        </is>
      </c>
      <c r="E13654" t="inlineStr">
        <is>
          <t>NORDMALING</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6721-2024</t>
        </is>
      </c>
      <c r="B13655" s="1" t="n">
        <v>45342</v>
      </c>
      <c r="C13655" s="1" t="n">
        <v>45357</v>
      </c>
      <c r="D13655" t="inlineStr">
        <is>
          <t>VÄSTERBOTTENS LÄN</t>
        </is>
      </c>
      <c r="E13655" t="inlineStr">
        <is>
          <t>BJURHOLM</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6725-2024</t>
        </is>
      </c>
      <c r="B13656" s="1" t="n">
        <v>45342</v>
      </c>
      <c r="C13656" s="1" t="n">
        <v>45357</v>
      </c>
      <c r="D13656" t="inlineStr">
        <is>
          <t>VÄSTERBOTTENS LÄN</t>
        </is>
      </c>
      <c r="E13656" t="inlineStr">
        <is>
          <t>UMEÅ</t>
        </is>
      </c>
      <c r="F13656" t="inlineStr">
        <is>
          <t>Övriga statliga verk och myndigheter</t>
        </is>
      </c>
      <c r="G13656" t="n">
        <v>6.2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6733-2024</t>
        </is>
      </c>
      <c r="B13657" s="1" t="n">
        <v>45342</v>
      </c>
      <c r="C13657" s="1" t="n">
        <v>45357</v>
      </c>
      <c r="D13657" t="inlineStr">
        <is>
          <t>VÄSTERBOTTENS LÄN</t>
        </is>
      </c>
      <c r="E13657" t="inlineStr">
        <is>
          <t>VINDELN</t>
        </is>
      </c>
      <c r="F13657" t="inlineStr">
        <is>
          <t>Sveaskog</t>
        </is>
      </c>
      <c r="G13657" t="n">
        <v>7.2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6757-2024</t>
        </is>
      </c>
      <c r="B13658" s="1" t="n">
        <v>45342</v>
      </c>
      <c r="C13658" s="1" t="n">
        <v>45357</v>
      </c>
      <c r="D13658" t="inlineStr">
        <is>
          <t>VÄSTERBOTTENS LÄN</t>
        </is>
      </c>
      <c r="E13658" t="inlineStr">
        <is>
          <t>NORSJÖ</t>
        </is>
      </c>
      <c r="F13658" t="inlineStr">
        <is>
          <t>Holmen skog AB</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6773-2024</t>
        </is>
      </c>
      <c r="B13659" s="1" t="n">
        <v>45342</v>
      </c>
      <c r="C13659" s="1" t="n">
        <v>45357</v>
      </c>
      <c r="D13659" t="inlineStr">
        <is>
          <t>VÄSTERBOTTENS LÄN</t>
        </is>
      </c>
      <c r="E13659" t="inlineStr">
        <is>
          <t>NORSJÖ</t>
        </is>
      </c>
      <c r="F13659" t="inlineStr">
        <is>
          <t>Holmen skog AB</t>
        </is>
      </c>
      <c r="G13659" t="n">
        <v>6.9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6704-2024</t>
        </is>
      </c>
      <c r="B13660" s="1" t="n">
        <v>45342</v>
      </c>
      <c r="C13660" s="1" t="n">
        <v>45357</v>
      </c>
      <c r="D13660" t="inlineStr">
        <is>
          <t>VÄSTERBOTTENS LÄN</t>
        </is>
      </c>
      <c r="E13660" t="inlineStr">
        <is>
          <t>SKELLEFTEÅ</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6708-2024</t>
        </is>
      </c>
      <c r="B13661" s="1" t="n">
        <v>45342</v>
      </c>
      <c r="C13661" s="1" t="n">
        <v>45357</v>
      </c>
      <c r="D13661" t="inlineStr">
        <is>
          <t>VÄSTERBOTTENS LÄN</t>
        </is>
      </c>
      <c r="E13661" t="inlineStr">
        <is>
          <t>NORDMALING</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6706-2024</t>
        </is>
      </c>
      <c r="B13662" s="1" t="n">
        <v>45342</v>
      </c>
      <c r="C13662" s="1" t="n">
        <v>45357</v>
      </c>
      <c r="D13662" t="inlineStr">
        <is>
          <t>VÄSTERBOTTENS LÄN</t>
        </is>
      </c>
      <c r="E13662" t="inlineStr">
        <is>
          <t>NORDMALING</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6716-2024</t>
        </is>
      </c>
      <c r="B13663" s="1" t="n">
        <v>45342</v>
      </c>
      <c r="C13663" s="1" t="n">
        <v>45357</v>
      </c>
      <c r="D13663" t="inlineStr">
        <is>
          <t>VÄSTERBOTTENS LÄN</t>
        </is>
      </c>
      <c r="E13663" t="inlineStr">
        <is>
          <t>VINDELN</t>
        </is>
      </c>
      <c r="F13663" t="inlineStr">
        <is>
          <t>Sveaskog</t>
        </is>
      </c>
      <c r="G13663" t="n">
        <v>5.6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6720-2024</t>
        </is>
      </c>
      <c r="B13664" s="1" t="n">
        <v>45342</v>
      </c>
      <c r="C13664" s="1" t="n">
        <v>45357</v>
      </c>
      <c r="D13664" t="inlineStr">
        <is>
          <t>VÄSTERBOTTENS LÄN</t>
        </is>
      </c>
      <c r="E13664" t="inlineStr">
        <is>
          <t>SKELLEFTEÅ</t>
        </is>
      </c>
      <c r="F13664" t="inlineStr">
        <is>
          <t>Sveaskog</t>
        </is>
      </c>
      <c r="G13664" t="n">
        <v>6.6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6734-2024</t>
        </is>
      </c>
      <c r="B13665" s="1" t="n">
        <v>45342</v>
      </c>
      <c r="C13665" s="1" t="n">
        <v>45357</v>
      </c>
      <c r="D13665" t="inlineStr">
        <is>
          <t>VÄSTERBOTTENS LÄN</t>
        </is>
      </c>
      <c r="E13665" t="inlineStr">
        <is>
          <t>VINDELN</t>
        </is>
      </c>
      <c r="F13665" t="inlineStr">
        <is>
          <t>Sveaskog</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6780-2024</t>
        </is>
      </c>
      <c r="B13666" s="1" t="n">
        <v>45342</v>
      </c>
      <c r="C13666" s="1" t="n">
        <v>45357</v>
      </c>
      <c r="D13666" t="inlineStr">
        <is>
          <t>VÄSTERBOTTENS LÄN</t>
        </is>
      </c>
      <c r="E13666" t="inlineStr">
        <is>
          <t>BJURHOLM</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6801-2024</t>
        </is>
      </c>
      <c r="B13667" s="1" t="n">
        <v>45342</v>
      </c>
      <c r="C13667" s="1" t="n">
        <v>45357</v>
      </c>
      <c r="D13667" t="inlineStr">
        <is>
          <t>VÄSTERBOTTENS LÄN</t>
        </is>
      </c>
      <c r="E13667" t="inlineStr">
        <is>
          <t>ÅSELE</t>
        </is>
      </c>
      <c r="G13667" t="n">
        <v>8.5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6901-2024</t>
        </is>
      </c>
      <c r="B13668" s="1" t="n">
        <v>45342</v>
      </c>
      <c r="C13668" s="1" t="n">
        <v>45357</v>
      </c>
      <c r="D13668" t="inlineStr">
        <is>
          <t>VÄSTERBOTTENS LÄN</t>
        </is>
      </c>
      <c r="E13668" t="inlineStr">
        <is>
          <t>DOROTEA</t>
        </is>
      </c>
      <c r="F13668" t="inlineStr">
        <is>
          <t>SCA</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6931-2024</t>
        </is>
      </c>
      <c r="B13669" s="1" t="n">
        <v>45343</v>
      </c>
      <c r="C13669" s="1" t="n">
        <v>45357</v>
      </c>
      <c r="D13669" t="inlineStr">
        <is>
          <t>VÄSTERBOTTENS LÄN</t>
        </is>
      </c>
      <c r="E13669" t="inlineStr">
        <is>
          <t>SKELLEFTEÅ</t>
        </is>
      </c>
      <c r="F13669" t="inlineStr">
        <is>
          <t>Holmen skog AB</t>
        </is>
      </c>
      <c r="G13669" t="n">
        <v>5.6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6974-2024</t>
        </is>
      </c>
      <c r="B13670" s="1" t="n">
        <v>45343</v>
      </c>
      <c r="C13670" s="1" t="n">
        <v>45357</v>
      </c>
      <c r="D13670" t="inlineStr">
        <is>
          <t>VÄSTERBOTTENS LÄN</t>
        </is>
      </c>
      <c r="E13670" t="inlineStr">
        <is>
          <t>NORDMALING</t>
        </is>
      </c>
      <c r="F13670" t="inlineStr">
        <is>
          <t>Kommuner</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6987-2024</t>
        </is>
      </c>
      <c r="B13671" s="1" t="n">
        <v>45343</v>
      </c>
      <c r="C13671" s="1" t="n">
        <v>45357</v>
      </c>
      <c r="D13671" t="inlineStr">
        <is>
          <t>VÄSTERBOTTENS LÄN</t>
        </is>
      </c>
      <c r="E13671" t="inlineStr">
        <is>
          <t>UMEÅ</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6990-2024</t>
        </is>
      </c>
      <c r="B13672" s="1" t="n">
        <v>45343</v>
      </c>
      <c r="C13672" s="1" t="n">
        <v>45357</v>
      </c>
      <c r="D13672" t="inlineStr">
        <is>
          <t>VÄSTERBOTTENS LÄN</t>
        </is>
      </c>
      <c r="E13672" t="inlineStr">
        <is>
          <t>ÅSELE</t>
        </is>
      </c>
      <c r="F13672" t="inlineStr">
        <is>
          <t>Sveaskog</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6998-2024</t>
        </is>
      </c>
      <c r="B13673" s="1" t="n">
        <v>45343</v>
      </c>
      <c r="C13673" s="1" t="n">
        <v>45357</v>
      </c>
      <c r="D13673" t="inlineStr">
        <is>
          <t>VÄSTERBOTTENS LÄN</t>
        </is>
      </c>
      <c r="E13673" t="inlineStr">
        <is>
          <t>UMEÅ</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7003-2024</t>
        </is>
      </c>
      <c r="B13674" s="1" t="n">
        <v>45343</v>
      </c>
      <c r="C13674" s="1" t="n">
        <v>45357</v>
      </c>
      <c r="D13674" t="inlineStr">
        <is>
          <t>VÄSTERBOTTENS LÄN</t>
        </is>
      </c>
      <c r="E13674" t="inlineStr">
        <is>
          <t>UMEÅ</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7007-2024</t>
        </is>
      </c>
      <c r="B13675" s="1" t="n">
        <v>45343</v>
      </c>
      <c r="C13675" s="1" t="n">
        <v>45357</v>
      </c>
      <c r="D13675" t="inlineStr">
        <is>
          <t>VÄSTERBOTTENS LÄN</t>
        </is>
      </c>
      <c r="E13675" t="inlineStr">
        <is>
          <t>NORDMALING</t>
        </is>
      </c>
      <c r="F13675" t="inlineStr">
        <is>
          <t>Kommuner</t>
        </is>
      </c>
      <c r="G13675" t="n">
        <v>6.2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6968-2024</t>
        </is>
      </c>
      <c r="B13676" s="1" t="n">
        <v>45343</v>
      </c>
      <c r="C13676" s="1" t="n">
        <v>45357</v>
      </c>
      <c r="D13676" t="inlineStr">
        <is>
          <t>VÄSTERBOTTENS LÄN</t>
        </is>
      </c>
      <c r="E13676" t="inlineStr">
        <is>
          <t>NORDMALING</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7028-2024</t>
        </is>
      </c>
      <c r="B13677" s="1" t="n">
        <v>45343</v>
      </c>
      <c r="C13677" s="1" t="n">
        <v>45357</v>
      </c>
      <c r="D13677" t="inlineStr">
        <is>
          <t>VÄSTERBOTTENS LÄN</t>
        </is>
      </c>
      <c r="E13677" t="inlineStr">
        <is>
          <t>UMEÅ</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7050-2024</t>
        </is>
      </c>
      <c r="B13678" s="1" t="n">
        <v>45343</v>
      </c>
      <c r="C13678" s="1" t="n">
        <v>45357</v>
      </c>
      <c r="D13678" t="inlineStr">
        <is>
          <t>VÄSTERBOTTENS LÄN</t>
        </is>
      </c>
      <c r="E13678" t="inlineStr">
        <is>
          <t>UMEÅ</t>
        </is>
      </c>
      <c r="G13678" t="n">
        <v>6.5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7064-2024</t>
        </is>
      </c>
      <c r="B13679" s="1" t="n">
        <v>45343</v>
      </c>
      <c r="C13679" s="1" t="n">
        <v>45357</v>
      </c>
      <c r="D13679" t="inlineStr">
        <is>
          <t>VÄSTERBOTTENS LÄN</t>
        </is>
      </c>
      <c r="E13679" t="inlineStr">
        <is>
          <t>NORDMALING</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7081-2024</t>
        </is>
      </c>
      <c r="B13680" s="1" t="n">
        <v>45343</v>
      </c>
      <c r="C13680" s="1" t="n">
        <v>45357</v>
      </c>
      <c r="D13680" t="inlineStr">
        <is>
          <t>VÄSTERBOTTENS LÄN</t>
        </is>
      </c>
      <c r="E13680" t="inlineStr">
        <is>
          <t>NORSJÖ</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6969-2024</t>
        </is>
      </c>
      <c r="B13681" s="1" t="n">
        <v>45343</v>
      </c>
      <c r="C13681" s="1" t="n">
        <v>45357</v>
      </c>
      <c r="D13681" t="inlineStr">
        <is>
          <t>VÄSTERBOTTENS LÄN</t>
        </is>
      </c>
      <c r="E13681" t="inlineStr">
        <is>
          <t>NORDMALING</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6993-2024</t>
        </is>
      </c>
      <c r="B13682" s="1" t="n">
        <v>45343</v>
      </c>
      <c r="C13682" s="1" t="n">
        <v>45357</v>
      </c>
      <c r="D13682" t="inlineStr">
        <is>
          <t>VÄSTERBOTTENS LÄN</t>
        </is>
      </c>
      <c r="E13682" t="inlineStr">
        <is>
          <t>NORDMALING</t>
        </is>
      </c>
      <c r="F13682" t="inlineStr">
        <is>
          <t>Kommuner</t>
        </is>
      </c>
      <c r="G13682" t="n">
        <v>23.2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6997-2024</t>
        </is>
      </c>
      <c r="B13683" s="1" t="n">
        <v>45343</v>
      </c>
      <c r="C13683" s="1" t="n">
        <v>45357</v>
      </c>
      <c r="D13683" t="inlineStr">
        <is>
          <t>VÄSTERBOTTENS LÄN</t>
        </is>
      </c>
      <c r="E13683" t="inlineStr">
        <is>
          <t>LYCKSELE</t>
        </is>
      </c>
      <c r="G13683" t="n">
        <v>14.1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7067-2024</t>
        </is>
      </c>
      <c r="B13684" s="1" t="n">
        <v>45343</v>
      </c>
      <c r="C13684" s="1" t="n">
        <v>45357</v>
      </c>
      <c r="D13684" t="inlineStr">
        <is>
          <t>VÄSTERBOTTENS LÄN</t>
        </is>
      </c>
      <c r="E13684" t="inlineStr">
        <is>
          <t>NORDMALING</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7102-2024</t>
        </is>
      </c>
      <c r="B13685" s="1" t="n">
        <v>45343</v>
      </c>
      <c r="C13685" s="1" t="n">
        <v>45357</v>
      </c>
      <c r="D13685" t="inlineStr">
        <is>
          <t>VÄSTERBOTTENS LÄN</t>
        </is>
      </c>
      <c r="E13685" t="inlineStr">
        <is>
          <t>VILHELMINA</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7150-2024</t>
        </is>
      </c>
      <c r="B13686" s="1" t="n">
        <v>45344</v>
      </c>
      <c r="C13686" s="1" t="n">
        <v>45357</v>
      </c>
      <c r="D13686" t="inlineStr">
        <is>
          <t>VÄSTERBOTTENS LÄN</t>
        </is>
      </c>
      <c r="E13686" t="inlineStr">
        <is>
          <t>VINDELN</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7178-2024</t>
        </is>
      </c>
      <c r="B13687" s="1" t="n">
        <v>45344</v>
      </c>
      <c r="C13687" s="1" t="n">
        <v>45357</v>
      </c>
      <c r="D13687" t="inlineStr">
        <is>
          <t>VÄSTERBOTTENS LÄN</t>
        </is>
      </c>
      <c r="E13687" t="inlineStr">
        <is>
          <t>NORSJÖ</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7225-2024</t>
        </is>
      </c>
      <c r="B13688" s="1" t="n">
        <v>45344</v>
      </c>
      <c r="C13688" s="1" t="n">
        <v>45357</v>
      </c>
      <c r="D13688" t="inlineStr">
        <is>
          <t>VÄSTERBOTTENS LÄN</t>
        </is>
      </c>
      <c r="E13688" t="inlineStr">
        <is>
          <t>SKELLEFTEÅ</t>
        </is>
      </c>
      <c r="G13688" t="n">
        <v>5.9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7254-2024</t>
        </is>
      </c>
      <c r="B13689" s="1" t="n">
        <v>45344</v>
      </c>
      <c r="C13689" s="1" t="n">
        <v>45357</v>
      </c>
      <c r="D13689" t="inlineStr">
        <is>
          <t>VÄSTERBOTTENS LÄN</t>
        </is>
      </c>
      <c r="E13689" t="inlineStr">
        <is>
          <t>NORDMALING</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7147-2024</t>
        </is>
      </c>
      <c r="B13690" s="1" t="n">
        <v>45344</v>
      </c>
      <c r="C13690" s="1" t="n">
        <v>45357</v>
      </c>
      <c r="D13690" t="inlineStr">
        <is>
          <t>VÄSTERBOTTENS LÄN</t>
        </is>
      </c>
      <c r="E13690" t="inlineStr">
        <is>
          <t>ROBERTSFORS</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7215-2024</t>
        </is>
      </c>
      <c r="B13691" s="1" t="n">
        <v>45344</v>
      </c>
      <c r="C13691" s="1" t="n">
        <v>45357</v>
      </c>
      <c r="D13691" t="inlineStr">
        <is>
          <t>VÄSTERBOTTENS LÄN</t>
        </is>
      </c>
      <c r="E13691" t="inlineStr">
        <is>
          <t>LYCKSELE</t>
        </is>
      </c>
      <c r="F13691" t="inlineStr">
        <is>
          <t>Sveaskog</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7256-2024</t>
        </is>
      </c>
      <c r="B13692" s="1" t="n">
        <v>45344</v>
      </c>
      <c r="C13692" s="1" t="n">
        <v>45357</v>
      </c>
      <c r="D13692" t="inlineStr">
        <is>
          <t>VÄSTERBOTTENS LÄN</t>
        </is>
      </c>
      <c r="E13692" t="inlineStr">
        <is>
          <t>SKELLEFTEÅ</t>
        </is>
      </c>
      <c r="G13692" t="n">
        <v>10.2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7282-2024</t>
        </is>
      </c>
      <c r="B13693" s="1" t="n">
        <v>45344</v>
      </c>
      <c r="C13693" s="1" t="n">
        <v>45357</v>
      </c>
      <c r="D13693" t="inlineStr">
        <is>
          <t>VÄSTERBOTTENS LÄN</t>
        </is>
      </c>
      <c r="E13693" t="inlineStr">
        <is>
          <t>NORSJÖ</t>
        </is>
      </c>
      <c r="G13693" t="n">
        <v>16.1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7251-2024</t>
        </is>
      </c>
      <c r="B13694" s="1" t="n">
        <v>45344</v>
      </c>
      <c r="C13694" s="1" t="n">
        <v>45357</v>
      </c>
      <c r="D13694" t="inlineStr">
        <is>
          <t>VÄSTERBOTTENS LÄN</t>
        </is>
      </c>
      <c r="E13694" t="inlineStr">
        <is>
          <t>NORDMALING</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7255-2024</t>
        </is>
      </c>
      <c r="B13695" s="1" t="n">
        <v>45344</v>
      </c>
      <c r="C13695" s="1" t="n">
        <v>45357</v>
      </c>
      <c r="D13695" t="inlineStr">
        <is>
          <t>VÄSTERBOTTENS LÄN</t>
        </is>
      </c>
      <c r="E13695" t="inlineStr">
        <is>
          <t>SKELLEFTEÅ</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7259-2024</t>
        </is>
      </c>
      <c r="B13696" s="1" t="n">
        <v>45344</v>
      </c>
      <c r="C13696" s="1" t="n">
        <v>45357</v>
      </c>
      <c r="D13696" t="inlineStr">
        <is>
          <t>VÄSTERBOTTENS LÄN</t>
        </is>
      </c>
      <c r="E13696" t="inlineStr">
        <is>
          <t>VILHELMINA</t>
        </is>
      </c>
      <c r="G13696" t="n">
        <v>9.699999999999999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7277-2024</t>
        </is>
      </c>
      <c r="B13697" s="1" t="n">
        <v>45344</v>
      </c>
      <c r="C13697" s="1" t="n">
        <v>45357</v>
      </c>
      <c r="D13697" t="inlineStr">
        <is>
          <t>VÄSTERBOTTENS LÄN</t>
        </is>
      </c>
      <c r="E13697" t="inlineStr">
        <is>
          <t>NORDMALING</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7350-2024</t>
        </is>
      </c>
      <c r="B13698" s="1" t="n">
        <v>45345</v>
      </c>
      <c r="C13698" s="1" t="n">
        <v>45357</v>
      </c>
      <c r="D13698" t="inlineStr">
        <is>
          <t>VÄSTERBOTTENS LÄN</t>
        </is>
      </c>
      <c r="E13698" t="inlineStr">
        <is>
          <t>ROBERTSFORS</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7357-2024</t>
        </is>
      </c>
      <c r="B13699" s="1" t="n">
        <v>45345</v>
      </c>
      <c r="C13699" s="1" t="n">
        <v>45357</v>
      </c>
      <c r="D13699" t="inlineStr">
        <is>
          <t>VÄSTERBOTTENS LÄN</t>
        </is>
      </c>
      <c r="E13699" t="inlineStr">
        <is>
          <t>ROBERTSFORS</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7373-2024</t>
        </is>
      </c>
      <c r="B13700" s="1" t="n">
        <v>45345</v>
      </c>
      <c r="C13700" s="1" t="n">
        <v>45357</v>
      </c>
      <c r="D13700" t="inlineStr">
        <is>
          <t>VÄSTERBOTTENS LÄN</t>
        </is>
      </c>
      <c r="E13700" t="inlineStr">
        <is>
          <t>UMEÅ</t>
        </is>
      </c>
      <c r="G13700" t="n">
        <v>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7312-2024</t>
        </is>
      </c>
      <c r="B13701" s="1" t="n">
        <v>45345</v>
      </c>
      <c r="C13701" s="1" t="n">
        <v>45357</v>
      </c>
      <c r="D13701" t="inlineStr">
        <is>
          <t>VÄSTERBOTTENS LÄN</t>
        </is>
      </c>
      <c r="E13701" t="inlineStr">
        <is>
          <t>BJURHOLM</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7437-2024</t>
        </is>
      </c>
      <c r="B13702" s="1" t="n">
        <v>45345</v>
      </c>
      <c r="C13702" s="1" t="n">
        <v>45357</v>
      </c>
      <c r="D13702" t="inlineStr">
        <is>
          <t>VÄSTERBOTTENS LÄN</t>
        </is>
      </c>
      <c r="E13702" t="inlineStr">
        <is>
          <t>UMEÅ</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7431-2024</t>
        </is>
      </c>
      <c r="B13703" s="1" t="n">
        <v>45345</v>
      </c>
      <c r="C13703" s="1" t="n">
        <v>45357</v>
      </c>
      <c r="D13703" t="inlineStr">
        <is>
          <t>VÄSTERBOTTENS LÄN</t>
        </is>
      </c>
      <c r="E13703" t="inlineStr">
        <is>
          <t>BJURHOLM</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7439-2024</t>
        </is>
      </c>
      <c r="B13704" s="1" t="n">
        <v>45345</v>
      </c>
      <c r="C13704" s="1" t="n">
        <v>45357</v>
      </c>
      <c r="D13704" t="inlineStr">
        <is>
          <t>VÄSTERBOTTENS LÄN</t>
        </is>
      </c>
      <c r="E13704" t="inlineStr">
        <is>
          <t>UMEÅ</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7418-2024</t>
        </is>
      </c>
      <c r="B13705" s="1" t="n">
        <v>45345</v>
      </c>
      <c r="C13705" s="1" t="n">
        <v>45357</v>
      </c>
      <c r="D13705" t="inlineStr">
        <is>
          <t>VÄSTERBOTTENS LÄN</t>
        </is>
      </c>
      <c r="E13705" t="inlineStr">
        <is>
          <t>BJURHOLM</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7440-2024</t>
        </is>
      </c>
      <c r="B13706" s="1" t="n">
        <v>45345</v>
      </c>
      <c r="C13706" s="1" t="n">
        <v>45357</v>
      </c>
      <c r="D13706" t="inlineStr">
        <is>
          <t>VÄSTERBOTTENS LÄN</t>
        </is>
      </c>
      <c r="E13706" t="inlineStr">
        <is>
          <t>UMEÅ</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7509-2024</t>
        </is>
      </c>
      <c r="B13707" s="1" t="n">
        <v>45347</v>
      </c>
      <c r="C13707" s="1" t="n">
        <v>45357</v>
      </c>
      <c r="D13707" t="inlineStr">
        <is>
          <t>VÄSTERBOTTENS LÄN</t>
        </is>
      </c>
      <c r="E13707" t="inlineStr">
        <is>
          <t>LYCKSELE</t>
        </is>
      </c>
      <c r="G13707" t="n">
        <v>6.4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7506-2024</t>
        </is>
      </c>
      <c r="B13708" s="1" t="n">
        <v>45347</v>
      </c>
      <c r="C13708" s="1" t="n">
        <v>45357</v>
      </c>
      <c r="D13708" t="inlineStr">
        <is>
          <t>VÄSTERBOTTENS LÄN</t>
        </is>
      </c>
      <c r="E13708" t="inlineStr">
        <is>
          <t>LYCKSELE</t>
        </is>
      </c>
      <c r="G13708" t="n">
        <v>8.4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7510-2024</t>
        </is>
      </c>
      <c r="B13709" s="1" t="n">
        <v>45347</v>
      </c>
      <c r="C13709" s="1" t="n">
        <v>45357</v>
      </c>
      <c r="D13709" t="inlineStr">
        <is>
          <t>VÄSTERBOTTENS LÄN</t>
        </is>
      </c>
      <c r="E13709" t="inlineStr">
        <is>
          <t>LYCKSELE</t>
        </is>
      </c>
      <c r="G13709" t="n">
        <v>57.1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7618-2024</t>
        </is>
      </c>
      <c r="B13710" s="1" t="n">
        <v>45348</v>
      </c>
      <c r="C13710" s="1" t="n">
        <v>45357</v>
      </c>
      <c r="D13710" t="inlineStr">
        <is>
          <t>VÄSTERBOTTENS LÄN</t>
        </is>
      </c>
      <c r="E13710" t="inlineStr">
        <is>
          <t>NORDMALING</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7635-2024</t>
        </is>
      </c>
      <c r="B13711" s="1" t="n">
        <v>45348</v>
      </c>
      <c r="C13711" s="1" t="n">
        <v>45357</v>
      </c>
      <c r="D13711" t="inlineStr">
        <is>
          <t>VÄSTERBOTTENS LÄN</t>
        </is>
      </c>
      <c r="E13711" t="inlineStr">
        <is>
          <t>UMEÅ</t>
        </is>
      </c>
      <c r="F13711" t="inlineStr">
        <is>
          <t>Holmen skog AB</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7666-2024</t>
        </is>
      </c>
      <c r="B13712" s="1" t="n">
        <v>45348</v>
      </c>
      <c r="C13712" s="1" t="n">
        <v>45357</v>
      </c>
      <c r="D13712" t="inlineStr">
        <is>
          <t>VÄSTERBOTTENS LÄN</t>
        </is>
      </c>
      <c r="E13712" t="inlineStr">
        <is>
          <t>LYCKSELE</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7683-2024</t>
        </is>
      </c>
      <c r="B13713" s="1" t="n">
        <v>45348</v>
      </c>
      <c r="C13713" s="1" t="n">
        <v>45357</v>
      </c>
      <c r="D13713" t="inlineStr">
        <is>
          <t>VÄSTERBOTTENS LÄN</t>
        </is>
      </c>
      <c r="E13713" t="inlineStr">
        <is>
          <t>BJURHOLM</t>
        </is>
      </c>
      <c r="G13713" t="n">
        <v>11.5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7711-2024</t>
        </is>
      </c>
      <c r="B13714" s="1" t="n">
        <v>45348</v>
      </c>
      <c r="C13714" s="1" t="n">
        <v>45357</v>
      </c>
      <c r="D13714" t="inlineStr">
        <is>
          <t>VÄSTERBOTTENS LÄN</t>
        </is>
      </c>
      <c r="E13714" t="inlineStr">
        <is>
          <t>NORDMALING</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7737-2024</t>
        </is>
      </c>
      <c r="B13715" s="1" t="n">
        <v>45348</v>
      </c>
      <c r="C13715" s="1" t="n">
        <v>45357</v>
      </c>
      <c r="D13715" t="inlineStr">
        <is>
          <t>VÄSTERBOTTENS LÄN</t>
        </is>
      </c>
      <c r="E13715" t="inlineStr">
        <is>
          <t>BJURHOLM</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7701-2024</t>
        </is>
      </c>
      <c r="B13716" s="1" t="n">
        <v>45348</v>
      </c>
      <c r="C13716" s="1" t="n">
        <v>45357</v>
      </c>
      <c r="D13716" t="inlineStr">
        <is>
          <t>VÄSTERBOTTENS LÄN</t>
        </is>
      </c>
      <c r="E13716" t="inlineStr">
        <is>
          <t>NORDMALING</t>
        </is>
      </c>
      <c r="G13716" t="n">
        <v>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7723-2024</t>
        </is>
      </c>
      <c r="B13717" s="1" t="n">
        <v>45348</v>
      </c>
      <c r="C13717" s="1" t="n">
        <v>45357</v>
      </c>
      <c r="D13717" t="inlineStr">
        <is>
          <t>VÄSTERBOTTENS LÄN</t>
        </is>
      </c>
      <c r="E13717" t="inlineStr">
        <is>
          <t>BJURHOLM</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7742-2024</t>
        </is>
      </c>
      <c r="B13718" s="1" t="n">
        <v>45348</v>
      </c>
      <c r="C13718" s="1" t="n">
        <v>45357</v>
      </c>
      <c r="D13718" t="inlineStr">
        <is>
          <t>VÄSTERBOTTENS LÄN</t>
        </is>
      </c>
      <c r="E13718" t="inlineStr">
        <is>
          <t>SKELLEFTEÅ</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7766-2024</t>
        </is>
      </c>
      <c r="B13719" s="1" t="n">
        <v>45348</v>
      </c>
      <c r="C13719" s="1" t="n">
        <v>45357</v>
      </c>
      <c r="D13719" t="inlineStr">
        <is>
          <t>VÄSTERBOTTENS LÄN</t>
        </is>
      </c>
      <c r="E13719" t="inlineStr">
        <is>
          <t>SKELLEFTEÅ</t>
        </is>
      </c>
      <c r="G13719" t="n">
        <v>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7800-2024</t>
        </is>
      </c>
      <c r="B13720" s="1" t="n">
        <v>45348</v>
      </c>
      <c r="C13720" s="1" t="n">
        <v>45357</v>
      </c>
      <c r="D13720" t="inlineStr">
        <is>
          <t>VÄSTERBOTTENS LÄN</t>
        </is>
      </c>
      <c r="E13720" t="inlineStr">
        <is>
          <t>SKELLEFTEÅ</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7702-2024</t>
        </is>
      </c>
      <c r="B13721" s="1" t="n">
        <v>45348</v>
      </c>
      <c r="C13721" s="1" t="n">
        <v>45357</v>
      </c>
      <c r="D13721" t="inlineStr">
        <is>
          <t>VÄSTERBOTTENS LÄN</t>
        </is>
      </c>
      <c r="E13721" t="inlineStr">
        <is>
          <t>NORDMALING</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7728-2024</t>
        </is>
      </c>
      <c r="B13722" s="1" t="n">
        <v>45348</v>
      </c>
      <c r="C13722" s="1" t="n">
        <v>45357</v>
      </c>
      <c r="D13722" t="inlineStr">
        <is>
          <t>VÄSTERBOTTENS LÄN</t>
        </is>
      </c>
      <c r="E13722" t="inlineStr">
        <is>
          <t>BJURHOLM</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7745-2024</t>
        </is>
      </c>
      <c r="B13723" s="1" t="n">
        <v>45348</v>
      </c>
      <c r="C13723" s="1" t="n">
        <v>45357</v>
      </c>
      <c r="D13723" t="inlineStr">
        <is>
          <t>VÄSTERBOTTENS LÄN</t>
        </is>
      </c>
      <c r="E13723" t="inlineStr">
        <is>
          <t>SKELLEFTEÅ</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7767-2024</t>
        </is>
      </c>
      <c r="B13724" s="1" t="n">
        <v>45348</v>
      </c>
      <c r="C13724" s="1" t="n">
        <v>45357</v>
      </c>
      <c r="D13724" t="inlineStr">
        <is>
          <t>VÄSTERBOTTENS LÄN</t>
        </is>
      </c>
      <c r="E13724" t="inlineStr">
        <is>
          <t>SKELLEFTEÅ</t>
        </is>
      </c>
      <c r="G13724" t="n">
        <v>3.8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7668-2024</t>
        </is>
      </c>
      <c r="B13725" s="1" t="n">
        <v>45348</v>
      </c>
      <c r="C13725" s="1" t="n">
        <v>45357</v>
      </c>
      <c r="D13725" t="inlineStr">
        <is>
          <t>VÄSTERBOTTENS LÄN</t>
        </is>
      </c>
      <c r="E13725" t="inlineStr">
        <is>
          <t>SKELLEFTEÅ</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7718-2024</t>
        </is>
      </c>
      <c r="B13726" s="1" t="n">
        <v>45348</v>
      </c>
      <c r="C13726" s="1" t="n">
        <v>45357</v>
      </c>
      <c r="D13726" t="inlineStr">
        <is>
          <t>VÄSTERBOTTENS LÄN</t>
        </is>
      </c>
      <c r="E13726" t="inlineStr">
        <is>
          <t>BJURHOLM</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7740-2024</t>
        </is>
      </c>
      <c r="B13727" s="1" t="n">
        <v>45348</v>
      </c>
      <c r="C13727" s="1" t="n">
        <v>45357</v>
      </c>
      <c r="D13727" t="inlineStr">
        <is>
          <t>VÄSTERBOTTENS LÄN</t>
        </is>
      </c>
      <c r="E13727" t="inlineStr">
        <is>
          <t>BJURHOLM</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7789-2024</t>
        </is>
      </c>
      <c r="B13728" s="1" t="n">
        <v>45349</v>
      </c>
      <c r="C13728" s="1" t="n">
        <v>45357</v>
      </c>
      <c r="D13728" t="inlineStr">
        <is>
          <t>VÄSTERBOTTENS LÄN</t>
        </is>
      </c>
      <c r="E13728" t="inlineStr">
        <is>
          <t>UMEÅ</t>
        </is>
      </c>
      <c r="G13728" t="n">
        <v>4.6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7700-2024</t>
        </is>
      </c>
      <c r="B13729" s="1" t="n">
        <v>45349</v>
      </c>
      <c r="C13729" s="1" t="n">
        <v>45357</v>
      </c>
      <c r="D13729" t="inlineStr">
        <is>
          <t>VÄSTERBOTTENS LÄN</t>
        </is>
      </c>
      <c r="E13729" t="inlineStr">
        <is>
          <t>NORDMALING</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7699-2024</t>
        </is>
      </c>
      <c r="B13730" s="1" t="n">
        <v>45349</v>
      </c>
      <c r="C13730" s="1" t="n">
        <v>45357</v>
      </c>
      <c r="D13730" t="inlineStr">
        <is>
          <t>VÄSTERBOTTENS LÄN</t>
        </is>
      </c>
      <c r="E13730" t="inlineStr">
        <is>
          <t>UMEÅ</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7777-2024</t>
        </is>
      </c>
      <c r="B13731" s="1" t="n">
        <v>45349</v>
      </c>
      <c r="C13731" s="1" t="n">
        <v>45357</v>
      </c>
      <c r="D13731" t="inlineStr">
        <is>
          <t>VÄSTERBOTTENS LÄN</t>
        </is>
      </c>
      <c r="E13731" t="inlineStr">
        <is>
          <t>VILHELMINA</t>
        </is>
      </c>
      <c r="G13731" t="n">
        <v>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7831-2024</t>
        </is>
      </c>
      <c r="B13732" s="1" t="n">
        <v>45349</v>
      </c>
      <c r="C13732" s="1" t="n">
        <v>45357</v>
      </c>
      <c r="D13732" t="inlineStr">
        <is>
          <t>VÄSTERBOTTENS LÄN</t>
        </is>
      </c>
      <c r="E13732" t="inlineStr">
        <is>
          <t>SKELLEFTEÅ</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7884-2024</t>
        </is>
      </c>
      <c r="B13733" s="1" t="n">
        <v>45349</v>
      </c>
      <c r="C13733" s="1" t="n">
        <v>45357</v>
      </c>
      <c r="D13733" t="inlineStr">
        <is>
          <t>VÄSTERBOTTENS LÄN</t>
        </is>
      </c>
      <c r="E13733" t="inlineStr">
        <is>
          <t>SKELLEFTEÅ</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7832-2024</t>
        </is>
      </c>
      <c r="B13734" s="1" t="n">
        <v>45349</v>
      </c>
      <c r="C13734" s="1" t="n">
        <v>45357</v>
      </c>
      <c r="D13734" t="inlineStr">
        <is>
          <t>VÄSTERBOTTENS LÄN</t>
        </is>
      </c>
      <c r="E13734" t="inlineStr">
        <is>
          <t>SKELLEFTEÅ</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7762-2024</t>
        </is>
      </c>
      <c r="B13735" s="1" t="n">
        <v>45349</v>
      </c>
      <c r="C13735" s="1" t="n">
        <v>45357</v>
      </c>
      <c r="D13735" t="inlineStr">
        <is>
          <t>VÄSTERBOTTENS LÄN</t>
        </is>
      </c>
      <c r="E13735" t="inlineStr">
        <is>
          <t>VILHELMINA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7872-2024</t>
        </is>
      </c>
      <c r="B13736" s="1" t="n">
        <v>45349</v>
      </c>
      <c r="C13736" s="1" t="n">
        <v>45357</v>
      </c>
      <c r="D13736" t="inlineStr">
        <is>
          <t>VÄSTERBOTTENS LÄN</t>
        </is>
      </c>
      <c r="E13736" t="inlineStr">
        <is>
          <t>SKELLEFTEÅ</t>
        </is>
      </c>
      <c r="G13736" t="n">
        <v>6.8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7910-2024</t>
        </is>
      </c>
      <c r="B13737" s="1" t="n">
        <v>45349</v>
      </c>
      <c r="C13737" s="1" t="n">
        <v>45357</v>
      </c>
      <c r="D13737" t="inlineStr">
        <is>
          <t>VÄSTERBOTTENS LÄN</t>
        </is>
      </c>
      <c r="E13737" t="inlineStr">
        <is>
          <t>UMEÅ</t>
        </is>
      </c>
      <c r="G13737" t="n">
        <v>8.699999999999999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7925-2024</t>
        </is>
      </c>
      <c r="B13738" s="1" t="n">
        <v>45349</v>
      </c>
      <c r="C13738" s="1" t="n">
        <v>45357</v>
      </c>
      <c r="D13738" t="inlineStr">
        <is>
          <t>VÄSTERBOTTENS LÄN</t>
        </is>
      </c>
      <c r="E13738" t="inlineStr">
        <is>
          <t>VINDELN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7851-2024</t>
        </is>
      </c>
      <c r="B13739" s="1" t="n">
        <v>45350</v>
      </c>
      <c r="C13739" s="1" t="n">
        <v>45357</v>
      </c>
      <c r="D13739" t="inlineStr">
        <is>
          <t>VÄSTERBOTTENS LÄN</t>
        </is>
      </c>
      <c r="E13739" t="inlineStr">
        <is>
          <t>ÅSELE</t>
        </is>
      </c>
      <c r="F13739" t="inlineStr">
        <is>
          <t>SCA</t>
        </is>
      </c>
      <c r="G13739" t="n">
        <v>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7943-2024</t>
        </is>
      </c>
      <c r="B13740" s="1" t="n">
        <v>45350</v>
      </c>
      <c r="C13740" s="1" t="n">
        <v>45357</v>
      </c>
      <c r="D13740" t="inlineStr">
        <is>
          <t>VÄSTERBOTTENS LÄN</t>
        </is>
      </c>
      <c r="E13740" t="inlineStr">
        <is>
          <t>SKELLEFTEÅ</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7857-2024</t>
        </is>
      </c>
      <c r="B13741" s="1" t="n">
        <v>45350</v>
      </c>
      <c r="C13741" s="1" t="n">
        <v>45357</v>
      </c>
      <c r="D13741" t="inlineStr">
        <is>
          <t>VÄSTERBOTTENS LÄN</t>
        </is>
      </c>
      <c r="E13741" t="inlineStr">
        <is>
          <t>STORUMAN</t>
        </is>
      </c>
      <c r="F13741" t="inlineStr">
        <is>
          <t>SCA</t>
        </is>
      </c>
      <c r="G13741" t="n">
        <v>4.2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7847-2024</t>
        </is>
      </c>
      <c r="B13742" s="1" t="n">
        <v>45350</v>
      </c>
      <c r="C13742" s="1" t="n">
        <v>45357</v>
      </c>
      <c r="D13742" t="inlineStr">
        <is>
          <t>VÄSTERBOTTENS LÄN</t>
        </is>
      </c>
      <c r="E13742" t="inlineStr">
        <is>
          <t>DOROTEA</t>
        </is>
      </c>
      <c r="F13742" t="inlineStr">
        <is>
          <t>SCA</t>
        </is>
      </c>
      <c r="G13742" t="n">
        <v>5.7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7856-2024</t>
        </is>
      </c>
      <c r="B13743" s="1" t="n">
        <v>45350</v>
      </c>
      <c r="C13743" s="1" t="n">
        <v>45357</v>
      </c>
      <c r="D13743" t="inlineStr">
        <is>
          <t>VÄSTERBOTTENS LÄN</t>
        </is>
      </c>
      <c r="E13743" t="inlineStr">
        <is>
          <t>STORUMAN</t>
        </is>
      </c>
      <c r="F13743" t="inlineStr">
        <is>
          <t>SCA</t>
        </is>
      </c>
      <c r="G13743" t="n">
        <v>6.4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8034-2024</t>
        </is>
      </c>
      <c r="B13744" s="1" t="n">
        <v>45350</v>
      </c>
      <c r="C13744" s="1" t="n">
        <v>45357</v>
      </c>
      <c r="D13744" t="inlineStr">
        <is>
          <t>VÄSTERBOTTENS LÄN</t>
        </is>
      </c>
      <c r="E13744" t="inlineStr">
        <is>
          <t>DOROTEA</t>
        </is>
      </c>
      <c r="F13744" t="inlineStr">
        <is>
          <t>SCA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8035-2024</t>
        </is>
      </c>
      <c r="B13745" s="1" t="n">
        <v>45350</v>
      </c>
      <c r="C13745" s="1" t="n">
        <v>45357</v>
      </c>
      <c r="D13745" t="inlineStr">
        <is>
          <t>VÄSTERBOTTENS LÄN</t>
        </is>
      </c>
      <c r="E13745" t="inlineStr">
        <is>
          <t>LYCKSELE</t>
        </is>
      </c>
      <c r="F13745" t="inlineStr">
        <is>
          <t>SCA</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8082-2024</t>
        </is>
      </c>
      <c r="B13746" s="1" t="n">
        <v>45351</v>
      </c>
      <c r="C13746" s="1" t="n">
        <v>45357</v>
      </c>
      <c r="D13746" t="inlineStr">
        <is>
          <t>VÄSTERBOTTENS LÄN</t>
        </is>
      </c>
      <c r="E13746" t="inlineStr">
        <is>
          <t>SKELLEFTEÅ</t>
        </is>
      </c>
      <c r="G13746" t="n">
        <v>18.9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8098-2024</t>
        </is>
      </c>
      <c r="B13747" s="1" t="n">
        <v>45351</v>
      </c>
      <c r="C13747" s="1" t="n">
        <v>45357</v>
      </c>
      <c r="D13747" t="inlineStr">
        <is>
          <t>VÄSTERBOTTENS LÄN</t>
        </is>
      </c>
      <c r="E13747" t="inlineStr">
        <is>
          <t>MALÅ</t>
        </is>
      </c>
      <c r="G13747" t="n">
        <v>12.5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8245-2024</t>
        </is>
      </c>
      <c r="B13748" s="1" t="n">
        <v>45352</v>
      </c>
      <c r="C13748" s="1" t="n">
        <v>45357</v>
      </c>
      <c r="D13748" t="inlineStr">
        <is>
          <t>VÄSTERBOTTENS LÄN</t>
        </is>
      </c>
      <c r="E13748" t="inlineStr">
        <is>
          <t>DOROTEA</t>
        </is>
      </c>
      <c r="F13748" t="inlineStr">
        <is>
          <t>SCA</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8341-2024</t>
        </is>
      </c>
      <c r="B13749" s="1" t="n">
        <v>45351</v>
      </c>
      <c r="C13749" s="1" t="n">
        <v>45357</v>
      </c>
      <c r="D13749" t="inlineStr">
        <is>
          <t>VÄSTERBOTTENS LÄN</t>
        </is>
      </c>
      <c r="E13749" t="inlineStr">
        <is>
          <t>SKELLEFTEÅ</t>
        </is>
      </c>
      <c r="G13749" t="n">
        <v>9.6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8247-2024</t>
        </is>
      </c>
      <c r="B13750" s="1" t="n">
        <v>45352</v>
      </c>
      <c r="C13750" s="1" t="n">
        <v>45357</v>
      </c>
      <c r="D13750" t="inlineStr">
        <is>
          <t>VÄSTERBOTTENS LÄN</t>
        </is>
      </c>
      <c r="E13750" t="inlineStr">
        <is>
          <t>DOROTEA</t>
        </is>
      </c>
      <c r="F13750" t="inlineStr">
        <is>
          <t>SCA</t>
        </is>
      </c>
      <c r="G13750" t="n">
        <v>6.9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8246-2024</t>
        </is>
      </c>
      <c r="B13751" s="1" t="n">
        <v>45352</v>
      </c>
      <c r="C13751" s="1" t="n">
        <v>45357</v>
      </c>
      <c r="D13751" t="inlineStr">
        <is>
          <t>VÄSTERBOTTENS LÄN</t>
        </is>
      </c>
      <c r="E13751" t="inlineStr">
        <is>
          <t>DOROTEA</t>
        </is>
      </c>
      <c r="F13751" t="inlineStr">
        <is>
          <t>SCA</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8479-2024</t>
        </is>
      </c>
      <c r="B13752" s="1" t="n">
        <v>45351</v>
      </c>
      <c r="C13752" s="1" t="n">
        <v>45357</v>
      </c>
      <c r="D13752" t="inlineStr">
        <is>
          <t>VÄSTERBOTTENS LÄN</t>
        </is>
      </c>
      <c r="E13752" t="inlineStr">
        <is>
          <t>UMEÅ</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8502-2024</t>
        </is>
      </c>
      <c r="B13753" s="1" t="n">
        <v>45351</v>
      </c>
      <c r="C13753" s="1" t="n">
        <v>45357</v>
      </c>
      <c r="D13753" t="inlineStr">
        <is>
          <t>VÄSTERBOTTENS LÄN</t>
        </is>
      </c>
      <c r="E13753" t="inlineStr">
        <is>
          <t>BJURHOLM</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8544-2024</t>
        </is>
      </c>
      <c r="B13754" s="1" t="n">
        <v>45351</v>
      </c>
      <c r="C13754" s="1" t="n">
        <v>45357</v>
      </c>
      <c r="D13754" t="inlineStr">
        <is>
          <t>VÄSTERBOTTENS LÄN</t>
        </is>
      </c>
      <c r="E13754" t="inlineStr">
        <is>
          <t>VILHELMINA</t>
        </is>
      </c>
      <c r="G13754" t="n">
        <v>13.4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8569-2024</t>
        </is>
      </c>
      <c r="B13755" s="1" t="n">
        <v>45351</v>
      </c>
      <c r="C13755" s="1" t="n">
        <v>45357</v>
      </c>
      <c r="D13755" t="inlineStr">
        <is>
          <t>VÄSTERBOTTENS LÄN</t>
        </is>
      </c>
      <c r="E13755" t="inlineStr">
        <is>
          <t>SKELLEFTEÅ</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8499-2024</t>
        </is>
      </c>
      <c r="B13756" s="1" t="n">
        <v>45351</v>
      </c>
      <c r="C13756" s="1" t="n">
        <v>45357</v>
      </c>
      <c r="D13756" t="inlineStr">
        <is>
          <t>VÄSTERBOTTENS LÄN</t>
        </is>
      </c>
      <c r="E13756" t="inlineStr">
        <is>
          <t>BJURHOLM</t>
        </is>
      </c>
      <c r="G13756" t="n">
        <v>0.2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8510-2024</t>
        </is>
      </c>
      <c r="B13757" s="1" t="n">
        <v>45351</v>
      </c>
      <c r="C13757" s="1" t="n">
        <v>45357</v>
      </c>
      <c r="D13757" t="inlineStr">
        <is>
          <t>VÄSTERBOTTENS LÄN</t>
        </is>
      </c>
      <c r="E13757" t="inlineStr">
        <is>
          <t>BJURHOLM</t>
        </is>
      </c>
      <c r="G13757" t="n">
        <v>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8532-2024</t>
        </is>
      </c>
      <c r="B13758" s="1" t="n">
        <v>45351</v>
      </c>
      <c r="C13758" s="1" t="n">
        <v>45357</v>
      </c>
      <c r="D13758" t="inlineStr">
        <is>
          <t>VÄSTERBOTTENS LÄN</t>
        </is>
      </c>
      <c r="E13758" t="inlineStr">
        <is>
          <t>SKELLEFTEÅ</t>
        </is>
      </c>
      <c r="G13758" t="n">
        <v>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8360-2024</t>
        </is>
      </c>
      <c r="B13759" s="1" t="n">
        <v>45352</v>
      </c>
      <c r="C13759" s="1" t="n">
        <v>45357</v>
      </c>
      <c r="D13759" t="inlineStr">
        <is>
          <t>VÄSTERBOTTENS LÄN</t>
        </is>
      </c>
      <c r="E13759" t="inlineStr">
        <is>
          <t>LYCKSELE</t>
        </is>
      </c>
      <c r="F13759" t="inlineStr">
        <is>
          <t>Sveaskog</t>
        </is>
      </c>
      <c r="G13759" t="n">
        <v>31.5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8364-2024</t>
        </is>
      </c>
      <c r="B13760" s="1" t="n">
        <v>45352</v>
      </c>
      <c r="C13760" s="1" t="n">
        <v>45357</v>
      </c>
      <c r="D13760" t="inlineStr">
        <is>
          <t>VÄSTERBOTTENS LÄN</t>
        </is>
      </c>
      <c r="E13760" t="inlineStr">
        <is>
          <t>ROBERTSFORS</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8363-2024</t>
        </is>
      </c>
      <c r="B13761" s="1" t="n">
        <v>45352</v>
      </c>
      <c r="C13761" s="1" t="n">
        <v>45357</v>
      </c>
      <c r="D13761" t="inlineStr">
        <is>
          <t>VÄSTERBOTTENS LÄN</t>
        </is>
      </c>
      <c r="E13761" t="inlineStr">
        <is>
          <t>ROBERTSFORS</t>
        </is>
      </c>
      <c r="G13761" t="n">
        <v>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8472-2024</t>
        </is>
      </c>
      <c r="B13762" s="1" t="n">
        <v>45355</v>
      </c>
      <c r="C13762" s="1" t="n">
        <v>45357</v>
      </c>
      <c r="D13762" t="inlineStr">
        <is>
          <t>VÄSTERBOTTENS LÄN</t>
        </is>
      </c>
      <c r="E13762" t="inlineStr">
        <is>
          <t>VINDELN</t>
        </is>
      </c>
      <c r="G13762" t="n">
        <v>4.3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8478-2024</t>
        </is>
      </c>
      <c r="B13763" s="1" t="n">
        <v>45355</v>
      </c>
      <c r="C13763" s="1" t="n">
        <v>45357</v>
      </c>
      <c r="D13763" t="inlineStr">
        <is>
          <t>VÄSTERBOTTENS LÄN</t>
        </is>
      </c>
      <c r="E13763" t="inlineStr">
        <is>
          <t>VINDELN</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8607-2024</t>
        </is>
      </c>
      <c r="B13764" s="1" t="n">
        <v>45355</v>
      </c>
      <c r="C13764" s="1" t="n">
        <v>45357</v>
      </c>
      <c r="D13764" t="inlineStr">
        <is>
          <t>VÄSTERBOTTENS LÄN</t>
        </is>
      </c>
      <c r="E13764" t="inlineStr">
        <is>
          <t>NORSJÖ</t>
        </is>
      </c>
      <c r="F13764" t="inlineStr">
        <is>
          <t>Sveaskog</t>
        </is>
      </c>
      <c r="G13764" t="n">
        <v>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8461-2024</t>
        </is>
      </c>
      <c r="B13765" s="1" t="n">
        <v>45355</v>
      </c>
      <c r="C13765" s="1" t="n">
        <v>45357</v>
      </c>
      <c r="D13765" t="inlineStr">
        <is>
          <t>VÄSTERBOTTENS LÄN</t>
        </is>
      </c>
      <c r="E13765" t="inlineStr">
        <is>
          <t>SORSELE</t>
        </is>
      </c>
      <c r="G13765" t="n">
        <v>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8462-2024</t>
        </is>
      </c>
      <c r="B13766" s="1" t="n">
        <v>45355</v>
      </c>
      <c r="C13766" s="1" t="n">
        <v>45357</v>
      </c>
      <c r="D13766" t="inlineStr">
        <is>
          <t>VÄSTERBOTTENS LÄN</t>
        </is>
      </c>
      <c r="E13766" t="inlineStr">
        <is>
          <t>SORSELE</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8566-2024</t>
        </is>
      </c>
      <c r="B13767" s="1" t="n">
        <v>45355</v>
      </c>
      <c r="C13767" s="1" t="n">
        <v>45357</v>
      </c>
      <c r="D13767" t="inlineStr">
        <is>
          <t>VÄSTERBOTTENS LÄN</t>
        </is>
      </c>
      <c r="E13767" t="inlineStr">
        <is>
          <t>SKELLEFTEÅ</t>
        </is>
      </c>
      <c r="G13767" t="n">
        <v>8.6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8592-2024</t>
        </is>
      </c>
      <c r="B13768" s="1" t="n">
        <v>45355</v>
      </c>
      <c r="C13768" s="1" t="n">
        <v>45357</v>
      </c>
      <c r="D13768" t="inlineStr">
        <is>
          <t>VÄSTERBOTTENS LÄN</t>
        </is>
      </c>
      <c r="E13768" t="inlineStr">
        <is>
          <t>ROBERTSFORS</t>
        </is>
      </c>
      <c r="G13768" t="n">
        <v>5.4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8730-2024</t>
        </is>
      </c>
      <c r="B13769" s="1" t="n">
        <v>45355</v>
      </c>
      <c r="C13769" s="1" t="n">
        <v>45357</v>
      </c>
      <c r="D13769" t="inlineStr">
        <is>
          <t>VÄSTERBOTTENS LÄN</t>
        </is>
      </c>
      <c r="E13769" t="inlineStr">
        <is>
          <t>NORSJÖ</t>
        </is>
      </c>
      <c r="G13769" t="n">
        <v>6.6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8822-2024</t>
        </is>
      </c>
      <c r="B13770" s="1" t="n">
        <v>45355</v>
      </c>
      <c r="C13770" s="1" t="n">
        <v>45357</v>
      </c>
      <c r="D13770" t="inlineStr">
        <is>
          <t>VÄSTERBOTTENS LÄN</t>
        </is>
      </c>
      <c r="E13770" t="inlineStr">
        <is>
          <t>BJURHOLM</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8717-2024</t>
        </is>
      </c>
      <c r="B13771" s="1" t="n">
        <v>45356</v>
      </c>
      <c r="C13771" s="1" t="n">
        <v>45357</v>
      </c>
      <c r="D13771" t="inlineStr">
        <is>
          <t>VÄSTERBOTTENS LÄN</t>
        </is>
      </c>
      <c r="E13771" t="inlineStr">
        <is>
          <t>UMEÅ</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8727-2024</t>
        </is>
      </c>
      <c r="B13772" s="1" t="n">
        <v>45356</v>
      </c>
      <c r="C13772" s="1" t="n">
        <v>45357</v>
      </c>
      <c r="D13772" t="inlineStr">
        <is>
          <t>VÄSTERBOTTENS LÄN</t>
        </is>
      </c>
      <c r="E13772" t="inlineStr">
        <is>
          <t>LYCKSELE</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8648-2024</t>
        </is>
      </c>
      <c r="B13773" s="1" t="n">
        <v>45356</v>
      </c>
      <c r="C13773" s="1" t="n">
        <v>45357</v>
      </c>
      <c r="D13773" t="inlineStr">
        <is>
          <t>VÄSTERBOTTENS LÄN</t>
        </is>
      </c>
      <c r="E13773" t="inlineStr">
        <is>
          <t>DOROTEA</t>
        </is>
      </c>
      <c r="F13773" t="inlineStr">
        <is>
          <t>SCA</t>
        </is>
      </c>
      <c r="G13773" t="n">
        <v>6.2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8664-2024</t>
        </is>
      </c>
      <c r="B13774" s="1" t="n">
        <v>45356</v>
      </c>
      <c r="C13774" s="1" t="n">
        <v>45357</v>
      </c>
      <c r="D13774" t="inlineStr">
        <is>
          <t>VÄSTERBOTTENS LÄN</t>
        </is>
      </c>
      <c r="E13774" t="inlineStr">
        <is>
          <t>VILHELMINA</t>
        </is>
      </c>
      <c r="F13774" t="inlineStr">
        <is>
          <t>SCA</t>
        </is>
      </c>
      <c r="G13774" t="n">
        <v>15.8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8786-2024</t>
        </is>
      </c>
      <c r="B13775" s="1" t="n">
        <v>45356</v>
      </c>
      <c r="C13775" s="1" t="n">
        <v>45357</v>
      </c>
      <c r="D13775" t="inlineStr">
        <is>
          <t>VÄSTERBOTTENS LÄN</t>
        </is>
      </c>
      <c r="E13775" t="inlineStr">
        <is>
          <t>NORSJÖ</t>
        </is>
      </c>
      <c r="F13775" t="inlineStr">
        <is>
          <t>Sveaskog</t>
        </is>
      </c>
      <c r="G13775" t="n">
        <v>7.1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8853-2024</t>
        </is>
      </c>
      <c r="B13776" s="1" t="n">
        <v>45357</v>
      </c>
      <c r="C13776" s="1" t="n">
        <v>45357</v>
      </c>
      <c r="D13776" t="inlineStr">
        <is>
          <t>VÄSTERBOTTENS LÄN</t>
        </is>
      </c>
      <c r="E13776" t="inlineStr">
        <is>
          <t>DOROTEA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8861-2024</t>
        </is>
      </c>
      <c r="B13777" s="1" t="n">
        <v>45357</v>
      </c>
      <c r="C13777" s="1" t="n">
        <v>45357</v>
      </c>
      <c r="D13777" t="inlineStr">
        <is>
          <t>VÄSTERBOTTENS LÄN</t>
        </is>
      </c>
      <c r="E13777" t="inlineStr">
        <is>
          <t>STORUMAN</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8716-2024</t>
        </is>
      </c>
      <c r="B13778" s="1" t="n">
        <v>45356</v>
      </c>
      <c r="C13778" s="1" t="n">
        <v>45357</v>
      </c>
      <c r="D13778" t="inlineStr">
        <is>
          <t>VÄSTERBOTTENS LÄN</t>
        </is>
      </c>
      <c r="E13778" t="inlineStr">
        <is>
          <t>UMEÅ</t>
        </is>
      </c>
      <c r="G13778" t="n">
        <v>9.800000000000001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8852-2024</t>
        </is>
      </c>
      <c r="B13779" s="1" t="n">
        <v>45357</v>
      </c>
      <c r="C13779" s="1" t="n">
        <v>45357</v>
      </c>
      <c r="D13779" t="inlineStr">
        <is>
          <t>VÄSTERBOTTENS LÄN</t>
        </is>
      </c>
      <c r="E13779" t="inlineStr">
        <is>
          <t>DOROTEA</t>
        </is>
      </c>
      <c r="G13779" t="n">
        <v>4.4</v>
      </c>
      <c r="H13779" t="n">
        <v>0</v>
      </c>
      <c r="I13779" t="n">
        <v>0</v>
      </c>
      <c r="J13779" t="n">
        <v>0</v>
      </c>
      <c r="K13779" t="n">
        <v>0</v>
      </c>
      <c r="L13779" t="n">
        <v>0</v>
      </c>
      <c r="M13779" t="n">
        <v>0</v>
      </c>
      <c r="N13779" t="n">
        <v>0</v>
      </c>
      <c r="O13779" t="n">
        <v>0</v>
      </c>
      <c r="P13779" t="n">
        <v>0</v>
      </c>
      <c r="Q13779" t="n">
        <v>0</v>
      </c>
      <c r="R13779" s="2" t="inlineStr"/>
    </row>
    <row r="13780">
      <c r="A13780" t="inlineStr">
        <is>
          <t>A 8860-2024</t>
        </is>
      </c>
      <c r="B13780" s="1" t="n">
        <v>45357</v>
      </c>
      <c r="C13780" s="1" t="n">
        <v>45357</v>
      </c>
      <c r="D13780" t="inlineStr">
        <is>
          <t>VÄSTERBOTTENS LÄN</t>
        </is>
      </c>
      <c r="E13780" t="inlineStr">
        <is>
          <t>STORUMAN</t>
        </is>
      </c>
      <c r="G13780" t="n">
        <v>3.1</v>
      </c>
      <c r="H13780" t="n">
        <v>0</v>
      </c>
      <c r="I13780" t="n">
        <v>0</v>
      </c>
      <c r="J13780" t="n">
        <v>0</v>
      </c>
      <c r="K13780" t="n">
        <v>0</v>
      </c>
      <c r="L13780" t="n">
        <v>0</v>
      </c>
      <c r="M13780" t="n">
        <v>0</v>
      </c>
      <c r="N13780" t="n">
        <v>0</v>
      </c>
      <c r="O13780" t="n">
        <v>0</v>
      </c>
      <c r="P13780" t="n">
        <v>0</v>
      </c>
      <c r="Q13780" t="n">
        <v>0</v>
      </c>
      <c r="R137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2024-03-06T12:53:13Z</dcterms:created>
  <dcterms:modified xmlns:dcterms="http://purl.org/dc/terms/" xmlns:xsi="http://www.w3.org/2001/XMLSchema-instance" xsi:type="dcterms:W3CDTF">2024-03-06T12:53:26Z</dcterms:modified>
</cp:coreProperties>
</file>